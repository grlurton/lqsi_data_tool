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53222"/>
  <mc:AlternateContent xmlns:mc="http://schemas.openxmlformats.org/markup-compatibility/2006">
    <mc:Choice Requires="x15">
      <x15ac:absPath xmlns:x15ac="http://schemas.microsoft.com/office/spreadsheetml/2010/11/ac" url="C:\Users\grlurton\Google Drive\ltqi\ltqi_tool\"/>
    </mc:Choice>
  </mc:AlternateContent>
  <bookViews>
    <workbookView xWindow="0" yWindow="465" windowWidth="28800" windowHeight="15960" tabRatio="844" activeTab="3"/>
  </bookViews>
  <sheets>
    <sheet name="Getting Started" sheetId="4" r:id="rId1"/>
    <sheet name="Dashboard" sheetId="6" r:id="rId2"/>
    <sheet name="Phase1 - Criterias" sheetId="11" r:id="rId3"/>
    <sheet name="Phase1 - Fill-in" sheetId="12" r:id="rId4"/>
    <sheet name="Phase1" sheetId="5" r:id="rId5"/>
    <sheet name="Phase2 - Criterias" sheetId="14" r:id="rId6"/>
    <sheet name="Phase2 - Fill-in" sheetId="15" r:id="rId7"/>
    <sheet name="Phase2" sheetId="7" r:id="rId8"/>
    <sheet name="Phase3 - Criterias" sheetId="17" r:id="rId9"/>
    <sheet name="Phase3 - Fill-in" sheetId="16" r:id="rId10"/>
    <sheet name="Phase3" sheetId="8" r:id="rId11"/>
    <sheet name="Phase4 - Criterias" sheetId="19" r:id="rId12"/>
    <sheet name="Phase4 - Fill-in" sheetId="18" r:id="rId13"/>
    <sheet name="Phase4" sheetId="9" r:id="rId14"/>
    <sheet name="Dictionnary" sheetId="1" r:id="rId15"/>
    <sheet name="CompChecksTrans" sheetId="20" r:id="rId16"/>
    <sheet name="xlwings.conf" sheetId="13" r:id="rId17"/>
  </sheets>
  <functionGroups builtInGroupCount="18"/>
  <definedNames>
    <definedName name="_xlnm._FilterDatabase" localSheetId="14" hidden="1">Dictionnary!$C$1:$W$593</definedName>
  </definedNames>
  <calcPr calcId="162913" concurrentCalc="0"/>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C2" i="20" l="1"/>
  <c r="D5" i="12"/>
  <c r="C3" i="20"/>
  <c r="D6" i="12"/>
  <c r="C4" i="20"/>
  <c r="D7" i="12"/>
  <c r="C5" i="20"/>
  <c r="D8" i="12"/>
  <c r="C6" i="20"/>
  <c r="D9" i="12"/>
  <c r="C7" i="20"/>
  <c r="D10" i="12"/>
  <c r="C8" i="20"/>
  <c r="D11" i="12"/>
  <c r="C9" i="20"/>
  <c r="D12" i="12"/>
  <c r="C10" i="20"/>
  <c r="D13" i="12"/>
  <c r="C11" i="20"/>
  <c r="D14" i="12"/>
  <c r="C12" i="20"/>
  <c r="D15" i="12"/>
  <c r="C13" i="20"/>
  <c r="D16" i="12"/>
  <c r="C14" i="20"/>
  <c r="D17" i="12"/>
  <c r="C15" i="20"/>
  <c r="D18" i="12"/>
  <c r="C16" i="20"/>
  <c r="D19" i="12"/>
  <c r="C17" i="20"/>
  <c r="D20" i="12"/>
  <c r="C18" i="20"/>
  <c r="D21" i="12"/>
  <c r="C19" i="20"/>
  <c r="D22" i="12"/>
  <c r="C20" i="20"/>
  <c r="D23" i="12"/>
  <c r="C21" i="20"/>
  <c r="D24" i="12"/>
  <c r="C22" i="20"/>
  <c r="D25" i="12"/>
  <c r="C23" i="20"/>
  <c r="D26" i="12"/>
  <c r="C24" i="20"/>
  <c r="D27" i="12"/>
  <c r="C25" i="20"/>
  <c r="D28" i="12"/>
  <c r="C26" i="20"/>
  <c r="D29" i="12"/>
  <c r="C27" i="20"/>
  <c r="D30" i="12"/>
  <c r="C28" i="20"/>
  <c r="D31" i="12"/>
  <c r="C29" i="20"/>
  <c r="D32" i="12"/>
  <c r="C30" i="20"/>
  <c r="D33" i="12"/>
  <c r="C31" i="20"/>
  <c r="D34" i="12"/>
  <c r="C32" i="20"/>
  <c r="D35" i="12"/>
  <c r="C33" i="20"/>
  <c r="D36" i="12"/>
  <c r="C34" i="20"/>
  <c r="D37" i="12"/>
  <c r="C35" i="20"/>
  <c r="D38" i="12"/>
  <c r="C36" i="20"/>
  <c r="D39" i="12"/>
  <c r="C37" i="20"/>
  <c r="D40" i="12"/>
  <c r="C38" i="20"/>
  <c r="D41" i="12"/>
  <c r="C39" i="20"/>
  <c r="D42" i="12"/>
  <c r="C40" i="20"/>
  <c r="D43" i="12"/>
  <c r="C41" i="20"/>
  <c r="D44" i="12"/>
  <c r="C42" i="20"/>
  <c r="D45" i="12"/>
  <c r="C43" i="20"/>
  <c r="D46" i="12"/>
  <c r="C44" i="20"/>
  <c r="D47" i="12"/>
  <c r="C45" i="20"/>
  <c r="D48" i="12"/>
  <c r="C46" i="20"/>
  <c r="D49" i="12"/>
  <c r="C47" i="20"/>
  <c r="D50" i="12"/>
  <c r="C48" i="20"/>
  <c r="D51" i="12"/>
  <c r="C49" i="20"/>
  <c r="D52" i="12"/>
  <c r="C50" i="20"/>
  <c r="D53" i="12"/>
  <c r="C51" i="20"/>
  <c r="D54" i="12"/>
  <c r="C52" i="20"/>
  <c r="D55" i="12"/>
  <c r="C53" i="20"/>
  <c r="D56" i="12"/>
  <c r="C54" i="20"/>
  <c r="D57" i="12"/>
  <c r="C55" i="20"/>
  <c r="D58" i="12"/>
  <c r="C56" i="20"/>
  <c r="D59" i="12"/>
  <c r="C57" i="20"/>
  <c r="D60" i="12"/>
  <c r="C58" i="20"/>
  <c r="D61" i="12"/>
  <c r="C59" i="20"/>
  <c r="D62" i="12"/>
  <c r="C60" i="20"/>
  <c r="D63" i="12"/>
  <c r="C61" i="20"/>
  <c r="D64" i="12"/>
  <c r="C62" i="20"/>
  <c r="D65" i="12"/>
  <c r="C63" i="20"/>
  <c r="D66" i="12"/>
  <c r="C64" i="20"/>
  <c r="D67" i="12"/>
  <c r="C65" i="20"/>
  <c r="D68" i="12"/>
  <c r="C66" i="20"/>
  <c r="D69" i="12"/>
  <c r="C67" i="20"/>
  <c r="D70" i="12"/>
  <c r="C68" i="20"/>
  <c r="D71" i="12"/>
  <c r="C69" i="20"/>
  <c r="D72" i="12"/>
  <c r="C70" i="20"/>
  <c r="D73" i="12"/>
  <c r="C71" i="20"/>
  <c r="D74" i="12"/>
  <c r="C72" i="20"/>
  <c r="D75" i="12"/>
  <c r="C73" i="20"/>
  <c r="D76" i="12"/>
  <c r="C74" i="20"/>
  <c r="D77" i="12"/>
  <c r="C75" i="20"/>
  <c r="D78" i="12"/>
  <c r="C76" i="20"/>
  <c r="D79" i="12"/>
  <c r="C77" i="20"/>
  <c r="D80" i="12"/>
  <c r="C78" i="20"/>
  <c r="D81" i="12"/>
  <c r="C79" i="20"/>
  <c r="D82" i="12"/>
  <c r="C80" i="20"/>
  <c r="D83" i="12"/>
  <c r="C81" i="20"/>
  <c r="D84" i="12"/>
  <c r="C82" i="20"/>
  <c r="D85" i="12"/>
  <c r="C83" i="20"/>
  <c r="D86" i="12"/>
  <c r="C84" i="20"/>
  <c r="D87" i="12"/>
  <c r="C85" i="20"/>
  <c r="D88" i="12"/>
  <c r="C86" i="20"/>
  <c r="D89" i="12"/>
  <c r="C87" i="20"/>
  <c r="D90" i="12"/>
  <c r="C88" i="20"/>
  <c r="D91" i="12"/>
  <c r="C89" i="20"/>
  <c r="D92" i="12"/>
  <c r="C90" i="20"/>
  <c r="D93" i="12"/>
  <c r="C91" i="20"/>
  <c r="D94" i="12"/>
  <c r="C92" i="20"/>
  <c r="D95" i="12"/>
  <c r="C93" i="20"/>
  <c r="D96" i="12"/>
  <c r="C94" i="20"/>
  <c r="D97" i="12"/>
  <c r="C95" i="20"/>
  <c r="D98" i="12"/>
  <c r="C96" i="20"/>
  <c r="D99" i="12"/>
  <c r="C97" i="20"/>
  <c r="D100" i="12"/>
  <c r="C98" i="20"/>
  <c r="D101" i="12"/>
  <c r="C99" i="20"/>
  <c r="D102" i="12"/>
  <c r="C100" i="20"/>
  <c r="D103" i="12"/>
  <c r="C101" i="20"/>
  <c r="D104" i="12"/>
  <c r="C102" i="20"/>
  <c r="D105" i="12"/>
  <c r="C103" i="20"/>
  <c r="D106" i="12"/>
  <c r="C104" i="20"/>
  <c r="D107" i="12"/>
  <c r="C105" i="20"/>
  <c r="D108" i="12"/>
  <c r="C106" i="20"/>
  <c r="D109" i="12"/>
  <c r="C107" i="20"/>
  <c r="D110" i="12"/>
  <c r="C108" i="20"/>
  <c r="D111" i="12"/>
  <c r="C109" i="20"/>
  <c r="D112" i="12"/>
  <c r="C110" i="20"/>
  <c r="D113" i="12"/>
  <c r="C111" i="20"/>
  <c r="D114" i="12"/>
  <c r="C112" i="20"/>
  <c r="D115" i="12"/>
  <c r="C113" i="20"/>
  <c r="D116" i="12"/>
  <c r="C114" i="20"/>
  <c r="D117" i="12"/>
  <c r="C115" i="20"/>
  <c r="D118" i="12"/>
  <c r="C116" i="20"/>
  <c r="D119" i="12"/>
  <c r="C117" i="20"/>
  <c r="D120" i="12"/>
  <c r="C118" i="20"/>
  <c r="D121" i="12"/>
  <c r="C119" i="20"/>
  <c r="D122" i="12"/>
  <c r="C120" i="20"/>
  <c r="D123" i="12"/>
  <c r="C121" i="20"/>
  <c r="D124" i="12"/>
  <c r="C122" i="20"/>
  <c r="D125" i="12"/>
  <c r="C123" i="20"/>
  <c r="D126" i="12"/>
  <c r="C124" i="20"/>
  <c r="D127" i="12"/>
  <c r="C125" i="20"/>
  <c r="D128" i="12"/>
  <c r="C126" i="20"/>
  <c r="D129" i="12"/>
  <c r="C127" i="20"/>
  <c r="D130" i="12"/>
  <c r="C128" i="20"/>
  <c r="D131" i="12"/>
  <c r="C129" i="20"/>
  <c r="D132" i="12"/>
  <c r="C130" i="20"/>
  <c r="D133" i="12"/>
  <c r="C131" i="20"/>
  <c r="D134" i="12"/>
  <c r="C132" i="20"/>
  <c r="D135" i="12"/>
  <c r="C133" i="20"/>
  <c r="D136" i="12"/>
  <c r="C134" i="20"/>
  <c r="D137" i="12"/>
  <c r="C135" i="20"/>
  <c r="D138" i="12"/>
  <c r="C136" i="20"/>
  <c r="D139" i="12"/>
  <c r="C137" i="20"/>
  <c r="D140" i="12"/>
  <c r="C138" i="20"/>
  <c r="D141" i="12"/>
  <c r="C139" i="20"/>
  <c r="D142" i="12"/>
  <c r="C140" i="20"/>
  <c r="D143" i="12"/>
  <c r="C141" i="20"/>
  <c r="D144" i="12"/>
  <c r="C142" i="20"/>
  <c r="D145" i="12"/>
  <c r="C143" i="20"/>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A1" i="12"/>
  <c r="B153" i="12"/>
  <c r="C153" i="12"/>
  <c r="B154" i="12"/>
  <c r="C154" i="12"/>
  <c r="B155" i="12"/>
  <c r="C155" i="12"/>
  <c r="B156" i="12"/>
  <c r="C156" i="12"/>
  <c r="B157" i="12"/>
  <c r="C157" i="12"/>
  <c r="B158" i="12"/>
  <c r="C158" i="12"/>
  <c r="B159" i="12"/>
  <c r="C159" i="12"/>
  <c r="B160" i="12"/>
  <c r="C160" i="12"/>
  <c r="B161" i="12"/>
  <c r="C161" i="12"/>
  <c r="B162" i="12"/>
  <c r="C162" i="12"/>
  <c r="B163" i="12"/>
  <c r="C163" i="12"/>
  <c r="B164" i="12"/>
  <c r="C164" i="12"/>
  <c r="B165" i="12"/>
  <c r="C165" i="12"/>
  <c r="B166" i="12"/>
  <c r="C166" i="12"/>
  <c r="B167" i="12"/>
  <c r="C167" i="12"/>
  <c r="B168" i="12"/>
  <c r="C168" i="12"/>
  <c r="B169" i="12"/>
  <c r="C169" i="12"/>
  <c r="B170" i="12"/>
  <c r="C170" i="12"/>
  <c r="B171" i="12"/>
  <c r="C171" i="12"/>
  <c r="B172" i="12"/>
  <c r="C172" i="12"/>
  <c r="B173" i="12"/>
  <c r="C173" i="12"/>
  <c r="B174" i="12"/>
  <c r="C174" i="12"/>
  <c r="B175" i="12"/>
  <c r="C175" i="12"/>
  <c r="B176" i="12"/>
  <c r="C176" i="12"/>
  <c r="B177" i="12"/>
  <c r="C177" i="12"/>
  <c r="B178" i="12"/>
  <c r="C178" i="12"/>
  <c r="B179" i="12"/>
  <c r="C179" i="12"/>
  <c r="B180" i="12"/>
  <c r="C180" i="12"/>
  <c r="B181" i="12"/>
  <c r="C181" i="12"/>
  <c r="B182" i="12"/>
  <c r="C182" i="12"/>
  <c r="B183" i="12"/>
  <c r="C183" i="12"/>
  <c r="B184" i="12"/>
  <c r="C184" i="12"/>
  <c r="B185" i="12"/>
  <c r="C185" i="12"/>
  <c r="B186" i="12"/>
  <c r="C186" i="12"/>
  <c r="B187" i="12"/>
  <c r="C187" i="12"/>
  <c r="B188" i="12"/>
  <c r="C188" i="12"/>
  <c r="B189" i="12"/>
  <c r="C189" i="12"/>
  <c r="B190" i="12"/>
  <c r="C190" i="12"/>
  <c r="B191" i="12"/>
  <c r="C191" i="12"/>
  <c r="B192" i="12"/>
  <c r="C192" i="12"/>
  <c r="B193" i="12"/>
  <c r="C193" i="12"/>
  <c r="B194" i="12"/>
  <c r="C194" i="12"/>
  <c r="B195" i="12"/>
  <c r="C195" i="12"/>
  <c r="B196" i="12"/>
  <c r="C196" i="12"/>
  <c r="B197" i="12"/>
  <c r="C197" i="12"/>
  <c r="B198" i="12"/>
  <c r="C198" i="12"/>
  <c r="B199" i="12"/>
  <c r="C199" i="12"/>
  <c r="B200" i="12"/>
  <c r="C200" i="12"/>
  <c r="B201" i="12"/>
  <c r="C201" i="12"/>
  <c r="B202" i="12"/>
  <c r="C202" i="12"/>
  <c r="B203" i="12"/>
  <c r="C203" i="12"/>
  <c r="B204" i="12"/>
  <c r="C204" i="12"/>
  <c r="B205" i="12"/>
  <c r="C205" i="12"/>
  <c r="B206" i="12"/>
  <c r="C206" i="12"/>
  <c r="B207" i="12"/>
  <c r="C207" i="12"/>
  <c r="B208" i="12"/>
  <c r="C208" i="12"/>
  <c r="B209" i="12"/>
  <c r="C209" i="12"/>
  <c r="B210" i="12"/>
  <c r="C210" i="12"/>
  <c r="B211" i="12"/>
  <c r="C211" i="12"/>
  <c r="B212" i="12"/>
  <c r="C212" i="12"/>
  <c r="B213" i="12"/>
  <c r="C213" i="12"/>
  <c r="B214" i="12"/>
  <c r="C214" i="12"/>
  <c r="B215" i="12"/>
  <c r="C215" i="12"/>
  <c r="B216" i="12"/>
  <c r="C216" i="12"/>
  <c r="B217" i="12"/>
  <c r="C217" i="12"/>
  <c r="B218" i="12"/>
  <c r="C218" i="12"/>
  <c r="B219" i="12"/>
  <c r="C219" i="12"/>
  <c r="B220" i="12"/>
  <c r="C220" i="12"/>
  <c r="B221" i="12"/>
  <c r="C221" i="12"/>
  <c r="B222" i="12"/>
  <c r="C222" i="12"/>
  <c r="B223" i="12"/>
  <c r="C223" i="12"/>
  <c r="B224" i="12"/>
  <c r="C224" i="12"/>
  <c r="B225" i="12"/>
  <c r="C225" i="12"/>
  <c r="B226" i="12"/>
  <c r="C226" i="12"/>
  <c r="B227" i="12"/>
  <c r="C227" i="12"/>
  <c r="B228" i="12"/>
  <c r="C228" i="12"/>
  <c r="B229" i="12"/>
  <c r="C229" i="12"/>
  <c r="B230" i="12"/>
  <c r="C230" i="12"/>
  <c r="B231" i="12"/>
  <c r="C231" i="12"/>
  <c r="B232" i="12"/>
  <c r="C232" i="12"/>
  <c r="B233" i="12"/>
  <c r="C233" i="12"/>
  <c r="B234" i="12"/>
  <c r="C234" i="12"/>
  <c r="B235" i="12"/>
  <c r="C235" i="12"/>
  <c r="B236" i="12"/>
  <c r="C236" i="12"/>
  <c r="B237" i="12"/>
  <c r="C237" i="12"/>
  <c r="B238" i="12"/>
  <c r="C238" i="12"/>
  <c r="B239" i="12"/>
  <c r="C239" i="12"/>
  <c r="B240" i="12"/>
  <c r="C240" i="12"/>
  <c r="B241" i="12"/>
  <c r="C241" i="12"/>
  <c r="B242" i="12"/>
  <c r="C242" i="12"/>
  <c r="B243" i="12"/>
  <c r="C243" i="12"/>
  <c r="B244" i="12"/>
  <c r="C244" i="12"/>
  <c r="B245" i="12"/>
  <c r="C245" i="12"/>
  <c r="B246" i="12"/>
  <c r="C246" i="12"/>
  <c r="B247" i="12"/>
  <c r="C247" i="12"/>
  <c r="B248" i="12"/>
  <c r="C248" i="12"/>
  <c r="B249" i="12"/>
  <c r="C249" i="12"/>
  <c r="B250" i="12"/>
  <c r="C250" i="12"/>
  <c r="B251" i="12"/>
  <c r="C251" i="12"/>
  <c r="B252" i="12"/>
  <c r="C252" i="12"/>
  <c r="B253" i="12"/>
  <c r="C253" i="12"/>
  <c r="B254" i="12"/>
  <c r="C254" i="12"/>
  <c r="B255" i="12"/>
  <c r="C255" i="12"/>
  <c r="B256" i="12"/>
  <c r="C256" i="12"/>
  <c r="B257" i="12"/>
  <c r="C257" i="12"/>
  <c r="B258" i="12"/>
  <c r="C258" i="12"/>
  <c r="B259" i="12"/>
  <c r="C259" i="12"/>
  <c r="B260" i="12"/>
  <c r="C260" i="12"/>
  <c r="B261" i="12"/>
  <c r="C261" i="12"/>
  <c r="B262" i="12"/>
  <c r="C262" i="12"/>
  <c r="B263" i="12"/>
  <c r="C263" i="12"/>
  <c r="B264" i="12"/>
  <c r="C264" i="12"/>
  <c r="B265" i="12"/>
  <c r="C265" i="12"/>
  <c r="B266" i="12"/>
  <c r="C266" i="12"/>
  <c r="B267" i="12"/>
  <c r="C267" i="12"/>
  <c r="B268" i="12"/>
  <c r="C268" i="12"/>
  <c r="B269" i="12"/>
  <c r="C269" i="12"/>
  <c r="B270" i="12"/>
  <c r="C270" i="12"/>
  <c r="B271" i="12"/>
  <c r="C271" i="12"/>
  <c r="B272" i="12"/>
  <c r="C272" i="12"/>
  <c r="B273" i="12"/>
  <c r="C273" i="12"/>
  <c r="B274" i="12"/>
  <c r="C274" i="12"/>
  <c r="B275" i="12"/>
  <c r="C275" i="12"/>
  <c r="B276" i="12"/>
  <c r="C276" i="12"/>
  <c r="B277" i="12"/>
  <c r="C277" i="12"/>
  <c r="B278" i="12"/>
  <c r="C278" i="12"/>
  <c r="B279" i="12"/>
  <c r="C279" i="12"/>
  <c r="B280" i="12"/>
  <c r="C280" i="12"/>
  <c r="B281" i="12"/>
  <c r="C281" i="12"/>
  <c r="B282" i="12"/>
  <c r="C282" i="12"/>
  <c r="B283" i="12"/>
  <c r="C283" i="12"/>
  <c r="B284" i="12"/>
  <c r="C284" i="12"/>
  <c r="B285" i="12"/>
  <c r="C285" i="12"/>
  <c r="B286" i="12"/>
  <c r="C286" i="12"/>
  <c r="B287" i="12"/>
  <c r="C287" i="12"/>
  <c r="B288" i="12"/>
  <c r="C288" i="12"/>
  <c r="B289" i="12"/>
  <c r="C289" i="12"/>
  <c r="B290" i="12"/>
  <c r="C290" i="12"/>
  <c r="B291" i="12"/>
  <c r="C291" i="12"/>
  <c r="B292" i="12"/>
  <c r="C292" i="12"/>
  <c r="B293" i="12"/>
  <c r="C293" i="12"/>
  <c r="B294" i="12"/>
  <c r="C294" i="12"/>
  <c r="B295" i="12"/>
  <c r="C295" i="12"/>
  <c r="B296" i="12"/>
  <c r="C296" i="12"/>
  <c r="B297" i="12"/>
  <c r="C297" i="12"/>
  <c r="B298" i="12"/>
  <c r="C298" i="12"/>
  <c r="B299" i="12"/>
  <c r="C299" i="12"/>
  <c r="B300" i="12"/>
  <c r="C300" i="12"/>
  <c r="B301" i="12"/>
  <c r="C301" i="12"/>
  <c r="B302" i="12"/>
  <c r="C302" i="12"/>
  <c r="B303" i="12"/>
  <c r="C303" i="12"/>
  <c r="B304" i="12"/>
  <c r="C304" i="12"/>
  <c r="B305" i="12"/>
  <c r="C305" i="12"/>
  <c r="B306" i="12"/>
  <c r="C306" i="12"/>
  <c r="B307" i="12"/>
  <c r="C307" i="12"/>
  <c r="B308" i="12"/>
  <c r="C308" i="12"/>
  <c r="B309" i="12"/>
  <c r="C309" i="12"/>
  <c r="B310" i="12"/>
  <c r="C310" i="12"/>
  <c r="B311" i="12"/>
  <c r="C311" i="12"/>
  <c r="B312" i="12"/>
  <c r="C312" i="12"/>
  <c r="B313" i="12"/>
  <c r="C313" i="12"/>
  <c r="B314" i="12"/>
  <c r="C314" i="12"/>
  <c r="B315" i="12"/>
  <c r="C315" i="12"/>
  <c r="B316" i="12"/>
  <c r="C316" i="12"/>
  <c r="B317" i="12"/>
  <c r="C317" i="12"/>
  <c r="B318" i="12"/>
  <c r="C318" i="12"/>
  <c r="B319" i="12"/>
  <c r="C319" i="12"/>
  <c r="B320" i="12"/>
  <c r="C320" i="12"/>
  <c r="B321" i="12"/>
  <c r="C321" i="12"/>
  <c r="B322" i="12"/>
  <c r="C322" i="12"/>
  <c r="B323" i="12"/>
  <c r="C323" i="12"/>
  <c r="B324" i="12"/>
  <c r="C324" i="12"/>
  <c r="B325" i="12"/>
  <c r="C325" i="12"/>
  <c r="B326" i="12"/>
  <c r="C326" i="12"/>
  <c r="B327" i="12"/>
  <c r="C327" i="12"/>
  <c r="B328" i="12"/>
  <c r="C328" i="12"/>
  <c r="B329" i="12"/>
  <c r="C329" i="12"/>
  <c r="B330" i="12"/>
  <c r="C330" i="12"/>
  <c r="B331" i="12"/>
  <c r="C331" i="12"/>
  <c r="B332" i="12"/>
  <c r="C332" i="12"/>
  <c r="B333" i="12"/>
  <c r="C333" i="12"/>
  <c r="B334" i="12"/>
  <c r="C334" i="12"/>
  <c r="B335" i="12"/>
  <c r="C335" i="12"/>
  <c r="B336" i="12"/>
  <c r="C336" i="12"/>
  <c r="B337" i="12"/>
  <c r="C337" i="12"/>
  <c r="B338" i="12"/>
  <c r="C338" i="12"/>
  <c r="B339" i="12"/>
  <c r="C339" i="12"/>
  <c r="B340" i="12"/>
  <c r="C340" i="12"/>
  <c r="B341" i="12"/>
  <c r="C341" i="12"/>
  <c r="B342" i="12"/>
  <c r="C342" i="12"/>
  <c r="B343" i="12"/>
  <c r="C343" i="12"/>
  <c r="B344" i="12"/>
  <c r="C344" i="12"/>
  <c r="B345" i="12"/>
  <c r="C345" i="12"/>
  <c r="B346" i="12"/>
  <c r="C346" i="12"/>
  <c r="B347" i="12"/>
  <c r="C347" i="12"/>
  <c r="B348" i="12"/>
  <c r="C348" i="12"/>
  <c r="B349" i="12"/>
  <c r="C349" i="12"/>
  <c r="B350" i="12"/>
  <c r="C350" i="12"/>
  <c r="B351" i="12"/>
  <c r="C351" i="12"/>
  <c r="B352" i="12"/>
  <c r="C352" i="12"/>
  <c r="B353" i="12"/>
  <c r="C353" i="12"/>
  <c r="B354" i="12"/>
  <c r="C354" i="12"/>
  <c r="B355" i="12"/>
  <c r="C355" i="12"/>
  <c r="B356" i="12"/>
  <c r="C356" i="12"/>
  <c r="B357" i="12"/>
  <c r="C357" i="12"/>
  <c r="B358" i="12"/>
  <c r="C358" i="12"/>
  <c r="B359" i="12"/>
  <c r="C359" i="12"/>
  <c r="B360" i="12"/>
  <c r="C360" i="12"/>
  <c r="B361" i="12"/>
  <c r="C361" i="12"/>
  <c r="B362" i="12"/>
  <c r="C362" i="12"/>
  <c r="B363" i="12"/>
  <c r="C363" i="12"/>
  <c r="B364" i="12"/>
  <c r="C364" i="12"/>
  <c r="B365" i="12"/>
  <c r="C365" i="12"/>
  <c r="B366" i="12"/>
  <c r="C366" i="12"/>
  <c r="B367" i="12"/>
  <c r="C367" i="12"/>
  <c r="B368" i="12"/>
  <c r="C368" i="12"/>
  <c r="B369" i="12"/>
  <c r="C369" i="12"/>
  <c r="B370" i="12"/>
  <c r="C370" i="12"/>
  <c r="B371" i="12"/>
  <c r="C371" i="12"/>
  <c r="B372" i="12"/>
  <c r="C372" i="12"/>
  <c r="B373" i="12"/>
  <c r="C373" i="12"/>
  <c r="B374" i="12"/>
  <c r="C374" i="12"/>
  <c r="B375" i="12"/>
  <c r="C375" i="12"/>
  <c r="B376" i="12"/>
  <c r="C376" i="12"/>
  <c r="B377" i="12"/>
  <c r="C377" i="12"/>
  <c r="B378" i="12"/>
  <c r="C378" i="12"/>
  <c r="B379" i="12"/>
  <c r="C379" i="12"/>
  <c r="B380" i="12"/>
  <c r="C380" i="12"/>
  <c r="B381" i="12"/>
  <c r="C381" i="12"/>
  <c r="B382" i="12"/>
  <c r="C382" i="12"/>
  <c r="B383" i="12"/>
  <c r="C383" i="12"/>
  <c r="B384" i="12"/>
  <c r="C384" i="12"/>
  <c r="B385" i="12"/>
  <c r="C385" i="12"/>
  <c r="B386" i="12"/>
  <c r="C386" i="12"/>
  <c r="B387" i="12"/>
  <c r="C387" i="12"/>
  <c r="B388" i="12"/>
  <c r="C388" i="12"/>
  <c r="B389" i="12"/>
  <c r="C389" i="12"/>
  <c r="B390" i="12"/>
  <c r="C390" i="12"/>
  <c r="B391" i="12"/>
  <c r="C391" i="12"/>
  <c r="B392" i="12"/>
  <c r="C392" i="12"/>
  <c r="B393" i="12"/>
  <c r="C393" i="12"/>
  <c r="B394" i="12"/>
  <c r="C394" i="12"/>
  <c r="B395" i="12"/>
  <c r="C395" i="12"/>
  <c r="B396" i="12"/>
  <c r="C396" i="12"/>
  <c r="B397" i="12"/>
  <c r="C397" i="12"/>
  <c r="B398" i="12"/>
  <c r="C398" i="12"/>
  <c r="B399" i="12"/>
  <c r="C399" i="12"/>
  <c r="B400" i="12"/>
  <c r="C400" i="12"/>
  <c r="B401" i="12"/>
  <c r="C401" i="12"/>
  <c r="B402" i="12"/>
  <c r="C402" i="12"/>
  <c r="B403" i="12"/>
  <c r="C403" i="12"/>
  <c r="B404" i="12"/>
  <c r="C404" i="12"/>
  <c r="B405" i="12"/>
  <c r="C405" i="12"/>
  <c r="B406" i="12"/>
  <c r="C406" i="12"/>
  <c r="B407" i="12"/>
  <c r="C407" i="12"/>
  <c r="B408" i="12"/>
  <c r="C408" i="12"/>
  <c r="B409" i="12"/>
  <c r="C409" i="12"/>
  <c r="B410" i="12"/>
  <c r="C410" i="12"/>
  <c r="B411" i="12"/>
  <c r="C411" i="12"/>
  <c r="B412" i="12"/>
  <c r="C412" i="12"/>
  <c r="B413" i="12"/>
  <c r="C413" i="12"/>
  <c r="B414" i="12"/>
  <c r="C414" i="12"/>
  <c r="B415" i="12"/>
  <c r="C415" i="12"/>
  <c r="B416" i="12"/>
  <c r="C416" i="12"/>
  <c r="B417" i="12"/>
  <c r="C417" i="12"/>
  <c r="B418" i="12"/>
  <c r="C418" i="12"/>
  <c r="B419" i="12"/>
  <c r="C419" i="12"/>
  <c r="B420" i="12"/>
  <c r="C420" i="12"/>
  <c r="B421" i="12"/>
  <c r="C421" i="12"/>
  <c r="B422" i="12"/>
  <c r="C422" i="12"/>
  <c r="B423" i="12"/>
  <c r="C423" i="12"/>
  <c r="B424" i="12"/>
  <c r="C424" i="12"/>
  <c r="B425" i="12"/>
  <c r="C425" i="12"/>
  <c r="B426" i="12"/>
  <c r="C426" i="12"/>
  <c r="B427" i="12"/>
  <c r="C427" i="12"/>
  <c r="B428" i="12"/>
  <c r="C428" i="12"/>
  <c r="B429" i="12"/>
  <c r="C429" i="12"/>
  <c r="B430" i="12"/>
  <c r="C430" i="12"/>
  <c r="B431" i="12"/>
  <c r="C431" i="12"/>
  <c r="B432" i="12"/>
  <c r="C432" i="12"/>
  <c r="B433" i="12"/>
  <c r="C433" i="12"/>
  <c r="B434" i="12"/>
  <c r="C434" i="12"/>
  <c r="B435" i="12"/>
  <c r="C435" i="12"/>
  <c r="B436" i="12"/>
  <c r="C436" i="12"/>
  <c r="B437" i="12"/>
  <c r="C437" i="12"/>
  <c r="B438" i="12"/>
  <c r="C438" i="12"/>
  <c r="B439" i="12"/>
  <c r="C439" i="12"/>
  <c r="B440" i="12"/>
  <c r="C440" i="12"/>
  <c r="B441" i="12"/>
  <c r="C441" i="12"/>
  <c r="B442" i="12"/>
  <c r="C442" i="12"/>
  <c r="B443" i="12"/>
  <c r="C443" i="12"/>
  <c r="B444" i="12"/>
  <c r="C444" i="12"/>
  <c r="B445" i="12"/>
  <c r="C445" i="12"/>
  <c r="B446" i="12"/>
  <c r="C446" i="12"/>
  <c r="B447" i="12"/>
  <c r="C447" i="12"/>
  <c r="B448" i="12"/>
  <c r="C448" i="12"/>
  <c r="B449" i="12"/>
  <c r="C449" i="12"/>
  <c r="B450" i="12"/>
  <c r="C450" i="12"/>
  <c r="B451" i="12"/>
  <c r="C451" i="12"/>
  <c r="B452" i="12"/>
  <c r="C452" i="12"/>
  <c r="B453" i="12"/>
  <c r="C453" i="12"/>
  <c r="B454" i="12"/>
  <c r="C454" i="12"/>
  <c r="B455" i="12"/>
  <c r="C455" i="12"/>
  <c r="B456" i="12"/>
  <c r="C456" i="12"/>
  <c r="B457" i="12"/>
  <c r="C457" i="12"/>
  <c r="B458" i="12"/>
  <c r="C458" i="12"/>
  <c r="B459" i="12"/>
  <c r="C459" i="12"/>
  <c r="B460" i="12"/>
  <c r="C460" i="12"/>
  <c r="B461" i="12"/>
  <c r="C461" i="12"/>
  <c r="B462" i="12"/>
  <c r="C462" i="12"/>
  <c r="B463" i="12"/>
  <c r="C463" i="12"/>
  <c r="B464" i="12"/>
  <c r="C464" i="12"/>
  <c r="B465" i="12"/>
  <c r="C465" i="12"/>
  <c r="B466" i="12"/>
  <c r="C466" i="12"/>
  <c r="B467" i="12"/>
  <c r="C467" i="12"/>
  <c r="B468" i="12"/>
  <c r="C468" i="12"/>
  <c r="B469" i="12"/>
  <c r="C469" i="12"/>
  <c r="B470" i="12"/>
  <c r="C470" i="12"/>
  <c r="B471" i="12"/>
  <c r="C471" i="12"/>
  <c r="B472" i="12"/>
  <c r="C472" i="12"/>
  <c r="B473" i="12"/>
  <c r="C473" i="12"/>
  <c r="B474" i="12"/>
  <c r="C474" i="12"/>
  <c r="B475" i="12"/>
  <c r="C475" i="12"/>
  <c r="B476" i="12"/>
  <c r="C476" i="12"/>
  <c r="B477" i="12"/>
  <c r="C477" i="12"/>
  <c r="B478" i="12"/>
  <c r="C478" i="12"/>
  <c r="B479" i="12"/>
  <c r="C479" i="12"/>
  <c r="B480" i="12"/>
  <c r="C480" i="12"/>
  <c r="B481" i="12"/>
  <c r="C481" i="12"/>
  <c r="B482" i="12"/>
  <c r="C482" i="12"/>
  <c r="B483" i="12"/>
  <c r="C483" i="12"/>
  <c r="B484" i="12"/>
  <c r="C484" i="12"/>
  <c r="B485" i="12"/>
  <c r="C485" i="12"/>
  <c r="B486" i="12"/>
  <c r="C486" i="12"/>
  <c r="B487" i="12"/>
  <c r="C487" i="12"/>
  <c r="B488" i="12"/>
  <c r="C488" i="12"/>
  <c r="B489" i="12"/>
  <c r="C489" i="12"/>
  <c r="B490" i="12"/>
  <c r="C490" i="12"/>
  <c r="B491" i="12"/>
  <c r="C491" i="12"/>
  <c r="B492" i="12"/>
  <c r="C492" i="12"/>
  <c r="B493" i="12"/>
  <c r="C493" i="12"/>
  <c r="B494" i="12"/>
  <c r="C494" i="12"/>
  <c r="B495" i="12"/>
  <c r="C495" i="12"/>
  <c r="B496" i="12"/>
  <c r="C496" i="12"/>
  <c r="B497" i="12"/>
  <c r="C497" i="12"/>
  <c r="B498" i="12"/>
  <c r="C498" i="12"/>
  <c r="B499" i="12"/>
  <c r="C499" i="12"/>
  <c r="B500" i="12"/>
  <c r="C500" i="12"/>
  <c r="B501" i="12"/>
  <c r="C501" i="12"/>
  <c r="B502" i="12"/>
  <c r="C502" i="12"/>
  <c r="B503" i="12"/>
  <c r="C503" i="12"/>
  <c r="B504" i="12"/>
  <c r="C504" i="12"/>
  <c r="B505" i="12"/>
  <c r="C505" i="12"/>
  <c r="B506" i="12"/>
  <c r="C506" i="12"/>
  <c r="B507" i="12"/>
  <c r="C507" i="12"/>
  <c r="B508" i="12"/>
  <c r="C508" i="12"/>
  <c r="B509" i="12"/>
  <c r="C509" i="12"/>
  <c r="B510" i="12"/>
  <c r="C510" i="12"/>
  <c r="B511" i="12"/>
  <c r="C511" i="12"/>
  <c r="B512" i="12"/>
  <c r="C512" i="12"/>
  <c r="B513" i="12"/>
  <c r="C513" i="12"/>
  <c r="B514" i="12"/>
  <c r="C514" i="12"/>
  <c r="B515" i="12"/>
  <c r="C515" i="12"/>
  <c r="B516" i="12"/>
  <c r="C516" i="12"/>
  <c r="B517" i="12"/>
  <c r="C517" i="12"/>
  <c r="B518" i="12"/>
  <c r="C518" i="12"/>
  <c r="B519" i="12"/>
  <c r="C519" i="12"/>
  <c r="B520" i="12"/>
  <c r="C520" i="12"/>
  <c r="B521" i="12"/>
  <c r="C521" i="12"/>
  <c r="B522" i="12"/>
  <c r="C522" i="12"/>
  <c r="B523" i="12"/>
  <c r="C523" i="12"/>
  <c r="B524" i="12"/>
  <c r="C524" i="12"/>
  <c r="B525" i="12"/>
  <c r="C525" i="12"/>
  <c r="B526" i="12"/>
  <c r="C526" i="12"/>
  <c r="B527" i="12"/>
  <c r="C527" i="12"/>
  <c r="B528" i="12"/>
  <c r="C528" i="12"/>
  <c r="B529" i="12"/>
  <c r="C529" i="12"/>
  <c r="B530" i="12"/>
  <c r="C530" i="12"/>
  <c r="B531" i="12"/>
  <c r="C531" i="12"/>
  <c r="B532" i="12"/>
  <c r="C532" i="12"/>
  <c r="B533" i="12"/>
  <c r="C533" i="12"/>
  <c r="B534" i="12"/>
  <c r="C534" i="12"/>
  <c r="B535" i="12"/>
  <c r="C535" i="12"/>
  <c r="B536" i="12"/>
  <c r="C536" i="12"/>
  <c r="B537" i="12"/>
  <c r="C537" i="12"/>
  <c r="B538" i="12"/>
  <c r="C538" i="12"/>
  <c r="B539" i="12"/>
  <c r="C539" i="12"/>
  <c r="B540" i="12"/>
  <c r="C540" i="12"/>
  <c r="B541" i="12"/>
  <c r="C541" i="12"/>
  <c r="B542" i="12"/>
  <c r="C542" i="12"/>
  <c r="B543" i="12"/>
  <c r="C543" i="12"/>
  <c r="B544" i="12"/>
  <c r="C544" i="12"/>
  <c r="B545" i="12"/>
  <c r="C545" i="12"/>
  <c r="B546" i="12"/>
  <c r="C546" i="12"/>
  <c r="B547" i="12"/>
  <c r="C547" i="12"/>
  <c r="B548" i="12"/>
  <c r="C548" i="12"/>
  <c r="B549" i="12"/>
  <c r="C549" i="12"/>
  <c r="B550" i="12"/>
  <c r="C550" i="12"/>
  <c r="B551" i="12"/>
  <c r="C551" i="12"/>
  <c r="B552" i="12"/>
  <c r="C552" i="12"/>
  <c r="B553" i="12"/>
  <c r="C553" i="12"/>
  <c r="B554" i="12"/>
  <c r="C554" i="12"/>
  <c r="B555" i="12"/>
  <c r="C555" i="12"/>
  <c r="B556" i="12"/>
  <c r="C556" i="12"/>
  <c r="B557" i="12"/>
  <c r="C557" i="12"/>
  <c r="B558" i="12"/>
  <c r="C558" i="12"/>
  <c r="B559" i="12"/>
  <c r="C559" i="12"/>
  <c r="B560" i="12"/>
  <c r="C560" i="12"/>
  <c r="B561" i="12"/>
  <c r="C561" i="12"/>
  <c r="B562" i="12"/>
  <c r="C562" i="12"/>
  <c r="B563" i="12"/>
  <c r="C563" i="12"/>
  <c r="B564" i="12"/>
  <c r="C564" i="12"/>
  <c r="B565" i="12"/>
  <c r="C565" i="12"/>
  <c r="B566" i="12"/>
  <c r="C566" i="12"/>
  <c r="B567" i="12"/>
  <c r="C567" i="12"/>
  <c r="B568" i="12"/>
  <c r="C568" i="12"/>
  <c r="B569" i="12"/>
  <c r="C569" i="12"/>
  <c r="B570" i="12"/>
  <c r="C570" i="12"/>
  <c r="B571" i="12"/>
  <c r="C571" i="12"/>
  <c r="B572" i="12"/>
  <c r="C572" i="12"/>
  <c r="B573" i="12"/>
  <c r="C573" i="12"/>
  <c r="B574" i="12"/>
  <c r="C574" i="12"/>
  <c r="B575" i="12"/>
  <c r="C575" i="12"/>
  <c r="B576" i="12"/>
  <c r="C576" i="12"/>
  <c r="B577" i="12"/>
  <c r="C577" i="12"/>
  <c r="B578" i="12"/>
  <c r="C578" i="12"/>
  <c r="B579" i="12"/>
  <c r="C579" i="12"/>
  <c r="B580" i="12"/>
  <c r="C580" i="12"/>
  <c r="B581" i="12"/>
  <c r="C581" i="12"/>
  <c r="B582" i="12"/>
  <c r="C582" i="12"/>
  <c r="B583" i="12"/>
  <c r="C583" i="12"/>
  <c r="B584" i="12"/>
  <c r="C584" i="12"/>
  <c r="B585" i="12"/>
  <c r="C585" i="12"/>
  <c r="B586" i="12"/>
  <c r="C586" i="12"/>
  <c r="B587" i="12"/>
  <c r="C587" i="12"/>
  <c r="B588" i="12"/>
  <c r="C588" i="12"/>
  <c r="B589" i="12"/>
  <c r="C589" i="12"/>
  <c r="B590" i="12"/>
  <c r="C590" i="12"/>
  <c r="B591" i="12"/>
  <c r="C591" i="12"/>
  <c r="B592" i="12"/>
  <c r="C592" i="12"/>
  <c r="B593" i="12"/>
  <c r="C593" i="12"/>
  <c r="B594" i="12"/>
  <c r="C594" i="12"/>
  <c r="B595" i="12"/>
  <c r="C595" i="12"/>
  <c r="B596" i="12"/>
  <c r="C596" i="12"/>
  <c r="B597" i="12"/>
  <c r="C597" i="12"/>
  <c r="B598" i="12"/>
  <c r="C598" i="12"/>
  <c r="B599" i="12"/>
  <c r="C599" i="12"/>
  <c r="B600" i="12"/>
  <c r="C600" i="12"/>
  <c r="B601" i="12"/>
  <c r="C601" i="12"/>
  <c r="B602" i="12"/>
  <c r="C602" i="12"/>
  <c r="B603" i="12"/>
  <c r="C603" i="12"/>
  <c r="B604" i="12"/>
  <c r="C604" i="12"/>
  <c r="B605" i="12"/>
  <c r="C605" i="12"/>
  <c r="B606" i="12"/>
  <c r="C606" i="12"/>
  <c r="B607" i="12"/>
  <c r="C607" i="12"/>
  <c r="B608" i="12"/>
  <c r="C608" i="12"/>
  <c r="B609" i="12"/>
  <c r="C609" i="12"/>
  <c r="B610" i="12"/>
  <c r="C610" i="12"/>
  <c r="B611" i="12"/>
  <c r="C611" i="12"/>
  <c r="B612" i="12"/>
  <c r="C612" i="12"/>
  <c r="B613" i="12"/>
  <c r="C613" i="12"/>
  <c r="B614" i="12"/>
  <c r="C614" i="12"/>
  <c r="B615" i="12"/>
  <c r="C615" i="12"/>
  <c r="B616" i="12"/>
  <c r="C616" i="12"/>
  <c r="B617" i="12"/>
  <c r="C617" i="12"/>
  <c r="B618" i="12"/>
  <c r="C618" i="12"/>
  <c r="B619" i="12"/>
  <c r="C619" i="12"/>
  <c r="B620" i="12"/>
  <c r="C620" i="12"/>
  <c r="B621" i="12"/>
  <c r="C621" i="12"/>
  <c r="B622" i="12"/>
  <c r="C622" i="12"/>
  <c r="B623" i="12"/>
  <c r="C623" i="12"/>
  <c r="B624" i="12"/>
  <c r="C624" i="12"/>
  <c r="B625" i="12"/>
  <c r="C625" i="12"/>
  <c r="B626" i="12"/>
  <c r="C626" i="12"/>
  <c r="B627" i="12"/>
  <c r="C627" i="12"/>
  <c r="B628" i="12"/>
  <c r="C628" i="12"/>
  <c r="B629" i="12"/>
  <c r="C629" i="12"/>
  <c r="B630" i="12"/>
  <c r="C630" i="12"/>
  <c r="B631" i="12"/>
  <c r="C631" i="12"/>
  <c r="B632" i="12"/>
  <c r="C632" i="12"/>
  <c r="B633" i="12"/>
  <c r="C633" i="12"/>
  <c r="B634" i="12"/>
  <c r="C634" i="12"/>
  <c r="B635" i="12"/>
  <c r="C635" i="12"/>
  <c r="B636" i="12"/>
  <c r="C636" i="12"/>
  <c r="B637" i="12"/>
  <c r="C637" i="12"/>
  <c r="B638" i="12"/>
  <c r="C638" i="12"/>
  <c r="B639" i="12"/>
  <c r="C639" i="12"/>
  <c r="B640" i="12"/>
  <c r="C640" i="12"/>
  <c r="B641" i="12"/>
  <c r="C641" i="12"/>
  <c r="B642" i="12"/>
  <c r="C642" i="12"/>
  <c r="B643" i="12"/>
  <c r="C643" i="12"/>
  <c r="B644" i="12"/>
  <c r="C644" i="12"/>
  <c r="B645" i="12"/>
  <c r="C645" i="12"/>
  <c r="B646" i="12"/>
  <c r="C646" i="12"/>
  <c r="B647" i="12"/>
  <c r="C647" i="12"/>
  <c r="B648" i="12"/>
  <c r="C648" i="12"/>
  <c r="B649" i="12"/>
  <c r="C649" i="12"/>
  <c r="B650" i="12"/>
  <c r="C650" i="12"/>
  <c r="B651" i="12"/>
  <c r="C651" i="12"/>
  <c r="B652" i="12"/>
  <c r="C652" i="12"/>
  <c r="B653" i="12"/>
  <c r="C653" i="12"/>
  <c r="B654" i="12"/>
  <c r="C654" i="12"/>
  <c r="B655" i="12"/>
  <c r="C655" i="12"/>
  <c r="B656" i="12"/>
  <c r="C656" i="12"/>
  <c r="B657" i="12"/>
  <c r="C657" i="12"/>
  <c r="B658" i="12"/>
  <c r="C658" i="12"/>
  <c r="B659" i="12"/>
  <c r="C659" i="12"/>
  <c r="B660" i="12"/>
  <c r="C660" i="12"/>
  <c r="B661" i="12"/>
  <c r="C661" i="12"/>
  <c r="B662" i="12"/>
  <c r="C662" i="12"/>
  <c r="B663" i="12"/>
  <c r="C663" i="12"/>
  <c r="B664" i="12"/>
  <c r="C664" i="12"/>
  <c r="B665" i="12"/>
  <c r="C665" i="12"/>
  <c r="B666" i="12"/>
  <c r="C666" i="12"/>
  <c r="B667" i="12"/>
  <c r="C667" i="12"/>
  <c r="B668" i="12"/>
  <c r="C668" i="12"/>
  <c r="B669" i="12"/>
  <c r="C669" i="12"/>
  <c r="B670" i="12"/>
  <c r="C670" i="12"/>
  <c r="B671" i="12"/>
  <c r="C671" i="12"/>
  <c r="B672" i="12"/>
  <c r="C672" i="12"/>
  <c r="B673" i="12"/>
  <c r="C673" i="12"/>
  <c r="B674" i="12"/>
  <c r="C674" i="12"/>
  <c r="B675" i="12"/>
  <c r="C675" i="12"/>
  <c r="B676" i="12"/>
  <c r="C676" i="12"/>
  <c r="B677" i="12"/>
  <c r="C677" i="12"/>
  <c r="B678" i="12"/>
  <c r="C678" i="12"/>
  <c r="B679" i="12"/>
  <c r="C679" i="12"/>
  <c r="B680" i="12"/>
  <c r="C680" i="12"/>
  <c r="B681" i="12"/>
  <c r="C681" i="12"/>
  <c r="B682" i="12"/>
  <c r="C682" i="12"/>
  <c r="B683" i="12"/>
  <c r="C683" i="12"/>
  <c r="B684" i="12"/>
  <c r="C684" i="12"/>
  <c r="B685" i="12"/>
  <c r="C685" i="12"/>
  <c r="B686" i="12"/>
  <c r="C686" i="12"/>
  <c r="B687" i="12"/>
  <c r="C687" i="12"/>
  <c r="B688" i="12"/>
  <c r="C688" i="12"/>
  <c r="B689" i="12"/>
  <c r="C689" i="12"/>
  <c r="B690" i="12"/>
  <c r="C690" i="12"/>
  <c r="B691" i="12"/>
  <c r="C691" i="12"/>
  <c r="B692" i="12"/>
  <c r="C692" i="12"/>
  <c r="B693" i="12"/>
  <c r="C693" i="12"/>
  <c r="B694" i="12"/>
  <c r="C694" i="12"/>
  <c r="B695" i="12"/>
  <c r="C695" i="12"/>
  <c r="B696" i="12"/>
  <c r="C696" i="12"/>
  <c r="B697" i="12"/>
  <c r="C697" i="12"/>
  <c r="B698" i="12"/>
  <c r="C698" i="12"/>
  <c r="B699" i="12"/>
  <c r="C699" i="12"/>
  <c r="B700" i="12"/>
  <c r="C700" i="12"/>
  <c r="B701" i="12"/>
  <c r="C701" i="12"/>
  <c r="B702" i="12"/>
  <c r="C702" i="12"/>
  <c r="B703" i="12"/>
  <c r="C703" i="12"/>
  <c r="B704" i="12"/>
  <c r="C704" i="12"/>
  <c r="B705" i="12"/>
  <c r="C705" i="12"/>
  <c r="B706" i="12"/>
  <c r="C706" i="12"/>
  <c r="B707" i="12"/>
  <c r="C707" i="12"/>
  <c r="B708" i="12"/>
  <c r="C708" i="12"/>
  <c r="B709" i="12"/>
  <c r="C709" i="12"/>
  <c r="B710" i="12"/>
  <c r="C710" i="12"/>
  <c r="B711" i="12"/>
  <c r="C711" i="12"/>
  <c r="B712" i="12"/>
  <c r="C712" i="12"/>
  <c r="B713" i="12"/>
  <c r="C713" i="12"/>
  <c r="B714" i="12"/>
  <c r="C714" i="12"/>
  <c r="B715" i="12"/>
  <c r="C715" i="12"/>
  <c r="B716" i="12"/>
  <c r="C716" i="12"/>
  <c r="B717" i="12"/>
  <c r="C717" i="12"/>
  <c r="B718" i="12"/>
  <c r="C718" i="12"/>
  <c r="B719" i="12"/>
  <c r="C719" i="12"/>
  <c r="B720" i="12"/>
  <c r="C720" i="12"/>
  <c r="B721" i="12"/>
  <c r="C721" i="12"/>
  <c r="B722" i="12"/>
  <c r="C722" i="12"/>
  <c r="B723" i="12"/>
  <c r="C723" i="12"/>
  <c r="B724" i="12"/>
  <c r="C724" i="12"/>
  <c r="B725" i="12"/>
  <c r="C725" i="12"/>
  <c r="B726" i="12"/>
  <c r="C726" i="12"/>
  <c r="B727" i="12"/>
  <c r="C727" i="12"/>
  <c r="B728" i="12"/>
  <c r="C728" i="12"/>
  <c r="B729" i="12"/>
  <c r="C729" i="12"/>
  <c r="B730" i="12"/>
  <c r="C730" i="12"/>
  <c r="B731" i="12"/>
  <c r="C731" i="12"/>
  <c r="B732" i="12"/>
  <c r="C732" i="12"/>
  <c r="B733" i="12"/>
  <c r="C733" i="12"/>
  <c r="B734" i="12"/>
  <c r="C734" i="12"/>
  <c r="B735" i="12"/>
  <c r="C735" i="12"/>
  <c r="B736" i="12"/>
  <c r="C736" i="12"/>
  <c r="B737" i="12"/>
  <c r="C737" i="12"/>
  <c r="B738" i="12"/>
  <c r="C738" i="12"/>
  <c r="B739" i="12"/>
  <c r="C739" i="12"/>
  <c r="B740" i="12"/>
  <c r="C740" i="12"/>
  <c r="B741" i="12"/>
  <c r="C741" i="12"/>
  <c r="B742" i="12"/>
  <c r="C742" i="12"/>
  <c r="B743" i="12"/>
  <c r="C743" i="12"/>
  <c r="B744" i="12"/>
  <c r="C744" i="12"/>
  <c r="B745" i="12"/>
  <c r="C745" i="12"/>
  <c r="B746" i="12"/>
  <c r="C746" i="12"/>
  <c r="B747" i="12"/>
  <c r="C747" i="12"/>
  <c r="B748" i="12"/>
  <c r="C748" i="12"/>
  <c r="B749" i="12"/>
  <c r="C749" i="12"/>
  <c r="B750" i="12"/>
  <c r="C750" i="12"/>
  <c r="B751" i="12"/>
  <c r="C751" i="12"/>
  <c r="B752" i="12"/>
  <c r="C752" i="12"/>
  <c r="B753" i="12"/>
  <c r="C753" i="12"/>
  <c r="B754" i="12"/>
  <c r="C754" i="12"/>
  <c r="B755" i="12"/>
  <c r="C755" i="12"/>
  <c r="B756" i="12"/>
  <c r="C756" i="12"/>
  <c r="B757" i="12"/>
  <c r="C757" i="12"/>
  <c r="B758" i="12"/>
  <c r="C758" i="12"/>
  <c r="B759" i="12"/>
  <c r="C759" i="12"/>
  <c r="B760" i="12"/>
  <c r="C760" i="12"/>
  <c r="B761" i="12"/>
  <c r="C761" i="12"/>
  <c r="B762" i="12"/>
  <c r="C762" i="12"/>
  <c r="B763" i="12"/>
  <c r="C763" i="12"/>
  <c r="B764" i="12"/>
  <c r="C764" i="12"/>
  <c r="B765" i="12"/>
  <c r="C765" i="12"/>
  <c r="B766" i="12"/>
  <c r="C766" i="12"/>
  <c r="B767" i="12"/>
  <c r="C767" i="12"/>
  <c r="B768" i="12"/>
  <c r="C768" i="12"/>
  <c r="B769" i="12"/>
  <c r="C769" i="12"/>
  <c r="B770" i="12"/>
  <c r="C770" i="12"/>
  <c r="B771" i="12"/>
  <c r="C771" i="12"/>
  <c r="B772" i="12"/>
  <c r="C772" i="12"/>
  <c r="B773" i="12"/>
  <c r="C773" i="12"/>
  <c r="B774" i="12"/>
  <c r="C774" i="12"/>
  <c r="B775" i="12"/>
  <c r="C775" i="12"/>
  <c r="B776" i="12"/>
  <c r="C776" i="12"/>
  <c r="B777" i="12"/>
  <c r="C777" i="12"/>
  <c r="B778" i="12"/>
  <c r="C778" i="12"/>
  <c r="B779" i="12"/>
  <c r="C779" i="12"/>
  <c r="B780" i="12"/>
  <c r="C780" i="12"/>
  <c r="B781" i="12"/>
  <c r="C781" i="12"/>
  <c r="B782" i="12"/>
  <c r="C782" i="12"/>
  <c r="B783" i="12"/>
  <c r="C783" i="12"/>
  <c r="B784" i="12"/>
  <c r="C784" i="12"/>
  <c r="B785" i="12"/>
  <c r="C785" i="12"/>
  <c r="B786" i="12"/>
  <c r="C786" i="12"/>
  <c r="B787" i="12"/>
  <c r="C787" i="12"/>
  <c r="B788" i="12"/>
  <c r="C788" i="12"/>
  <c r="B789" i="12"/>
  <c r="C789" i="12"/>
  <c r="B790" i="12"/>
  <c r="C790" i="12"/>
  <c r="B791" i="12"/>
  <c r="C791" i="12"/>
  <c r="B792" i="12"/>
  <c r="C792" i="12"/>
  <c r="B793" i="12"/>
  <c r="C793" i="12"/>
  <c r="B794" i="12"/>
  <c r="C794" i="12"/>
  <c r="B795" i="12"/>
  <c r="C795" i="12"/>
  <c r="B796" i="12"/>
  <c r="C796" i="12"/>
  <c r="B797" i="12"/>
  <c r="C797" i="12"/>
  <c r="B798" i="12"/>
  <c r="C798" i="12"/>
  <c r="B799" i="12"/>
  <c r="C799" i="12"/>
  <c r="B800" i="12"/>
  <c r="C800" i="12"/>
  <c r="B801" i="12"/>
  <c r="C801" i="12"/>
  <c r="B802" i="12"/>
  <c r="C802" i="12"/>
  <c r="B803" i="12"/>
  <c r="C803" i="12"/>
  <c r="B804" i="12"/>
  <c r="C804" i="12"/>
  <c r="B805" i="12"/>
  <c r="C805" i="12"/>
  <c r="B806" i="12"/>
  <c r="C806" i="12"/>
  <c r="B807" i="12"/>
  <c r="C807" i="12"/>
  <c r="B808" i="12"/>
  <c r="C808" i="12"/>
  <c r="B809" i="12"/>
  <c r="C809" i="12"/>
  <c r="B810" i="12"/>
  <c r="C810" i="12"/>
  <c r="B811" i="12"/>
  <c r="C811" i="12"/>
  <c r="B812" i="12"/>
  <c r="C812" i="12"/>
  <c r="B813" i="12"/>
  <c r="C813" i="12"/>
  <c r="B814" i="12"/>
  <c r="C814" i="12"/>
  <c r="B815" i="12"/>
  <c r="C815" i="12"/>
  <c r="B816" i="12"/>
  <c r="C816" i="12"/>
  <c r="B817" i="12"/>
  <c r="C817" i="12"/>
  <c r="B818" i="12"/>
  <c r="C818" i="12"/>
  <c r="B819" i="12"/>
  <c r="C819" i="12"/>
  <c r="B820" i="12"/>
  <c r="C820" i="12"/>
  <c r="B821" i="12"/>
  <c r="C821" i="12"/>
  <c r="B822" i="12"/>
  <c r="C822" i="12"/>
  <c r="B823" i="12"/>
  <c r="C823" i="12"/>
  <c r="B824" i="12"/>
  <c r="C824" i="12"/>
  <c r="B825" i="12"/>
  <c r="C825" i="12"/>
  <c r="B826" i="12"/>
  <c r="C826" i="12"/>
  <c r="B827" i="12"/>
  <c r="C827" i="12"/>
  <c r="B828" i="12"/>
  <c r="C828" i="12"/>
  <c r="B829" i="12"/>
  <c r="C829" i="12"/>
  <c r="B830" i="12"/>
  <c r="C830" i="12"/>
  <c r="B831" i="12"/>
  <c r="C831" i="12"/>
  <c r="B832" i="12"/>
  <c r="C832" i="12"/>
  <c r="B833" i="12"/>
  <c r="C833" i="12"/>
  <c r="B834" i="12"/>
  <c r="C834" i="12"/>
  <c r="B835" i="12"/>
  <c r="C835" i="12"/>
  <c r="B836" i="12"/>
  <c r="C836" i="12"/>
  <c r="B837" i="12"/>
  <c r="C837" i="12"/>
  <c r="B838" i="12"/>
  <c r="C838" i="12"/>
  <c r="B839" i="12"/>
  <c r="C839" i="12"/>
  <c r="B840" i="12"/>
  <c r="C840" i="12"/>
  <c r="B841" i="12"/>
  <c r="C841" i="12"/>
  <c r="B842" i="12"/>
  <c r="C842" i="12"/>
  <c r="B843" i="12"/>
  <c r="C843" i="12"/>
  <c r="B844" i="12"/>
  <c r="C844" i="12"/>
  <c r="B845" i="12"/>
  <c r="C845" i="12"/>
  <c r="B846" i="12"/>
  <c r="C846" i="12"/>
  <c r="B847" i="12"/>
  <c r="C847" i="12"/>
  <c r="B848" i="12"/>
  <c r="C848" i="12"/>
  <c r="B849" i="12"/>
  <c r="C849" i="12"/>
  <c r="B850" i="12"/>
  <c r="C850" i="12"/>
  <c r="B851" i="12"/>
  <c r="C851" i="12"/>
  <c r="B852" i="12"/>
  <c r="C852" i="12"/>
  <c r="B853" i="12"/>
  <c r="C853" i="12"/>
  <c r="B854" i="12"/>
  <c r="C854" i="12"/>
  <c r="B855" i="12"/>
  <c r="C855" i="12"/>
  <c r="B856" i="12"/>
  <c r="C856" i="12"/>
  <c r="B857" i="12"/>
  <c r="C857" i="12"/>
  <c r="B858" i="12"/>
  <c r="C858" i="12"/>
  <c r="B859" i="12"/>
  <c r="C859" i="12"/>
  <c r="B860" i="12"/>
  <c r="C860" i="12"/>
  <c r="B861" i="12"/>
  <c r="C861" i="12"/>
  <c r="B862" i="12"/>
  <c r="C862" i="12"/>
  <c r="B863" i="12"/>
  <c r="C863" i="12"/>
  <c r="B864" i="12"/>
  <c r="C864" i="12"/>
  <c r="B865" i="12"/>
  <c r="C865" i="12"/>
  <c r="B866" i="12"/>
  <c r="C866" i="12"/>
  <c r="B867" i="12"/>
  <c r="C867" i="12"/>
  <c r="B868" i="12"/>
  <c r="C868" i="12"/>
  <c r="B869" i="12"/>
  <c r="C869" i="12"/>
  <c r="B870" i="12"/>
  <c r="C870" i="12"/>
  <c r="B871" i="12"/>
  <c r="C871" i="12"/>
  <c r="B872" i="12"/>
  <c r="C872" i="12"/>
  <c r="B873" i="12"/>
  <c r="C873" i="12"/>
  <c r="B874" i="12"/>
  <c r="C874" i="12"/>
  <c r="B875" i="12"/>
  <c r="C875" i="12"/>
  <c r="B876" i="12"/>
  <c r="C876" i="12"/>
  <c r="B877" i="12"/>
  <c r="C877" i="12"/>
  <c r="B878" i="12"/>
  <c r="C878" i="12"/>
  <c r="B879" i="12"/>
  <c r="C879" i="12"/>
  <c r="B880" i="12"/>
  <c r="C880" i="12"/>
  <c r="B881" i="12"/>
  <c r="C881" i="12"/>
  <c r="B882" i="12"/>
  <c r="C882" i="12"/>
  <c r="B883" i="12"/>
  <c r="C883" i="12"/>
  <c r="B884" i="12"/>
  <c r="C884" i="12"/>
  <c r="B885" i="12"/>
  <c r="C885" i="12"/>
  <c r="B886" i="12"/>
  <c r="C886" i="12"/>
  <c r="B887" i="12"/>
  <c r="C887" i="12"/>
  <c r="B888" i="12"/>
  <c r="C888" i="12"/>
  <c r="B889" i="12"/>
  <c r="C889" i="12"/>
  <c r="B890" i="12"/>
  <c r="C890" i="12"/>
  <c r="B891" i="12"/>
  <c r="C891" i="12"/>
  <c r="B892" i="12"/>
  <c r="C892" i="12"/>
  <c r="B893" i="12"/>
  <c r="C893" i="12"/>
  <c r="B894" i="12"/>
  <c r="C894" i="12"/>
  <c r="B895" i="12"/>
  <c r="C895" i="12"/>
  <c r="B896" i="12"/>
  <c r="C896" i="12"/>
  <c r="B897" i="12"/>
  <c r="C897" i="12"/>
  <c r="B898" i="12"/>
  <c r="C898" i="12"/>
  <c r="B899" i="12"/>
  <c r="C899" i="12"/>
  <c r="B900" i="12"/>
  <c r="C900" i="12"/>
  <c r="B901" i="12"/>
  <c r="C901" i="12"/>
  <c r="B902" i="12"/>
  <c r="C902" i="12"/>
  <c r="B903" i="12"/>
  <c r="C903" i="12"/>
  <c r="B904" i="12"/>
  <c r="C904" i="12"/>
  <c r="B905" i="12"/>
  <c r="C905" i="12"/>
  <c r="B906" i="12"/>
  <c r="C906" i="12"/>
  <c r="B907" i="12"/>
  <c r="C907" i="12"/>
  <c r="B908" i="12"/>
  <c r="C908" i="12"/>
  <c r="B909" i="12"/>
  <c r="C909" i="12"/>
  <c r="B910" i="12"/>
  <c r="C910" i="12"/>
  <c r="B911" i="12"/>
  <c r="C911" i="12"/>
  <c r="B912" i="12"/>
  <c r="C912" i="12"/>
  <c r="B913" i="12"/>
  <c r="C913" i="12"/>
  <c r="B914" i="12"/>
  <c r="C914" i="12"/>
  <c r="B915" i="12"/>
  <c r="C915" i="12"/>
  <c r="B916" i="12"/>
  <c r="C916" i="12"/>
  <c r="B917" i="12"/>
  <c r="C917" i="12"/>
  <c r="B918" i="12"/>
  <c r="C918" i="12"/>
  <c r="B919" i="12"/>
  <c r="C919" i="12"/>
  <c r="B920" i="12"/>
  <c r="C920" i="12"/>
  <c r="B921" i="12"/>
  <c r="C921" i="12"/>
  <c r="B922" i="12"/>
  <c r="C922" i="12"/>
  <c r="B923" i="12"/>
  <c r="C923" i="12"/>
  <c r="B924" i="12"/>
  <c r="C924" i="12"/>
  <c r="B925" i="12"/>
  <c r="C925" i="12"/>
  <c r="B926" i="12"/>
  <c r="C926" i="12"/>
  <c r="B927" i="12"/>
  <c r="C927" i="12"/>
  <c r="B928" i="12"/>
  <c r="C928" i="12"/>
  <c r="B929" i="12"/>
  <c r="C929" i="12"/>
  <c r="B930" i="12"/>
  <c r="C930" i="12"/>
  <c r="B931" i="12"/>
  <c r="C931" i="12"/>
  <c r="B932" i="12"/>
  <c r="C932" i="12"/>
  <c r="B933" i="12"/>
  <c r="C933" i="12"/>
  <c r="B934" i="12"/>
  <c r="C934" i="12"/>
  <c r="B935" i="12"/>
  <c r="C935" i="12"/>
  <c r="B936" i="12"/>
  <c r="C936" i="12"/>
  <c r="B937" i="12"/>
  <c r="C937" i="12"/>
  <c r="B938" i="12"/>
  <c r="C938" i="12"/>
  <c r="B939" i="12"/>
  <c r="C939" i="12"/>
  <c r="B940" i="12"/>
  <c r="C940" i="12"/>
  <c r="B941" i="12"/>
  <c r="C941" i="12"/>
  <c r="B942" i="12"/>
  <c r="C942" i="12"/>
  <c r="B943" i="12"/>
  <c r="C943" i="12"/>
  <c r="B944" i="12"/>
  <c r="C944" i="12"/>
  <c r="B945" i="12"/>
  <c r="C945" i="12"/>
  <c r="B946" i="12"/>
  <c r="C946" i="12"/>
  <c r="B947" i="12"/>
  <c r="C947" i="12"/>
  <c r="B948" i="12"/>
  <c r="C948" i="12"/>
  <c r="B949" i="12"/>
  <c r="C949" i="12"/>
  <c r="B950" i="12"/>
  <c r="C950" i="12"/>
  <c r="B951" i="12"/>
  <c r="C951" i="12"/>
  <c r="B952" i="12"/>
  <c r="C952" i="12"/>
  <c r="B953" i="12"/>
  <c r="C953" i="12"/>
  <c r="B954" i="12"/>
  <c r="C954" i="12"/>
  <c r="B955" i="12"/>
  <c r="C955" i="12"/>
  <c r="B956" i="12"/>
  <c r="C956" i="12"/>
  <c r="B957" i="12"/>
  <c r="C957" i="12"/>
  <c r="B958" i="12"/>
  <c r="C958" i="12"/>
  <c r="B959" i="12"/>
  <c r="C959" i="12"/>
  <c r="B960" i="12"/>
  <c r="C960" i="12"/>
  <c r="B961" i="12"/>
  <c r="C961" i="12"/>
  <c r="B962" i="12"/>
  <c r="C962" i="12"/>
  <c r="B963" i="12"/>
  <c r="C963" i="12"/>
  <c r="B964" i="12"/>
  <c r="C964" i="12"/>
  <c r="B965" i="12"/>
  <c r="C965" i="12"/>
  <c r="B966" i="12"/>
  <c r="C966" i="12"/>
  <c r="B967" i="12"/>
  <c r="C967" i="12"/>
  <c r="B968" i="12"/>
  <c r="C968" i="12"/>
  <c r="B969" i="12"/>
  <c r="C969" i="12"/>
  <c r="B970" i="12"/>
  <c r="C970" i="12"/>
  <c r="B971" i="12"/>
  <c r="C971" i="12"/>
  <c r="B972" i="12"/>
  <c r="C972" i="12"/>
  <c r="B973" i="12"/>
  <c r="C973" i="12"/>
  <c r="B974" i="12"/>
  <c r="C974" i="12"/>
  <c r="B975" i="12"/>
  <c r="C975" i="12"/>
  <c r="B976" i="12"/>
  <c r="C976" i="12"/>
  <c r="B977" i="12"/>
  <c r="C977" i="12"/>
  <c r="B978" i="12"/>
  <c r="C978" i="12"/>
  <c r="B979" i="12"/>
  <c r="C979" i="12"/>
  <c r="B980" i="12"/>
  <c r="C980" i="12"/>
  <c r="B981" i="12"/>
  <c r="C981" i="12"/>
  <c r="B982" i="12"/>
  <c r="C982" i="12"/>
  <c r="B983" i="12"/>
  <c r="C983" i="12"/>
  <c r="B984" i="12"/>
  <c r="C984" i="12"/>
  <c r="B985" i="12"/>
  <c r="C985" i="12"/>
  <c r="B986" i="12"/>
  <c r="C986" i="12"/>
  <c r="B987" i="12"/>
  <c r="C987" i="12"/>
  <c r="B988" i="12"/>
  <c r="C988" i="12"/>
  <c r="B989" i="12"/>
  <c r="C989" i="12"/>
  <c r="B990" i="12"/>
  <c r="C990" i="12"/>
  <c r="B991" i="12"/>
  <c r="C991" i="12"/>
  <c r="B992" i="12"/>
  <c r="C992" i="12"/>
  <c r="B993" i="12"/>
  <c r="C993" i="12"/>
  <c r="B994" i="12"/>
  <c r="C994" i="12"/>
  <c r="B995" i="12"/>
  <c r="C995" i="12"/>
  <c r="B996" i="12"/>
  <c r="C996" i="12"/>
  <c r="B997" i="12"/>
  <c r="C997" i="12"/>
  <c r="B998" i="12"/>
  <c r="C998" i="12"/>
  <c r="B999" i="12"/>
  <c r="C999" i="12"/>
  <c r="B1000" i="12"/>
  <c r="C1000"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5" i="12"/>
  <c r="C144" i="20"/>
  <c r="D5" i="15"/>
  <c r="C145" i="20"/>
  <c r="D6" i="15"/>
  <c r="C146" i="20"/>
  <c r="D7" i="15"/>
  <c r="C147" i="20"/>
  <c r="D8" i="15"/>
  <c r="C148" i="20"/>
  <c r="D9" i="15"/>
  <c r="C149" i="20"/>
  <c r="D10" i="15"/>
  <c r="C150" i="20"/>
  <c r="D11" i="15"/>
  <c r="C151" i="20"/>
  <c r="D12" i="15"/>
  <c r="C152" i="20"/>
  <c r="D13" i="15"/>
  <c r="C153" i="20"/>
  <c r="D14" i="15"/>
  <c r="C154" i="20"/>
  <c r="D15" i="15"/>
  <c r="C155" i="20"/>
  <c r="D16" i="15"/>
  <c r="C156" i="20"/>
  <c r="D17" i="15"/>
  <c r="C157" i="20"/>
  <c r="D18" i="15"/>
  <c r="C158" i="20"/>
  <c r="D19" i="15"/>
  <c r="C159" i="20"/>
  <c r="D20" i="15"/>
  <c r="C160" i="20"/>
  <c r="D21" i="15"/>
  <c r="C161" i="20"/>
  <c r="D22" i="15"/>
  <c r="C162" i="20"/>
  <c r="D23" i="15"/>
  <c r="C163" i="20"/>
  <c r="D24" i="15"/>
  <c r="C164" i="20"/>
  <c r="D25" i="15"/>
  <c r="C165" i="20"/>
  <c r="D26" i="15"/>
  <c r="C166" i="20"/>
  <c r="D27" i="15"/>
  <c r="C167" i="20"/>
  <c r="D28" i="15"/>
  <c r="C168" i="20"/>
  <c r="D29" i="15"/>
  <c r="C169" i="20"/>
  <c r="D30" i="15"/>
  <c r="C170" i="20"/>
  <c r="D31" i="15"/>
  <c r="C171" i="20"/>
  <c r="D32" i="15"/>
  <c r="C172" i="20"/>
  <c r="D33" i="15"/>
  <c r="C173" i="20"/>
  <c r="D34" i="15"/>
  <c r="C174" i="20"/>
  <c r="D35" i="15"/>
  <c r="C175" i="20"/>
  <c r="D36" i="15"/>
  <c r="C176" i="20"/>
  <c r="D37" i="15"/>
  <c r="C177" i="20"/>
  <c r="D38" i="15"/>
  <c r="C178" i="20"/>
  <c r="D39" i="15"/>
  <c r="C179" i="20"/>
  <c r="D40" i="15"/>
  <c r="C180" i="20"/>
  <c r="D41" i="15"/>
  <c r="C181" i="20"/>
  <c r="D42" i="15"/>
  <c r="C182" i="20"/>
  <c r="D43" i="15"/>
  <c r="C183" i="20"/>
  <c r="D44" i="15"/>
  <c r="C184" i="20"/>
  <c r="D45" i="15"/>
  <c r="C185" i="20"/>
  <c r="D46" i="15"/>
  <c r="C186" i="20"/>
  <c r="D47" i="15"/>
  <c r="C187" i="20"/>
  <c r="D48" i="15"/>
  <c r="C188" i="20"/>
  <c r="D49" i="15"/>
  <c r="C189" i="20"/>
  <c r="D50" i="15"/>
  <c r="C190" i="20"/>
  <c r="D51" i="15"/>
  <c r="C191" i="20"/>
  <c r="D52" i="15"/>
  <c r="C192" i="20"/>
  <c r="D53" i="15"/>
  <c r="C193" i="20"/>
  <c r="D54" i="15"/>
  <c r="C194" i="20"/>
  <c r="D55" i="15"/>
  <c r="C195" i="20"/>
  <c r="D56" i="15"/>
  <c r="C196" i="20"/>
  <c r="D57" i="15"/>
  <c r="C197" i="20"/>
  <c r="D58" i="15"/>
  <c r="C198" i="20"/>
  <c r="D59" i="15"/>
  <c r="C199" i="20"/>
  <c r="D60" i="15"/>
  <c r="C200" i="20"/>
  <c r="D61" i="15"/>
  <c r="C201" i="20"/>
  <c r="D62" i="15"/>
  <c r="C202" i="20"/>
  <c r="D63" i="15"/>
  <c r="C203" i="20"/>
  <c r="D64" i="15"/>
  <c r="C204" i="20"/>
  <c r="D65" i="15"/>
  <c r="C205" i="20"/>
  <c r="D66" i="15"/>
  <c r="C206" i="20"/>
  <c r="D67" i="15"/>
  <c r="C207" i="20"/>
  <c r="D68" i="15"/>
  <c r="C208" i="20"/>
  <c r="D69" i="15"/>
  <c r="C209" i="20"/>
  <c r="D70" i="15"/>
  <c r="C210" i="20"/>
  <c r="D71" i="15"/>
  <c r="C211" i="20"/>
  <c r="D72" i="15"/>
  <c r="C212" i="20"/>
  <c r="D73" i="15"/>
  <c r="C213" i="20"/>
  <c r="D74" i="15"/>
  <c r="C214" i="20"/>
  <c r="D75" i="15"/>
  <c r="C215" i="20"/>
  <c r="D76" i="15"/>
  <c r="C216" i="20"/>
  <c r="D77" i="15"/>
  <c r="C217" i="20"/>
  <c r="D78" i="15"/>
  <c r="C218" i="20"/>
  <c r="D79" i="15"/>
  <c r="C219" i="20"/>
  <c r="D80" i="15"/>
  <c r="C220" i="20"/>
  <c r="D81" i="15"/>
  <c r="C221" i="20"/>
  <c r="D82" i="15"/>
  <c r="C222" i="20"/>
  <c r="D83" i="15"/>
  <c r="C223" i="20"/>
  <c r="D84" i="15"/>
  <c r="C224" i="20"/>
  <c r="D85" i="15"/>
  <c r="C225" i="20"/>
  <c r="D86" i="15"/>
  <c r="C226" i="20"/>
  <c r="D87" i="15"/>
  <c r="C227" i="20"/>
  <c r="D88" i="15"/>
  <c r="C228" i="20"/>
  <c r="D89" i="15"/>
  <c r="C229" i="20"/>
  <c r="D90" i="15"/>
  <c r="C230" i="20"/>
  <c r="D91" i="15"/>
  <c r="C231" i="20"/>
  <c r="D92" i="15"/>
  <c r="C232" i="20"/>
  <c r="D93" i="15"/>
  <c r="C233" i="20"/>
  <c r="D94" i="15"/>
  <c r="C234" i="20"/>
  <c r="D95" i="15"/>
  <c r="C235" i="20"/>
  <c r="D96" i="15"/>
  <c r="C236" i="20"/>
  <c r="D97" i="15"/>
  <c r="C237" i="20"/>
  <c r="D98" i="15"/>
  <c r="C238" i="20"/>
  <c r="D99" i="15"/>
  <c r="C239" i="20"/>
  <c r="D100" i="15"/>
  <c r="C240" i="20"/>
  <c r="D101" i="15"/>
  <c r="C241" i="20"/>
  <c r="D102" i="15"/>
  <c r="C242" i="20"/>
  <c r="D103" i="15"/>
  <c r="C243" i="20"/>
  <c r="D104" i="15"/>
  <c r="C244" i="20"/>
  <c r="D105" i="15"/>
  <c r="C245" i="20"/>
  <c r="D106" i="15"/>
  <c r="C246" i="20"/>
  <c r="D107" i="15"/>
  <c r="C247" i="20"/>
  <c r="D108" i="15"/>
  <c r="C248" i="20"/>
  <c r="D109" i="15"/>
  <c r="C249" i="20"/>
  <c r="D110" i="15"/>
  <c r="C250" i="20"/>
  <c r="D111" i="15"/>
  <c r="C251" i="20"/>
  <c r="D112" i="15"/>
  <c r="C252" i="20"/>
  <c r="D113" i="15"/>
  <c r="C253" i="20"/>
  <c r="D114" i="15"/>
  <c r="C254" i="20"/>
  <c r="D115" i="15"/>
  <c r="C255" i="20"/>
  <c r="D116" i="15"/>
  <c r="C256" i="20"/>
  <c r="D117" i="15"/>
  <c r="C257" i="20"/>
  <c r="D118" i="15"/>
  <c r="C258" i="20"/>
  <c r="D119" i="15"/>
  <c r="C259" i="20"/>
  <c r="D120" i="15"/>
  <c r="C260" i="20"/>
  <c r="D121" i="15"/>
  <c r="C261" i="20"/>
  <c r="D122" i="15"/>
  <c r="C262" i="20"/>
  <c r="D123" i="15"/>
  <c r="C263" i="20"/>
  <c r="D124" i="15"/>
  <c r="C264" i="20"/>
  <c r="D125" i="15"/>
  <c r="C265" i="20"/>
  <c r="D126" i="15"/>
  <c r="C266" i="20"/>
  <c r="D127" i="15"/>
  <c r="C267" i="20"/>
  <c r="D128" i="15"/>
  <c r="C268" i="20"/>
  <c r="D129" i="15"/>
  <c r="C269" i="20"/>
  <c r="D130" i="15"/>
  <c r="C270" i="20"/>
  <c r="D131" i="15"/>
  <c r="C271" i="20"/>
  <c r="D132" i="15"/>
  <c r="C272" i="20"/>
  <c r="D133" i="15"/>
  <c r="C273" i="20"/>
  <c r="D134" i="15"/>
  <c r="C274" i="20"/>
  <c r="D135" i="15"/>
  <c r="C275" i="20"/>
  <c r="D136" i="15"/>
  <c r="C276" i="20"/>
  <c r="D137" i="15"/>
  <c r="C277" i="20"/>
  <c r="D138" i="15"/>
  <c r="C278" i="20"/>
  <c r="D139" i="15"/>
  <c r="C279" i="20"/>
  <c r="D140" i="15"/>
  <c r="C280" i="20"/>
  <c r="D141" i="15"/>
  <c r="C281" i="20"/>
  <c r="D142" i="15"/>
  <c r="C282" i="20"/>
  <c r="D143" i="15"/>
  <c r="C283" i="20"/>
  <c r="D144" i="15"/>
  <c r="C284" i="20"/>
  <c r="D145" i="15"/>
  <c r="C285" i="20"/>
  <c r="D146" i="15"/>
  <c r="C286" i="20"/>
  <c r="D147" i="15"/>
  <c r="C287" i="20"/>
  <c r="D148" i="15"/>
  <c r="C288" i="20"/>
  <c r="D149" i="15"/>
  <c r="C289" i="20"/>
  <c r="D150" i="15"/>
  <c r="C290" i="20"/>
  <c r="D151" i="15"/>
  <c r="C291" i="20"/>
  <c r="D152" i="15"/>
  <c r="C292" i="20"/>
  <c r="D153" i="15"/>
  <c r="C293" i="20"/>
  <c r="D154" i="15"/>
  <c r="C294" i="20"/>
  <c r="D155" i="15"/>
  <c r="C295" i="20"/>
  <c r="D156" i="15"/>
  <c r="C296" i="20"/>
  <c r="D157" i="15"/>
  <c r="C297" i="20"/>
  <c r="D158" i="15"/>
  <c r="C298" i="20"/>
  <c r="D159" i="15"/>
  <c r="C299" i="20"/>
  <c r="D160" i="15"/>
  <c r="C300" i="20"/>
  <c r="D161" i="15"/>
  <c r="C301" i="20"/>
  <c r="D162" i="15"/>
  <c r="C302" i="20"/>
  <c r="D163" i="15"/>
  <c r="C303" i="20"/>
  <c r="D164" i="15"/>
  <c r="C304" i="20"/>
  <c r="D165" i="15"/>
  <c r="C305" i="20"/>
  <c r="D166" i="15"/>
  <c r="C306" i="20"/>
  <c r="D167" i="15"/>
  <c r="C307" i="20"/>
  <c r="D168" i="15"/>
  <c r="C308" i="20"/>
  <c r="D169" i="15"/>
  <c r="C309" i="20"/>
  <c r="D170" i="15"/>
  <c r="C310" i="20"/>
  <c r="D171" i="15"/>
  <c r="C311" i="20"/>
  <c r="D172" i="15"/>
  <c r="C312" i="20"/>
  <c r="D173" i="15"/>
  <c r="C313" i="20"/>
  <c r="D174" i="15"/>
  <c r="C314" i="20"/>
  <c r="D175" i="15"/>
  <c r="C315" i="20"/>
  <c r="D176" i="15"/>
  <c r="C316" i="20"/>
  <c r="D177" i="15"/>
  <c r="C317" i="20"/>
  <c r="D178" i="15"/>
  <c r="C318" i="20"/>
  <c r="D179" i="15"/>
  <c r="C319" i="20"/>
  <c r="D180" i="15"/>
  <c r="C320" i="20"/>
  <c r="D181" i="15"/>
  <c r="C321" i="20"/>
  <c r="D182" i="15"/>
  <c r="C322" i="20"/>
  <c r="D183" i="15"/>
  <c r="C323" i="20"/>
  <c r="D184" i="15"/>
  <c r="C324" i="20"/>
  <c r="D185" i="15"/>
  <c r="C325" i="20"/>
  <c r="D186" i="15"/>
  <c r="C326" i="20"/>
  <c r="D187" i="15"/>
  <c r="C327" i="20"/>
  <c r="D188" i="15"/>
  <c r="C328" i="20"/>
  <c r="D189" i="15"/>
  <c r="C329" i="20"/>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B1"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5" i="15"/>
  <c r="C330" i="20"/>
  <c r="D5" i="16"/>
  <c r="C331" i="20"/>
  <c r="D6" i="16"/>
  <c r="C332" i="20"/>
  <c r="D7" i="16"/>
  <c r="C333" i="20"/>
  <c r="D8" i="16"/>
  <c r="C334" i="20"/>
  <c r="D9" i="16"/>
  <c r="C335" i="20"/>
  <c r="D10" i="16"/>
  <c r="C336" i="20"/>
  <c r="D11" i="16"/>
  <c r="C337" i="20"/>
  <c r="D12" i="16"/>
  <c r="C338" i="20"/>
  <c r="D13" i="16"/>
  <c r="C339" i="20"/>
  <c r="D14" i="16"/>
  <c r="C340" i="20"/>
  <c r="D15" i="16"/>
  <c r="C341" i="20"/>
  <c r="D16" i="16"/>
  <c r="C342" i="20"/>
  <c r="D17" i="16"/>
  <c r="C343" i="20"/>
  <c r="D18" i="16"/>
  <c r="C344" i="20"/>
  <c r="D19" i="16"/>
  <c r="C345" i="20"/>
  <c r="D20" i="16"/>
  <c r="C346" i="20"/>
  <c r="D21" i="16"/>
  <c r="C347" i="20"/>
  <c r="D22" i="16"/>
  <c r="C348" i="20"/>
  <c r="D23" i="16"/>
  <c r="C349" i="20"/>
  <c r="D24" i="16"/>
  <c r="C350" i="20"/>
  <c r="D25" i="16"/>
  <c r="C351" i="20"/>
  <c r="D26" i="16"/>
  <c r="C352" i="20"/>
  <c r="D27" i="16"/>
  <c r="C353" i="20"/>
  <c r="D28" i="16"/>
  <c r="C354" i="20"/>
  <c r="D29" i="16"/>
  <c r="C355" i="20"/>
  <c r="D30" i="16"/>
  <c r="C356" i="20"/>
  <c r="D31" i="16"/>
  <c r="C357" i="20"/>
  <c r="D32" i="16"/>
  <c r="C358" i="20"/>
  <c r="D33" i="16"/>
  <c r="C359" i="20"/>
  <c r="D34" i="16"/>
  <c r="C360" i="20"/>
  <c r="D35" i="16"/>
  <c r="C361" i="20"/>
  <c r="D36" i="16"/>
  <c r="C362" i="20"/>
  <c r="D37" i="16"/>
  <c r="C363" i="20"/>
  <c r="D38" i="16"/>
  <c r="C364" i="20"/>
  <c r="D39" i="16"/>
  <c r="C365" i="20"/>
  <c r="D40" i="16"/>
  <c r="C366" i="20"/>
  <c r="D41" i="16"/>
  <c r="C367" i="20"/>
  <c r="D42" i="16"/>
  <c r="C368" i="20"/>
  <c r="D43" i="16"/>
  <c r="C369" i="20"/>
  <c r="D44" i="16"/>
  <c r="C370" i="20"/>
  <c r="D45" i="16"/>
  <c r="C371" i="20"/>
  <c r="D46" i="16"/>
  <c r="C372" i="20"/>
  <c r="D47" i="16"/>
  <c r="C373" i="20"/>
  <c r="D48" i="16"/>
  <c r="C374" i="20"/>
  <c r="D49" i="16"/>
  <c r="C375" i="20"/>
  <c r="D50" i="16"/>
  <c r="C376" i="20"/>
  <c r="D51" i="16"/>
  <c r="C377" i="20"/>
  <c r="D52" i="16"/>
  <c r="C378" i="20"/>
  <c r="D53" i="16"/>
  <c r="C379" i="20"/>
  <c r="D54" i="16"/>
  <c r="C380" i="20"/>
  <c r="D55" i="16"/>
  <c r="C381" i="20"/>
  <c r="D56" i="16"/>
  <c r="C382" i="20"/>
  <c r="D57" i="16"/>
  <c r="C383" i="20"/>
  <c r="D58" i="16"/>
  <c r="C384" i="20"/>
  <c r="D59" i="16"/>
  <c r="C385" i="20"/>
  <c r="D60" i="16"/>
  <c r="C386" i="20"/>
  <c r="D61" i="16"/>
  <c r="C387" i="20"/>
  <c r="D62" i="16"/>
  <c r="C388" i="20"/>
  <c r="D63" i="16"/>
  <c r="C389" i="20"/>
  <c r="D64" i="16"/>
  <c r="C390" i="20"/>
  <c r="D65" i="16"/>
  <c r="C391" i="20"/>
  <c r="D66" i="16"/>
  <c r="C392" i="20"/>
  <c r="D67" i="16"/>
  <c r="C393" i="20"/>
  <c r="D68" i="16"/>
  <c r="C394" i="20"/>
  <c r="D69" i="16"/>
  <c r="C395" i="20"/>
  <c r="D70" i="16"/>
  <c r="C396" i="20"/>
  <c r="D71" i="16"/>
  <c r="C397" i="20"/>
  <c r="D72" i="16"/>
  <c r="C398" i="20"/>
  <c r="D73" i="16"/>
  <c r="C399" i="20"/>
  <c r="D74" i="16"/>
  <c r="C400" i="20"/>
  <c r="D75" i="16"/>
  <c r="C401" i="20"/>
  <c r="D76" i="16"/>
  <c r="C402" i="20"/>
  <c r="D77" i="16"/>
  <c r="C403" i="20"/>
  <c r="D78" i="16"/>
  <c r="C404" i="20"/>
  <c r="D79" i="16"/>
  <c r="C405" i="20"/>
  <c r="D80" i="16"/>
  <c r="C406" i="20"/>
  <c r="D81" i="16"/>
  <c r="C407" i="20"/>
  <c r="D82" i="16"/>
  <c r="C408" i="20"/>
  <c r="D83" i="16"/>
  <c r="C409" i="20"/>
  <c r="D84" i="16"/>
  <c r="C410" i="20"/>
  <c r="D85" i="16"/>
  <c r="C411" i="20"/>
  <c r="D86" i="16"/>
  <c r="C412" i="20"/>
  <c r="D87" i="16"/>
  <c r="C413" i="20"/>
  <c r="D88" i="16"/>
  <c r="C414" i="20"/>
  <c r="D89" i="16"/>
  <c r="C415" i="20"/>
  <c r="D90" i="16"/>
  <c r="C416" i="20"/>
  <c r="D91" i="16"/>
  <c r="C417" i="20"/>
  <c r="D92" i="16"/>
  <c r="C418" i="20"/>
  <c r="D93" i="16"/>
  <c r="C419" i="20"/>
  <c r="D94" i="16"/>
  <c r="C420" i="20"/>
  <c r="D95" i="16"/>
  <c r="C421" i="20"/>
  <c r="D96" i="16"/>
  <c r="C422" i="20"/>
  <c r="D97" i="16"/>
  <c r="C423" i="20"/>
  <c r="D98" i="16"/>
  <c r="C424" i="20"/>
  <c r="D99" i="16"/>
  <c r="C425" i="20"/>
  <c r="D100" i="16"/>
  <c r="C426" i="20"/>
  <c r="D101" i="16"/>
  <c r="C427" i="20"/>
  <c r="D102" i="16"/>
  <c r="C428" i="20"/>
  <c r="D103" i="16"/>
  <c r="C429" i="20"/>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B1"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5" i="16"/>
  <c r="C430" i="20"/>
  <c r="D5" i="18"/>
  <c r="C431" i="20"/>
  <c r="D6" i="18"/>
  <c r="C432" i="20"/>
  <c r="D7" i="18"/>
  <c r="C433" i="20"/>
  <c r="D8" i="18"/>
  <c r="C434" i="20"/>
  <c r="D9" i="18"/>
  <c r="C435" i="20"/>
  <c r="D10" i="18"/>
  <c r="C436" i="20"/>
  <c r="D11" i="18"/>
  <c r="C437" i="20"/>
  <c r="D12" i="18"/>
  <c r="C438" i="20"/>
  <c r="D13" i="18"/>
  <c r="C439" i="20"/>
  <c r="D14" i="18"/>
  <c r="C440" i="20"/>
  <c r="D15" i="18"/>
  <c r="C441" i="20"/>
  <c r="D16" i="18"/>
  <c r="C442" i="20"/>
  <c r="D17" i="18"/>
  <c r="C443" i="20"/>
  <c r="D18" i="18"/>
  <c r="C444" i="20"/>
  <c r="D19" i="18"/>
  <c r="C445" i="20"/>
  <c r="D20" i="18"/>
  <c r="C446" i="20"/>
  <c r="D21" i="18"/>
  <c r="C447" i="20"/>
  <c r="D22" i="18"/>
  <c r="C448" i="20"/>
  <c r="D23" i="18"/>
  <c r="C449" i="20"/>
  <c r="D24" i="18"/>
  <c r="C450" i="20"/>
  <c r="D25" i="18"/>
  <c r="C451" i="20"/>
  <c r="D26" i="18"/>
  <c r="C452" i="20"/>
  <c r="D27" i="18"/>
  <c r="C453" i="20"/>
  <c r="D28" i="18"/>
  <c r="C454" i="20"/>
  <c r="D29" i="18"/>
  <c r="C455" i="20"/>
  <c r="D30" i="18"/>
  <c r="C456" i="20"/>
  <c r="D31" i="18"/>
  <c r="C457" i="20"/>
  <c r="D32" i="18"/>
  <c r="C458" i="20"/>
  <c r="D33" i="18"/>
  <c r="C459" i="20"/>
  <c r="D34" i="18"/>
  <c r="C460" i="20"/>
  <c r="D35" i="18"/>
  <c r="C461" i="20"/>
  <c r="D36" i="18"/>
  <c r="C462" i="20"/>
  <c r="D37" i="18"/>
  <c r="C463" i="20"/>
  <c r="D38" i="18"/>
  <c r="C464" i="20"/>
  <c r="D39" i="18"/>
  <c r="C465" i="20"/>
  <c r="D40" i="18"/>
  <c r="C466" i="20"/>
  <c r="D41" i="18"/>
  <c r="C467" i="20"/>
  <c r="D42" i="18"/>
  <c r="C468" i="20"/>
  <c r="D43" i="18"/>
  <c r="C469" i="20"/>
  <c r="D44" i="18"/>
  <c r="C470" i="20"/>
  <c r="D45" i="18"/>
  <c r="C471" i="20"/>
  <c r="D46" i="18"/>
  <c r="C472" i="20"/>
  <c r="D47" i="18"/>
  <c r="C473" i="20"/>
  <c r="D48" i="18"/>
  <c r="C474" i="20"/>
  <c r="D49" i="18"/>
  <c r="C475" i="20"/>
  <c r="D50" i="18"/>
  <c r="C476" i="20"/>
  <c r="D51" i="18"/>
  <c r="C477" i="20"/>
  <c r="D52" i="18"/>
  <c r="C478" i="20"/>
  <c r="D53" i="18"/>
  <c r="C479" i="20"/>
  <c r="D54" i="18"/>
  <c r="C480" i="20"/>
  <c r="D55" i="18"/>
  <c r="C481" i="20"/>
  <c r="D56" i="18"/>
  <c r="C482" i="20"/>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D277" i="18"/>
  <c r="D278" i="18"/>
  <c r="D279" i="18"/>
  <c r="D280" i="18"/>
  <c r="D281" i="18"/>
  <c r="D282" i="18"/>
  <c r="D283" i="18"/>
  <c r="D284" i="18"/>
  <c r="D285" i="18"/>
  <c r="D286" i="18"/>
  <c r="D287" i="18"/>
  <c r="D288" i="18"/>
  <c r="D289" i="18"/>
  <c r="D290" i="18"/>
  <c r="D291" i="18"/>
  <c r="D292" i="18"/>
  <c r="D293" i="18"/>
  <c r="D294" i="18"/>
  <c r="D295" i="18"/>
  <c r="D296" i="18"/>
  <c r="D297" i="18"/>
  <c r="D298" i="18"/>
  <c r="D299" i="18"/>
  <c r="D300" i="18"/>
  <c r="D301" i="18"/>
  <c r="D302" i="18"/>
  <c r="D303" i="18"/>
  <c r="D304" i="18"/>
  <c r="D305" i="18"/>
  <c r="D306" i="18"/>
  <c r="D307" i="18"/>
  <c r="D308" i="18"/>
  <c r="D309" i="18"/>
  <c r="D310" i="18"/>
  <c r="D311" i="18"/>
  <c r="D312" i="18"/>
  <c r="D313" i="18"/>
  <c r="D314" i="18"/>
  <c r="D315" i="18"/>
  <c r="D316" i="18"/>
  <c r="D317" i="18"/>
  <c r="D318" i="18"/>
  <c r="D319" i="18"/>
  <c r="D320" i="18"/>
  <c r="D321" i="18"/>
  <c r="D322" i="18"/>
  <c r="D323" i="18"/>
  <c r="D324" i="18"/>
  <c r="D325" i="18"/>
  <c r="D326" i="18"/>
  <c r="D327" i="18"/>
  <c r="D328" i="18"/>
  <c r="D329" i="18"/>
  <c r="D330" i="18"/>
  <c r="D331" i="18"/>
  <c r="D332" i="18"/>
  <c r="D333" i="18"/>
  <c r="D334" i="18"/>
  <c r="D335" i="18"/>
  <c r="D336" i="18"/>
  <c r="D337" i="18"/>
  <c r="D338" i="18"/>
  <c r="D339" i="18"/>
  <c r="D340" i="18"/>
  <c r="D341" i="18"/>
  <c r="D342" i="18"/>
  <c r="D343" i="18"/>
  <c r="D344" i="18"/>
  <c r="D345" i="18"/>
  <c r="D346" i="18"/>
  <c r="D347" i="18"/>
  <c r="D348" i="18"/>
  <c r="D349" i="18"/>
  <c r="D350" i="18"/>
  <c r="D351" i="18"/>
  <c r="D352" i="18"/>
  <c r="D353" i="18"/>
  <c r="D354" i="18"/>
  <c r="D355" i="18"/>
  <c r="D356" i="18"/>
  <c r="D357" i="18"/>
  <c r="D358" i="18"/>
  <c r="D359" i="18"/>
  <c r="D360" i="18"/>
  <c r="D361" i="18"/>
  <c r="D362" i="18"/>
  <c r="D363" i="18"/>
  <c r="D364" i="18"/>
  <c r="D365" i="18"/>
  <c r="D366" i="18"/>
  <c r="D367" i="18"/>
  <c r="D368" i="18"/>
  <c r="D369" i="18"/>
  <c r="D370" i="18"/>
  <c r="D371" i="18"/>
  <c r="D372" i="18"/>
  <c r="D373" i="18"/>
  <c r="D374" i="18"/>
  <c r="D375" i="18"/>
  <c r="D376" i="18"/>
  <c r="D377" i="18"/>
  <c r="D378" i="18"/>
  <c r="D379" i="18"/>
  <c r="D380" i="18"/>
  <c r="D381" i="18"/>
  <c r="D382" i="18"/>
  <c r="D383" i="18"/>
  <c r="D384" i="18"/>
  <c r="D385" i="18"/>
  <c r="D386" i="18"/>
  <c r="D387" i="18"/>
  <c r="D388" i="18"/>
  <c r="D389" i="18"/>
  <c r="D390" i="18"/>
  <c r="D391" i="18"/>
  <c r="D392" i="18"/>
  <c r="D393" i="18"/>
  <c r="D394" i="18"/>
  <c r="D395" i="18"/>
  <c r="D396" i="18"/>
  <c r="D397" i="18"/>
  <c r="D398" i="18"/>
  <c r="D399" i="18"/>
  <c r="D400" i="18"/>
  <c r="D401" i="18"/>
  <c r="D402" i="18"/>
  <c r="D403" i="18"/>
  <c r="D404" i="18"/>
  <c r="D405" i="18"/>
  <c r="D406" i="18"/>
  <c r="D407" i="18"/>
  <c r="D408" i="18"/>
  <c r="D409" i="18"/>
  <c r="D410" i="18"/>
  <c r="D411" i="18"/>
  <c r="D412" i="18"/>
  <c r="D413" i="18"/>
  <c r="D414" i="18"/>
  <c r="D415" i="18"/>
  <c r="D416" i="18"/>
  <c r="D417" i="18"/>
  <c r="D418" i="18"/>
  <c r="D419" i="18"/>
  <c r="D420" i="18"/>
  <c r="D421" i="18"/>
  <c r="D422" i="18"/>
  <c r="D423" i="18"/>
  <c r="D424" i="18"/>
  <c r="D425" i="18"/>
  <c r="D426" i="18"/>
  <c r="D427" i="18"/>
  <c r="D428" i="18"/>
  <c r="D429" i="18"/>
  <c r="D430" i="18"/>
  <c r="D431" i="18"/>
  <c r="D432" i="18"/>
  <c r="D433" i="18"/>
  <c r="D434" i="18"/>
  <c r="D435" i="18"/>
  <c r="D436" i="18"/>
  <c r="D437" i="18"/>
  <c r="D438" i="18"/>
  <c r="D439" i="18"/>
  <c r="D440" i="18"/>
  <c r="D441" i="18"/>
  <c r="D442" i="18"/>
  <c r="D443" i="18"/>
  <c r="D444" i="18"/>
  <c r="D445" i="18"/>
  <c r="D446" i="18"/>
  <c r="D447" i="18"/>
  <c r="D448" i="18"/>
  <c r="D449" i="18"/>
  <c r="D450" i="18"/>
  <c r="D451" i="18"/>
  <c r="D452" i="18"/>
  <c r="D453" i="18"/>
  <c r="D454" i="18"/>
  <c r="D455" i="18"/>
  <c r="D456" i="18"/>
  <c r="D457" i="18"/>
  <c r="D458" i="18"/>
  <c r="D459" i="18"/>
  <c r="D460" i="18"/>
  <c r="D461" i="18"/>
  <c r="D462" i="18"/>
  <c r="D463" i="18"/>
  <c r="D464" i="18"/>
  <c r="D465" i="18"/>
  <c r="D466" i="18"/>
  <c r="D467" i="18"/>
  <c r="D468" i="18"/>
  <c r="D469" i="18"/>
  <c r="D470" i="18"/>
  <c r="D471" i="18"/>
  <c r="D472" i="18"/>
  <c r="D473" i="18"/>
  <c r="D474" i="18"/>
  <c r="D475" i="18"/>
  <c r="D476" i="18"/>
  <c r="D477" i="18"/>
  <c r="D478" i="18"/>
  <c r="D479" i="18"/>
  <c r="D480" i="18"/>
  <c r="D481" i="18"/>
  <c r="D482" i="18"/>
  <c r="D483" i="18"/>
  <c r="D484" i="18"/>
  <c r="D485" i="18"/>
  <c r="D486" i="18"/>
  <c r="D487" i="18"/>
  <c r="D488" i="18"/>
  <c r="D489" i="18"/>
  <c r="D490" i="18"/>
  <c r="D491" i="18"/>
  <c r="D492" i="18"/>
  <c r="D493" i="18"/>
  <c r="D494" i="18"/>
  <c r="D495" i="18"/>
  <c r="D496" i="18"/>
  <c r="D497" i="18"/>
  <c r="D498" i="18"/>
  <c r="D499" i="18"/>
  <c r="D500" i="18"/>
  <c r="D501" i="18"/>
  <c r="D502" i="18"/>
  <c r="D503" i="18"/>
  <c r="D504" i="18"/>
  <c r="D505" i="18"/>
  <c r="D506" i="18"/>
  <c r="D507" i="18"/>
  <c r="D508" i="18"/>
  <c r="D509" i="18"/>
  <c r="D510" i="18"/>
  <c r="D511" i="18"/>
  <c r="D512" i="18"/>
  <c r="D513" i="18"/>
  <c r="D514" i="18"/>
  <c r="D515" i="18"/>
  <c r="D516" i="18"/>
  <c r="D517" i="18"/>
  <c r="D518" i="18"/>
  <c r="D519" i="18"/>
  <c r="D520" i="18"/>
  <c r="D521" i="18"/>
  <c r="D522" i="18"/>
  <c r="D523" i="18"/>
  <c r="D524" i="18"/>
  <c r="D525" i="18"/>
  <c r="D526" i="18"/>
  <c r="D527" i="18"/>
  <c r="D528" i="18"/>
  <c r="D529" i="18"/>
  <c r="D530" i="18"/>
  <c r="D531" i="18"/>
  <c r="D532" i="18"/>
  <c r="D533" i="18"/>
  <c r="D534" i="18"/>
  <c r="D535" i="18"/>
  <c r="D536" i="18"/>
  <c r="D537" i="18"/>
  <c r="D538" i="18"/>
  <c r="D539" i="18"/>
  <c r="D540" i="18"/>
  <c r="D541" i="18"/>
  <c r="D542" i="18"/>
  <c r="D543" i="18"/>
  <c r="D544" i="18"/>
  <c r="D545" i="18"/>
  <c r="D546" i="18"/>
  <c r="D547" i="18"/>
  <c r="D548" i="18"/>
  <c r="D549" i="18"/>
  <c r="D550" i="18"/>
  <c r="D551" i="18"/>
  <c r="D552" i="18"/>
  <c r="D553" i="18"/>
  <c r="D554" i="18"/>
  <c r="D555" i="18"/>
  <c r="D556" i="18"/>
  <c r="D557" i="18"/>
  <c r="D558" i="18"/>
  <c r="D559" i="18"/>
  <c r="D560" i="18"/>
  <c r="D561" i="18"/>
  <c r="D562" i="18"/>
  <c r="D563" i="18"/>
  <c r="D564" i="18"/>
  <c r="D565" i="18"/>
  <c r="D566" i="18"/>
  <c r="D567" i="18"/>
  <c r="D568" i="18"/>
  <c r="D569" i="18"/>
  <c r="D570" i="18"/>
  <c r="D571" i="18"/>
  <c r="D572" i="18"/>
  <c r="D573" i="18"/>
  <c r="D574" i="18"/>
  <c r="D575" i="18"/>
  <c r="D576" i="18"/>
  <c r="D577" i="18"/>
  <c r="D578" i="18"/>
  <c r="D579" i="18"/>
  <c r="D580" i="18"/>
  <c r="D581" i="18"/>
  <c r="D582" i="18"/>
  <c r="D583" i="18"/>
  <c r="D584" i="18"/>
  <c r="D585" i="18"/>
  <c r="D586" i="18"/>
  <c r="D587" i="18"/>
  <c r="D588" i="18"/>
  <c r="D589" i="18"/>
  <c r="D590" i="18"/>
  <c r="D591" i="18"/>
  <c r="D592" i="18"/>
  <c r="D593" i="18"/>
  <c r="D594" i="18"/>
  <c r="D595" i="18"/>
  <c r="D596" i="18"/>
  <c r="D597" i="18"/>
  <c r="D598" i="18"/>
  <c r="D599" i="18"/>
  <c r="D600" i="18"/>
  <c r="D601" i="18"/>
  <c r="D602" i="18"/>
  <c r="D603" i="18"/>
  <c r="D604" i="18"/>
  <c r="D605" i="18"/>
  <c r="D606" i="18"/>
  <c r="D607" i="18"/>
  <c r="D608" i="18"/>
  <c r="D609" i="18"/>
  <c r="D610" i="18"/>
  <c r="D611" i="18"/>
  <c r="D612" i="18"/>
  <c r="D613" i="18"/>
  <c r="D614" i="18"/>
  <c r="D615" i="18"/>
  <c r="D616" i="18"/>
  <c r="D617" i="18"/>
  <c r="D618" i="18"/>
  <c r="D619" i="18"/>
  <c r="D620" i="18"/>
  <c r="D621" i="18"/>
  <c r="D622" i="18"/>
  <c r="D623" i="18"/>
  <c r="D624" i="18"/>
  <c r="D625" i="18"/>
  <c r="D626" i="18"/>
  <c r="D627" i="18"/>
  <c r="D628" i="18"/>
  <c r="D629" i="18"/>
  <c r="D630" i="18"/>
  <c r="D631" i="18"/>
  <c r="D632" i="18"/>
  <c r="D633" i="18"/>
  <c r="D634" i="18"/>
  <c r="D635" i="18"/>
  <c r="D636" i="18"/>
  <c r="D637" i="18"/>
  <c r="D638" i="18"/>
  <c r="D639" i="18"/>
  <c r="D640" i="18"/>
  <c r="D641" i="18"/>
  <c r="D642" i="18"/>
  <c r="D643" i="18"/>
  <c r="D644" i="18"/>
  <c r="D645" i="18"/>
  <c r="D646" i="18"/>
  <c r="D647" i="18"/>
  <c r="D648" i="18"/>
  <c r="D649" i="18"/>
  <c r="D650" i="18"/>
  <c r="D651" i="18"/>
  <c r="D652" i="18"/>
  <c r="D653" i="18"/>
  <c r="D654" i="18"/>
  <c r="D655" i="18"/>
  <c r="D656" i="18"/>
  <c r="D657" i="18"/>
  <c r="D658" i="18"/>
  <c r="D659" i="18"/>
  <c r="D660" i="18"/>
  <c r="D661" i="18"/>
  <c r="D662" i="18"/>
  <c r="D663" i="18"/>
  <c r="D664" i="18"/>
  <c r="D665" i="18"/>
  <c r="D666" i="18"/>
  <c r="D667" i="18"/>
  <c r="D668" i="18"/>
  <c r="D669" i="18"/>
  <c r="D670" i="18"/>
  <c r="D671" i="18"/>
  <c r="D672" i="18"/>
  <c r="D673" i="18"/>
  <c r="D674" i="18"/>
  <c r="D675" i="18"/>
  <c r="D676" i="18"/>
  <c r="D677" i="18"/>
  <c r="D678" i="18"/>
  <c r="D679" i="18"/>
  <c r="D680" i="18"/>
  <c r="D681" i="18"/>
  <c r="D682" i="18"/>
  <c r="D683" i="18"/>
  <c r="D684" i="18"/>
  <c r="D685" i="18"/>
  <c r="D686" i="18"/>
  <c r="D687" i="18"/>
  <c r="D688" i="18"/>
  <c r="D689" i="18"/>
  <c r="D690" i="18"/>
  <c r="D691" i="18"/>
  <c r="D692" i="18"/>
  <c r="D693" i="18"/>
  <c r="D694" i="18"/>
  <c r="D695" i="18"/>
  <c r="D696" i="18"/>
  <c r="D697" i="18"/>
  <c r="D698" i="18"/>
  <c r="D699" i="18"/>
  <c r="D700" i="18"/>
  <c r="D701" i="18"/>
  <c r="D702" i="18"/>
  <c r="D703" i="18"/>
  <c r="D704" i="18"/>
  <c r="D705" i="18"/>
  <c r="D706" i="18"/>
  <c r="D707" i="18"/>
  <c r="D708" i="18"/>
  <c r="D709" i="18"/>
  <c r="D710" i="18"/>
  <c r="D711" i="18"/>
  <c r="D712" i="18"/>
  <c r="D713" i="18"/>
  <c r="D714" i="18"/>
  <c r="D715" i="18"/>
  <c r="D716" i="18"/>
  <c r="D717" i="18"/>
  <c r="D718" i="18"/>
  <c r="D719" i="18"/>
  <c r="D720" i="18"/>
  <c r="D721" i="18"/>
  <c r="D722" i="18"/>
  <c r="D723" i="18"/>
  <c r="D724" i="18"/>
  <c r="D725" i="18"/>
  <c r="D726" i="18"/>
  <c r="D727" i="18"/>
  <c r="D728" i="18"/>
  <c r="D729" i="18"/>
  <c r="D730" i="18"/>
  <c r="D731" i="18"/>
  <c r="D732" i="18"/>
  <c r="D733" i="18"/>
  <c r="D734" i="18"/>
  <c r="D735" i="18"/>
  <c r="D736" i="18"/>
  <c r="D737" i="18"/>
  <c r="D738" i="18"/>
  <c r="D739" i="18"/>
  <c r="D740" i="18"/>
  <c r="D741" i="18"/>
  <c r="D742" i="18"/>
  <c r="D743" i="18"/>
  <c r="D744" i="18"/>
  <c r="D745" i="18"/>
  <c r="D746" i="18"/>
  <c r="D747" i="18"/>
  <c r="D748" i="18"/>
  <c r="D749" i="18"/>
  <c r="D750" i="18"/>
  <c r="D751" i="18"/>
  <c r="D752" i="18"/>
  <c r="D753" i="18"/>
  <c r="D754" i="18"/>
  <c r="D755" i="18"/>
  <c r="D756" i="18"/>
  <c r="D757" i="18"/>
  <c r="D758" i="18"/>
  <c r="D759" i="18"/>
  <c r="D760" i="18"/>
  <c r="D761" i="18"/>
  <c r="D762" i="18"/>
  <c r="D763" i="18"/>
  <c r="D764" i="18"/>
  <c r="D765" i="18"/>
  <c r="D766" i="18"/>
  <c r="D767" i="18"/>
  <c r="D768" i="18"/>
  <c r="D769" i="18"/>
  <c r="D770" i="18"/>
  <c r="D771" i="18"/>
  <c r="D772" i="18"/>
  <c r="D773" i="18"/>
  <c r="D774" i="18"/>
  <c r="D775" i="18"/>
  <c r="D776" i="18"/>
  <c r="D777" i="18"/>
  <c r="D778" i="18"/>
  <c r="D779" i="18"/>
  <c r="D780" i="18"/>
  <c r="D781" i="18"/>
  <c r="D782" i="18"/>
  <c r="D783" i="18"/>
  <c r="D784" i="18"/>
  <c r="D785" i="18"/>
  <c r="D786" i="18"/>
  <c r="D787" i="18"/>
  <c r="D788" i="18"/>
  <c r="D789" i="18"/>
  <c r="D790" i="18"/>
  <c r="D791" i="18"/>
  <c r="D792" i="18"/>
  <c r="D793" i="18"/>
  <c r="D794" i="18"/>
  <c r="D795" i="18"/>
  <c r="D796" i="18"/>
  <c r="D797" i="18"/>
  <c r="D798" i="18"/>
  <c r="D799" i="18"/>
  <c r="D800" i="18"/>
  <c r="D801" i="18"/>
  <c r="D802" i="18"/>
  <c r="D803" i="18"/>
  <c r="D804" i="18"/>
  <c r="D805" i="18"/>
  <c r="D806" i="18"/>
  <c r="D807" i="18"/>
  <c r="D808" i="18"/>
  <c r="D809" i="18"/>
  <c r="D810" i="18"/>
  <c r="D811" i="18"/>
  <c r="D812" i="18"/>
  <c r="D813" i="18"/>
  <c r="D814" i="18"/>
  <c r="D815" i="18"/>
  <c r="D816" i="18"/>
  <c r="D817" i="18"/>
  <c r="D818" i="18"/>
  <c r="D819" i="18"/>
  <c r="D820" i="18"/>
  <c r="D821" i="18"/>
  <c r="D822" i="18"/>
  <c r="D823" i="18"/>
  <c r="D824" i="18"/>
  <c r="D825" i="18"/>
  <c r="D826" i="18"/>
  <c r="D827" i="18"/>
  <c r="D828" i="18"/>
  <c r="D829" i="18"/>
  <c r="D830" i="18"/>
  <c r="D831" i="18"/>
  <c r="D832" i="18"/>
  <c r="D833" i="18"/>
  <c r="D834" i="18"/>
  <c r="D835" i="18"/>
  <c r="D836" i="18"/>
  <c r="D837" i="18"/>
  <c r="D838" i="18"/>
  <c r="D839" i="18"/>
  <c r="D840" i="18"/>
  <c r="D841" i="18"/>
  <c r="D842" i="18"/>
  <c r="D843" i="18"/>
  <c r="D844" i="18"/>
  <c r="D845" i="18"/>
  <c r="D846" i="18"/>
  <c r="D847" i="18"/>
  <c r="D848" i="18"/>
  <c r="D849" i="18"/>
  <c r="D850" i="18"/>
  <c r="D851" i="18"/>
  <c r="D852" i="18"/>
  <c r="D853" i="18"/>
  <c r="D854" i="18"/>
  <c r="D855" i="18"/>
  <c r="D856" i="18"/>
  <c r="D857" i="18"/>
  <c r="D858" i="18"/>
  <c r="D859" i="18"/>
  <c r="D860" i="18"/>
  <c r="D861" i="18"/>
  <c r="D862" i="18"/>
  <c r="D863" i="18"/>
  <c r="D864" i="18"/>
  <c r="D865" i="18"/>
  <c r="D866" i="18"/>
  <c r="D867" i="18"/>
  <c r="D868" i="18"/>
  <c r="D869" i="18"/>
  <c r="D870" i="18"/>
  <c r="D871" i="18"/>
  <c r="D872" i="18"/>
  <c r="D873" i="18"/>
  <c r="D874" i="18"/>
  <c r="D875" i="18"/>
  <c r="D876" i="18"/>
  <c r="D877" i="18"/>
  <c r="D878" i="18"/>
  <c r="D879" i="18"/>
  <c r="D880" i="18"/>
  <c r="D881" i="18"/>
  <c r="D882" i="18"/>
  <c r="D883" i="18"/>
  <c r="D884" i="18"/>
  <c r="D885" i="18"/>
  <c r="D886" i="18"/>
  <c r="D887" i="18"/>
  <c r="D888" i="18"/>
  <c r="D889" i="18"/>
  <c r="D890" i="18"/>
  <c r="D891" i="18"/>
  <c r="D892" i="18"/>
  <c r="D893" i="18"/>
  <c r="D894" i="18"/>
  <c r="D895" i="18"/>
  <c r="D896" i="18"/>
  <c r="D897" i="18"/>
  <c r="D898" i="18"/>
  <c r="D899" i="18"/>
  <c r="D900" i="18"/>
  <c r="D901" i="18"/>
  <c r="D902" i="18"/>
  <c r="D903" i="18"/>
  <c r="D904" i="18"/>
  <c r="D905" i="18"/>
  <c r="D906" i="18"/>
  <c r="D907" i="18"/>
  <c r="D908" i="18"/>
  <c r="D909" i="18"/>
  <c r="D910" i="18"/>
  <c r="D911" i="18"/>
  <c r="D912" i="18"/>
  <c r="D913" i="18"/>
  <c r="D914" i="18"/>
  <c r="D915" i="18"/>
  <c r="D916" i="18"/>
  <c r="D917" i="18"/>
  <c r="D918" i="18"/>
  <c r="D919" i="18"/>
  <c r="D920" i="18"/>
  <c r="D921" i="18"/>
  <c r="D922" i="18"/>
  <c r="D923" i="18"/>
  <c r="D924" i="18"/>
  <c r="D925" i="18"/>
  <c r="D926" i="18"/>
  <c r="D927" i="18"/>
  <c r="D928" i="18"/>
  <c r="D929" i="18"/>
  <c r="D930" i="18"/>
  <c r="D931" i="18"/>
  <c r="D932" i="18"/>
  <c r="D933" i="18"/>
  <c r="D934" i="18"/>
  <c r="D935" i="18"/>
  <c r="D936" i="18"/>
  <c r="D937" i="18"/>
  <c r="D938" i="18"/>
  <c r="D939" i="18"/>
  <c r="D940" i="18"/>
  <c r="D941" i="18"/>
  <c r="D942" i="18"/>
  <c r="D943" i="18"/>
  <c r="D944" i="18"/>
  <c r="D945" i="18"/>
  <c r="D946" i="18"/>
  <c r="D947" i="18"/>
  <c r="D948" i="18"/>
  <c r="D949" i="18"/>
  <c r="D950" i="18"/>
  <c r="D951" i="18"/>
  <c r="D952" i="18"/>
  <c r="D953" i="18"/>
  <c r="D954" i="18"/>
  <c r="D955" i="18"/>
  <c r="D956" i="18"/>
  <c r="D957" i="18"/>
  <c r="D958" i="18"/>
  <c r="D959" i="18"/>
  <c r="D960" i="18"/>
  <c r="D961" i="18"/>
  <c r="D962" i="18"/>
  <c r="D963" i="18"/>
  <c r="D964" i="18"/>
  <c r="D965" i="18"/>
  <c r="D966" i="18"/>
  <c r="D967" i="18"/>
  <c r="D968" i="18"/>
  <c r="D969" i="18"/>
  <c r="D970" i="18"/>
  <c r="D971" i="18"/>
  <c r="D972" i="18"/>
  <c r="D973" i="18"/>
  <c r="D974" i="18"/>
  <c r="D975" i="18"/>
  <c r="D976" i="18"/>
  <c r="D977" i="18"/>
  <c r="D978" i="18"/>
  <c r="D979" i="18"/>
  <c r="D980" i="18"/>
  <c r="D981" i="18"/>
  <c r="D982" i="18"/>
  <c r="D983" i="18"/>
  <c r="D984" i="18"/>
  <c r="D985" i="18"/>
  <c r="D986" i="18"/>
  <c r="D987" i="18"/>
  <c r="D988" i="18"/>
  <c r="D989" i="18"/>
  <c r="D990" i="18"/>
  <c r="D991" i="18"/>
  <c r="D992" i="18"/>
  <c r="D993" i="18"/>
  <c r="D994" i="18"/>
  <c r="D995" i="18"/>
  <c r="D996" i="18"/>
  <c r="D997" i="18"/>
  <c r="D998" i="18"/>
  <c r="D999" i="18"/>
  <c r="D1000" i="18"/>
  <c r="B1"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B692" i="18"/>
  <c r="B693" i="18"/>
  <c r="B694" i="18"/>
  <c r="B695" i="18"/>
  <c r="B696" i="18"/>
  <c r="B697" i="18"/>
  <c r="B698" i="18"/>
  <c r="B699" i="18"/>
  <c r="B700" i="18"/>
  <c r="B701" i="18"/>
  <c r="B702" i="18"/>
  <c r="B703" i="18"/>
  <c r="B704" i="18"/>
  <c r="B705" i="18"/>
  <c r="B706" i="18"/>
  <c r="B707" i="18"/>
  <c r="B708" i="18"/>
  <c r="B709" i="18"/>
  <c r="B710" i="18"/>
  <c r="B711" i="18"/>
  <c r="B712" i="18"/>
  <c r="B713" i="18"/>
  <c r="B714" i="18"/>
  <c r="B715" i="18"/>
  <c r="B716" i="18"/>
  <c r="B717" i="18"/>
  <c r="B718" i="18"/>
  <c r="B719" i="18"/>
  <c r="B720" i="18"/>
  <c r="B721" i="18"/>
  <c r="B722" i="18"/>
  <c r="B723" i="18"/>
  <c r="B724" i="18"/>
  <c r="B725" i="18"/>
  <c r="B726" i="18"/>
  <c r="B727" i="18"/>
  <c r="B728" i="18"/>
  <c r="B729" i="18"/>
  <c r="B730" i="18"/>
  <c r="B731" i="18"/>
  <c r="B732" i="18"/>
  <c r="B733" i="18"/>
  <c r="B734" i="18"/>
  <c r="B735" i="18"/>
  <c r="B736" i="18"/>
  <c r="B737" i="18"/>
  <c r="B738" i="18"/>
  <c r="B739" i="18"/>
  <c r="B740" i="18"/>
  <c r="B741" i="18"/>
  <c r="B742" i="18"/>
  <c r="B743" i="18"/>
  <c r="B744" i="18"/>
  <c r="B745" i="18"/>
  <c r="B746" i="18"/>
  <c r="B747" i="18"/>
  <c r="B748" i="18"/>
  <c r="B749" i="18"/>
  <c r="B750" i="18"/>
  <c r="B751" i="18"/>
  <c r="B752" i="18"/>
  <c r="B753" i="18"/>
  <c r="B754" i="18"/>
  <c r="B755" i="18"/>
  <c r="B756" i="18"/>
  <c r="B757" i="18"/>
  <c r="B758" i="18"/>
  <c r="B759" i="18"/>
  <c r="B760" i="18"/>
  <c r="B761" i="18"/>
  <c r="B762" i="18"/>
  <c r="B763" i="18"/>
  <c r="B764" i="18"/>
  <c r="B765" i="18"/>
  <c r="B766" i="18"/>
  <c r="B767" i="18"/>
  <c r="B768" i="18"/>
  <c r="B769" i="18"/>
  <c r="B770" i="18"/>
  <c r="B771" i="18"/>
  <c r="B772" i="18"/>
  <c r="B773" i="18"/>
  <c r="B774" i="18"/>
  <c r="B775" i="18"/>
  <c r="B776" i="18"/>
  <c r="B777" i="18"/>
  <c r="B778" i="18"/>
  <c r="B779" i="18"/>
  <c r="B780" i="18"/>
  <c r="B781" i="18"/>
  <c r="B782" i="18"/>
  <c r="B783" i="18"/>
  <c r="B784" i="18"/>
  <c r="B785" i="18"/>
  <c r="B786" i="18"/>
  <c r="B787" i="18"/>
  <c r="B788" i="18"/>
  <c r="B789" i="18"/>
  <c r="B790" i="18"/>
  <c r="B791" i="18"/>
  <c r="B792" i="18"/>
  <c r="B793" i="18"/>
  <c r="B794" i="18"/>
  <c r="B795" i="18"/>
  <c r="B796" i="18"/>
  <c r="B797" i="18"/>
  <c r="B798" i="18"/>
  <c r="B799" i="18"/>
  <c r="B800" i="18"/>
  <c r="B801" i="18"/>
  <c r="B802" i="18"/>
  <c r="B803" i="18"/>
  <c r="B804" i="18"/>
  <c r="B805" i="18"/>
  <c r="B806" i="18"/>
  <c r="B807" i="18"/>
  <c r="B808" i="18"/>
  <c r="B809" i="18"/>
  <c r="B810" i="18"/>
  <c r="B811" i="18"/>
  <c r="B812" i="18"/>
  <c r="B813" i="18"/>
  <c r="B814" i="18"/>
  <c r="B815" i="18"/>
  <c r="B816" i="18"/>
  <c r="B817" i="18"/>
  <c r="B818" i="18"/>
  <c r="B819" i="18"/>
  <c r="B820" i="18"/>
  <c r="B821" i="18"/>
  <c r="B822" i="18"/>
  <c r="B823" i="18"/>
  <c r="B824" i="18"/>
  <c r="B825" i="18"/>
  <c r="B826" i="18"/>
  <c r="B827" i="18"/>
  <c r="B828" i="18"/>
  <c r="B829" i="18"/>
  <c r="B830" i="18"/>
  <c r="B831" i="18"/>
  <c r="B832" i="18"/>
  <c r="B833" i="18"/>
  <c r="B834" i="18"/>
  <c r="B835" i="18"/>
  <c r="B836" i="18"/>
  <c r="B837" i="18"/>
  <c r="B838" i="18"/>
  <c r="B839" i="18"/>
  <c r="B840" i="18"/>
  <c r="B841" i="18"/>
  <c r="B842" i="18"/>
  <c r="B843" i="18"/>
  <c r="B844" i="18"/>
  <c r="B845" i="18"/>
  <c r="B846" i="18"/>
  <c r="B847" i="18"/>
  <c r="B848" i="18"/>
  <c r="B849" i="18"/>
  <c r="B850" i="18"/>
  <c r="B851" i="18"/>
  <c r="B852" i="18"/>
  <c r="B853" i="18"/>
  <c r="B854" i="18"/>
  <c r="B855" i="18"/>
  <c r="B856" i="18"/>
  <c r="B857" i="18"/>
  <c r="B858" i="18"/>
  <c r="B859" i="18"/>
  <c r="B860" i="18"/>
  <c r="B861" i="18"/>
  <c r="B862" i="18"/>
  <c r="B863" i="18"/>
  <c r="B864" i="18"/>
  <c r="B865" i="18"/>
  <c r="B866" i="18"/>
  <c r="B867" i="18"/>
  <c r="B868" i="18"/>
  <c r="B869" i="18"/>
  <c r="B870" i="18"/>
  <c r="B871" i="18"/>
  <c r="B872" i="18"/>
  <c r="B873" i="18"/>
  <c r="B874" i="18"/>
  <c r="B875" i="18"/>
  <c r="B876" i="18"/>
  <c r="B877" i="18"/>
  <c r="B878" i="18"/>
  <c r="B879" i="18"/>
  <c r="B880" i="18"/>
  <c r="B881" i="18"/>
  <c r="B882" i="18"/>
  <c r="B883" i="18"/>
  <c r="B884" i="18"/>
  <c r="B885" i="18"/>
  <c r="B886" i="18"/>
  <c r="B887" i="18"/>
  <c r="B888" i="18"/>
  <c r="B889" i="18"/>
  <c r="B890" i="18"/>
  <c r="B891" i="18"/>
  <c r="B892" i="18"/>
  <c r="B893" i="18"/>
  <c r="B894" i="18"/>
  <c r="B895" i="18"/>
  <c r="B896" i="18"/>
  <c r="B897" i="18"/>
  <c r="B898" i="18"/>
  <c r="B899" i="18"/>
  <c r="B900" i="18"/>
  <c r="B901" i="18"/>
  <c r="B902" i="18"/>
  <c r="B903" i="18"/>
  <c r="B904" i="18"/>
  <c r="B905" i="18"/>
  <c r="B906" i="18"/>
  <c r="B907" i="18"/>
  <c r="B908" i="18"/>
  <c r="B909" i="18"/>
  <c r="B910" i="18"/>
  <c r="B911" i="18"/>
  <c r="B912" i="18"/>
  <c r="B913" i="18"/>
  <c r="B914" i="18"/>
  <c r="B915" i="18"/>
  <c r="B916" i="18"/>
  <c r="B917" i="18"/>
  <c r="B918" i="18"/>
  <c r="B919" i="18"/>
  <c r="B920" i="18"/>
  <c r="B921" i="18"/>
  <c r="B922" i="18"/>
  <c r="B923" i="18"/>
  <c r="B924" i="18"/>
  <c r="B925" i="18"/>
  <c r="B926" i="18"/>
  <c r="B927" i="18"/>
  <c r="B928" i="18"/>
  <c r="B929" i="18"/>
  <c r="B930" i="18"/>
  <c r="B931" i="18"/>
  <c r="B932" i="18"/>
  <c r="B933" i="18"/>
  <c r="B934" i="18"/>
  <c r="B935" i="18"/>
  <c r="B936" i="18"/>
  <c r="B937" i="18"/>
  <c r="B938" i="18"/>
  <c r="B939" i="18"/>
  <c r="B940" i="18"/>
  <c r="B941" i="18"/>
  <c r="B942" i="18"/>
  <c r="B943" i="18"/>
  <c r="B944" i="18"/>
  <c r="B945" i="18"/>
  <c r="B946" i="18"/>
  <c r="B947" i="18"/>
  <c r="B948" i="18"/>
  <c r="B949" i="18"/>
  <c r="B950" i="18"/>
  <c r="B951" i="18"/>
  <c r="B952" i="18"/>
  <c r="B953" i="18"/>
  <c r="B954" i="18"/>
  <c r="B955" i="18"/>
  <c r="B956" i="18"/>
  <c r="B957" i="18"/>
  <c r="B958" i="18"/>
  <c r="B959" i="18"/>
  <c r="B960" i="18"/>
  <c r="B961" i="18"/>
  <c r="B962" i="18"/>
  <c r="B963" i="18"/>
  <c r="B964" i="18"/>
  <c r="B965" i="18"/>
  <c r="B966" i="18"/>
  <c r="B967" i="18"/>
  <c r="B968" i="18"/>
  <c r="B969" i="18"/>
  <c r="B970" i="18"/>
  <c r="B971" i="18"/>
  <c r="B972" i="18"/>
  <c r="B973" i="18"/>
  <c r="B974" i="18"/>
  <c r="B975" i="18"/>
  <c r="B976" i="18"/>
  <c r="B977" i="18"/>
  <c r="B978" i="18"/>
  <c r="B979" i="18"/>
  <c r="B980" i="18"/>
  <c r="B981" i="18"/>
  <c r="B982" i="18"/>
  <c r="B983" i="18"/>
  <c r="B984" i="18"/>
  <c r="B985" i="18"/>
  <c r="B986" i="18"/>
  <c r="B987" i="18"/>
  <c r="B988" i="18"/>
  <c r="B989" i="18"/>
  <c r="B990" i="18"/>
  <c r="B991" i="18"/>
  <c r="B992" i="18"/>
  <c r="B993" i="18"/>
  <c r="B994" i="18"/>
  <c r="B995" i="18"/>
  <c r="B996" i="18"/>
  <c r="B997" i="18"/>
  <c r="B998" i="18"/>
  <c r="B999" i="18"/>
  <c r="B1000" i="18"/>
  <c r="B5" i="18"/>
  <c r="C658" i="1"/>
  <c r="C68" i="9"/>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686" i="18"/>
  <c r="C687" i="18"/>
  <c r="C688" i="18"/>
  <c r="C689" i="18"/>
  <c r="C690" i="18"/>
  <c r="C691" i="18"/>
  <c r="C692" i="18"/>
  <c r="C693" i="18"/>
  <c r="C694" i="18"/>
  <c r="C695" i="18"/>
  <c r="C696" i="18"/>
  <c r="C697" i="18"/>
  <c r="C698" i="18"/>
  <c r="C699" i="18"/>
  <c r="C700" i="18"/>
  <c r="C701" i="18"/>
  <c r="C702" i="18"/>
  <c r="C703" i="18"/>
  <c r="C704" i="18"/>
  <c r="C705" i="18"/>
  <c r="C706" i="18"/>
  <c r="C707" i="18"/>
  <c r="C708" i="18"/>
  <c r="C709" i="18"/>
  <c r="C710" i="18"/>
  <c r="C711" i="18"/>
  <c r="C712" i="18"/>
  <c r="C713" i="18"/>
  <c r="C714" i="18"/>
  <c r="C715" i="18"/>
  <c r="C716" i="18"/>
  <c r="C717" i="18"/>
  <c r="C718" i="18"/>
  <c r="C719" i="18"/>
  <c r="C720" i="18"/>
  <c r="C721" i="18"/>
  <c r="C722" i="18"/>
  <c r="C723" i="18"/>
  <c r="C724" i="18"/>
  <c r="C725" i="18"/>
  <c r="C726" i="18"/>
  <c r="C727" i="18"/>
  <c r="C728" i="18"/>
  <c r="C729" i="18"/>
  <c r="C730" i="18"/>
  <c r="C731" i="18"/>
  <c r="C732" i="18"/>
  <c r="C733" i="18"/>
  <c r="C734" i="18"/>
  <c r="C735" i="18"/>
  <c r="C736" i="18"/>
  <c r="C737" i="18"/>
  <c r="C738" i="18"/>
  <c r="C739" i="18"/>
  <c r="C740" i="18"/>
  <c r="C741" i="18"/>
  <c r="C742" i="18"/>
  <c r="C743" i="18"/>
  <c r="C744" i="18"/>
  <c r="C745" i="18"/>
  <c r="C746" i="18"/>
  <c r="C747" i="18"/>
  <c r="C748" i="18"/>
  <c r="C749" i="18"/>
  <c r="C750" i="18"/>
  <c r="C751" i="18"/>
  <c r="C752" i="18"/>
  <c r="C753" i="18"/>
  <c r="C754" i="18"/>
  <c r="C755" i="18"/>
  <c r="C756" i="18"/>
  <c r="C757" i="18"/>
  <c r="C758" i="18"/>
  <c r="C759" i="18"/>
  <c r="C760" i="18"/>
  <c r="C761" i="18"/>
  <c r="C762" i="18"/>
  <c r="C763" i="18"/>
  <c r="C764" i="18"/>
  <c r="C765" i="18"/>
  <c r="C766" i="18"/>
  <c r="C767" i="18"/>
  <c r="C768" i="18"/>
  <c r="C769" i="18"/>
  <c r="C770" i="18"/>
  <c r="C771" i="18"/>
  <c r="C772" i="18"/>
  <c r="C773" i="18"/>
  <c r="C774" i="18"/>
  <c r="C775" i="18"/>
  <c r="C776" i="18"/>
  <c r="C777" i="18"/>
  <c r="C778" i="18"/>
  <c r="C779" i="18"/>
  <c r="C780" i="18"/>
  <c r="C781" i="18"/>
  <c r="C782" i="18"/>
  <c r="C783" i="18"/>
  <c r="C784" i="18"/>
  <c r="C785" i="18"/>
  <c r="C786" i="18"/>
  <c r="C787" i="18"/>
  <c r="C788" i="18"/>
  <c r="C789" i="18"/>
  <c r="C790" i="18"/>
  <c r="C791" i="18"/>
  <c r="C792" i="18"/>
  <c r="C793" i="18"/>
  <c r="C794" i="18"/>
  <c r="C795" i="18"/>
  <c r="C796" i="18"/>
  <c r="C797" i="18"/>
  <c r="C798" i="18"/>
  <c r="C799" i="18"/>
  <c r="C800" i="18"/>
  <c r="C801" i="18"/>
  <c r="C802" i="18"/>
  <c r="C803" i="18"/>
  <c r="C804" i="18"/>
  <c r="C805" i="18"/>
  <c r="C806" i="18"/>
  <c r="C807" i="18"/>
  <c r="C808" i="18"/>
  <c r="C809" i="18"/>
  <c r="C810" i="18"/>
  <c r="C811" i="18"/>
  <c r="C812" i="18"/>
  <c r="C813" i="18"/>
  <c r="C814" i="18"/>
  <c r="C815" i="18"/>
  <c r="C816" i="18"/>
  <c r="C817" i="18"/>
  <c r="C818" i="18"/>
  <c r="C819" i="18"/>
  <c r="C820" i="18"/>
  <c r="C821" i="18"/>
  <c r="C822" i="18"/>
  <c r="C823" i="18"/>
  <c r="C824" i="18"/>
  <c r="C825" i="18"/>
  <c r="C826" i="18"/>
  <c r="C827" i="18"/>
  <c r="C828" i="18"/>
  <c r="C829" i="18"/>
  <c r="C830" i="18"/>
  <c r="C831" i="18"/>
  <c r="C832" i="18"/>
  <c r="C833" i="18"/>
  <c r="C834" i="18"/>
  <c r="C835" i="18"/>
  <c r="C836" i="18"/>
  <c r="C837" i="18"/>
  <c r="C838" i="18"/>
  <c r="C839" i="18"/>
  <c r="C840" i="18"/>
  <c r="C841" i="18"/>
  <c r="C842" i="18"/>
  <c r="C843" i="18"/>
  <c r="C844" i="18"/>
  <c r="C845" i="18"/>
  <c r="C846" i="18"/>
  <c r="C847" i="18"/>
  <c r="C848" i="18"/>
  <c r="C849" i="18"/>
  <c r="C850" i="18"/>
  <c r="C851" i="18"/>
  <c r="C852" i="18"/>
  <c r="C853" i="18"/>
  <c r="C854" i="18"/>
  <c r="C855" i="18"/>
  <c r="C856" i="18"/>
  <c r="C857" i="18"/>
  <c r="C858" i="18"/>
  <c r="C859" i="18"/>
  <c r="C860" i="18"/>
  <c r="C861" i="18"/>
  <c r="C862" i="18"/>
  <c r="C863" i="18"/>
  <c r="C864" i="18"/>
  <c r="C865" i="18"/>
  <c r="C866" i="18"/>
  <c r="C867" i="18"/>
  <c r="C868" i="18"/>
  <c r="C869" i="18"/>
  <c r="C870" i="18"/>
  <c r="C871" i="18"/>
  <c r="C872" i="18"/>
  <c r="C873" i="18"/>
  <c r="C874" i="18"/>
  <c r="C875" i="18"/>
  <c r="C876" i="18"/>
  <c r="C877" i="18"/>
  <c r="C878" i="18"/>
  <c r="C879" i="18"/>
  <c r="C880" i="18"/>
  <c r="C881" i="18"/>
  <c r="C882" i="18"/>
  <c r="C883" i="18"/>
  <c r="C884" i="18"/>
  <c r="C885" i="18"/>
  <c r="C886" i="18"/>
  <c r="C887" i="18"/>
  <c r="C888" i="18"/>
  <c r="C889" i="18"/>
  <c r="C890" i="18"/>
  <c r="C891" i="18"/>
  <c r="C892" i="18"/>
  <c r="C893" i="18"/>
  <c r="C894" i="18"/>
  <c r="C895" i="18"/>
  <c r="C896" i="18"/>
  <c r="C897" i="18"/>
  <c r="C898" i="18"/>
  <c r="C899" i="18"/>
  <c r="C900" i="18"/>
  <c r="C901" i="18"/>
  <c r="C902" i="18"/>
  <c r="C903" i="18"/>
  <c r="C904" i="18"/>
  <c r="C905" i="18"/>
  <c r="C906" i="18"/>
  <c r="C907" i="18"/>
  <c r="C908" i="18"/>
  <c r="C909" i="18"/>
  <c r="C910" i="18"/>
  <c r="C911" i="18"/>
  <c r="C912" i="18"/>
  <c r="C913" i="18"/>
  <c r="C914" i="18"/>
  <c r="C915" i="18"/>
  <c r="C916" i="18"/>
  <c r="C917" i="18"/>
  <c r="C918" i="18"/>
  <c r="C919" i="18"/>
  <c r="C920" i="18"/>
  <c r="C921" i="18"/>
  <c r="C922" i="18"/>
  <c r="C923" i="18"/>
  <c r="C924" i="18"/>
  <c r="C925" i="18"/>
  <c r="C926" i="18"/>
  <c r="C927" i="18"/>
  <c r="C928" i="18"/>
  <c r="C929" i="18"/>
  <c r="C930" i="18"/>
  <c r="C931" i="18"/>
  <c r="C932" i="18"/>
  <c r="C933" i="18"/>
  <c r="C934" i="18"/>
  <c r="C935" i="18"/>
  <c r="C936" i="18"/>
  <c r="C937" i="18"/>
  <c r="C938" i="18"/>
  <c r="C939" i="18"/>
  <c r="C940" i="18"/>
  <c r="C941" i="18"/>
  <c r="C942" i="18"/>
  <c r="C943" i="18"/>
  <c r="C944" i="18"/>
  <c r="C945" i="18"/>
  <c r="C946" i="18"/>
  <c r="C947" i="18"/>
  <c r="C948" i="18"/>
  <c r="C949" i="18"/>
  <c r="C950" i="18"/>
  <c r="C951" i="18"/>
  <c r="C952" i="18"/>
  <c r="C953" i="18"/>
  <c r="C954" i="18"/>
  <c r="C955" i="18"/>
  <c r="C956" i="18"/>
  <c r="C957" i="18"/>
  <c r="C958" i="18"/>
  <c r="C959" i="18"/>
  <c r="C960" i="18"/>
  <c r="C961" i="18"/>
  <c r="C962" i="18"/>
  <c r="C963" i="18"/>
  <c r="C964" i="18"/>
  <c r="C965" i="18"/>
  <c r="C966" i="18"/>
  <c r="C967" i="18"/>
  <c r="C968" i="18"/>
  <c r="C969" i="18"/>
  <c r="C970" i="18"/>
  <c r="C971" i="18"/>
  <c r="C972" i="18"/>
  <c r="C973" i="18"/>
  <c r="C974" i="18"/>
  <c r="C975" i="18"/>
  <c r="C976" i="18"/>
  <c r="C977" i="18"/>
  <c r="C978" i="18"/>
  <c r="C979" i="18"/>
  <c r="C980" i="18"/>
  <c r="C981" i="18"/>
  <c r="C982" i="18"/>
  <c r="C983" i="18"/>
  <c r="C984" i="18"/>
  <c r="C985" i="18"/>
  <c r="C986" i="18"/>
  <c r="C987" i="18"/>
  <c r="C988" i="18"/>
  <c r="C989" i="18"/>
  <c r="C990" i="18"/>
  <c r="C991" i="18"/>
  <c r="C992" i="18"/>
  <c r="C993" i="18"/>
  <c r="C994" i="18"/>
  <c r="C995" i="18"/>
  <c r="C996" i="18"/>
  <c r="C997" i="18"/>
  <c r="C998" i="18"/>
  <c r="C999" i="18"/>
  <c r="C1000" i="18"/>
  <c r="C617" i="1"/>
  <c r="C27" i="9"/>
  <c r="C6" i="18"/>
  <c r="C7" i="18"/>
  <c r="C8" i="18"/>
  <c r="C623" i="1"/>
  <c r="C33" i="9"/>
  <c r="C9" i="18"/>
  <c r="C10" i="18"/>
  <c r="C11" i="18"/>
  <c r="C12" i="18"/>
  <c r="C626" i="1"/>
  <c r="C36" i="9"/>
  <c r="C13" i="18"/>
  <c r="C628" i="1"/>
  <c r="C38" i="9"/>
  <c r="C14" i="18"/>
  <c r="C15" i="18"/>
  <c r="C16" i="18"/>
  <c r="C630" i="1"/>
  <c r="C40" i="9"/>
  <c r="C17" i="18"/>
  <c r="C631" i="1"/>
  <c r="C41" i="9"/>
  <c r="C18" i="18"/>
  <c r="C632" i="1"/>
  <c r="C42" i="9"/>
  <c r="C19" i="18"/>
  <c r="C20" i="18"/>
  <c r="C633" i="1"/>
  <c r="C43" i="9"/>
  <c r="C21" i="18"/>
  <c r="C634" i="1"/>
  <c r="C44" i="9"/>
  <c r="C22" i="18"/>
  <c r="C23" i="18"/>
  <c r="C635" i="1"/>
  <c r="C45" i="9"/>
  <c r="C24" i="18"/>
  <c r="C25" i="18"/>
  <c r="C636" i="1"/>
  <c r="C46" i="9"/>
  <c r="C26" i="18"/>
  <c r="C637" i="1"/>
  <c r="C47" i="9"/>
  <c r="C27" i="18"/>
  <c r="C28" i="18"/>
  <c r="C638" i="1"/>
  <c r="C48" i="9"/>
  <c r="C29" i="18"/>
  <c r="C30" i="18"/>
  <c r="C31" i="18"/>
  <c r="C639" i="1"/>
  <c r="C49" i="9"/>
  <c r="C32" i="18"/>
  <c r="C640" i="1"/>
  <c r="C50" i="9"/>
  <c r="C33" i="18"/>
  <c r="C34" i="18"/>
  <c r="C641" i="1"/>
  <c r="C51" i="9"/>
  <c r="C35" i="18"/>
  <c r="C36" i="18"/>
  <c r="C37" i="18"/>
  <c r="C642" i="1"/>
  <c r="C52" i="9"/>
  <c r="C38" i="18"/>
  <c r="C39" i="18"/>
  <c r="C643" i="1"/>
  <c r="C53" i="9"/>
  <c r="C40" i="18"/>
  <c r="C644" i="1"/>
  <c r="C54" i="9"/>
  <c r="C41" i="18"/>
  <c r="C645" i="1"/>
  <c r="C55" i="9"/>
  <c r="C42" i="18"/>
  <c r="C646" i="1"/>
  <c r="C56" i="9"/>
  <c r="C43" i="18"/>
  <c r="C44" i="18"/>
  <c r="C45" i="18"/>
  <c r="C651" i="1"/>
  <c r="C61" i="9"/>
  <c r="C46" i="18"/>
  <c r="C47" i="18"/>
  <c r="C48" i="18"/>
  <c r="C652" i="1"/>
  <c r="C62" i="9"/>
  <c r="C49" i="18"/>
  <c r="C50" i="18"/>
  <c r="C653" i="1"/>
  <c r="C63" i="9"/>
  <c r="C51" i="18"/>
  <c r="C52" i="18"/>
  <c r="C654" i="1"/>
  <c r="C64" i="9"/>
  <c r="C53" i="18"/>
  <c r="C54" i="18"/>
  <c r="C655" i="1"/>
  <c r="C65" i="9"/>
  <c r="C55" i="18"/>
  <c r="C656" i="1"/>
  <c r="C66" i="9"/>
  <c r="C56" i="18"/>
  <c r="C594" i="1"/>
  <c r="C4" i="9"/>
  <c r="C5" i="18"/>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455" i="1"/>
  <c r="C15" i="8"/>
  <c r="C6" i="16"/>
  <c r="C459" i="1"/>
  <c r="C19" i="8"/>
  <c r="C7" i="16"/>
  <c r="C460" i="1"/>
  <c r="C20" i="8"/>
  <c r="C8" i="16"/>
  <c r="C9" i="16"/>
  <c r="C461" i="1"/>
  <c r="C21" i="8"/>
  <c r="C10" i="16"/>
  <c r="C11" i="16"/>
  <c r="C462" i="1"/>
  <c r="C22" i="8"/>
  <c r="C12" i="16"/>
  <c r="C13" i="16"/>
  <c r="C463" i="1"/>
  <c r="C23" i="8"/>
  <c r="C14" i="16"/>
  <c r="C464" i="1"/>
  <c r="C24" i="8"/>
  <c r="C15" i="16"/>
  <c r="C16" i="16"/>
  <c r="C17" i="16"/>
  <c r="C478" i="1"/>
  <c r="C38" i="8"/>
  <c r="C18" i="16"/>
  <c r="C19" i="16"/>
  <c r="C20" i="16"/>
  <c r="C479" i="1"/>
  <c r="C39" i="8"/>
  <c r="C21" i="16"/>
  <c r="C481" i="1"/>
  <c r="C41" i="8"/>
  <c r="C22" i="16"/>
  <c r="C485" i="1"/>
  <c r="C45" i="8"/>
  <c r="C23" i="16"/>
  <c r="C494" i="1"/>
  <c r="C54" i="8"/>
  <c r="C24" i="16"/>
  <c r="C25" i="16"/>
  <c r="C497" i="1"/>
  <c r="C57" i="8"/>
  <c r="C26" i="16"/>
  <c r="C498" i="1"/>
  <c r="C58" i="8"/>
  <c r="C27" i="16"/>
  <c r="C28" i="16"/>
  <c r="C503" i="1"/>
  <c r="C63" i="8"/>
  <c r="C29" i="16"/>
  <c r="C30" i="16"/>
  <c r="C507" i="1"/>
  <c r="C67" i="8"/>
  <c r="C31" i="16"/>
  <c r="C510" i="1"/>
  <c r="C70" i="8"/>
  <c r="C32" i="16"/>
  <c r="C33" i="16"/>
  <c r="C511" i="1"/>
  <c r="C71" i="8"/>
  <c r="C34" i="16"/>
  <c r="C35" i="16"/>
  <c r="C36" i="16"/>
  <c r="C37" i="16"/>
  <c r="C516" i="1"/>
  <c r="C76" i="8"/>
  <c r="C38" i="16"/>
  <c r="C39" i="16"/>
  <c r="C40" i="16"/>
  <c r="C41" i="16"/>
  <c r="C520" i="1"/>
  <c r="C80" i="8"/>
  <c r="C42" i="16"/>
  <c r="C523" i="1"/>
  <c r="C83" i="8"/>
  <c r="C43" i="16"/>
  <c r="C44" i="16"/>
  <c r="C45" i="16"/>
  <c r="C528" i="1"/>
  <c r="C88" i="8"/>
  <c r="C46" i="16"/>
  <c r="C529" i="1"/>
  <c r="C89" i="8"/>
  <c r="C47" i="16"/>
  <c r="C530" i="1"/>
  <c r="C90" i="8"/>
  <c r="C48" i="16"/>
  <c r="C531" i="1"/>
  <c r="C91" i="8"/>
  <c r="C49" i="16"/>
  <c r="C532" i="1"/>
  <c r="C92" i="8"/>
  <c r="C50" i="16"/>
  <c r="C533" i="1"/>
  <c r="C93" i="8"/>
  <c r="C51" i="16"/>
  <c r="C535" i="1"/>
  <c r="C95" i="8"/>
  <c r="C52" i="16"/>
  <c r="C536" i="1"/>
  <c r="C96" i="8"/>
  <c r="C53" i="16"/>
  <c r="C537" i="1"/>
  <c r="C97" i="8"/>
  <c r="C54" i="16"/>
  <c r="C538" i="1"/>
  <c r="C98" i="8"/>
  <c r="C55" i="16"/>
  <c r="C539" i="1"/>
  <c r="C99" i="8"/>
  <c r="C56" i="16"/>
  <c r="C57" i="16"/>
  <c r="C542" i="1"/>
  <c r="C102" i="8"/>
  <c r="C58" i="16"/>
  <c r="C543" i="1"/>
  <c r="C103" i="8"/>
  <c r="C59" i="16"/>
  <c r="C544" i="1"/>
  <c r="C104" i="8"/>
  <c r="C60" i="16"/>
  <c r="C61" i="16"/>
  <c r="C545" i="1"/>
  <c r="C105" i="8"/>
  <c r="C62" i="16"/>
  <c r="C63" i="16"/>
  <c r="C546" i="1"/>
  <c r="C106" i="8"/>
  <c r="C64" i="16"/>
  <c r="C547" i="1"/>
  <c r="C107" i="8"/>
  <c r="C65" i="16"/>
  <c r="C66" i="16"/>
  <c r="C548" i="1"/>
  <c r="C108" i="8"/>
  <c r="C67" i="16"/>
  <c r="C68" i="16"/>
  <c r="C69" i="16"/>
  <c r="C550" i="1"/>
  <c r="C110" i="8"/>
  <c r="C70" i="16"/>
  <c r="C71" i="16"/>
  <c r="C551" i="1"/>
  <c r="C111" i="8"/>
  <c r="C72" i="16"/>
  <c r="C552" i="1"/>
  <c r="C112" i="8"/>
  <c r="C73" i="16"/>
  <c r="C553" i="1"/>
  <c r="C113" i="8"/>
  <c r="C74" i="16"/>
  <c r="C554" i="1"/>
  <c r="C114" i="8"/>
  <c r="C75" i="16"/>
  <c r="C76" i="16"/>
  <c r="C77" i="16"/>
  <c r="C555" i="1"/>
  <c r="C115" i="8"/>
  <c r="C78" i="16"/>
  <c r="C556" i="1"/>
  <c r="C116" i="8"/>
  <c r="C79" i="16"/>
  <c r="C80" i="16"/>
  <c r="C81" i="16"/>
  <c r="C558" i="1"/>
  <c r="C118" i="8"/>
  <c r="C82" i="16"/>
  <c r="C559" i="1"/>
  <c r="C119" i="8"/>
  <c r="C83" i="16"/>
  <c r="C574" i="1"/>
  <c r="C134" i="8"/>
  <c r="C84" i="16"/>
  <c r="C575" i="1"/>
  <c r="C135" i="8"/>
  <c r="C85" i="16"/>
  <c r="C576" i="1"/>
  <c r="C136" i="8"/>
  <c r="C86" i="16"/>
  <c r="C577" i="1"/>
  <c r="C137" i="8"/>
  <c r="C87" i="16"/>
  <c r="C578" i="1"/>
  <c r="C138" i="8"/>
  <c r="C88" i="16"/>
  <c r="C579" i="1"/>
  <c r="C139" i="8"/>
  <c r="C89" i="16"/>
  <c r="C90" i="16"/>
  <c r="C91" i="16"/>
  <c r="C92" i="16"/>
  <c r="C93" i="16"/>
  <c r="C94" i="16"/>
  <c r="C95" i="16"/>
  <c r="C586" i="1"/>
  <c r="C146" i="8"/>
  <c r="C96" i="16"/>
  <c r="C97" i="16"/>
  <c r="C98" i="16"/>
  <c r="C588" i="1"/>
  <c r="C148" i="8"/>
  <c r="C99" i="16"/>
  <c r="C100" i="16"/>
  <c r="C590" i="1"/>
  <c r="C150" i="8"/>
  <c r="C101" i="16"/>
  <c r="C591" i="1"/>
  <c r="C151" i="8"/>
  <c r="C102" i="16"/>
  <c r="C103" i="16"/>
  <c r="C592" i="1"/>
  <c r="C152" i="8"/>
  <c r="C104" i="16"/>
  <c r="C5" i="16"/>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2" i="1"/>
  <c r="C4" i="5"/>
  <c r="C5" i="12"/>
  <c r="C6" i="12"/>
  <c r="C7" i="12"/>
  <c r="C8" i="12"/>
  <c r="C3" i="1"/>
  <c r="C5" i="5"/>
  <c r="C9" i="12"/>
  <c r="C10" i="12"/>
  <c r="C4" i="1"/>
  <c r="C6" i="5"/>
  <c r="C11" i="12"/>
  <c r="C5" i="1"/>
  <c r="C7" i="5"/>
  <c r="C12" i="12"/>
  <c r="C13" i="12"/>
  <c r="C14" i="12"/>
  <c r="C15" i="12"/>
  <c r="C16" i="12"/>
  <c r="C17" i="12"/>
  <c r="C18" i="12"/>
  <c r="C6" i="1"/>
  <c r="C8" i="5"/>
  <c r="C19" i="12"/>
  <c r="C7" i="1"/>
  <c r="C9" i="5"/>
  <c r="C20" i="12"/>
  <c r="C8" i="1"/>
  <c r="C10" i="5"/>
  <c r="C21" i="12"/>
  <c r="C22" i="12"/>
  <c r="C9" i="1"/>
  <c r="C11" i="5"/>
  <c r="C23" i="12"/>
  <c r="C10" i="1"/>
  <c r="C12" i="5"/>
  <c r="C24" i="12"/>
  <c r="C11" i="1"/>
  <c r="C13" i="5"/>
  <c r="C25" i="12"/>
  <c r="C26" i="12"/>
  <c r="C27" i="12"/>
  <c r="C12" i="1"/>
  <c r="C14" i="5"/>
  <c r="C28" i="12"/>
  <c r="C13" i="1"/>
  <c r="C15" i="5"/>
  <c r="C29" i="12"/>
  <c r="C14" i="1"/>
  <c r="C16" i="5"/>
  <c r="C30" i="12"/>
  <c r="C31" i="12"/>
  <c r="C32" i="12"/>
  <c r="C33" i="12"/>
  <c r="C15" i="1"/>
  <c r="C17" i="5"/>
  <c r="C34" i="12"/>
  <c r="C35" i="12"/>
  <c r="C36" i="12"/>
  <c r="C37" i="12"/>
  <c r="C38" i="12"/>
  <c r="C16" i="1"/>
  <c r="C18" i="5"/>
  <c r="C39" i="12"/>
  <c r="C40" i="12"/>
  <c r="C41" i="12"/>
  <c r="C17" i="1"/>
  <c r="C19" i="5"/>
  <c r="C42" i="12"/>
  <c r="C43" i="12"/>
  <c r="C44" i="12"/>
  <c r="C18" i="1"/>
  <c r="C20" i="5"/>
  <c r="C45" i="12"/>
  <c r="C46" i="12"/>
  <c r="C47" i="12"/>
  <c r="C19" i="1"/>
  <c r="C21" i="5"/>
  <c r="C48" i="12"/>
  <c r="C49" i="12"/>
  <c r="C20" i="1"/>
  <c r="C22" i="5"/>
  <c r="C50" i="12"/>
  <c r="C51" i="12"/>
  <c r="C21" i="1"/>
  <c r="C23" i="5"/>
  <c r="C52" i="12"/>
  <c r="C22" i="1"/>
  <c r="C24" i="5"/>
  <c r="C53" i="12"/>
  <c r="C54" i="12"/>
  <c r="C23" i="1"/>
  <c r="C25" i="5"/>
  <c r="C55" i="12"/>
  <c r="C56" i="12"/>
  <c r="C57" i="12"/>
  <c r="C24" i="1"/>
  <c r="C26" i="5"/>
  <c r="C58" i="12"/>
  <c r="C25" i="1"/>
  <c r="C27" i="5"/>
  <c r="C59" i="12"/>
  <c r="C26" i="1"/>
  <c r="C28" i="5"/>
  <c r="C60" i="12"/>
  <c r="C27" i="1"/>
  <c r="C29" i="5"/>
  <c r="C61" i="12"/>
  <c r="C28" i="1"/>
  <c r="C30" i="5"/>
  <c r="C62" i="12"/>
  <c r="C29" i="1"/>
  <c r="C31" i="5"/>
  <c r="C63" i="12"/>
  <c r="C30" i="1"/>
  <c r="C32" i="5"/>
  <c r="C64" i="12"/>
  <c r="C31" i="1"/>
  <c r="C33" i="5"/>
  <c r="C65" i="12"/>
  <c r="C66" i="12"/>
  <c r="C33" i="1"/>
  <c r="C35" i="5"/>
  <c r="C67" i="12"/>
  <c r="C36" i="1"/>
  <c r="C38" i="5"/>
  <c r="C68" i="12"/>
  <c r="C37" i="1"/>
  <c r="C39" i="5"/>
  <c r="C69" i="12"/>
  <c r="C70" i="12"/>
  <c r="C71" i="12"/>
  <c r="C72" i="12"/>
  <c r="C73" i="12"/>
  <c r="C38" i="1"/>
  <c r="C40" i="5"/>
  <c r="C74" i="12"/>
  <c r="C75" i="12"/>
  <c r="C39" i="1"/>
  <c r="C41" i="5"/>
  <c r="C76" i="12"/>
  <c r="C40" i="1"/>
  <c r="C42" i="5"/>
  <c r="C77" i="12"/>
  <c r="C42" i="1"/>
  <c r="C44" i="5"/>
  <c r="C78" i="12"/>
  <c r="C43" i="1"/>
  <c r="C45" i="5"/>
  <c r="C79" i="12"/>
  <c r="C44" i="1"/>
  <c r="C46" i="5"/>
  <c r="C80" i="12"/>
  <c r="C45" i="1"/>
  <c r="C47" i="5"/>
  <c r="C81" i="12"/>
  <c r="C46" i="1"/>
  <c r="C48" i="5"/>
  <c r="C82" i="12"/>
  <c r="C83" i="12"/>
  <c r="C47" i="1"/>
  <c r="C49" i="5"/>
  <c r="C84" i="12"/>
  <c r="C48" i="1"/>
  <c r="C50" i="5"/>
  <c r="C85" i="12"/>
  <c r="C86" i="12"/>
  <c r="C49" i="1"/>
  <c r="C51" i="5"/>
  <c r="C87" i="12"/>
  <c r="C50" i="1"/>
  <c r="C52" i="5"/>
  <c r="C88" i="12"/>
  <c r="C51" i="1"/>
  <c r="C53" i="5"/>
  <c r="C89" i="12"/>
  <c r="C52" i="1"/>
  <c r="C54" i="5"/>
  <c r="C90" i="12"/>
  <c r="C53" i="1"/>
  <c r="C55" i="5"/>
  <c r="C91" i="12"/>
  <c r="C54" i="1"/>
  <c r="C56" i="5"/>
  <c r="C92" i="12"/>
  <c r="C55" i="1"/>
  <c r="C57" i="5"/>
  <c r="C93" i="12"/>
  <c r="C56" i="1"/>
  <c r="C58" i="5"/>
  <c r="C94" i="12"/>
  <c r="C57" i="1"/>
  <c r="C59" i="5"/>
  <c r="C95" i="12"/>
  <c r="C58" i="1"/>
  <c r="C60" i="5"/>
  <c r="C96" i="12"/>
  <c r="C59" i="1"/>
  <c r="C61" i="5"/>
  <c r="C97" i="12"/>
  <c r="C60" i="1"/>
  <c r="C62" i="5"/>
  <c r="C98" i="12"/>
  <c r="C61" i="1"/>
  <c r="C63" i="5"/>
  <c r="C99" i="12"/>
  <c r="C62" i="1"/>
  <c r="C64" i="5"/>
  <c r="C100" i="12"/>
  <c r="C63" i="1"/>
  <c r="C65" i="5"/>
  <c r="C101" i="12"/>
  <c r="C64" i="1"/>
  <c r="C66" i="5"/>
  <c r="C102" i="12"/>
  <c r="C65" i="1"/>
  <c r="C67" i="5"/>
  <c r="C103" i="12"/>
  <c r="C66" i="1"/>
  <c r="C68" i="5"/>
  <c r="C104" i="12"/>
  <c r="C105" i="12"/>
  <c r="C67" i="1"/>
  <c r="C69" i="5"/>
  <c r="C106" i="12"/>
  <c r="C107" i="12"/>
  <c r="C108" i="12"/>
  <c r="C109" i="12"/>
  <c r="C68" i="1"/>
  <c r="C70" i="5"/>
  <c r="C110" i="12"/>
  <c r="C69" i="1"/>
  <c r="C71" i="5"/>
  <c r="C111" i="12"/>
  <c r="C70" i="1"/>
  <c r="C72" i="5"/>
  <c r="C112" i="12"/>
  <c r="C71" i="1"/>
  <c r="C73" i="5"/>
  <c r="C113" i="12"/>
  <c r="C72" i="1"/>
  <c r="C74" i="5"/>
  <c r="C114" i="12"/>
  <c r="C73" i="1"/>
  <c r="C75" i="5"/>
  <c r="C115" i="12"/>
  <c r="C74" i="1"/>
  <c r="C76" i="5"/>
  <c r="C116" i="12"/>
  <c r="C75" i="1"/>
  <c r="C77" i="5"/>
  <c r="C117" i="12"/>
  <c r="C78" i="1"/>
  <c r="C80" i="5"/>
  <c r="C118" i="12"/>
  <c r="C80" i="1"/>
  <c r="C82" i="5"/>
  <c r="C119" i="12"/>
  <c r="C81" i="1"/>
  <c r="C83" i="5"/>
  <c r="C120" i="12"/>
  <c r="C82" i="1"/>
  <c r="C84" i="5"/>
  <c r="C121" i="12"/>
  <c r="C83" i="1"/>
  <c r="C85" i="5"/>
  <c r="C122" i="12"/>
  <c r="C123" i="12"/>
  <c r="C85" i="1"/>
  <c r="C87" i="5"/>
  <c r="C124" i="12"/>
  <c r="C102" i="1"/>
  <c r="C104" i="5"/>
  <c r="C125" i="12"/>
  <c r="C126" i="12"/>
  <c r="C127" i="12"/>
  <c r="C103" i="1"/>
  <c r="C105" i="5"/>
  <c r="C128" i="12"/>
  <c r="C129" i="12"/>
  <c r="C104" i="1"/>
  <c r="C106" i="5"/>
  <c r="C130" i="12"/>
  <c r="C106" i="1"/>
  <c r="C108" i="5"/>
  <c r="C131" i="12"/>
  <c r="C108" i="1"/>
  <c r="C110" i="5"/>
  <c r="C132" i="12"/>
  <c r="C133" i="12"/>
  <c r="C134" i="12"/>
  <c r="C109" i="1"/>
  <c r="C111" i="5"/>
  <c r="C135" i="12"/>
  <c r="C110" i="1"/>
  <c r="C112" i="5"/>
  <c r="C136" i="12"/>
  <c r="C137" i="12"/>
  <c r="C111" i="1"/>
  <c r="C113" i="5"/>
  <c r="C138" i="12"/>
  <c r="C119" i="1"/>
  <c r="C121" i="5"/>
  <c r="C139" i="12"/>
  <c r="C120" i="1"/>
  <c r="C122" i="5"/>
  <c r="C140" i="12"/>
  <c r="C121" i="1"/>
  <c r="C123" i="5"/>
  <c r="C141" i="12"/>
  <c r="C142" i="12"/>
  <c r="C143" i="12"/>
  <c r="C125" i="1"/>
  <c r="C127" i="5"/>
  <c r="C144" i="12"/>
  <c r="C145" i="12"/>
  <c r="C146" i="12"/>
  <c r="C147" i="12"/>
  <c r="C148" i="12"/>
  <c r="C149" i="12"/>
  <c r="C150" i="12"/>
  <c r="C151" i="12"/>
  <c r="C152" i="12"/>
  <c r="L12" i="4"/>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C507" i="20"/>
  <c r="C508" i="20"/>
  <c r="C509" i="20"/>
  <c r="C510" i="20"/>
  <c r="C511" i="20"/>
  <c r="C512" i="20"/>
  <c r="C513" i="20"/>
  <c r="C514" i="20"/>
  <c r="C515" i="20"/>
  <c r="C516" i="20"/>
  <c r="C517" i="20"/>
  <c r="C518" i="20"/>
  <c r="C519" i="20"/>
  <c r="C520" i="20"/>
  <c r="C521" i="20"/>
  <c r="C522" i="20"/>
  <c r="C523" i="20"/>
  <c r="C524" i="20"/>
  <c r="C525" i="20"/>
  <c r="C526" i="20"/>
  <c r="C527" i="20"/>
  <c r="C528" i="20"/>
  <c r="C529" i="20"/>
  <c r="C530" i="20"/>
  <c r="C531" i="20"/>
  <c r="C532" i="20"/>
  <c r="C533" i="20"/>
  <c r="C534" i="20"/>
  <c r="C535" i="20"/>
  <c r="C536" i="20"/>
  <c r="C537" i="20"/>
  <c r="C538" i="20"/>
  <c r="C539" i="20"/>
  <c r="C540" i="20"/>
  <c r="C541" i="20"/>
  <c r="C542" i="20"/>
  <c r="C543" i="20"/>
  <c r="C544" i="20"/>
  <c r="C545" i="20"/>
  <c r="C546" i="20"/>
  <c r="C547" i="20"/>
  <c r="C548" i="20"/>
  <c r="C549" i="20"/>
  <c r="C550" i="20"/>
  <c r="C551" i="20"/>
  <c r="C552" i="20"/>
  <c r="C553" i="20"/>
  <c r="C554" i="20"/>
  <c r="C555" i="20"/>
  <c r="C556" i="20"/>
  <c r="C557" i="20"/>
  <c r="C558" i="20"/>
  <c r="C559" i="20"/>
  <c r="C560" i="20"/>
  <c r="C561" i="20"/>
  <c r="C562" i="20"/>
  <c r="C563" i="20"/>
  <c r="C564" i="20"/>
  <c r="C565" i="20"/>
  <c r="C566" i="20"/>
  <c r="C567" i="20"/>
  <c r="C568" i="20"/>
  <c r="C569" i="20"/>
  <c r="C570" i="20"/>
  <c r="C571" i="20"/>
  <c r="C572" i="20"/>
  <c r="C573" i="20"/>
  <c r="C574" i="20"/>
  <c r="C575" i="20"/>
  <c r="C576" i="20"/>
  <c r="C577" i="20"/>
  <c r="C578" i="20"/>
  <c r="C579" i="20"/>
  <c r="C580" i="20"/>
  <c r="C581" i="20"/>
  <c r="C582" i="20"/>
  <c r="C583" i="20"/>
  <c r="C584" i="20"/>
  <c r="C585" i="20"/>
  <c r="C586" i="20"/>
  <c r="C587" i="20"/>
  <c r="C588" i="20"/>
  <c r="C589" i="20"/>
  <c r="C590" i="20"/>
  <c r="C591" i="20"/>
  <c r="C592" i="20"/>
  <c r="C593" i="20"/>
  <c r="C594" i="20"/>
  <c r="C595" i="20"/>
  <c r="C596" i="20"/>
  <c r="C597" i="20"/>
  <c r="C598" i="20"/>
  <c r="C599" i="20"/>
  <c r="C600" i="20"/>
  <c r="C601" i="20"/>
  <c r="C602" i="20"/>
  <c r="C603" i="20"/>
  <c r="C604" i="20"/>
  <c r="C605" i="20"/>
  <c r="C606" i="20"/>
  <c r="C607" i="20"/>
  <c r="C608" i="20"/>
  <c r="C609" i="20"/>
  <c r="C610" i="20"/>
  <c r="C611" i="20"/>
  <c r="C612" i="20"/>
  <c r="C613" i="20"/>
  <c r="C614" i="20"/>
  <c r="C615" i="20"/>
  <c r="C616" i="20"/>
  <c r="C617" i="20"/>
  <c r="C618" i="20"/>
  <c r="C619" i="20"/>
  <c r="C620" i="20"/>
  <c r="C621" i="20"/>
  <c r="C622" i="20"/>
  <c r="C623" i="20"/>
  <c r="C624" i="20"/>
  <c r="C625" i="20"/>
  <c r="C626" i="20"/>
  <c r="C627" i="20"/>
  <c r="C628" i="20"/>
  <c r="C629" i="20"/>
  <c r="C630" i="20"/>
  <c r="C631" i="20"/>
  <c r="C632" i="20"/>
  <c r="C633" i="20"/>
  <c r="C634" i="20"/>
  <c r="C635" i="20"/>
  <c r="C636" i="20"/>
  <c r="C637" i="20"/>
  <c r="C638" i="20"/>
  <c r="C639" i="20"/>
  <c r="C640" i="20"/>
  <c r="C641" i="20"/>
  <c r="C642" i="20"/>
  <c r="C643" i="20"/>
  <c r="C644" i="20"/>
  <c r="C645" i="20"/>
  <c r="C646" i="20"/>
  <c r="C647" i="20"/>
  <c r="C648" i="20"/>
  <c r="C649" i="20"/>
  <c r="C650" i="20"/>
  <c r="C651" i="20"/>
  <c r="C652" i="20"/>
  <c r="C653" i="20"/>
  <c r="C654" i="20"/>
  <c r="C655" i="20"/>
  <c r="C656" i="20"/>
  <c r="C657" i="20"/>
  <c r="C658" i="20"/>
  <c r="C659" i="20"/>
  <c r="C660" i="20"/>
  <c r="C661" i="20"/>
  <c r="C662" i="20"/>
  <c r="C663" i="20"/>
  <c r="C664" i="20"/>
  <c r="C665" i="20"/>
  <c r="C666" i="20"/>
  <c r="C667" i="20"/>
  <c r="C668" i="20"/>
  <c r="C669" i="20"/>
  <c r="C670" i="20"/>
  <c r="C671" i="20"/>
  <c r="C672" i="20"/>
  <c r="C673" i="20"/>
  <c r="C674" i="20"/>
  <c r="C675" i="20"/>
  <c r="C676" i="20"/>
  <c r="C677" i="20"/>
  <c r="C678" i="20"/>
  <c r="C679" i="20"/>
  <c r="C680" i="20"/>
  <c r="C681" i="20"/>
  <c r="C682" i="20"/>
  <c r="C683" i="20"/>
  <c r="C684" i="20"/>
  <c r="C685" i="20"/>
  <c r="C686" i="20"/>
  <c r="C687" i="20"/>
  <c r="C688" i="20"/>
  <c r="C689" i="20"/>
  <c r="C690" i="20"/>
  <c r="C691" i="20"/>
  <c r="C692" i="20"/>
  <c r="C693" i="20"/>
  <c r="C694" i="20"/>
  <c r="C695" i="20"/>
  <c r="C696" i="20"/>
  <c r="C697" i="20"/>
  <c r="C698" i="20"/>
  <c r="C699" i="20"/>
  <c r="C700" i="20"/>
  <c r="C701" i="20"/>
  <c r="C702" i="20"/>
  <c r="C703" i="20"/>
  <c r="C704" i="20"/>
  <c r="C705" i="20"/>
  <c r="C706" i="20"/>
  <c r="C707" i="20"/>
  <c r="C708" i="20"/>
  <c r="C709" i="20"/>
  <c r="C710" i="20"/>
  <c r="C711" i="20"/>
  <c r="C712" i="20"/>
  <c r="C713" i="20"/>
  <c r="C714" i="20"/>
  <c r="C715" i="20"/>
  <c r="C716" i="20"/>
  <c r="C717" i="20"/>
  <c r="C718" i="20"/>
  <c r="C719" i="20"/>
  <c r="C720" i="20"/>
  <c r="C721" i="20"/>
  <c r="C722" i="20"/>
  <c r="C723" i="20"/>
  <c r="C724" i="20"/>
  <c r="C725" i="20"/>
  <c r="C726" i="20"/>
  <c r="C727" i="20"/>
  <c r="C728" i="20"/>
  <c r="C729" i="20"/>
  <c r="C730" i="20"/>
  <c r="C731" i="20"/>
  <c r="C732" i="20"/>
  <c r="C733" i="20"/>
  <c r="C734" i="20"/>
  <c r="C735" i="20"/>
  <c r="C736" i="20"/>
  <c r="C737" i="20"/>
  <c r="C738" i="20"/>
  <c r="C739" i="20"/>
  <c r="C740" i="20"/>
  <c r="C741" i="20"/>
  <c r="C742" i="20"/>
  <c r="C743" i="20"/>
  <c r="C744" i="20"/>
  <c r="C745" i="20"/>
  <c r="C746" i="20"/>
  <c r="C747" i="20"/>
  <c r="C748" i="20"/>
  <c r="C749" i="20"/>
  <c r="C750" i="20"/>
  <c r="C751" i="20"/>
  <c r="C752" i="20"/>
  <c r="C753" i="20"/>
  <c r="C754" i="20"/>
  <c r="C755" i="20"/>
  <c r="C756" i="20"/>
  <c r="C757" i="20"/>
  <c r="C758" i="20"/>
  <c r="C759" i="20"/>
  <c r="C760" i="20"/>
  <c r="C761" i="20"/>
  <c r="C762" i="20"/>
  <c r="C763" i="20"/>
  <c r="C764" i="20"/>
  <c r="C765" i="20"/>
  <c r="C766" i="20"/>
  <c r="C767" i="20"/>
  <c r="C768" i="20"/>
  <c r="C769" i="20"/>
  <c r="C770" i="20"/>
  <c r="C771" i="20"/>
  <c r="C772" i="20"/>
  <c r="C773" i="20"/>
  <c r="C774" i="20"/>
  <c r="C775" i="20"/>
  <c r="C776" i="20"/>
  <c r="C777" i="20"/>
  <c r="C778" i="20"/>
  <c r="C779" i="20"/>
  <c r="C780" i="20"/>
  <c r="C781" i="20"/>
  <c r="C782" i="20"/>
  <c r="C783" i="20"/>
  <c r="C784" i="20"/>
  <c r="C785" i="20"/>
  <c r="C786" i="20"/>
  <c r="C787" i="20"/>
  <c r="C788" i="20"/>
  <c r="C789" i="20"/>
  <c r="C790" i="20"/>
  <c r="C791" i="20"/>
  <c r="C792" i="20"/>
  <c r="C793" i="20"/>
  <c r="C794" i="20"/>
  <c r="C795" i="20"/>
  <c r="C796" i="20"/>
  <c r="C797" i="20"/>
  <c r="C798" i="20"/>
  <c r="C799" i="20"/>
  <c r="C800" i="20"/>
  <c r="C801" i="20"/>
  <c r="C802" i="20"/>
  <c r="C803" i="20"/>
  <c r="C804" i="20"/>
  <c r="C805" i="20"/>
  <c r="C806" i="20"/>
  <c r="C807" i="20"/>
  <c r="C808" i="20"/>
  <c r="C809" i="20"/>
  <c r="C810" i="20"/>
  <c r="C811" i="20"/>
  <c r="C812" i="20"/>
  <c r="C813" i="20"/>
  <c r="C814" i="20"/>
  <c r="C815" i="20"/>
  <c r="C816" i="20"/>
  <c r="C817" i="20"/>
  <c r="C818" i="20"/>
  <c r="C819" i="20"/>
  <c r="C820" i="20"/>
  <c r="C821" i="20"/>
  <c r="C822" i="20"/>
  <c r="C823" i="20"/>
  <c r="C824" i="20"/>
  <c r="C825" i="20"/>
  <c r="C826" i="20"/>
  <c r="C827" i="20"/>
  <c r="C828" i="20"/>
  <c r="C829" i="20"/>
  <c r="C830" i="20"/>
  <c r="C831" i="20"/>
  <c r="C832" i="20"/>
  <c r="C833" i="20"/>
  <c r="C834" i="20"/>
  <c r="C835" i="20"/>
  <c r="C836" i="20"/>
  <c r="C837" i="20"/>
  <c r="C838" i="20"/>
  <c r="C839" i="20"/>
  <c r="C840" i="20"/>
  <c r="C841" i="20"/>
  <c r="C842" i="20"/>
  <c r="C843" i="20"/>
  <c r="C844" i="20"/>
  <c r="C845" i="20"/>
  <c r="C846" i="20"/>
  <c r="C847" i="20"/>
  <c r="C848" i="20"/>
  <c r="C849" i="20"/>
  <c r="C850" i="20"/>
  <c r="C851" i="20"/>
  <c r="C852" i="20"/>
  <c r="C853" i="20"/>
  <c r="C854" i="20"/>
  <c r="C855" i="20"/>
  <c r="C856" i="20"/>
  <c r="C857" i="20"/>
  <c r="C858" i="20"/>
  <c r="C859" i="20"/>
  <c r="C860" i="20"/>
  <c r="C861" i="20"/>
  <c r="C862" i="20"/>
  <c r="C863" i="20"/>
  <c r="C864" i="20"/>
  <c r="C865" i="20"/>
  <c r="C866" i="20"/>
  <c r="C867" i="20"/>
  <c r="C868" i="20"/>
  <c r="C869" i="20"/>
  <c r="C870" i="20"/>
  <c r="C871" i="20"/>
  <c r="C872" i="20"/>
  <c r="C873" i="20"/>
  <c r="C874" i="20"/>
  <c r="C875" i="20"/>
  <c r="C876" i="20"/>
  <c r="C877" i="20"/>
  <c r="C878" i="20"/>
  <c r="C879" i="20"/>
  <c r="C880" i="20"/>
  <c r="C881" i="20"/>
  <c r="C882" i="20"/>
  <c r="C883" i="20"/>
  <c r="C884" i="20"/>
  <c r="C885" i="20"/>
  <c r="C886" i="20"/>
  <c r="C887" i="20"/>
  <c r="C888" i="20"/>
  <c r="C889" i="20"/>
  <c r="C890" i="20"/>
  <c r="C891" i="20"/>
  <c r="C892" i="20"/>
  <c r="C893" i="20"/>
  <c r="C894" i="20"/>
  <c r="C895" i="20"/>
  <c r="C896" i="20"/>
  <c r="C897" i="20"/>
  <c r="C898" i="20"/>
  <c r="C899" i="20"/>
  <c r="C900" i="20"/>
  <c r="C901" i="20"/>
  <c r="C902" i="20"/>
  <c r="C903" i="20"/>
  <c r="C904" i="20"/>
  <c r="C905" i="20"/>
  <c r="C906" i="20"/>
  <c r="C907" i="20"/>
  <c r="C908" i="20"/>
  <c r="C909" i="20"/>
  <c r="C910" i="20"/>
  <c r="C911" i="20"/>
  <c r="C912" i="20"/>
  <c r="C913" i="20"/>
  <c r="C914" i="20"/>
  <c r="C915" i="20"/>
  <c r="C916" i="20"/>
  <c r="C917" i="20"/>
  <c r="C918" i="20"/>
  <c r="C919" i="20"/>
  <c r="C920" i="20"/>
  <c r="C921" i="20"/>
  <c r="C922" i="20"/>
  <c r="C923" i="20"/>
  <c r="C924" i="20"/>
  <c r="C925" i="20"/>
  <c r="C926" i="20"/>
  <c r="C927" i="20"/>
  <c r="C928" i="20"/>
  <c r="C929" i="20"/>
  <c r="C930" i="20"/>
  <c r="C931" i="20"/>
  <c r="C932" i="20"/>
  <c r="C933" i="20"/>
  <c r="C934" i="20"/>
  <c r="C935" i="20"/>
  <c r="C936" i="20"/>
  <c r="C937" i="20"/>
  <c r="C938" i="20"/>
  <c r="C939" i="20"/>
  <c r="C940" i="20"/>
  <c r="C941" i="20"/>
  <c r="C942" i="20"/>
  <c r="C943" i="20"/>
  <c r="C944" i="20"/>
  <c r="C945" i="20"/>
  <c r="C946" i="20"/>
  <c r="C947" i="20"/>
  <c r="C948" i="20"/>
  <c r="C949" i="20"/>
  <c r="C950" i="20"/>
  <c r="C951" i="20"/>
  <c r="C952" i="20"/>
  <c r="C953" i="20"/>
  <c r="C954" i="20"/>
  <c r="C955" i="20"/>
  <c r="C956" i="20"/>
  <c r="C957" i="20"/>
  <c r="C958" i="20"/>
  <c r="C959" i="20"/>
  <c r="C960" i="20"/>
  <c r="C961" i="20"/>
  <c r="C962" i="20"/>
  <c r="C963" i="20"/>
  <c r="C964" i="20"/>
  <c r="C965" i="20"/>
  <c r="C966" i="20"/>
  <c r="C967" i="20"/>
  <c r="C968" i="20"/>
  <c r="C969" i="20"/>
  <c r="C970" i="20"/>
  <c r="C971" i="20"/>
  <c r="C972" i="20"/>
  <c r="C973" i="20"/>
  <c r="C974" i="20"/>
  <c r="C975" i="20"/>
  <c r="C976" i="20"/>
  <c r="C977" i="20"/>
  <c r="C978" i="20"/>
  <c r="C979" i="20"/>
  <c r="C980" i="20"/>
  <c r="C981" i="20"/>
  <c r="C982" i="20"/>
  <c r="C983" i="20"/>
  <c r="C984" i="20"/>
  <c r="C985" i="20"/>
  <c r="C986" i="20"/>
  <c r="C987" i="20"/>
  <c r="C988" i="20"/>
  <c r="C989" i="20"/>
  <c r="C990" i="20"/>
  <c r="C991" i="20"/>
  <c r="C992" i="20"/>
  <c r="C993" i="20"/>
  <c r="C994" i="20"/>
  <c r="C995" i="20"/>
  <c r="C996" i="20"/>
  <c r="C997" i="20"/>
  <c r="C998" i="20"/>
  <c r="C999" i="20"/>
  <c r="C1000" i="20"/>
  <c r="B2" i="1"/>
  <c r="C666" i="1"/>
  <c r="C669" i="1"/>
  <c r="C3" i="11"/>
  <c r="B651" i="1"/>
  <c r="A12" i="6"/>
  <c r="B594" i="1"/>
  <c r="B4" i="9"/>
  <c r="B595" i="1"/>
  <c r="B5" i="9"/>
  <c r="B596" i="1"/>
  <c r="B6" i="9"/>
  <c r="B597" i="1"/>
  <c r="B7" i="9"/>
  <c r="B598" i="1"/>
  <c r="B8" i="9"/>
  <c r="B599" i="1"/>
  <c r="B9" i="9"/>
  <c r="B600" i="1"/>
  <c r="B10" i="9"/>
  <c r="B601" i="1"/>
  <c r="B11" i="9"/>
  <c r="B602" i="1"/>
  <c r="B12" i="9"/>
  <c r="B603" i="1"/>
  <c r="B13" i="9"/>
  <c r="B604" i="1"/>
  <c r="B14" i="9"/>
  <c r="B605" i="1"/>
  <c r="B15" i="9"/>
  <c r="B606" i="1"/>
  <c r="B16" i="9"/>
  <c r="B607" i="1"/>
  <c r="B17" i="9"/>
  <c r="B608" i="1"/>
  <c r="B18" i="9"/>
  <c r="B609" i="1"/>
  <c r="B19" i="9"/>
  <c r="B610" i="1"/>
  <c r="B20" i="9"/>
  <c r="B611" i="1"/>
  <c r="B21" i="9"/>
  <c r="B612" i="1"/>
  <c r="B22" i="9"/>
  <c r="B613" i="1"/>
  <c r="B23" i="9"/>
  <c r="B614" i="1"/>
  <c r="B24" i="9"/>
  <c r="B615" i="1"/>
  <c r="B25" i="9"/>
  <c r="B616" i="1"/>
  <c r="B26" i="9"/>
  <c r="B617" i="1"/>
  <c r="B27" i="9"/>
  <c r="B618" i="1"/>
  <c r="B28" i="9"/>
  <c r="B619" i="1"/>
  <c r="B29" i="9"/>
  <c r="B620" i="1"/>
  <c r="B30" i="9"/>
  <c r="B621" i="1"/>
  <c r="B31" i="9"/>
  <c r="B622" i="1"/>
  <c r="B32" i="9"/>
  <c r="B623" i="1"/>
  <c r="B33" i="9"/>
  <c r="B624" i="1"/>
  <c r="B34" i="9"/>
  <c r="B625" i="1"/>
  <c r="B35" i="9"/>
  <c r="B626" i="1"/>
  <c r="B36" i="9"/>
  <c r="B627" i="1"/>
  <c r="B37" i="9"/>
  <c r="B628" i="1"/>
  <c r="B38" i="9"/>
  <c r="B629" i="1"/>
  <c r="B39" i="9"/>
  <c r="B630" i="1"/>
  <c r="B40" i="9"/>
  <c r="B631" i="1"/>
  <c r="B41" i="9"/>
  <c r="B632" i="1"/>
  <c r="B42" i="9"/>
  <c r="B633" i="1"/>
  <c r="B43" i="9"/>
  <c r="B634" i="1"/>
  <c r="B44" i="9"/>
  <c r="B635" i="1"/>
  <c r="B45" i="9"/>
  <c r="B636" i="1"/>
  <c r="B46" i="9"/>
  <c r="B637" i="1"/>
  <c r="B47" i="9"/>
  <c r="B638" i="1"/>
  <c r="B48" i="9"/>
  <c r="B639" i="1"/>
  <c r="B49" i="9"/>
  <c r="B640" i="1"/>
  <c r="B50" i="9"/>
  <c r="B641" i="1"/>
  <c r="B51" i="9"/>
  <c r="B642" i="1"/>
  <c r="B52" i="9"/>
  <c r="B643" i="1"/>
  <c r="B53" i="9"/>
  <c r="B644" i="1"/>
  <c r="B54" i="9"/>
  <c r="B645" i="1"/>
  <c r="B55" i="9"/>
  <c r="B646" i="1"/>
  <c r="B56" i="9"/>
  <c r="B647" i="1"/>
  <c r="B57" i="9"/>
  <c r="B648" i="1"/>
  <c r="B58" i="9"/>
  <c r="B649" i="1"/>
  <c r="B59" i="9"/>
  <c r="B650" i="1"/>
  <c r="B60" i="9"/>
  <c r="B61" i="9"/>
  <c r="B652" i="1"/>
  <c r="B62" i="9"/>
  <c r="B653" i="1"/>
  <c r="B63" i="9"/>
  <c r="B654" i="1"/>
  <c r="B64" i="9"/>
  <c r="B655" i="1"/>
  <c r="B65" i="9"/>
  <c r="B656" i="1"/>
  <c r="B66" i="9"/>
  <c r="B657" i="1"/>
  <c r="B67" i="9"/>
  <c r="B658" i="1"/>
  <c r="B68" i="9"/>
  <c r="B659" i="1"/>
  <c r="B69" i="9"/>
  <c r="B660" i="1"/>
  <c r="B70" i="9"/>
  <c r="B661" i="1"/>
  <c r="B71" i="9"/>
  <c r="B662" i="1"/>
  <c r="B72" i="9"/>
  <c r="B663" i="1"/>
  <c r="B73" i="9"/>
  <c r="B664" i="1"/>
  <c r="B74" i="9"/>
  <c r="B665" i="1"/>
  <c r="B75" i="9"/>
  <c r="C668" i="1"/>
  <c r="E12" i="6"/>
  <c r="A13" i="6"/>
  <c r="E13" i="6"/>
  <c r="B444" i="1"/>
  <c r="B4" i="8"/>
  <c r="B445" i="1"/>
  <c r="B5" i="8"/>
  <c r="B446" i="1"/>
  <c r="B6" i="8"/>
  <c r="B447" i="1"/>
  <c r="B7" i="8"/>
  <c r="B448" i="1"/>
  <c r="B8" i="8"/>
  <c r="B449" i="1"/>
  <c r="B9" i="8"/>
  <c r="B450" i="1"/>
  <c r="B10" i="8"/>
  <c r="B451" i="1"/>
  <c r="B11" i="8"/>
  <c r="B452" i="1"/>
  <c r="B12" i="8"/>
  <c r="B453" i="1"/>
  <c r="B13" i="8"/>
  <c r="B454" i="1"/>
  <c r="B14" i="8"/>
  <c r="B455" i="1"/>
  <c r="B15" i="8"/>
  <c r="B456" i="1"/>
  <c r="B16" i="8"/>
  <c r="B457" i="1"/>
  <c r="B17" i="8"/>
  <c r="B458" i="1"/>
  <c r="B18" i="8"/>
  <c r="B459" i="1"/>
  <c r="B19" i="8"/>
  <c r="B460" i="1"/>
  <c r="B20" i="8"/>
  <c r="B461" i="1"/>
  <c r="B21" i="8"/>
  <c r="B462" i="1"/>
  <c r="B22" i="8"/>
  <c r="B463" i="1"/>
  <c r="B23" i="8"/>
  <c r="B464" i="1"/>
  <c r="B24" i="8"/>
  <c r="B465" i="1"/>
  <c r="B25" i="8"/>
  <c r="B466" i="1"/>
  <c r="B26" i="8"/>
  <c r="B467" i="1"/>
  <c r="B27" i="8"/>
  <c r="B468" i="1"/>
  <c r="B28" i="8"/>
  <c r="B469" i="1"/>
  <c r="B29" i="8"/>
  <c r="B470" i="1"/>
  <c r="B30" i="8"/>
  <c r="B471" i="1"/>
  <c r="B31" i="8"/>
  <c r="B472" i="1"/>
  <c r="B32" i="8"/>
  <c r="B473" i="1"/>
  <c r="B33" i="8"/>
  <c r="B474" i="1"/>
  <c r="B34" i="8"/>
  <c r="B475" i="1"/>
  <c r="B35" i="8"/>
  <c r="B476" i="1"/>
  <c r="B36" i="8"/>
  <c r="B477" i="1"/>
  <c r="B37" i="8"/>
  <c r="B478" i="1"/>
  <c r="B38" i="8"/>
  <c r="B479" i="1"/>
  <c r="B39" i="8"/>
  <c r="B480" i="1"/>
  <c r="B40" i="8"/>
  <c r="B481" i="1"/>
  <c r="B41" i="8"/>
  <c r="B482" i="1"/>
  <c r="B42" i="8"/>
  <c r="B483" i="1"/>
  <c r="B43" i="8"/>
  <c r="B484" i="1"/>
  <c r="B44" i="8"/>
  <c r="B485" i="1"/>
  <c r="B45" i="8"/>
  <c r="B486" i="1"/>
  <c r="B46" i="8"/>
  <c r="B487" i="1"/>
  <c r="B47" i="8"/>
  <c r="B488" i="1"/>
  <c r="B48" i="8"/>
  <c r="B489" i="1"/>
  <c r="B49" i="8"/>
  <c r="B490" i="1"/>
  <c r="B50" i="8"/>
  <c r="B491" i="1"/>
  <c r="B51" i="8"/>
  <c r="B492" i="1"/>
  <c r="B52" i="8"/>
  <c r="B493" i="1"/>
  <c r="B53" i="8"/>
  <c r="B494" i="1"/>
  <c r="B54" i="8"/>
  <c r="B495" i="1"/>
  <c r="B55" i="8"/>
  <c r="B496" i="1"/>
  <c r="B56" i="8"/>
  <c r="B497" i="1"/>
  <c r="B57" i="8"/>
  <c r="B498" i="1"/>
  <c r="B58" i="8"/>
  <c r="B499" i="1"/>
  <c r="B59" i="8"/>
  <c r="B500" i="1"/>
  <c r="B60" i="8"/>
  <c r="B501" i="1"/>
  <c r="B61" i="8"/>
  <c r="B502" i="1"/>
  <c r="B62" i="8"/>
  <c r="B503" i="1"/>
  <c r="B63" i="8"/>
  <c r="B504" i="1"/>
  <c r="B64" i="8"/>
  <c r="B505" i="1"/>
  <c r="B65" i="8"/>
  <c r="B506" i="1"/>
  <c r="B66" i="8"/>
  <c r="B507" i="1"/>
  <c r="B67" i="8"/>
  <c r="B508" i="1"/>
  <c r="B68" i="8"/>
  <c r="B509" i="1"/>
  <c r="B69" i="8"/>
  <c r="B510" i="1"/>
  <c r="B70" i="8"/>
  <c r="B511" i="1"/>
  <c r="B71" i="8"/>
  <c r="B512" i="1"/>
  <c r="B72" i="8"/>
  <c r="B513" i="1"/>
  <c r="B73" i="8"/>
  <c r="B514" i="1"/>
  <c r="B74" i="8"/>
  <c r="B515" i="1"/>
  <c r="B75" i="8"/>
  <c r="B516" i="1"/>
  <c r="B76" i="8"/>
  <c r="B517" i="1"/>
  <c r="B77" i="8"/>
  <c r="B518" i="1"/>
  <c r="B78" i="8"/>
  <c r="B519" i="1"/>
  <c r="B79" i="8"/>
  <c r="B520" i="1"/>
  <c r="B80" i="8"/>
  <c r="B521" i="1"/>
  <c r="B81" i="8"/>
  <c r="B522" i="1"/>
  <c r="B82" i="8"/>
  <c r="B523" i="1"/>
  <c r="B83" i="8"/>
  <c r="B524" i="1"/>
  <c r="B84" i="8"/>
  <c r="B525" i="1"/>
  <c r="B85" i="8"/>
  <c r="B526" i="1"/>
  <c r="B86" i="8"/>
  <c r="B527" i="1"/>
  <c r="B87" i="8"/>
  <c r="B528" i="1"/>
  <c r="B88" i="8"/>
  <c r="B529" i="1"/>
  <c r="B89" i="8"/>
  <c r="B530" i="1"/>
  <c r="B90" i="8"/>
  <c r="B531" i="1"/>
  <c r="B91" i="8"/>
  <c r="B532" i="1"/>
  <c r="B92" i="8"/>
  <c r="B533" i="1"/>
  <c r="B93" i="8"/>
  <c r="B534" i="1"/>
  <c r="B94" i="8"/>
  <c r="B535" i="1"/>
  <c r="B95" i="8"/>
  <c r="B536" i="1"/>
  <c r="B96" i="8"/>
  <c r="B537" i="1"/>
  <c r="B97" i="8"/>
  <c r="B538" i="1"/>
  <c r="B98" i="8"/>
  <c r="B539" i="1"/>
  <c r="B99" i="8"/>
  <c r="B540" i="1"/>
  <c r="B100" i="8"/>
  <c r="B541" i="1"/>
  <c r="B101" i="8"/>
  <c r="B542" i="1"/>
  <c r="B102" i="8"/>
  <c r="B543" i="1"/>
  <c r="B103" i="8"/>
  <c r="B544" i="1"/>
  <c r="B104" i="8"/>
  <c r="B545" i="1"/>
  <c r="B105" i="8"/>
  <c r="B546" i="1"/>
  <c r="B106" i="8"/>
  <c r="B547" i="1"/>
  <c r="B107" i="8"/>
  <c r="B548" i="1"/>
  <c r="B108" i="8"/>
  <c r="B549" i="1"/>
  <c r="B109" i="8"/>
  <c r="B550" i="1"/>
  <c r="B110" i="8"/>
  <c r="B551" i="1"/>
  <c r="B111" i="8"/>
  <c r="B552" i="1"/>
  <c r="B112" i="8"/>
  <c r="B553" i="1"/>
  <c r="B113" i="8"/>
  <c r="B554" i="1"/>
  <c r="B114" i="8"/>
  <c r="B555" i="1"/>
  <c r="B115" i="8"/>
  <c r="B556" i="1"/>
  <c r="B116" i="8"/>
  <c r="B557" i="1"/>
  <c r="B117" i="8"/>
  <c r="B558" i="1"/>
  <c r="B118" i="8"/>
  <c r="B559" i="1"/>
  <c r="B119" i="8"/>
  <c r="B560" i="1"/>
  <c r="B120" i="8"/>
  <c r="B561" i="1"/>
  <c r="B121" i="8"/>
  <c r="B562" i="1"/>
  <c r="B122" i="8"/>
  <c r="B563" i="1"/>
  <c r="B123" i="8"/>
  <c r="B564" i="1"/>
  <c r="B124" i="8"/>
  <c r="B565" i="1"/>
  <c r="B125" i="8"/>
  <c r="B566" i="1"/>
  <c r="B126" i="8"/>
  <c r="B567" i="1"/>
  <c r="B127" i="8"/>
  <c r="B568" i="1"/>
  <c r="B128" i="8"/>
  <c r="B569" i="1"/>
  <c r="B129" i="8"/>
  <c r="B570" i="1"/>
  <c r="B130" i="8"/>
  <c r="B571" i="1"/>
  <c r="B131" i="8"/>
  <c r="B572" i="1"/>
  <c r="B132" i="8"/>
  <c r="B573" i="1"/>
  <c r="B133" i="8"/>
  <c r="B574" i="1"/>
  <c r="B134" i="8"/>
  <c r="B575" i="1"/>
  <c r="B135" i="8"/>
  <c r="B576" i="1"/>
  <c r="B136" i="8"/>
  <c r="B577" i="1"/>
  <c r="B137" i="8"/>
  <c r="B578" i="1"/>
  <c r="B138" i="8"/>
  <c r="B579" i="1"/>
  <c r="B139" i="8"/>
  <c r="B580" i="1"/>
  <c r="B140" i="8"/>
  <c r="B581" i="1"/>
  <c r="B141" i="8"/>
  <c r="B582" i="1"/>
  <c r="B142" i="8"/>
  <c r="B583" i="1"/>
  <c r="B143" i="8"/>
  <c r="B584" i="1"/>
  <c r="B144" i="8"/>
  <c r="B585" i="1"/>
  <c r="B145" i="8"/>
  <c r="B586" i="1"/>
  <c r="B146" i="8"/>
  <c r="B587" i="1"/>
  <c r="B147" i="8"/>
  <c r="B588" i="1"/>
  <c r="B148" i="8"/>
  <c r="B589" i="1"/>
  <c r="B149" i="8"/>
  <c r="B590" i="1"/>
  <c r="B150" i="8"/>
  <c r="B591" i="1"/>
  <c r="B151" i="8"/>
  <c r="B592" i="1"/>
  <c r="B152" i="8"/>
  <c r="B593" i="1"/>
  <c r="B153" i="8"/>
  <c r="D12" i="6"/>
  <c r="D13" i="6"/>
  <c r="B128" i="1"/>
  <c r="B4" i="7"/>
  <c r="B129" i="1"/>
  <c r="B5" i="7"/>
  <c r="B130" i="1"/>
  <c r="B6" i="7"/>
  <c r="B131" i="1"/>
  <c r="B7" i="7"/>
  <c r="B132" i="1"/>
  <c r="B8" i="7"/>
  <c r="B133" i="1"/>
  <c r="B9" i="7"/>
  <c r="B134" i="1"/>
  <c r="B10" i="7"/>
  <c r="B135" i="1"/>
  <c r="B11" i="7"/>
  <c r="B136" i="1"/>
  <c r="B12" i="7"/>
  <c r="B137" i="1"/>
  <c r="B13" i="7"/>
  <c r="B138" i="1"/>
  <c r="B14" i="7"/>
  <c r="B139" i="1"/>
  <c r="B15" i="7"/>
  <c r="B140" i="1"/>
  <c r="B16" i="7"/>
  <c r="B141" i="1"/>
  <c r="B17" i="7"/>
  <c r="B142" i="1"/>
  <c r="B18" i="7"/>
  <c r="B143" i="1"/>
  <c r="B19" i="7"/>
  <c r="B144" i="1"/>
  <c r="B20" i="7"/>
  <c r="B145" i="1"/>
  <c r="B21" i="7"/>
  <c r="B146" i="1"/>
  <c r="B22" i="7"/>
  <c r="B147" i="1"/>
  <c r="B23" i="7"/>
  <c r="B148" i="1"/>
  <c r="B24" i="7"/>
  <c r="B149" i="1"/>
  <c r="B25" i="7"/>
  <c r="B150" i="1"/>
  <c r="B26" i="7"/>
  <c r="B151" i="1"/>
  <c r="B27" i="7"/>
  <c r="B152" i="1"/>
  <c r="B28" i="7"/>
  <c r="B153" i="1"/>
  <c r="B29" i="7"/>
  <c r="B154" i="1"/>
  <c r="B30" i="7"/>
  <c r="B155" i="1"/>
  <c r="B31" i="7"/>
  <c r="B156" i="1"/>
  <c r="B32" i="7"/>
  <c r="B157" i="1"/>
  <c r="B33" i="7"/>
  <c r="B158" i="1"/>
  <c r="B34" i="7"/>
  <c r="B159" i="1"/>
  <c r="B35" i="7"/>
  <c r="B160" i="1"/>
  <c r="B36" i="7"/>
  <c r="B161" i="1"/>
  <c r="B37" i="7"/>
  <c r="B162" i="1"/>
  <c r="B38" i="7"/>
  <c r="B163" i="1"/>
  <c r="B39" i="7"/>
  <c r="B164" i="1"/>
  <c r="B40" i="7"/>
  <c r="B165" i="1"/>
  <c r="B41" i="7"/>
  <c r="B166" i="1"/>
  <c r="B42" i="7"/>
  <c r="B167" i="1"/>
  <c r="B43" i="7"/>
  <c r="B168" i="1"/>
  <c r="B44" i="7"/>
  <c r="B169" i="1"/>
  <c r="B45" i="7"/>
  <c r="B170" i="1"/>
  <c r="B46" i="7"/>
  <c r="B171" i="1"/>
  <c r="B47" i="7"/>
  <c r="B172" i="1"/>
  <c r="B48" i="7"/>
  <c r="B173" i="1"/>
  <c r="B49" i="7"/>
  <c r="B174" i="1"/>
  <c r="B50" i="7"/>
  <c r="B175" i="1"/>
  <c r="B51" i="7"/>
  <c r="B176" i="1"/>
  <c r="B52" i="7"/>
  <c r="B177" i="1"/>
  <c r="B53" i="7"/>
  <c r="B178" i="1"/>
  <c r="B54" i="7"/>
  <c r="B179" i="1"/>
  <c r="B55" i="7"/>
  <c r="B180" i="1"/>
  <c r="B56" i="7"/>
  <c r="B181" i="1"/>
  <c r="B57" i="7"/>
  <c r="B182" i="1"/>
  <c r="B58" i="7"/>
  <c r="B183" i="1"/>
  <c r="B59" i="7"/>
  <c r="B184" i="1"/>
  <c r="B60" i="7"/>
  <c r="B185" i="1"/>
  <c r="B61" i="7"/>
  <c r="B186" i="1"/>
  <c r="B62" i="7"/>
  <c r="B187" i="1"/>
  <c r="B63" i="7"/>
  <c r="B188" i="1"/>
  <c r="B64" i="7"/>
  <c r="B189" i="1"/>
  <c r="B65" i="7"/>
  <c r="B190" i="1"/>
  <c r="B66" i="7"/>
  <c r="B191" i="1"/>
  <c r="B67" i="7"/>
  <c r="B192" i="1"/>
  <c r="B68" i="7"/>
  <c r="B193" i="1"/>
  <c r="B69" i="7"/>
  <c r="B194" i="1"/>
  <c r="B70" i="7"/>
  <c r="B195" i="1"/>
  <c r="B71" i="7"/>
  <c r="B196" i="1"/>
  <c r="B72" i="7"/>
  <c r="B197" i="1"/>
  <c r="B73" i="7"/>
  <c r="B198" i="1"/>
  <c r="B74" i="7"/>
  <c r="B199" i="1"/>
  <c r="B75" i="7"/>
  <c r="B200" i="1"/>
  <c r="B76" i="7"/>
  <c r="B201" i="1"/>
  <c r="B77" i="7"/>
  <c r="B202" i="1"/>
  <c r="B78" i="7"/>
  <c r="B203" i="1"/>
  <c r="B79" i="7"/>
  <c r="B204" i="1"/>
  <c r="B80" i="7"/>
  <c r="B205" i="1"/>
  <c r="B81" i="7"/>
  <c r="B206" i="1"/>
  <c r="B82" i="7"/>
  <c r="B207" i="1"/>
  <c r="B83" i="7"/>
  <c r="B208" i="1"/>
  <c r="B84" i="7"/>
  <c r="B209" i="1"/>
  <c r="B85" i="7"/>
  <c r="B210" i="1"/>
  <c r="B86" i="7"/>
  <c r="B211" i="1"/>
  <c r="B87" i="7"/>
  <c r="B212" i="1"/>
  <c r="B88" i="7"/>
  <c r="B213" i="1"/>
  <c r="B89" i="7"/>
  <c r="B214" i="1"/>
  <c r="B90" i="7"/>
  <c r="B215" i="1"/>
  <c r="B91" i="7"/>
  <c r="B216" i="1"/>
  <c r="B92" i="7"/>
  <c r="B217" i="1"/>
  <c r="B93" i="7"/>
  <c r="B218" i="1"/>
  <c r="B94" i="7"/>
  <c r="B219" i="1"/>
  <c r="B95" i="7"/>
  <c r="B220" i="1"/>
  <c r="B96" i="7"/>
  <c r="B221" i="1"/>
  <c r="B97" i="7"/>
  <c r="B222" i="1"/>
  <c r="B98" i="7"/>
  <c r="B223" i="1"/>
  <c r="B99" i="7"/>
  <c r="B224" i="1"/>
  <c r="B100" i="7"/>
  <c r="B225" i="1"/>
  <c r="B101" i="7"/>
  <c r="B226" i="1"/>
  <c r="B102" i="7"/>
  <c r="B227" i="1"/>
  <c r="B103" i="7"/>
  <c r="B228" i="1"/>
  <c r="B104" i="7"/>
  <c r="B229" i="1"/>
  <c r="B105" i="7"/>
  <c r="B230" i="1"/>
  <c r="B106" i="7"/>
  <c r="B231" i="1"/>
  <c r="B107" i="7"/>
  <c r="B232" i="1"/>
  <c r="B108" i="7"/>
  <c r="B233" i="1"/>
  <c r="B109" i="7"/>
  <c r="B234" i="1"/>
  <c r="B110" i="7"/>
  <c r="B235" i="1"/>
  <c r="B111" i="7"/>
  <c r="B236" i="1"/>
  <c r="B112" i="7"/>
  <c r="B237" i="1"/>
  <c r="B113" i="7"/>
  <c r="B238" i="1"/>
  <c r="B114" i="7"/>
  <c r="B239" i="1"/>
  <c r="B115" i="7"/>
  <c r="B240" i="1"/>
  <c r="B116" i="7"/>
  <c r="B241" i="1"/>
  <c r="B117" i="7"/>
  <c r="B242" i="1"/>
  <c r="B118" i="7"/>
  <c r="B243" i="1"/>
  <c r="B119" i="7"/>
  <c r="B244" i="1"/>
  <c r="B120" i="7"/>
  <c r="B245" i="1"/>
  <c r="B121" i="7"/>
  <c r="B246" i="1"/>
  <c r="B122" i="7"/>
  <c r="B247" i="1"/>
  <c r="B123" i="7"/>
  <c r="B248" i="1"/>
  <c r="B124" i="7"/>
  <c r="B249" i="1"/>
  <c r="B125" i="7"/>
  <c r="B250" i="1"/>
  <c r="B126" i="7"/>
  <c r="B251" i="1"/>
  <c r="B127" i="7"/>
  <c r="B252" i="1"/>
  <c r="B128" i="7"/>
  <c r="B253" i="1"/>
  <c r="B129" i="7"/>
  <c r="B254" i="1"/>
  <c r="B130" i="7"/>
  <c r="B255" i="1"/>
  <c r="B131" i="7"/>
  <c r="B256" i="1"/>
  <c r="B132" i="7"/>
  <c r="B257" i="1"/>
  <c r="B133" i="7"/>
  <c r="B258" i="1"/>
  <c r="B134" i="7"/>
  <c r="B259" i="1"/>
  <c r="B135" i="7"/>
  <c r="B260" i="1"/>
  <c r="B136" i="7"/>
  <c r="B261" i="1"/>
  <c r="B137" i="7"/>
  <c r="B262" i="1"/>
  <c r="B138" i="7"/>
  <c r="B263" i="1"/>
  <c r="B139" i="7"/>
  <c r="B264" i="1"/>
  <c r="B140" i="7"/>
  <c r="B265" i="1"/>
  <c r="B141" i="7"/>
  <c r="B266" i="1"/>
  <c r="B142" i="7"/>
  <c r="B267" i="1"/>
  <c r="B143" i="7"/>
  <c r="B268" i="1"/>
  <c r="B144" i="7"/>
  <c r="B269" i="1"/>
  <c r="B145" i="7"/>
  <c r="B270" i="1"/>
  <c r="B146" i="7"/>
  <c r="B271" i="1"/>
  <c r="B147" i="7"/>
  <c r="B272" i="1"/>
  <c r="B148" i="7"/>
  <c r="B273" i="1"/>
  <c r="B149" i="7"/>
  <c r="B274" i="1"/>
  <c r="B150" i="7"/>
  <c r="B275" i="1"/>
  <c r="B151" i="7"/>
  <c r="B276" i="1"/>
  <c r="B152" i="7"/>
  <c r="B277" i="1"/>
  <c r="B153" i="7"/>
  <c r="B278" i="1"/>
  <c r="B154" i="7"/>
  <c r="B279" i="1"/>
  <c r="B155" i="7"/>
  <c r="B280" i="1"/>
  <c r="B156" i="7"/>
  <c r="B281" i="1"/>
  <c r="B157" i="7"/>
  <c r="B282" i="1"/>
  <c r="B158" i="7"/>
  <c r="B283" i="1"/>
  <c r="B159" i="7"/>
  <c r="B284" i="1"/>
  <c r="B160" i="7"/>
  <c r="B285" i="1"/>
  <c r="B161" i="7"/>
  <c r="B286" i="1"/>
  <c r="B162" i="7"/>
  <c r="B287" i="1"/>
  <c r="B163" i="7"/>
  <c r="B288" i="1"/>
  <c r="B164" i="7"/>
  <c r="B289" i="1"/>
  <c r="B165" i="7"/>
  <c r="B290" i="1"/>
  <c r="B166" i="7"/>
  <c r="B291" i="1"/>
  <c r="B167" i="7"/>
  <c r="B292" i="1"/>
  <c r="B168" i="7"/>
  <c r="B293" i="1"/>
  <c r="B169" i="7"/>
  <c r="B294" i="1"/>
  <c r="B170" i="7"/>
  <c r="B295" i="1"/>
  <c r="B171" i="7"/>
  <c r="B296" i="1"/>
  <c r="B172" i="7"/>
  <c r="B297" i="1"/>
  <c r="B173" i="7"/>
  <c r="B298" i="1"/>
  <c r="B174" i="7"/>
  <c r="B299" i="1"/>
  <c r="B175" i="7"/>
  <c r="B300" i="1"/>
  <c r="B176" i="7"/>
  <c r="B301" i="1"/>
  <c r="B177" i="7"/>
  <c r="B302" i="1"/>
  <c r="B178" i="7"/>
  <c r="B303" i="1"/>
  <c r="B179" i="7"/>
  <c r="B304" i="1"/>
  <c r="B180" i="7"/>
  <c r="B305" i="1"/>
  <c r="B181" i="7"/>
  <c r="B306" i="1"/>
  <c r="B182" i="7"/>
  <c r="B307" i="1"/>
  <c r="B183" i="7"/>
  <c r="B308" i="1"/>
  <c r="B184" i="7"/>
  <c r="B309" i="1"/>
  <c r="B185" i="7"/>
  <c r="B310" i="1"/>
  <c r="B186" i="7"/>
  <c r="B311" i="1"/>
  <c r="B187" i="7"/>
  <c r="B312" i="1"/>
  <c r="B188" i="7"/>
  <c r="B313" i="1"/>
  <c r="B189" i="7"/>
  <c r="B314" i="1"/>
  <c r="B190" i="7"/>
  <c r="B315" i="1"/>
  <c r="B191" i="7"/>
  <c r="B316" i="1"/>
  <c r="B192" i="7"/>
  <c r="B317" i="1"/>
  <c r="B193" i="7"/>
  <c r="B318" i="1"/>
  <c r="B194" i="7"/>
  <c r="B319" i="1"/>
  <c r="B195" i="7"/>
  <c r="B320" i="1"/>
  <c r="B196" i="7"/>
  <c r="B321" i="1"/>
  <c r="B197" i="7"/>
  <c r="B322" i="1"/>
  <c r="B198" i="7"/>
  <c r="B323" i="1"/>
  <c r="B199" i="7"/>
  <c r="B324" i="1"/>
  <c r="B200" i="7"/>
  <c r="B325" i="1"/>
  <c r="B201" i="7"/>
  <c r="B326" i="1"/>
  <c r="B202" i="7"/>
  <c r="B327" i="1"/>
  <c r="B203" i="7"/>
  <c r="B328" i="1"/>
  <c r="B204" i="7"/>
  <c r="B329" i="1"/>
  <c r="B205" i="7"/>
  <c r="B330" i="1"/>
  <c r="B206" i="7"/>
  <c r="B331" i="1"/>
  <c r="B207" i="7"/>
  <c r="B332" i="1"/>
  <c r="B208" i="7"/>
  <c r="B333" i="1"/>
  <c r="B209" i="7"/>
  <c r="B334" i="1"/>
  <c r="B210" i="7"/>
  <c r="B335" i="1"/>
  <c r="B211" i="7"/>
  <c r="B336" i="1"/>
  <c r="B212" i="7"/>
  <c r="B337" i="1"/>
  <c r="B213" i="7"/>
  <c r="B338" i="1"/>
  <c r="B214" i="7"/>
  <c r="B339" i="1"/>
  <c r="B215" i="7"/>
  <c r="B340" i="1"/>
  <c r="B216" i="7"/>
  <c r="B341" i="1"/>
  <c r="B217" i="7"/>
  <c r="B342" i="1"/>
  <c r="B218" i="7"/>
  <c r="B343" i="1"/>
  <c r="B219" i="7"/>
  <c r="B344" i="1"/>
  <c r="B220" i="7"/>
  <c r="B345" i="1"/>
  <c r="B221" i="7"/>
  <c r="B346" i="1"/>
  <c r="B222" i="7"/>
  <c r="B347" i="1"/>
  <c r="B223" i="7"/>
  <c r="B348" i="1"/>
  <c r="B224" i="7"/>
  <c r="B349" i="1"/>
  <c r="B225" i="7"/>
  <c r="B350" i="1"/>
  <c r="B226" i="7"/>
  <c r="B351" i="1"/>
  <c r="B227" i="7"/>
  <c r="B352" i="1"/>
  <c r="B228" i="7"/>
  <c r="B353" i="1"/>
  <c r="B229" i="7"/>
  <c r="B354" i="1"/>
  <c r="B230" i="7"/>
  <c r="B355" i="1"/>
  <c r="B231" i="7"/>
  <c r="B356" i="1"/>
  <c r="B232" i="7"/>
  <c r="B357" i="1"/>
  <c r="B233" i="7"/>
  <c r="B358" i="1"/>
  <c r="B234" i="7"/>
  <c r="B359" i="1"/>
  <c r="B235" i="7"/>
  <c r="B360" i="1"/>
  <c r="B236" i="7"/>
  <c r="B361" i="1"/>
  <c r="B237" i="7"/>
  <c r="B362" i="1"/>
  <c r="B238" i="7"/>
  <c r="B363" i="1"/>
  <c r="B239" i="7"/>
  <c r="B364" i="1"/>
  <c r="B240" i="7"/>
  <c r="B365" i="1"/>
  <c r="B241" i="7"/>
  <c r="B366" i="1"/>
  <c r="B242" i="7"/>
  <c r="B367" i="1"/>
  <c r="B243" i="7"/>
  <c r="B368" i="1"/>
  <c r="B244" i="7"/>
  <c r="B369" i="1"/>
  <c r="B245" i="7"/>
  <c r="B370" i="1"/>
  <c r="B246" i="7"/>
  <c r="B371" i="1"/>
  <c r="B247" i="7"/>
  <c r="B372" i="1"/>
  <c r="B248" i="7"/>
  <c r="B373" i="1"/>
  <c r="B249" i="7"/>
  <c r="B374" i="1"/>
  <c r="B250" i="7"/>
  <c r="B375" i="1"/>
  <c r="B251" i="7"/>
  <c r="B376" i="1"/>
  <c r="B252" i="7"/>
  <c r="B377" i="1"/>
  <c r="B253" i="7"/>
  <c r="B378" i="1"/>
  <c r="B254" i="7"/>
  <c r="B379" i="1"/>
  <c r="B255" i="7"/>
  <c r="B380" i="1"/>
  <c r="B256" i="7"/>
  <c r="B381" i="1"/>
  <c r="B257" i="7"/>
  <c r="B382" i="1"/>
  <c r="B258" i="7"/>
  <c r="B383" i="1"/>
  <c r="B259" i="7"/>
  <c r="B384" i="1"/>
  <c r="B260" i="7"/>
  <c r="B385" i="1"/>
  <c r="B261" i="7"/>
  <c r="B386" i="1"/>
  <c r="B262" i="7"/>
  <c r="B387" i="1"/>
  <c r="B263" i="7"/>
  <c r="B388" i="1"/>
  <c r="B264" i="7"/>
  <c r="B389" i="1"/>
  <c r="B265" i="7"/>
  <c r="B390" i="1"/>
  <c r="B266" i="7"/>
  <c r="B391" i="1"/>
  <c r="B267" i="7"/>
  <c r="B392" i="1"/>
  <c r="B268" i="7"/>
  <c r="B393" i="1"/>
  <c r="B269" i="7"/>
  <c r="B394" i="1"/>
  <c r="B270" i="7"/>
  <c r="B395" i="1"/>
  <c r="B271" i="7"/>
  <c r="B396" i="1"/>
  <c r="B272" i="7"/>
  <c r="B397" i="1"/>
  <c r="B273" i="7"/>
  <c r="B398" i="1"/>
  <c r="B274" i="7"/>
  <c r="B399" i="1"/>
  <c r="B275" i="7"/>
  <c r="B400" i="1"/>
  <c r="B276" i="7"/>
  <c r="B401" i="1"/>
  <c r="B277" i="7"/>
  <c r="B402" i="1"/>
  <c r="B278" i="7"/>
  <c r="B403" i="1"/>
  <c r="B279" i="7"/>
  <c r="B404" i="1"/>
  <c r="B280" i="7"/>
  <c r="B405" i="1"/>
  <c r="B281" i="7"/>
  <c r="B406" i="1"/>
  <c r="B282" i="7"/>
  <c r="B407" i="1"/>
  <c r="B283" i="7"/>
  <c r="B408" i="1"/>
  <c r="B284" i="7"/>
  <c r="B409" i="1"/>
  <c r="B285" i="7"/>
  <c r="B410" i="1"/>
  <c r="B286" i="7"/>
  <c r="B411" i="1"/>
  <c r="B287" i="7"/>
  <c r="B412" i="1"/>
  <c r="B288" i="7"/>
  <c r="B413" i="1"/>
  <c r="B289" i="7"/>
  <c r="B414" i="1"/>
  <c r="B290" i="7"/>
  <c r="B415" i="1"/>
  <c r="B291" i="7"/>
  <c r="B416" i="1"/>
  <c r="B292" i="7"/>
  <c r="B417" i="1"/>
  <c r="B293" i="7"/>
  <c r="B418" i="1"/>
  <c r="B294" i="7"/>
  <c r="B419" i="1"/>
  <c r="B295" i="7"/>
  <c r="B420" i="1"/>
  <c r="B296" i="7"/>
  <c r="B421" i="1"/>
  <c r="B297" i="7"/>
  <c r="B422" i="1"/>
  <c r="B298" i="7"/>
  <c r="B423" i="1"/>
  <c r="B299" i="7"/>
  <c r="B424" i="1"/>
  <c r="B300" i="7"/>
  <c r="B425" i="1"/>
  <c r="B301" i="7"/>
  <c r="B426" i="1"/>
  <c r="B302" i="7"/>
  <c r="B427" i="1"/>
  <c r="B303" i="7"/>
  <c r="B428" i="1"/>
  <c r="B304" i="7"/>
  <c r="B429" i="1"/>
  <c r="B305" i="7"/>
  <c r="B430" i="1"/>
  <c r="B306" i="7"/>
  <c r="B431" i="1"/>
  <c r="B307" i="7"/>
  <c r="B432" i="1"/>
  <c r="B308" i="7"/>
  <c r="B433" i="1"/>
  <c r="B309" i="7"/>
  <c r="B434" i="1"/>
  <c r="B310" i="7"/>
  <c r="B435" i="1"/>
  <c r="B311" i="7"/>
  <c r="B436" i="1"/>
  <c r="B312" i="7"/>
  <c r="B437" i="1"/>
  <c r="B313" i="7"/>
  <c r="B438" i="1"/>
  <c r="B314" i="7"/>
  <c r="B439" i="1"/>
  <c r="B315" i="7"/>
  <c r="B440" i="1"/>
  <c r="B316" i="7"/>
  <c r="B441" i="1"/>
  <c r="B317" i="7"/>
  <c r="B442" i="1"/>
  <c r="B318" i="7"/>
  <c r="B443" i="1"/>
  <c r="B319" i="7"/>
  <c r="C12" i="6"/>
  <c r="C13" i="6"/>
  <c r="B4" i="5"/>
  <c r="B3" i="1"/>
  <c r="B5" i="5"/>
  <c r="B4" i="1"/>
  <c r="B6" i="5"/>
  <c r="B5" i="1"/>
  <c r="B7" i="5"/>
  <c r="B6" i="1"/>
  <c r="B8" i="5"/>
  <c r="B7" i="1"/>
  <c r="B9" i="5"/>
  <c r="B8" i="1"/>
  <c r="B10" i="5"/>
  <c r="B9" i="1"/>
  <c r="B11" i="5"/>
  <c r="B10" i="1"/>
  <c r="B12" i="5"/>
  <c r="B11" i="1"/>
  <c r="B13" i="5"/>
  <c r="B12" i="1"/>
  <c r="B14" i="5"/>
  <c r="B13" i="1"/>
  <c r="B15" i="5"/>
  <c r="B14" i="1"/>
  <c r="B16" i="5"/>
  <c r="B15" i="1"/>
  <c r="B17" i="5"/>
  <c r="B16" i="1"/>
  <c r="B18" i="5"/>
  <c r="B17" i="1"/>
  <c r="B19" i="5"/>
  <c r="B18" i="1"/>
  <c r="B20" i="5"/>
  <c r="B19" i="1"/>
  <c r="B21" i="5"/>
  <c r="B20" i="1"/>
  <c r="B22" i="5"/>
  <c r="B21" i="1"/>
  <c r="B23" i="5"/>
  <c r="B22" i="1"/>
  <c r="B24" i="5"/>
  <c r="B23" i="1"/>
  <c r="B25" i="5"/>
  <c r="B24" i="1"/>
  <c r="B26" i="5"/>
  <c r="B25" i="1"/>
  <c r="B27" i="5"/>
  <c r="B26" i="1"/>
  <c r="B28" i="5"/>
  <c r="B27" i="1"/>
  <c r="B29" i="5"/>
  <c r="B28" i="1"/>
  <c r="B30" i="5"/>
  <c r="B29" i="1"/>
  <c r="B31" i="5"/>
  <c r="B30" i="1"/>
  <c r="B32" i="5"/>
  <c r="B31" i="1"/>
  <c r="B33" i="5"/>
  <c r="B32" i="1"/>
  <c r="B34" i="5"/>
  <c r="B33" i="1"/>
  <c r="B35" i="5"/>
  <c r="B34" i="1"/>
  <c r="B36" i="5"/>
  <c r="B35" i="1"/>
  <c r="B37" i="5"/>
  <c r="B36" i="1"/>
  <c r="B38" i="5"/>
  <c r="B37" i="1"/>
  <c r="B39" i="5"/>
  <c r="B38" i="1"/>
  <c r="B40" i="5"/>
  <c r="B39" i="1"/>
  <c r="B41" i="5"/>
  <c r="B40" i="1"/>
  <c r="B42" i="5"/>
  <c r="B41" i="1"/>
  <c r="B43" i="5"/>
  <c r="B42" i="1"/>
  <c r="B44" i="5"/>
  <c r="B43" i="1"/>
  <c r="B45" i="5"/>
  <c r="B44" i="1"/>
  <c r="B46" i="5"/>
  <c r="B45" i="1"/>
  <c r="B47" i="5"/>
  <c r="B46" i="1"/>
  <c r="B48" i="5"/>
  <c r="B47" i="1"/>
  <c r="B49" i="5"/>
  <c r="B48" i="1"/>
  <c r="B50" i="5"/>
  <c r="B49" i="1"/>
  <c r="B51" i="5"/>
  <c r="B50" i="1"/>
  <c r="B52" i="5"/>
  <c r="B51" i="1"/>
  <c r="B53" i="5"/>
  <c r="B52" i="1"/>
  <c r="B54" i="5"/>
  <c r="B53" i="1"/>
  <c r="B55" i="5"/>
  <c r="B54" i="1"/>
  <c r="B56" i="5"/>
  <c r="B55" i="1"/>
  <c r="B57" i="5"/>
  <c r="B56" i="1"/>
  <c r="B58" i="5"/>
  <c r="B57" i="1"/>
  <c r="B59" i="5"/>
  <c r="B58" i="1"/>
  <c r="B60" i="5"/>
  <c r="B59" i="1"/>
  <c r="B61" i="5"/>
  <c r="B60" i="1"/>
  <c r="B62" i="5"/>
  <c r="B61" i="1"/>
  <c r="B63" i="5"/>
  <c r="B62" i="1"/>
  <c r="B64" i="5"/>
  <c r="B63" i="1"/>
  <c r="B65" i="5"/>
  <c r="B64" i="1"/>
  <c r="B66" i="5"/>
  <c r="B65" i="1"/>
  <c r="B67" i="5"/>
  <c r="B66" i="1"/>
  <c r="B68" i="5"/>
  <c r="B67" i="1"/>
  <c r="B69" i="5"/>
  <c r="B68" i="1"/>
  <c r="B70" i="5"/>
  <c r="B69" i="1"/>
  <c r="B71" i="5"/>
  <c r="B70" i="1"/>
  <c r="B72" i="5"/>
  <c r="B71" i="1"/>
  <c r="B73" i="5"/>
  <c r="B72" i="1"/>
  <c r="B74" i="5"/>
  <c r="B73" i="1"/>
  <c r="B75" i="5"/>
  <c r="B74" i="1"/>
  <c r="B76" i="5"/>
  <c r="B75" i="1"/>
  <c r="B77" i="5"/>
  <c r="B76" i="1"/>
  <c r="B78" i="5"/>
  <c r="B77" i="1"/>
  <c r="B79" i="5"/>
  <c r="B78" i="1"/>
  <c r="B80" i="5"/>
  <c r="B79" i="1"/>
  <c r="B81" i="5"/>
  <c r="B80" i="1"/>
  <c r="B82" i="5"/>
  <c r="B81" i="1"/>
  <c r="B83" i="5"/>
  <c r="B82" i="1"/>
  <c r="B84" i="5"/>
  <c r="B83" i="1"/>
  <c r="B85" i="5"/>
  <c r="B84" i="1"/>
  <c r="B86" i="5"/>
  <c r="B85" i="1"/>
  <c r="B87" i="5"/>
  <c r="B86" i="1"/>
  <c r="B88" i="5"/>
  <c r="B87" i="1"/>
  <c r="B89" i="5"/>
  <c r="B88" i="1"/>
  <c r="B90" i="5"/>
  <c r="B89" i="1"/>
  <c r="B91" i="5"/>
  <c r="B90" i="1"/>
  <c r="B92" i="5"/>
  <c r="B91" i="1"/>
  <c r="B93" i="5"/>
  <c r="B92" i="1"/>
  <c r="B94" i="5"/>
  <c r="B93" i="1"/>
  <c r="B95" i="5"/>
  <c r="B94" i="1"/>
  <c r="B96" i="5"/>
  <c r="B95" i="1"/>
  <c r="B97" i="5"/>
  <c r="B96" i="1"/>
  <c r="B98" i="5"/>
  <c r="B97" i="1"/>
  <c r="B99" i="5"/>
  <c r="B98" i="1"/>
  <c r="B100" i="5"/>
  <c r="B99" i="1"/>
  <c r="B101" i="5"/>
  <c r="B100" i="1"/>
  <c r="B102" i="5"/>
  <c r="B101" i="1"/>
  <c r="B103" i="5"/>
  <c r="B102" i="1"/>
  <c r="B104" i="5"/>
  <c r="B103" i="1"/>
  <c r="B105" i="5"/>
  <c r="B104" i="1"/>
  <c r="B106" i="5"/>
  <c r="B105" i="1"/>
  <c r="B107" i="5"/>
  <c r="B106" i="1"/>
  <c r="B108" i="5"/>
  <c r="B107" i="1"/>
  <c r="B109" i="5"/>
  <c r="B108" i="1"/>
  <c r="B110" i="5"/>
  <c r="B109" i="1"/>
  <c r="B111" i="5"/>
  <c r="B110" i="1"/>
  <c r="B112" i="5"/>
  <c r="B111" i="1"/>
  <c r="B113" i="5"/>
  <c r="B112" i="1"/>
  <c r="B114" i="5"/>
  <c r="B113" i="1"/>
  <c r="B115" i="5"/>
  <c r="B114" i="1"/>
  <c r="B116" i="5"/>
  <c r="B115" i="1"/>
  <c r="B117" i="5"/>
  <c r="B116" i="1"/>
  <c r="B118" i="5"/>
  <c r="B117" i="1"/>
  <c r="B119" i="5"/>
  <c r="B118" i="1"/>
  <c r="B120" i="5"/>
  <c r="B119" i="1"/>
  <c r="B121" i="5"/>
  <c r="B120" i="1"/>
  <c r="B122" i="5"/>
  <c r="B121" i="1"/>
  <c r="B123" i="5"/>
  <c r="B122" i="1"/>
  <c r="B124" i="5"/>
  <c r="B123" i="1"/>
  <c r="B125" i="5"/>
  <c r="B124" i="1"/>
  <c r="B126" i="5"/>
  <c r="B125" i="1"/>
  <c r="B127" i="5"/>
  <c r="B126" i="1"/>
  <c r="B128" i="5"/>
  <c r="B127" i="1"/>
  <c r="B129" i="5"/>
  <c r="B12" i="6"/>
  <c r="B13" i="6"/>
  <c r="A3" i="6"/>
  <c r="E3" i="6"/>
  <c r="A4" i="6"/>
  <c r="E4" i="6"/>
  <c r="A5" i="6"/>
  <c r="E5" i="6"/>
  <c r="A6" i="6"/>
  <c r="E6" i="6"/>
  <c r="A7" i="6"/>
  <c r="E7" i="6"/>
  <c r="A8" i="6"/>
  <c r="E8" i="6"/>
  <c r="A9" i="6"/>
  <c r="E9" i="6"/>
  <c r="A10" i="6"/>
  <c r="E10" i="6"/>
  <c r="A11" i="6"/>
  <c r="E11" i="6"/>
  <c r="A2" i="6"/>
  <c r="E2" i="6"/>
  <c r="D3" i="6"/>
  <c r="D4" i="6"/>
  <c r="D5" i="6"/>
  <c r="D6" i="6"/>
  <c r="D7" i="6"/>
  <c r="D8" i="6"/>
  <c r="D9" i="6"/>
  <c r="D10" i="6"/>
  <c r="D11" i="6"/>
  <c r="D2" i="6"/>
  <c r="C3" i="6"/>
  <c r="C4" i="6"/>
  <c r="C5" i="6"/>
  <c r="C6" i="6"/>
  <c r="C7" i="6"/>
  <c r="C8" i="6"/>
  <c r="C9" i="6"/>
  <c r="C10" i="6"/>
  <c r="C11" i="6"/>
  <c r="C2" i="6"/>
  <c r="B3" i="6"/>
  <c r="B4" i="6"/>
  <c r="B5" i="6"/>
  <c r="B6" i="6"/>
  <c r="B7" i="6"/>
  <c r="B8" i="6"/>
  <c r="B9" i="6"/>
  <c r="B10" i="6"/>
  <c r="B11" i="6"/>
  <c r="B2" i="6"/>
  <c r="A5" i="9"/>
  <c r="E5" i="9"/>
  <c r="A6" i="9"/>
  <c r="E6" i="9"/>
  <c r="A7" i="9"/>
  <c r="E7" i="9"/>
  <c r="A8" i="9"/>
  <c r="E8" i="9"/>
  <c r="A9" i="9"/>
  <c r="E9" i="9"/>
  <c r="A10" i="9"/>
  <c r="E10" i="9"/>
  <c r="A11" i="9"/>
  <c r="E11" i="9"/>
  <c r="A12" i="9"/>
  <c r="E12" i="9"/>
  <c r="A13" i="9"/>
  <c r="E13" i="9"/>
  <c r="A14" i="9"/>
  <c r="E14" i="9"/>
  <c r="A15" i="9"/>
  <c r="E15" i="9"/>
  <c r="A16" i="9"/>
  <c r="E16" i="9"/>
  <c r="A17" i="9"/>
  <c r="E17" i="9"/>
  <c r="A18" i="9"/>
  <c r="E18" i="9"/>
  <c r="A19" i="9"/>
  <c r="E19" i="9"/>
  <c r="A20" i="9"/>
  <c r="E20" i="9"/>
  <c r="A21" i="9"/>
  <c r="E21" i="9"/>
  <c r="A22" i="9"/>
  <c r="E22" i="9"/>
  <c r="A23" i="9"/>
  <c r="E23" i="9"/>
  <c r="A24" i="9"/>
  <c r="E24" i="9"/>
  <c r="A25" i="9"/>
  <c r="E25" i="9"/>
  <c r="A26" i="9"/>
  <c r="E26" i="9"/>
  <c r="A27" i="9"/>
  <c r="E27" i="9"/>
  <c r="A28" i="9"/>
  <c r="E28" i="9"/>
  <c r="A29" i="9"/>
  <c r="E29" i="9"/>
  <c r="A30" i="9"/>
  <c r="E30" i="9"/>
  <c r="A31" i="9"/>
  <c r="E31" i="9"/>
  <c r="A32" i="9"/>
  <c r="E32" i="9"/>
  <c r="A33" i="9"/>
  <c r="E33" i="9"/>
  <c r="A34" i="9"/>
  <c r="E34" i="9"/>
  <c r="A35" i="9"/>
  <c r="E35" i="9"/>
  <c r="A36" i="9"/>
  <c r="E36" i="9"/>
  <c r="A37" i="9"/>
  <c r="E37" i="9"/>
  <c r="A38" i="9"/>
  <c r="E38" i="9"/>
  <c r="A39" i="9"/>
  <c r="E39" i="9"/>
  <c r="A40" i="9"/>
  <c r="E40" i="9"/>
  <c r="A41" i="9"/>
  <c r="E41" i="9"/>
  <c r="A42" i="9"/>
  <c r="E42" i="9"/>
  <c r="A43" i="9"/>
  <c r="E43" i="9"/>
  <c r="A44" i="9"/>
  <c r="E44" i="9"/>
  <c r="A45" i="9"/>
  <c r="E45" i="9"/>
  <c r="A46" i="9"/>
  <c r="E46" i="9"/>
  <c r="A47" i="9"/>
  <c r="E47" i="9"/>
  <c r="A48" i="9"/>
  <c r="E48" i="9"/>
  <c r="A49" i="9"/>
  <c r="E49" i="9"/>
  <c r="A50" i="9"/>
  <c r="E50" i="9"/>
  <c r="A51" i="9"/>
  <c r="E51" i="9"/>
  <c r="A52" i="9"/>
  <c r="E52" i="9"/>
  <c r="A53" i="9"/>
  <c r="E53" i="9"/>
  <c r="A54" i="9"/>
  <c r="E54" i="9"/>
  <c r="A55" i="9"/>
  <c r="E55" i="9"/>
  <c r="A56" i="9"/>
  <c r="E56" i="9"/>
  <c r="A57" i="9"/>
  <c r="E57" i="9"/>
  <c r="A58" i="9"/>
  <c r="E58" i="9"/>
  <c r="A59" i="9"/>
  <c r="E59" i="9"/>
  <c r="A60" i="9"/>
  <c r="E60" i="9"/>
  <c r="A61" i="9"/>
  <c r="E61" i="9"/>
  <c r="A62" i="9"/>
  <c r="E62" i="9"/>
  <c r="A63" i="9"/>
  <c r="E63" i="9"/>
  <c r="A64" i="9"/>
  <c r="E64" i="9"/>
  <c r="A65" i="9"/>
  <c r="E65" i="9"/>
  <c r="A66" i="9"/>
  <c r="E66" i="9"/>
  <c r="A67" i="9"/>
  <c r="E67" i="9"/>
  <c r="A68" i="9"/>
  <c r="E68" i="9"/>
  <c r="A69" i="9"/>
  <c r="E69" i="9"/>
  <c r="A70" i="9"/>
  <c r="E70" i="9"/>
  <c r="A71" i="9"/>
  <c r="E71" i="9"/>
  <c r="A72" i="9"/>
  <c r="E72" i="9"/>
  <c r="A73" i="9"/>
  <c r="E73" i="9"/>
  <c r="A74" i="9"/>
  <c r="E74" i="9"/>
  <c r="A75" i="9"/>
  <c r="E75" i="9"/>
  <c r="A4" i="9"/>
  <c r="E4" i="9"/>
  <c r="A5" i="8"/>
  <c r="E5" i="8"/>
  <c r="A6" i="8"/>
  <c r="E6" i="8"/>
  <c r="A7" i="8"/>
  <c r="E7" i="8"/>
  <c r="A8" i="8"/>
  <c r="E8" i="8"/>
  <c r="A9" i="8"/>
  <c r="E9" i="8"/>
  <c r="A10" i="8"/>
  <c r="E10" i="8"/>
  <c r="A11" i="8"/>
  <c r="E11" i="8"/>
  <c r="A12" i="8"/>
  <c r="E12" i="8"/>
  <c r="A13" i="8"/>
  <c r="E13" i="8"/>
  <c r="A14" i="8"/>
  <c r="E14" i="8"/>
  <c r="A15" i="8"/>
  <c r="E15" i="8"/>
  <c r="A16" i="8"/>
  <c r="E16" i="8"/>
  <c r="A17" i="8"/>
  <c r="E17" i="8"/>
  <c r="A18" i="8"/>
  <c r="E18" i="8"/>
  <c r="A19" i="8"/>
  <c r="E19" i="8"/>
  <c r="A20" i="8"/>
  <c r="E20" i="8"/>
  <c r="A21" i="8"/>
  <c r="E21" i="8"/>
  <c r="A22" i="8"/>
  <c r="E22" i="8"/>
  <c r="A23" i="8"/>
  <c r="E23" i="8"/>
  <c r="A24" i="8"/>
  <c r="E24" i="8"/>
  <c r="A25" i="8"/>
  <c r="E25" i="8"/>
  <c r="A26" i="8"/>
  <c r="E26" i="8"/>
  <c r="A27" i="8"/>
  <c r="E27" i="8"/>
  <c r="A28" i="8"/>
  <c r="E28" i="8"/>
  <c r="A29" i="8"/>
  <c r="E29" i="8"/>
  <c r="A30" i="8"/>
  <c r="E30" i="8"/>
  <c r="A31" i="8"/>
  <c r="E31" i="8"/>
  <c r="A32" i="8"/>
  <c r="E32" i="8"/>
  <c r="A33" i="8"/>
  <c r="E33" i="8"/>
  <c r="A34" i="8"/>
  <c r="E34" i="8"/>
  <c r="A35" i="8"/>
  <c r="E35" i="8"/>
  <c r="A36" i="8"/>
  <c r="E36" i="8"/>
  <c r="A37" i="8"/>
  <c r="E37" i="8"/>
  <c r="A38" i="8"/>
  <c r="E38" i="8"/>
  <c r="A39" i="8"/>
  <c r="E39" i="8"/>
  <c r="A40" i="8"/>
  <c r="E40" i="8"/>
  <c r="A41" i="8"/>
  <c r="E41" i="8"/>
  <c r="A42" i="8"/>
  <c r="E42" i="8"/>
  <c r="A43" i="8"/>
  <c r="E43" i="8"/>
  <c r="A44" i="8"/>
  <c r="E44" i="8"/>
  <c r="A45" i="8"/>
  <c r="E45" i="8"/>
  <c r="A46" i="8"/>
  <c r="E46" i="8"/>
  <c r="A47" i="8"/>
  <c r="E47" i="8"/>
  <c r="A48" i="8"/>
  <c r="E48" i="8"/>
  <c r="A49" i="8"/>
  <c r="E49" i="8"/>
  <c r="A50" i="8"/>
  <c r="E50" i="8"/>
  <c r="A51" i="8"/>
  <c r="E51" i="8"/>
  <c r="A52" i="8"/>
  <c r="E52" i="8"/>
  <c r="A53" i="8"/>
  <c r="E53" i="8"/>
  <c r="A54" i="8"/>
  <c r="E54" i="8"/>
  <c r="A55" i="8"/>
  <c r="E55" i="8"/>
  <c r="A56" i="8"/>
  <c r="E56" i="8"/>
  <c r="A57" i="8"/>
  <c r="E57" i="8"/>
  <c r="A58" i="8"/>
  <c r="E58" i="8"/>
  <c r="A59" i="8"/>
  <c r="E59" i="8"/>
  <c r="A60" i="8"/>
  <c r="E60" i="8"/>
  <c r="A61" i="8"/>
  <c r="E61" i="8"/>
  <c r="A62" i="8"/>
  <c r="E62" i="8"/>
  <c r="A63" i="8"/>
  <c r="E63" i="8"/>
  <c r="A64" i="8"/>
  <c r="E64" i="8"/>
  <c r="A65" i="8"/>
  <c r="E65" i="8"/>
  <c r="A66" i="8"/>
  <c r="E66" i="8"/>
  <c r="A67" i="8"/>
  <c r="E67" i="8"/>
  <c r="A68" i="8"/>
  <c r="E68" i="8"/>
  <c r="A69" i="8"/>
  <c r="E69" i="8"/>
  <c r="A70" i="8"/>
  <c r="E70" i="8"/>
  <c r="A71" i="8"/>
  <c r="E71" i="8"/>
  <c r="A72" i="8"/>
  <c r="E72" i="8"/>
  <c r="A73" i="8"/>
  <c r="E73" i="8"/>
  <c r="A74" i="8"/>
  <c r="E74" i="8"/>
  <c r="A75" i="8"/>
  <c r="E75" i="8"/>
  <c r="A76" i="8"/>
  <c r="E76" i="8"/>
  <c r="A77" i="8"/>
  <c r="E77" i="8"/>
  <c r="A78" i="8"/>
  <c r="E78" i="8"/>
  <c r="A79" i="8"/>
  <c r="E79" i="8"/>
  <c r="A80" i="8"/>
  <c r="E80" i="8"/>
  <c r="A81" i="8"/>
  <c r="E81" i="8"/>
  <c r="A82" i="8"/>
  <c r="E82" i="8"/>
  <c r="A83" i="8"/>
  <c r="E83" i="8"/>
  <c r="A84" i="8"/>
  <c r="E84" i="8"/>
  <c r="A85" i="8"/>
  <c r="E85" i="8"/>
  <c r="A86" i="8"/>
  <c r="E86" i="8"/>
  <c r="A87" i="8"/>
  <c r="E87" i="8"/>
  <c r="A88" i="8"/>
  <c r="E88" i="8"/>
  <c r="A89" i="8"/>
  <c r="E89" i="8"/>
  <c r="A90" i="8"/>
  <c r="E90" i="8"/>
  <c r="A91" i="8"/>
  <c r="E91" i="8"/>
  <c r="A92" i="8"/>
  <c r="E92" i="8"/>
  <c r="A93" i="8"/>
  <c r="E93" i="8"/>
  <c r="A94" i="8"/>
  <c r="E94" i="8"/>
  <c r="A95" i="8"/>
  <c r="E95" i="8"/>
  <c r="A96" i="8"/>
  <c r="E96" i="8"/>
  <c r="A97" i="8"/>
  <c r="E97" i="8"/>
  <c r="A98" i="8"/>
  <c r="E98" i="8"/>
  <c r="A99" i="8"/>
  <c r="E99" i="8"/>
  <c r="A100" i="8"/>
  <c r="E100" i="8"/>
  <c r="A101" i="8"/>
  <c r="E101" i="8"/>
  <c r="A102" i="8"/>
  <c r="E102" i="8"/>
  <c r="A103" i="8"/>
  <c r="E103" i="8"/>
  <c r="A104" i="8"/>
  <c r="E104" i="8"/>
  <c r="A105" i="8"/>
  <c r="E105" i="8"/>
  <c r="A106" i="8"/>
  <c r="E106" i="8"/>
  <c r="A107" i="8"/>
  <c r="E107" i="8"/>
  <c r="A108" i="8"/>
  <c r="E108" i="8"/>
  <c r="A109" i="8"/>
  <c r="E109" i="8"/>
  <c r="A110" i="8"/>
  <c r="E110" i="8"/>
  <c r="A111" i="8"/>
  <c r="E111" i="8"/>
  <c r="A112" i="8"/>
  <c r="E112" i="8"/>
  <c r="A113" i="8"/>
  <c r="E113" i="8"/>
  <c r="A114" i="8"/>
  <c r="E114" i="8"/>
  <c r="A115" i="8"/>
  <c r="E115" i="8"/>
  <c r="A116" i="8"/>
  <c r="E116" i="8"/>
  <c r="A117" i="8"/>
  <c r="E117" i="8"/>
  <c r="A118" i="8"/>
  <c r="E118" i="8"/>
  <c r="A119" i="8"/>
  <c r="E119" i="8"/>
  <c r="A120" i="8"/>
  <c r="E120" i="8"/>
  <c r="A121" i="8"/>
  <c r="E121" i="8"/>
  <c r="A122" i="8"/>
  <c r="E122" i="8"/>
  <c r="A123" i="8"/>
  <c r="E123" i="8"/>
  <c r="A124" i="8"/>
  <c r="E124" i="8"/>
  <c r="A125" i="8"/>
  <c r="E125" i="8"/>
  <c r="A126" i="8"/>
  <c r="E126" i="8"/>
  <c r="A127" i="8"/>
  <c r="E127" i="8"/>
  <c r="A128" i="8"/>
  <c r="E128" i="8"/>
  <c r="A129" i="8"/>
  <c r="E129" i="8"/>
  <c r="A130" i="8"/>
  <c r="E130" i="8"/>
  <c r="A131" i="8"/>
  <c r="E131" i="8"/>
  <c r="A132" i="8"/>
  <c r="E132" i="8"/>
  <c r="A133" i="8"/>
  <c r="E133" i="8"/>
  <c r="A134" i="8"/>
  <c r="E134" i="8"/>
  <c r="A135" i="8"/>
  <c r="E135" i="8"/>
  <c r="A136" i="8"/>
  <c r="E136" i="8"/>
  <c r="A137" i="8"/>
  <c r="E137" i="8"/>
  <c r="A138" i="8"/>
  <c r="E138" i="8"/>
  <c r="A139" i="8"/>
  <c r="E139" i="8"/>
  <c r="A140" i="8"/>
  <c r="E140" i="8"/>
  <c r="A141" i="8"/>
  <c r="E141" i="8"/>
  <c r="A142" i="8"/>
  <c r="E142" i="8"/>
  <c r="A143" i="8"/>
  <c r="E143" i="8"/>
  <c r="A144" i="8"/>
  <c r="E144" i="8"/>
  <c r="A145" i="8"/>
  <c r="E145" i="8"/>
  <c r="A146" i="8"/>
  <c r="E146" i="8"/>
  <c r="A147" i="8"/>
  <c r="E147" i="8"/>
  <c r="A148" i="8"/>
  <c r="E148" i="8"/>
  <c r="A149" i="8"/>
  <c r="E149" i="8"/>
  <c r="A150" i="8"/>
  <c r="E150" i="8"/>
  <c r="A151" i="8"/>
  <c r="E151" i="8"/>
  <c r="A152" i="8"/>
  <c r="E152" i="8"/>
  <c r="A153" i="8"/>
  <c r="E153" i="8"/>
  <c r="A4" i="8"/>
  <c r="E4" i="8"/>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4" i="7"/>
  <c r="A4" i="5"/>
  <c r="E4" i="5"/>
  <c r="A6" i="5"/>
  <c r="E6" i="5"/>
  <c r="A7" i="5"/>
  <c r="E7" i="5"/>
  <c r="A8" i="5"/>
  <c r="E8" i="5"/>
  <c r="A9" i="5"/>
  <c r="E9" i="5"/>
  <c r="A10" i="5"/>
  <c r="E10" i="5"/>
  <c r="A11" i="5"/>
  <c r="E11" i="5"/>
  <c r="A12" i="5"/>
  <c r="E12" i="5"/>
  <c r="A13" i="5"/>
  <c r="E13" i="5"/>
  <c r="A14" i="5"/>
  <c r="E14" i="5"/>
  <c r="A15" i="5"/>
  <c r="E15" i="5"/>
  <c r="A16" i="5"/>
  <c r="E16" i="5"/>
  <c r="A17" i="5"/>
  <c r="E17" i="5"/>
  <c r="A18" i="5"/>
  <c r="E18" i="5"/>
  <c r="A19" i="5"/>
  <c r="E19" i="5"/>
  <c r="A20" i="5"/>
  <c r="E20" i="5"/>
  <c r="A21" i="5"/>
  <c r="E21" i="5"/>
  <c r="A22" i="5"/>
  <c r="E22" i="5"/>
  <c r="A23" i="5"/>
  <c r="E23" i="5"/>
  <c r="A24" i="5"/>
  <c r="E24" i="5"/>
  <c r="A25" i="5"/>
  <c r="E25" i="5"/>
  <c r="A26" i="5"/>
  <c r="E26" i="5"/>
  <c r="A27" i="5"/>
  <c r="E27" i="5"/>
  <c r="A28" i="5"/>
  <c r="E28" i="5"/>
  <c r="A29" i="5"/>
  <c r="E29" i="5"/>
  <c r="A30" i="5"/>
  <c r="E30" i="5"/>
  <c r="A31" i="5"/>
  <c r="E31" i="5"/>
  <c r="A32" i="5"/>
  <c r="E32" i="5"/>
  <c r="A33" i="5"/>
  <c r="E33" i="5"/>
  <c r="A34" i="5"/>
  <c r="E34" i="5"/>
  <c r="A35" i="5"/>
  <c r="E35" i="5"/>
  <c r="A36" i="5"/>
  <c r="E36" i="5"/>
  <c r="A37" i="5"/>
  <c r="E37" i="5"/>
  <c r="A38" i="5"/>
  <c r="E38" i="5"/>
  <c r="A39" i="5"/>
  <c r="E39" i="5"/>
  <c r="A40" i="5"/>
  <c r="E40" i="5"/>
  <c r="A41" i="5"/>
  <c r="E41" i="5"/>
  <c r="A42" i="5"/>
  <c r="E42" i="5"/>
  <c r="A43" i="5"/>
  <c r="E43" i="5"/>
  <c r="A44" i="5"/>
  <c r="E44" i="5"/>
  <c r="A45" i="5"/>
  <c r="E45" i="5"/>
  <c r="A46" i="5"/>
  <c r="E46" i="5"/>
  <c r="A47" i="5"/>
  <c r="E47" i="5"/>
  <c r="A48" i="5"/>
  <c r="E48" i="5"/>
  <c r="A49" i="5"/>
  <c r="E49" i="5"/>
  <c r="A50" i="5"/>
  <c r="E50" i="5"/>
  <c r="A51" i="5"/>
  <c r="E51" i="5"/>
  <c r="A52" i="5"/>
  <c r="E52" i="5"/>
  <c r="A53" i="5"/>
  <c r="E53" i="5"/>
  <c r="A54" i="5"/>
  <c r="E54" i="5"/>
  <c r="A55" i="5"/>
  <c r="E55" i="5"/>
  <c r="A56" i="5"/>
  <c r="E56" i="5"/>
  <c r="A57" i="5"/>
  <c r="E57" i="5"/>
  <c r="A58" i="5"/>
  <c r="E58" i="5"/>
  <c r="A59" i="5"/>
  <c r="E59" i="5"/>
  <c r="A60" i="5"/>
  <c r="E60" i="5"/>
  <c r="A61" i="5"/>
  <c r="E61" i="5"/>
  <c r="A62" i="5"/>
  <c r="E62" i="5"/>
  <c r="A63" i="5"/>
  <c r="E63" i="5"/>
  <c r="A64" i="5"/>
  <c r="E64" i="5"/>
  <c r="A65" i="5"/>
  <c r="E65" i="5"/>
  <c r="A66" i="5"/>
  <c r="E66" i="5"/>
  <c r="A67" i="5"/>
  <c r="E67" i="5"/>
  <c r="A68" i="5"/>
  <c r="E68" i="5"/>
  <c r="A69" i="5"/>
  <c r="E69" i="5"/>
  <c r="A70" i="5"/>
  <c r="E70" i="5"/>
  <c r="A71" i="5"/>
  <c r="E71" i="5"/>
  <c r="A72" i="5"/>
  <c r="E72" i="5"/>
  <c r="A73" i="5"/>
  <c r="E73" i="5"/>
  <c r="A74" i="5"/>
  <c r="E74" i="5"/>
  <c r="A75" i="5"/>
  <c r="E75" i="5"/>
  <c r="A76" i="5"/>
  <c r="E76" i="5"/>
  <c r="A77" i="5"/>
  <c r="E77" i="5"/>
  <c r="A78" i="5"/>
  <c r="E78" i="5"/>
  <c r="A79" i="5"/>
  <c r="E79" i="5"/>
  <c r="A80" i="5"/>
  <c r="E80" i="5"/>
  <c r="A81" i="5"/>
  <c r="E81" i="5"/>
  <c r="A82" i="5"/>
  <c r="E82" i="5"/>
  <c r="A83" i="5"/>
  <c r="E83" i="5"/>
  <c r="A84" i="5"/>
  <c r="E84" i="5"/>
  <c r="A85" i="5"/>
  <c r="E85" i="5"/>
  <c r="A86" i="5"/>
  <c r="E86" i="5"/>
  <c r="A87" i="5"/>
  <c r="E87" i="5"/>
  <c r="A88" i="5"/>
  <c r="A89" i="5"/>
  <c r="A90" i="5"/>
  <c r="A91" i="5"/>
  <c r="A92" i="5"/>
  <c r="A93" i="5"/>
  <c r="A94" i="5"/>
  <c r="A95" i="5"/>
  <c r="A96" i="5"/>
  <c r="A97" i="5"/>
  <c r="A98" i="5"/>
  <c r="A99" i="5"/>
  <c r="A100" i="5"/>
  <c r="A101" i="5"/>
  <c r="A102" i="5"/>
  <c r="A103" i="5"/>
  <c r="E103" i="5"/>
  <c r="A104" i="5"/>
  <c r="E104" i="5"/>
  <c r="A105" i="5"/>
  <c r="E105" i="5"/>
  <c r="A106" i="5"/>
  <c r="E106" i="5"/>
  <c r="A107" i="5"/>
  <c r="E107" i="5"/>
  <c r="A108" i="5"/>
  <c r="E108" i="5"/>
  <c r="A109" i="5"/>
  <c r="E109" i="5"/>
  <c r="A110" i="5"/>
  <c r="E110" i="5"/>
  <c r="A111" i="5"/>
  <c r="E111" i="5"/>
  <c r="A112" i="5"/>
  <c r="E112" i="5"/>
  <c r="A113" i="5"/>
  <c r="E113" i="5"/>
  <c r="A114" i="5"/>
  <c r="E114" i="5"/>
  <c r="A115" i="5"/>
  <c r="E115" i="5"/>
  <c r="A116" i="5"/>
  <c r="E116" i="5"/>
  <c r="A117" i="5"/>
  <c r="E117" i="5"/>
  <c r="A118" i="5"/>
  <c r="E118" i="5"/>
  <c r="A119" i="5"/>
  <c r="E119" i="5"/>
  <c r="A120" i="5"/>
  <c r="E120" i="5"/>
  <c r="A121" i="5"/>
  <c r="E121" i="5"/>
  <c r="A122" i="5"/>
  <c r="E122" i="5"/>
  <c r="A123" i="5"/>
  <c r="E123" i="5"/>
  <c r="A124" i="5"/>
  <c r="E124" i="5"/>
  <c r="A125" i="5"/>
  <c r="E125" i="5"/>
  <c r="A126" i="5"/>
  <c r="E126" i="5"/>
  <c r="A127" i="5"/>
  <c r="E127" i="5"/>
  <c r="A128" i="5"/>
  <c r="E128" i="5"/>
  <c r="A129" i="5"/>
  <c r="E129" i="5"/>
  <c r="A5" i="5"/>
  <c r="E5" i="5"/>
  <c r="C667" i="1"/>
  <c r="C444" i="1"/>
  <c r="C4" i="8"/>
  <c r="C445" i="1"/>
  <c r="C5" i="8"/>
  <c r="C446" i="1"/>
  <c r="C6" i="8"/>
  <c r="C447" i="1"/>
  <c r="C7" i="8"/>
  <c r="C448" i="1"/>
  <c r="C8" i="8"/>
  <c r="C449" i="1"/>
  <c r="C9" i="8"/>
  <c r="C450" i="1"/>
  <c r="C10" i="8"/>
  <c r="C451" i="1"/>
  <c r="C11" i="8"/>
  <c r="C452" i="1"/>
  <c r="C12" i="8"/>
  <c r="C453" i="1"/>
  <c r="C13" i="8"/>
  <c r="C454" i="1"/>
  <c r="C14" i="8"/>
  <c r="C456" i="1"/>
  <c r="C16" i="8"/>
  <c r="C457" i="1"/>
  <c r="C17" i="8"/>
  <c r="C458" i="1"/>
  <c r="C18" i="8"/>
  <c r="C465" i="1"/>
  <c r="C25" i="8"/>
  <c r="C466" i="1"/>
  <c r="C26" i="8"/>
  <c r="C467" i="1"/>
  <c r="C27" i="8"/>
  <c r="C468" i="1"/>
  <c r="C28" i="8"/>
  <c r="C469" i="1"/>
  <c r="C29" i="8"/>
  <c r="C470" i="1"/>
  <c r="C30" i="8"/>
  <c r="C471" i="1"/>
  <c r="C31" i="8"/>
  <c r="C472" i="1"/>
  <c r="C32" i="8"/>
  <c r="C473" i="1"/>
  <c r="C33" i="8"/>
  <c r="C474" i="1"/>
  <c r="C34" i="8"/>
  <c r="C475" i="1"/>
  <c r="C35" i="8"/>
  <c r="C476" i="1"/>
  <c r="C36" i="8"/>
  <c r="C477" i="1"/>
  <c r="C37" i="8"/>
  <c r="C480" i="1"/>
  <c r="C40" i="8"/>
  <c r="C482" i="1"/>
  <c r="C42" i="8"/>
  <c r="C483" i="1"/>
  <c r="C43" i="8"/>
  <c r="C484" i="1"/>
  <c r="C44" i="8"/>
  <c r="C486" i="1"/>
  <c r="C46" i="8"/>
  <c r="C487" i="1"/>
  <c r="C47" i="8"/>
  <c r="C488" i="1"/>
  <c r="C48" i="8"/>
  <c r="C489" i="1"/>
  <c r="C49" i="8"/>
  <c r="C490" i="1"/>
  <c r="C50" i="8"/>
  <c r="C491" i="1"/>
  <c r="C51" i="8"/>
  <c r="C492" i="1"/>
  <c r="C52" i="8"/>
  <c r="C493" i="1"/>
  <c r="C53" i="8"/>
  <c r="C495" i="1"/>
  <c r="C55" i="8"/>
  <c r="C496" i="1"/>
  <c r="C56" i="8"/>
  <c r="C499" i="1"/>
  <c r="C59" i="8"/>
  <c r="C500" i="1"/>
  <c r="C60" i="8"/>
  <c r="C501" i="1"/>
  <c r="C61" i="8"/>
  <c r="C502" i="1"/>
  <c r="C62" i="8"/>
  <c r="C504" i="1"/>
  <c r="C64" i="8"/>
  <c r="C505" i="1"/>
  <c r="C65" i="8"/>
  <c r="C506" i="1"/>
  <c r="C66" i="8"/>
  <c r="C508" i="1"/>
  <c r="C68" i="8"/>
  <c r="C509" i="1"/>
  <c r="C69" i="8"/>
  <c r="C512" i="1"/>
  <c r="C72" i="8"/>
  <c r="C513" i="1"/>
  <c r="C73" i="8"/>
  <c r="C514" i="1"/>
  <c r="C74" i="8"/>
  <c r="C515" i="1"/>
  <c r="C75" i="8"/>
  <c r="C517" i="1"/>
  <c r="C77" i="8"/>
  <c r="C518" i="1"/>
  <c r="C78" i="8"/>
  <c r="C519" i="1"/>
  <c r="C79" i="8"/>
  <c r="C521" i="1"/>
  <c r="C81" i="8"/>
  <c r="C522" i="1"/>
  <c r="C82" i="8"/>
  <c r="C524" i="1"/>
  <c r="C84" i="8"/>
  <c r="C525" i="1"/>
  <c r="C85" i="8"/>
  <c r="C526" i="1"/>
  <c r="C86" i="8"/>
  <c r="C527" i="1"/>
  <c r="C87" i="8"/>
  <c r="C534" i="1"/>
  <c r="C94" i="8"/>
  <c r="C540" i="1"/>
  <c r="C100" i="8"/>
  <c r="C541" i="1"/>
  <c r="C101" i="8"/>
  <c r="C549" i="1"/>
  <c r="C109" i="8"/>
  <c r="C557" i="1"/>
  <c r="C117" i="8"/>
  <c r="C560" i="1"/>
  <c r="C120" i="8"/>
  <c r="C561" i="1"/>
  <c r="C121" i="8"/>
  <c r="C562" i="1"/>
  <c r="C122" i="8"/>
  <c r="C563" i="1"/>
  <c r="C123" i="8"/>
  <c r="C564" i="1"/>
  <c r="C124" i="8"/>
  <c r="C565" i="1"/>
  <c r="C125" i="8"/>
  <c r="C566" i="1"/>
  <c r="C126" i="8"/>
  <c r="C567" i="1"/>
  <c r="C127" i="8"/>
  <c r="C568" i="1"/>
  <c r="C128" i="8"/>
  <c r="C569" i="1"/>
  <c r="C129" i="8"/>
  <c r="C570" i="1"/>
  <c r="C130" i="8"/>
  <c r="C571" i="1"/>
  <c r="C131" i="8"/>
  <c r="C572" i="1"/>
  <c r="C132" i="8"/>
  <c r="C573" i="1"/>
  <c r="C133" i="8"/>
  <c r="C580" i="1"/>
  <c r="C140" i="8"/>
  <c r="C581" i="1"/>
  <c r="C141" i="8"/>
  <c r="C582" i="1"/>
  <c r="C142" i="8"/>
  <c r="C583" i="1"/>
  <c r="C143" i="8"/>
  <c r="C584" i="1"/>
  <c r="C144" i="8"/>
  <c r="C585" i="1"/>
  <c r="C145" i="8"/>
  <c r="C587" i="1"/>
  <c r="C147" i="8"/>
  <c r="C589" i="1"/>
  <c r="C149" i="8"/>
  <c r="C593" i="1"/>
  <c r="C153" i="8"/>
  <c r="C132" i="1"/>
  <c r="C8" i="7"/>
  <c r="C128" i="1"/>
  <c r="C4" i="7"/>
  <c r="C129" i="1"/>
  <c r="C5" i="7"/>
  <c r="C130" i="1"/>
  <c r="C6" i="7"/>
  <c r="C131" i="1"/>
  <c r="C7" i="7"/>
  <c r="C133" i="1"/>
  <c r="C9" i="7"/>
  <c r="C134" i="1"/>
  <c r="C10" i="7"/>
  <c r="C135" i="1"/>
  <c r="C11" i="7"/>
  <c r="C136" i="1"/>
  <c r="C12" i="7"/>
  <c r="C137" i="1"/>
  <c r="C13" i="7"/>
  <c r="C138" i="1"/>
  <c r="C14" i="7"/>
  <c r="C139" i="1"/>
  <c r="C15" i="7"/>
  <c r="C140" i="1"/>
  <c r="C16" i="7"/>
  <c r="C141" i="1"/>
  <c r="C17" i="7"/>
  <c r="C142" i="1"/>
  <c r="C18" i="7"/>
  <c r="C143" i="1"/>
  <c r="C19" i="7"/>
  <c r="C144" i="1"/>
  <c r="C20" i="7"/>
  <c r="C145" i="1"/>
  <c r="C21" i="7"/>
  <c r="C146" i="1"/>
  <c r="C22" i="7"/>
  <c r="C147" i="1"/>
  <c r="C23" i="7"/>
  <c r="C148" i="1"/>
  <c r="C24" i="7"/>
  <c r="C149" i="1"/>
  <c r="C25" i="7"/>
  <c r="C150" i="1"/>
  <c r="C26" i="7"/>
  <c r="C151" i="1"/>
  <c r="C27" i="7"/>
  <c r="C152" i="1"/>
  <c r="C28" i="7"/>
  <c r="C153" i="1"/>
  <c r="C29" i="7"/>
  <c r="C154" i="1"/>
  <c r="C30" i="7"/>
  <c r="C155" i="1"/>
  <c r="C31" i="7"/>
  <c r="C156" i="1"/>
  <c r="C32" i="7"/>
  <c r="C157" i="1"/>
  <c r="C33" i="7"/>
  <c r="C158" i="1"/>
  <c r="C34" i="7"/>
  <c r="C159" i="1"/>
  <c r="C35" i="7"/>
  <c r="C160" i="1"/>
  <c r="C36" i="7"/>
  <c r="C161" i="1"/>
  <c r="C37" i="7"/>
  <c r="C162" i="1"/>
  <c r="C38" i="7"/>
  <c r="C163" i="1"/>
  <c r="C39" i="7"/>
  <c r="C164" i="1"/>
  <c r="C40" i="7"/>
  <c r="C165" i="1"/>
  <c r="C41" i="7"/>
  <c r="C166" i="1"/>
  <c r="C42" i="7"/>
  <c r="C167" i="1"/>
  <c r="C43" i="7"/>
  <c r="C168" i="1"/>
  <c r="C44" i="7"/>
  <c r="C169" i="1"/>
  <c r="C45" i="7"/>
  <c r="C170" i="1"/>
  <c r="C46" i="7"/>
  <c r="C171" i="1"/>
  <c r="C47" i="7"/>
  <c r="C172" i="1"/>
  <c r="C48" i="7"/>
  <c r="C173" i="1"/>
  <c r="C49" i="7"/>
  <c r="C174" i="1"/>
  <c r="C50" i="7"/>
  <c r="C175" i="1"/>
  <c r="C51" i="7"/>
  <c r="C176" i="1"/>
  <c r="C52" i="7"/>
  <c r="C177" i="1"/>
  <c r="C53" i="7"/>
  <c r="C178" i="1"/>
  <c r="C54" i="7"/>
  <c r="C179" i="1"/>
  <c r="C55" i="7"/>
  <c r="C180" i="1"/>
  <c r="C56" i="7"/>
  <c r="C181" i="1"/>
  <c r="C57" i="7"/>
  <c r="C182" i="1"/>
  <c r="C58" i="7"/>
  <c r="C183" i="1"/>
  <c r="C59" i="7"/>
  <c r="C184" i="1"/>
  <c r="C60" i="7"/>
  <c r="C185" i="1"/>
  <c r="C61" i="7"/>
  <c r="C186" i="1"/>
  <c r="C62" i="7"/>
  <c r="C187" i="1"/>
  <c r="C63" i="7"/>
  <c r="C188" i="1"/>
  <c r="C64" i="7"/>
  <c r="C189" i="1"/>
  <c r="C65" i="7"/>
  <c r="C190" i="1"/>
  <c r="C66" i="7"/>
  <c r="C191" i="1"/>
  <c r="C67" i="7"/>
  <c r="C192" i="1"/>
  <c r="C68" i="7"/>
  <c r="C193" i="1"/>
  <c r="C69" i="7"/>
  <c r="C194" i="1"/>
  <c r="C70" i="7"/>
  <c r="C195" i="1"/>
  <c r="C71" i="7"/>
  <c r="C196" i="1"/>
  <c r="C72" i="7"/>
  <c r="C197" i="1"/>
  <c r="C73" i="7"/>
  <c r="C198" i="1"/>
  <c r="C74" i="7"/>
  <c r="C199" i="1"/>
  <c r="C75" i="7"/>
  <c r="C200" i="1"/>
  <c r="C76" i="7"/>
  <c r="C201" i="1"/>
  <c r="C77" i="7"/>
  <c r="C202" i="1"/>
  <c r="C78" i="7"/>
  <c r="C203" i="1"/>
  <c r="C79" i="7"/>
  <c r="C204" i="1"/>
  <c r="C80" i="7"/>
  <c r="C205" i="1"/>
  <c r="C81" i="7"/>
  <c r="C206" i="1"/>
  <c r="C82" i="7"/>
  <c r="C207" i="1"/>
  <c r="C83" i="7"/>
  <c r="C208" i="1"/>
  <c r="C84" i="7"/>
  <c r="C209" i="1"/>
  <c r="C85" i="7"/>
  <c r="C210" i="1"/>
  <c r="C86" i="7"/>
  <c r="C211" i="1"/>
  <c r="C87" i="7"/>
  <c r="C212" i="1"/>
  <c r="C88" i="7"/>
  <c r="C213" i="1"/>
  <c r="C89" i="7"/>
  <c r="C214" i="1"/>
  <c r="C90" i="7"/>
  <c r="C215" i="1"/>
  <c r="C91" i="7"/>
  <c r="C216" i="1"/>
  <c r="C92" i="7"/>
  <c r="C217" i="1"/>
  <c r="C93" i="7"/>
  <c r="C218" i="1"/>
  <c r="C94" i="7"/>
  <c r="C219" i="1"/>
  <c r="C95" i="7"/>
  <c r="C220" i="1"/>
  <c r="C96" i="7"/>
  <c r="C221" i="1"/>
  <c r="C97" i="7"/>
  <c r="C222" i="1"/>
  <c r="C98" i="7"/>
  <c r="C223" i="1"/>
  <c r="C99" i="7"/>
  <c r="C224" i="1"/>
  <c r="C100" i="7"/>
  <c r="C225" i="1"/>
  <c r="C101" i="7"/>
  <c r="C226" i="1"/>
  <c r="C102" i="7"/>
  <c r="C227" i="1"/>
  <c r="C103" i="7"/>
  <c r="C228" i="1"/>
  <c r="C104" i="7"/>
  <c r="C229" i="1"/>
  <c r="C105" i="7"/>
  <c r="C230" i="1"/>
  <c r="C106" i="7"/>
  <c r="C231" i="1"/>
  <c r="C107" i="7"/>
  <c r="C232" i="1"/>
  <c r="C108" i="7"/>
  <c r="C233" i="1"/>
  <c r="C109" i="7"/>
  <c r="C234" i="1"/>
  <c r="C110" i="7"/>
  <c r="C235" i="1"/>
  <c r="C111" i="7"/>
  <c r="C236" i="1"/>
  <c r="C112" i="7"/>
  <c r="C237" i="1"/>
  <c r="C113" i="7"/>
  <c r="C238" i="1"/>
  <c r="C114" i="7"/>
  <c r="C239" i="1"/>
  <c r="C115" i="7"/>
  <c r="C240" i="1"/>
  <c r="C116" i="7"/>
  <c r="C241" i="1"/>
  <c r="C117" i="7"/>
  <c r="C242" i="1"/>
  <c r="C118" i="7"/>
  <c r="C243" i="1"/>
  <c r="C119" i="7"/>
  <c r="C244" i="1"/>
  <c r="C120" i="7"/>
  <c r="C245" i="1"/>
  <c r="C121" i="7"/>
  <c r="C246" i="1"/>
  <c r="C122" i="7"/>
  <c r="C247" i="1"/>
  <c r="C123" i="7"/>
  <c r="C248" i="1"/>
  <c r="C124" i="7"/>
  <c r="C249" i="1"/>
  <c r="C125" i="7"/>
  <c r="C250" i="1"/>
  <c r="C126" i="7"/>
  <c r="C251" i="1"/>
  <c r="C127" i="7"/>
  <c r="C252" i="1"/>
  <c r="C128" i="7"/>
  <c r="C253" i="1"/>
  <c r="C129" i="7"/>
  <c r="C254" i="1"/>
  <c r="C130" i="7"/>
  <c r="C255" i="1"/>
  <c r="C131" i="7"/>
  <c r="C256" i="1"/>
  <c r="C132" i="7"/>
  <c r="C257" i="1"/>
  <c r="C133" i="7"/>
  <c r="C258" i="1"/>
  <c r="C134" i="7"/>
  <c r="C259" i="1"/>
  <c r="C135" i="7"/>
  <c r="C260" i="1"/>
  <c r="C136" i="7"/>
  <c r="C261" i="1"/>
  <c r="C137" i="7"/>
  <c r="C262" i="1"/>
  <c r="C138" i="7"/>
  <c r="C263" i="1"/>
  <c r="C139" i="7"/>
  <c r="C264" i="1"/>
  <c r="C140" i="7"/>
  <c r="C265" i="1"/>
  <c r="C141" i="7"/>
  <c r="C266" i="1"/>
  <c r="C142" i="7"/>
  <c r="C267" i="1"/>
  <c r="C143" i="7"/>
  <c r="C268" i="1"/>
  <c r="C144" i="7"/>
  <c r="C269" i="1"/>
  <c r="C145" i="7"/>
  <c r="C270" i="1"/>
  <c r="C146" i="7"/>
  <c r="C271" i="1"/>
  <c r="C147" i="7"/>
  <c r="C272" i="1"/>
  <c r="C148" i="7"/>
  <c r="C273" i="1"/>
  <c r="C149" i="7"/>
  <c r="C274" i="1"/>
  <c r="C150" i="7"/>
  <c r="C275" i="1"/>
  <c r="C151" i="7"/>
  <c r="C276" i="1"/>
  <c r="C152" i="7"/>
  <c r="C277" i="1"/>
  <c r="C153" i="7"/>
  <c r="C278" i="1"/>
  <c r="C154" i="7"/>
  <c r="C279" i="1"/>
  <c r="C155" i="7"/>
  <c r="C280" i="1"/>
  <c r="C156" i="7"/>
  <c r="C281" i="1"/>
  <c r="C157" i="7"/>
  <c r="C282" i="1"/>
  <c r="C158" i="7"/>
  <c r="C283" i="1"/>
  <c r="C159" i="7"/>
  <c r="C284" i="1"/>
  <c r="C160" i="7"/>
  <c r="C285" i="1"/>
  <c r="C161" i="7"/>
  <c r="C286" i="1"/>
  <c r="C162" i="7"/>
  <c r="C287" i="1"/>
  <c r="C163" i="7"/>
  <c r="C288" i="1"/>
  <c r="C164" i="7"/>
  <c r="C289" i="1"/>
  <c r="C165" i="7"/>
  <c r="C290" i="1"/>
  <c r="C166" i="7"/>
  <c r="C291" i="1"/>
  <c r="C167" i="7"/>
  <c r="C292" i="1"/>
  <c r="C168" i="7"/>
  <c r="C293" i="1"/>
  <c r="C169" i="7"/>
  <c r="C294" i="1"/>
  <c r="C170" i="7"/>
  <c r="C295" i="1"/>
  <c r="C171" i="7"/>
  <c r="C296" i="1"/>
  <c r="C172" i="7"/>
  <c r="C297" i="1"/>
  <c r="C173" i="7"/>
  <c r="C298" i="1"/>
  <c r="C174" i="7"/>
  <c r="C299" i="1"/>
  <c r="C175" i="7"/>
  <c r="C300" i="1"/>
  <c r="C176" i="7"/>
  <c r="C301" i="1"/>
  <c r="C177" i="7"/>
  <c r="C302" i="1"/>
  <c r="C178" i="7"/>
  <c r="C303" i="1"/>
  <c r="C179" i="7"/>
  <c r="C304" i="1"/>
  <c r="C180" i="7"/>
  <c r="C305" i="1"/>
  <c r="C181" i="7"/>
  <c r="C306" i="1"/>
  <c r="C182" i="7"/>
  <c r="C307" i="1"/>
  <c r="C183" i="7"/>
  <c r="C308" i="1"/>
  <c r="C184" i="7"/>
  <c r="C309" i="1"/>
  <c r="C185" i="7"/>
  <c r="C310" i="1"/>
  <c r="C186" i="7"/>
  <c r="C311" i="1"/>
  <c r="C187" i="7"/>
  <c r="C312" i="1"/>
  <c r="C188" i="7"/>
  <c r="C313" i="1"/>
  <c r="C189" i="7"/>
  <c r="C314" i="1"/>
  <c r="C190" i="7"/>
  <c r="C315" i="1"/>
  <c r="C191" i="7"/>
  <c r="C316" i="1"/>
  <c r="C192" i="7"/>
  <c r="C317" i="1"/>
  <c r="C193" i="7"/>
  <c r="C318" i="1"/>
  <c r="C194" i="7"/>
  <c r="C319" i="1"/>
  <c r="C195" i="7"/>
  <c r="C320" i="1"/>
  <c r="C196" i="7"/>
  <c r="C321" i="1"/>
  <c r="C197" i="7"/>
  <c r="C322" i="1"/>
  <c r="C198" i="7"/>
  <c r="C323" i="1"/>
  <c r="C199" i="7"/>
  <c r="C324" i="1"/>
  <c r="C200" i="7"/>
  <c r="C325" i="1"/>
  <c r="C201" i="7"/>
  <c r="C326" i="1"/>
  <c r="C202" i="7"/>
  <c r="C327" i="1"/>
  <c r="C203" i="7"/>
  <c r="C328" i="1"/>
  <c r="C204" i="7"/>
  <c r="C329" i="1"/>
  <c r="C205" i="7"/>
  <c r="C330" i="1"/>
  <c r="C206" i="7"/>
  <c r="C331" i="1"/>
  <c r="C207" i="7"/>
  <c r="C332" i="1"/>
  <c r="C208" i="7"/>
  <c r="C333" i="1"/>
  <c r="C209" i="7"/>
  <c r="C334" i="1"/>
  <c r="C210" i="7"/>
  <c r="C335" i="1"/>
  <c r="C211" i="7"/>
  <c r="C336" i="1"/>
  <c r="C212" i="7"/>
  <c r="C337" i="1"/>
  <c r="C213" i="7"/>
  <c r="C338" i="1"/>
  <c r="C214" i="7"/>
  <c r="C339" i="1"/>
  <c r="C215" i="7"/>
  <c r="C340" i="1"/>
  <c r="C216" i="7"/>
  <c r="C341" i="1"/>
  <c r="C217" i="7"/>
  <c r="C342" i="1"/>
  <c r="C218" i="7"/>
  <c r="C343" i="1"/>
  <c r="C219" i="7"/>
  <c r="C344" i="1"/>
  <c r="C220" i="7"/>
  <c r="C345" i="1"/>
  <c r="C221" i="7"/>
  <c r="C346" i="1"/>
  <c r="C222" i="7"/>
  <c r="C347" i="1"/>
  <c r="C223" i="7"/>
  <c r="C348" i="1"/>
  <c r="C224" i="7"/>
  <c r="C349" i="1"/>
  <c r="C225" i="7"/>
  <c r="C350" i="1"/>
  <c r="C226" i="7"/>
  <c r="C351" i="1"/>
  <c r="C227" i="7"/>
  <c r="C352" i="1"/>
  <c r="C228" i="7"/>
  <c r="C353" i="1"/>
  <c r="C229" i="7"/>
  <c r="C354" i="1"/>
  <c r="C230" i="7"/>
  <c r="C355" i="1"/>
  <c r="C231" i="7"/>
  <c r="C356" i="1"/>
  <c r="C232" i="7"/>
  <c r="C357" i="1"/>
  <c r="C233" i="7"/>
  <c r="C358" i="1"/>
  <c r="C234" i="7"/>
  <c r="C359" i="1"/>
  <c r="C235" i="7"/>
  <c r="C360" i="1"/>
  <c r="C236" i="7"/>
  <c r="C361" i="1"/>
  <c r="C237" i="7"/>
  <c r="C362" i="1"/>
  <c r="C238" i="7"/>
  <c r="C363" i="1"/>
  <c r="C239" i="7"/>
  <c r="C364" i="1"/>
  <c r="C240" i="7"/>
  <c r="C365" i="1"/>
  <c r="C241" i="7"/>
  <c r="C366" i="1"/>
  <c r="C242" i="7"/>
  <c r="C367" i="1"/>
  <c r="C243" i="7"/>
  <c r="C368" i="1"/>
  <c r="C244" i="7"/>
  <c r="C369" i="1"/>
  <c r="C245" i="7"/>
  <c r="C370" i="1"/>
  <c r="C246" i="7"/>
  <c r="C371" i="1"/>
  <c r="C247" i="7"/>
  <c r="C372" i="1"/>
  <c r="C248" i="7"/>
  <c r="C373" i="1"/>
  <c r="C249" i="7"/>
  <c r="C374" i="1"/>
  <c r="C250" i="7"/>
  <c r="C375" i="1"/>
  <c r="C251" i="7"/>
  <c r="C376" i="1"/>
  <c r="C252" i="7"/>
  <c r="C377" i="1"/>
  <c r="C253" i="7"/>
  <c r="C378" i="1"/>
  <c r="C254" i="7"/>
  <c r="C379" i="1"/>
  <c r="C255" i="7"/>
  <c r="C380" i="1"/>
  <c r="C256" i="7"/>
  <c r="C381" i="1"/>
  <c r="C257" i="7"/>
  <c r="C382" i="1"/>
  <c r="C258" i="7"/>
  <c r="C383" i="1"/>
  <c r="C259" i="7"/>
  <c r="C384" i="1"/>
  <c r="C260" i="7"/>
  <c r="C385" i="1"/>
  <c r="C261" i="7"/>
  <c r="C386" i="1"/>
  <c r="C262" i="7"/>
  <c r="C387" i="1"/>
  <c r="C263" i="7"/>
  <c r="C388" i="1"/>
  <c r="C264" i="7"/>
  <c r="C389" i="1"/>
  <c r="C265" i="7"/>
  <c r="C390" i="1"/>
  <c r="C266" i="7"/>
  <c r="C391" i="1"/>
  <c r="C267" i="7"/>
  <c r="C392" i="1"/>
  <c r="C268" i="7"/>
  <c r="C393" i="1"/>
  <c r="C269" i="7"/>
  <c r="C394" i="1"/>
  <c r="C270" i="7"/>
  <c r="C395" i="1"/>
  <c r="C271" i="7"/>
  <c r="C396" i="1"/>
  <c r="C272" i="7"/>
  <c r="C397" i="1"/>
  <c r="C273" i="7"/>
  <c r="C398" i="1"/>
  <c r="C274" i="7"/>
  <c r="C399" i="1"/>
  <c r="C275" i="7"/>
  <c r="C400" i="1"/>
  <c r="C276" i="7"/>
  <c r="C401" i="1"/>
  <c r="C277" i="7"/>
  <c r="C402" i="1"/>
  <c r="C278" i="7"/>
  <c r="C403" i="1"/>
  <c r="C279" i="7"/>
  <c r="C404" i="1"/>
  <c r="C280" i="7"/>
  <c r="C405" i="1"/>
  <c r="C281" i="7"/>
  <c r="C406" i="1"/>
  <c r="C282" i="7"/>
  <c r="C407" i="1"/>
  <c r="C283" i="7"/>
  <c r="C408" i="1"/>
  <c r="C284" i="7"/>
  <c r="C409" i="1"/>
  <c r="C285" i="7"/>
  <c r="C410" i="1"/>
  <c r="C286" i="7"/>
  <c r="C411" i="1"/>
  <c r="C287" i="7"/>
  <c r="C412" i="1"/>
  <c r="C288" i="7"/>
  <c r="C413" i="1"/>
  <c r="C289" i="7"/>
  <c r="C414" i="1"/>
  <c r="C290" i="7"/>
  <c r="C415" i="1"/>
  <c r="C291" i="7"/>
  <c r="C416" i="1"/>
  <c r="C292" i="7"/>
  <c r="C417" i="1"/>
  <c r="C293" i="7"/>
  <c r="C418" i="1"/>
  <c r="C294" i="7"/>
  <c r="C419" i="1"/>
  <c r="C295" i="7"/>
  <c r="C420" i="1"/>
  <c r="C296" i="7"/>
  <c r="C421" i="1"/>
  <c r="C297" i="7"/>
  <c r="C422" i="1"/>
  <c r="C298" i="7"/>
  <c r="C423" i="1"/>
  <c r="C299" i="7"/>
  <c r="C424" i="1"/>
  <c r="C300" i="7"/>
  <c r="C425" i="1"/>
  <c r="C301" i="7"/>
  <c r="C426" i="1"/>
  <c r="C302" i="7"/>
  <c r="C427" i="1"/>
  <c r="C303" i="7"/>
  <c r="C428" i="1"/>
  <c r="C304" i="7"/>
  <c r="C429" i="1"/>
  <c r="C305" i="7"/>
  <c r="C430" i="1"/>
  <c r="C306" i="7"/>
  <c r="C431" i="1"/>
  <c r="C307" i="7"/>
  <c r="C432" i="1"/>
  <c r="C308" i="7"/>
  <c r="C433" i="1"/>
  <c r="C309" i="7"/>
  <c r="C434" i="1"/>
  <c r="C310" i="7"/>
  <c r="C435" i="1"/>
  <c r="C311" i="7"/>
  <c r="C436" i="1"/>
  <c r="C312" i="7"/>
  <c r="C437" i="1"/>
  <c r="C313" i="7"/>
  <c r="C438" i="1"/>
  <c r="C314" i="7"/>
  <c r="C439" i="1"/>
  <c r="C315" i="7"/>
  <c r="C440" i="1"/>
  <c r="C316" i="7"/>
  <c r="C441" i="1"/>
  <c r="C317" i="7"/>
  <c r="C442" i="1"/>
  <c r="C318" i="7"/>
  <c r="C443" i="1"/>
  <c r="C319" i="7"/>
  <c r="C595" i="1"/>
  <c r="C5" i="9"/>
  <c r="C596" i="1"/>
  <c r="C6" i="9"/>
  <c r="C597" i="1"/>
  <c r="C7" i="9"/>
  <c r="C598" i="1"/>
  <c r="C8" i="9"/>
  <c r="C599" i="1"/>
  <c r="C9" i="9"/>
  <c r="C600" i="1"/>
  <c r="C10" i="9"/>
  <c r="C601" i="1"/>
  <c r="C11" i="9"/>
  <c r="C602" i="1"/>
  <c r="C12" i="9"/>
  <c r="C603" i="1"/>
  <c r="C13" i="9"/>
  <c r="C604" i="1"/>
  <c r="C14" i="9"/>
  <c r="C605" i="1"/>
  <c r="C15" i="9"/>
  <c r="C606" i="1"/>
  <c r="C16" i="9"/>
  <c r="C607" i="1"/>
  <c r="C17" i="9"/>
  <c r="C608" i="1"/>
  <c r="C18" i="9"/>
  <c r="C609" i="1"/>
  <c r="C19" i="9"/>
  <c r="C610" i="1"/>
  <c r="C20" i="9"/>
  <c r="C611" i="1"/>
  <c r="C21" i="9"/>
  <c r="C612" i="1"/>
  <c r="C22" i="9"/>
  <c r="C613" i="1"/>
  <c r="C23" i="9"/>
  <c r="C614" i="1"/>
  <c r="C24" i="9"/>
  <c r="C615" i="1"/>
  <c r="C25" i="9"/>
  <c r="C616" i="1"/>
  <c r="C26" i="9"/>
  <c r="C618" i="1"/>
  <c r="C28" i="9"/>
  <c r="C619" i="1"/>
  <c r="C29" i="9"/>
  <c r="C620" i="1"/>
  <c r="C30" i="9"/>
  <c r="C621" i="1"/>
  <c r="C31" i="9"/>
  <c r="C622" i="1"/>
  <c r="C32" i="9"/>
  <c r="C624" i="1"/>
  <c r="C34" i="9"/>
  <c r="C625" i="1"/>
  <c r="C35" i="9"/>
  <c r="C627" i="1"/>
  <c r="C37" i="9"/>
  <c r="C629" i="1"/>
  <c r="C39" i="9"/>
  <c r="C647" i="1"/>
  <c r="C57" i="9"/>
  <c r="C648" i="1"/>
  <c r="C58" i="9"/>
  <c r="C649" i="1"/>
  <c r="C59" i="9"/>
  <c r="C650" i="1"/>
  <c r="C60" i="9"/>
  <c r="C657" i="1"/>
  <c r="C67" i="9"/>
  <c r="C659" i="1"/>
  <c r="C69" i="9"/>
  <c r="C660" i="1"/>
  <c r="C70" i="9"/>
  <c r="C661" i="1"/>
  <c r="C71" i="9"/>
  <c r="C662" i="1"/>
  <c r="C72" i="9"/>
  <c r="C663" i="1"/>
  <c r="C73" i="9"/>
  <c r="C664" i="1"/>
  <c r="C74" i="9"/>
  <c r="C665" i="1"/>
  <c r="C75" i="9"/>
  <c r="C41" i="1"/>
  <c r="C43" i="5"/>
  <c r="C32" i="1"/>
  <c r="C34" i="5"/>
  <c r="C34" i="1"/>
  <c r="C36" i="5"/>
  <c r="C35" i="1"/>
  <c r="C37" i="5"/>
  <c r="C76" i="1"/>
  <c r="C78" i="5"/>
  <c r="C77" i="1"/>
  <c r="C79" i="5"/>
  <c r="C79" i="1"/>
  <c r="C81" i="5"/>
  <c r="C84" i="1"/>
  <c r="C86" i="5"/>
  <c r="C86" i="1"/>
  <c r="C88" i="5"/>
  <c r="C87" i="1"/>
  <c r="C89" i="5"/>
  <c r="C88" i="1"/>
  <c r="C90" i="5"/>
  <c r="C89" i="1"/>
  <c r="C91" i="5"/>
  <c r="C90" i="1"/>
  <c r="C92" i="5"/>
  <c r="C91" i="1"/>
  <c r="C93" i="5"/>
  <c r="C92" i="1"/>
  <c r="C94" i="5"/>
  <c r="C93" i="1"/>
  <c r="C95" i="5"/>
  <c r="C94" i="1"/>
  <c r="C96" i="5"/>
  <c r="C95" i="1"/>
  <c r="C97" i="5"/>
  <c r="C96" i="1"/>
  <c r="C98" i="5"/>
  <c r="C97" i="1"/>
  <c r="C99" i="5"/>
  <c r="C98" i="1"/>
  <c r="C100" i="5"/>
  <c r="C99" i="1"/>
  <c r="C101" i="5"/>
  <c r="C100" i="1"/>
  <c r="C102" i="5"/>
  <c r="C101" i="1"/>
  <c r="C103" i="5"/>
  <c r="C105" i="1"/>
  <c r="C107" i="5"/>
  <c r="C107" i="1"/>
  <c r="C109" i="5"/>
  <c r="C112" i="1"/>
  <c r="C114" i="5"/>
  <c r="C113" i="1"/>
  <c r="C115" i="5"/>
  <c r="C114" i="1"/>
  <c r="C116" i="5"/>
  <c r="C115" i="1"/>
  <c r="C117" i="5"/>
  <c r="C116" i="1"/>
  <c r="C118" i="5"/>
  <c r="C117" i="1"/>
  <c r="C119" i="5"/>
  <c r="C118" i="1"/>
  <c r="C120" i="5"/>
  <c r="C122" i="1"/>
  <c r="C124" i="5"/>
  <c r="C123" i="1"/>
  <c r="C125" i="5"/>
  <c r="C124" i="1"/>
  <c r="C126" i="5"/>
  <c r="C126" i="1"/>
  <c r="C128" i="5"/>
  <c r="C127" i="1"/>
  <c r="C129" i="5"/>
  <c r="C72" i="19"/>
  <c r="B3" i="19"/>
  <c r="C3" i="19"/>
  <c r="B5" i="19"/>
  <c r="C5" i="19"/>
  <c r="B7" i="19"/>
  <c r="C7" i="19"/>
  <c r="B8" i="19"/>
  <c r="C8" i="19"/>
  <c r="B9" i="19"/>
  <c r="C9" i="19"/>
  <c r="B11" i="19"/>
  <c r="C11" i="19"/>
  <c r="B12" i="19"/>
  <c r="C12" i="19"/>
  <c r="B13" i="19"/>
  <c r="C13" i="19"/>
  <c r="B15" i="19"/>
  <c r="C15" i="19"/>
  <c r="B16" i="19"/>
  <c r="C16" i="19"/>
  <c r="B17" i="19"/>
  <c r="C17" i="19"/>
  <c r="B19" i="19"/>
  <c r="C19" i="19"/>
  <c r="B21" i="19"/>
  <c r="C21" i="19"/>
  <c r="B22" i="19"/>
  <c r="C22" i="19"/>
  <c r="B24" i="19"/>
  <c r="C24" i="19"/>
  <c r="B25" i="19"/>
  <c r="C25" i="19"/>
  <c r="B27" i="19"/>
  <c r="C27" i="19"/>
  <c r="B28" i="19"/>
  <c r="C28" i="19"/>
  <c r="B29" i="19"/>
  <c r="C29" i="19"/>
  <c r="B31" i="19"/>
  <c r="C31" i="19"/>
  <c r="B33" i="19"/>
  <c r="C33" i="19"/>
  <c r="B34" i="19"/>
  <c r="C34" i="19"/>
  <c r="B35" i="19"/>
  <c r="C35" i="19"/>
  <c r="B36" i="19"/>
  <c r="C36" i="19"/>
  <c r="B37" i="19"/>
  <c r="C37" i="19"/>
  <c r="B39" i="19"/>
  <c r="C39" i="19"/>
  <c r="B40" i="19"/>
  <c r="C40" i="19"/>
  <c r="B41" i="19"/>
  <c r="C41" i="19"/>
  <c r="B42" i="19"/>
  <c r="C42" i="19"/>
  <c r="B44" i="19"/>
  <c r="C44" i="19"/>
  <c r="B46" i="19"/>
  <c r="C46" i="19"/>
  <c r="B47" i="19"/>
  <c r="C47" i="19"/>
  <c r="B48" i="19"/>
  <c r="C48" i="19"/>
  <c r="B49" i="19"/>
  <c r="C49" i="19"/>
  <c r="B50" i="19"/>
  <c r="C50" i="19"/>
  <c r="B52" i="19"/>
  <c r="C52" i="19"/>
  <c r="B54" i="19"/>
  <c r="C54" i="19"/>
  <c r="B55" i="19"/>
  <c r="C55" i="19"/>
  <c r="B56" i="19"/>
  <c r="C56" i="19"/>
  <c r="B58" i="19"/>
  <c r="C58" i="19"/>
  <c r="B60" i="19"/>
  <c r="C60" i="19"/>
  <c r="B61" i="19"/>
  <c r="C61" i="19"/>
  <c r="B62" i="19"/>
  <c r="C62" i="19"/>
  <c r="B64" i="19"/>
  <c r="C64" i="19"/>
  <c r="B65" i="19"/>
  <c r="C65" i="19"/>
  <c r="B66" i="19"/>
  <c r="C66" i="19"/>
  <c r="B67" i="19"/>
  <c r="C67" i="19"/>
  <c r="B68" i="19"/>
  <c r="C68" i="19"/>
  <c r="B69" i="19"/>
  <c r="C69" i="19"/>
  <c r="B71" i="19"/>
  <c r="C71" i="19"/>
  <c r="B72" i="19"/>
  <c r="B74" i="19"/>
  <c r="C74" i="19"/>
  <c r="B75" i="19"/>
  <c r="C75" i="19"/>
  <c r="B76" i="19"/>
  <c r="C76" i="19"/>
  <c r="A5" i="19"/>
  <c r="A7" i="19"/>
  <c r="A8" i="19"/>
  <c r="A9" i="19"/>
  <c r="A11" i="19"/>
  <c r="A12" i="19"/>
  <c r="A13" i="19"/>
  <c r="A15" i="19"/>
  <c r="A16" i="19"/>
  <c r="A17" i="19"/>
  <c r="A19" i="19"/>
  <c r="A21" i="19"/>
  <c r="A22" i="19"/>
  <c r="A24" i="19"/>
  <c r="A25" i="19"/>
  <c r="A27" i="19"/>
  <c r="A28" i="19"/>
  <c r="A29" i="19"/>
  <c r="A31" i="19"/>
  <c r="A33" i="19"/>
  <c r="A34" i="19"/>
  <c r="A35" i="19"/>
  <c r="A36" i="19"/>
  <c r="A37" i="19"/>
  <c r="A39" i="19"/>
  <c r="A40" i="19"/>
  <c r="A41" i="19"/>
  <c r="A42" i="19"/>
  <c r="A44" i="19"/>
  <c r="A46" i="19"/>
  <c r="A47" i="19"/>
  <c r="A48" i="19"/>
  <c r="A49" i="19"/>
  <c r="A50" i="19"/>
  <c r="A52" i="19"/>
  <c r="A54" i="19"/>
  <c r="A55" i="19"/>
  <c r="A56" i="19"/>
  <c r="A58" i="19"/>
  <c r="A60" i="19"/>
  <c r="A61" i="19"/>
  <c r="A62" i="19"/>
  <c r="A64" i="19"/>
  <c r="A65" i="19"/>
  <c r="A66" i="19"/>
  <c r="A67" i="19"/>
  <c r="A68" i="19"/>
  <c r="A69" i="19"/>
  <c r="A71" i="19"/>
  <c r="A72" i="19"/>
  <c r="A74" i="19"/>
  <c r="A75" i="19"/>
  <c r="A76" i="19"/>
  <c r="A3" i="19"/>
  <c r="B1" i="9"/>
  <c r="C138" i="17"/>
  <c r="A4" i="17"/>
  <c r="B4" i="17"/>
  <c r="C4" i="17"/>
  <c r="A5" i="17"/>
  <c r="B5" i="17"/>
  <c r="C5" i="17"/>
  <c r="A6" i="17"/>
  <c r="B6" i="17"/>
  <c r="C6" i="17"/>
  <c r="A7" i="17"/>
  <c r="B7" i="17"/>
  <c r="C7" i="17"/>
  <c r="A8" i="17"/>
  <c r="B8" i="17"/>
  <c r="C8" i="17"/>
  <c r="A10" i="17"/>
  <c r="B10" i="17"/>
  <c r="C10" i="17"/>
  <c r="A11" i="17"/>
  <c r="B11" i="17"/>
  <c r="C11" i="17"/>
  <c r="A12" i="17"/>
  <c r="B12" i="17"/>
  <c r="C12" i="17"/>
  <c r="A13" i="17"/>
  <c r="B13" i="17"/>
  <c r="C13" i="17"/>
  <c r="A14" i="17"/>
  <c r="B14" i="17"/>
  <c r="C14" i="17"/>
  <c r="A16" i="17"/>
  <c r="B16" i="17"/>
  <c r="C16" i="17"/>
  <c r="A17" i="17"/>
  <c r="B17" i="17"/>
  <c r="C17" i="17"/>
  <c r="A18" i="17"/>
  <c r="B18" i="17"/>
  <c r="C18" i="17"/>
  <c r="A19" i="17"/>
  <c r="B19" i="17"/>
  <c r="C19" i="17"/>
  <c r="A20" i="17"/>
  <c r="B20" i="17"/>
  <c r="C20" i="17"/>
  <c r="A22" i="17"/>
  <c r="B22" i="17"/>
  <c r="C22" i="17"/>
  <c r="A23" i="17"/>
  <c r="B23" i="17"/>
  <c r="C23" i="17"/>
  <c r="A24" i="17"/>
  <c r="B24" i="17"/>
  <c r="C24" i="17"/>
  <c r="A25" i="17"/>
  <c r="B25" i="17"/>
  <c r="C25" i="17"/>
  <c r="A26" i="17"/>
  <c r="B26" i="17"/>
  <c r="C26" i="17"/>
  <c r="A27" i="17"/>
  <c r="B27" i="17"/>
  <c r="C27" i="17"/>
  <c r="A28" i="17"/>
  <c r="B28" i="17"/>
  <c r="C28" i="17"/>
  <c r="A30" i="17"/>
  <c r="B30" i="17"/>
  <c r="C30" i="17"/>
  <c r="A31" i="17"/>
  <c r="B31" i="17"/>
  <c r="C31" i="17"/>
  <c r="A35" i="17"/>
  <c r="B35" i="17"/>
  <c r="C35" i="17"/>
  <c r="A36" i="17"/>
  <c r="B36" i="17"/>
  <c r="C36" i="17"/>
  <c r="A38" i="17"/>
  <c r="B38" i="17"/>
  <c r="C38" i="17"/>
  <c r="A39" i="17"/>
  <c r="B39" i="17"/>
  <c r="C39" i="17"/>
  <c r="A41" i="17"/>
  <c r="B41" i="17"/>
  <c r="C41" i="17"/>
  <c r="A42" i="17"/>
  <c r="B42" i="17"/>
  <c r="C42" i="17"/>
  <c r="A43" i="17"/>
  <c r="B43" i="17"/>
  <c r="C43" i="17"/>
  <c r="A44" i="17"/>
  <c r="B44" i="17"/>
  <c r="C44" i="17"/>
  <c r="A46" i="17"/>
  <c r="B46" i="17"/>
  <c r="C46" i="17"/>
  <c r="A47" i="17"/>
  <c r="B47" i="17"/>
  <c r="C47" i="17"/>
  <c r="A48" i="17"/>
  <c r="B48" i="17"/>
  <c r="C48" i="17"/>
  <c r="A49" i="17"/>
  <c r="B49" i="17"/>
  <c r="C49" i="17"/>
  <c r="A50" i="17"/>
  <c r="B50" i="17"/>
  <c r="C50" i="17"/>
  <c r="A51" i="17"/>
  <c r="B51" i="17"/>
  <c r="C51" i="17"/>
  <c r="A52" i="17"/>
  <c r="B52" i="17"/>
  <c r="C52" i="17"/>
  <c r="A53" i="17"/>
  <c r="B53" i="17"/>
  <c r="C53" i="17"/>
  <c r="A54" i="17"/>
  <c r="B54" i="17"/>
  <c r="C54" i="17"/>
  <c r="A56" i="17"/>
  <c r="B56" i="17"/>
  <c r="C56" i="17"/>
  <c r="A57" i="17"/>
  <c r="B57" i="17"/>
  <c r="C57" i="17"/>
  <c r="A58" i="17"/>
  <c r="B58" i="17"/>
  <c r="C58" i="17"/>
  <c r="A60" i="17"/>
  <c r="B60" i="17"/>
  <c r="C60" i="17"/>
  <c r="A62" i="17"/>
  <c r="B62" i="17"/>
  <c r="C62" i="17"/>
  <c r="A63" i="17"/>
  <c r="B63" i="17"/>
  <c r="C63" i="17"/>
  <c r="A64" i="17"/>
  <c r="B64" i="17"/>
  <c r="C64" i="17"/>
  <c r="A65" i="17"/>
  <c r="B65" i="17"/>
  <c r="C65" i="17"/>
  <c r="A66" i="17"/>
  <c r="B66" i="17"/>
  <c r="C66" i="17"/>
  <c r="A68" i="17"/>
  <c r="B68" i="17"/>
  <c r="C68" i="17"/>
  <c r="A69" i="17"/>
  <c r="B69" i="17"/>
  <c r="C69" i="17"/>
  <c r="A70" i="17"/>
  <c r="B70" i="17"/>
  <c r="C70" i="17"/>
  <c r="A71" i="17"/>
  <c r="B71" i="17"/>
  <c r="C71" i="17"/>
  <c r="A73" i="17"/>
  <c r="B73" i="17"/>
  <c r="C73" i="17"/>
  <c r="A74" i="17"/>
  <c r="B74" i="17"/>
  <c r="C74" i="17"/>
  <c r="A75" i="17"/>
  <c r="B75" i="17"/>
  <c r="C75" i="17"/>
  <c r="A77" i="17"/>
  <c r="B77" i="17"/>
  <c r="C77" i="17"/>
  <c r="A79" i="17"/>
  <c r="B79" i="17"/>
  <c r="C79" i="17"/>
  <c r="A80" i="17"/>
  <c r="B80" i="17"/>
  <c r="C80" i="17"/>
  <c r="A81" i="17"/>
  <c r="B81" i="17"/>
  <c r="C81" i="17"/>
  <c r="A82" i="17"/>
  <c r="B82" i="17"/>
  <c r="C82" i="17"/>
  <c r="A83" i="17"/>
  <c r="B83" i="17"/>
  <c r="C83" i="17"/>
  <c r="A85" i="17"/>
  <c r="B85" i="17"/>
  <c r="C85" i="17"/>
  <c r="A86" i="17"/>
  <c r="B86" i="17"/>
  <c r="C86" i="17"/>
  <c r="A87" i="17"/>
  <c r="B87" i="17"/>
  <c r="C87" i="17"/>
  <c r="A88" i="17"/>
  <c r="B88" i="17"/>
  <c r="C88" i="17"/>
  <c r="A90" i="17"/>
  <c r="B90" i="17"/>
  <c r="C90" i="17"/>
  <c r="A94" i="17"/>
  <c r="B94" i="17"/>
  <c r="C94" i="17"/>
  <c r="A95" i="17"/>
  <c r="B95" i="17"/>
  <c r="C95" i="17"/>
  <c r="A97" i="17"/>
  <c r="B97" i="17"/>
  <c r="C97" i="17"/>
  <c r="A98" i="17"/>
  <c r="B98" i="17"/>
  <c r="C98" i="17"/>
  <c r="A99" i="17"/>
  <c r="B99" i="17"/>
  <c r="C99" i="17"/>
  <c r="A100" i="17"/>
  <c r="B100" i="17"/>
  <c r="C100" i="17"/>
  <c r="A104" i="17"/>
  <c r="B104" i="17"/>
  <c r="C104" i="17"/>
  <c r="A106" i="17"/>
  <c r="B106" i="17"/>
  <c r="C106" i="17"/>
  <c r="A107" i="17"/>
  <c r="B107" i="17"/>
  <c r="C107" i="17"/>
  <c r="A108" i="17"/>
  <c r="B108" i="17"/>
  <c r="C108" i="17"/>
  <c r="A109" i="17"/>
  <c r="B109" i="17"/>
  <c r="C109" i="17"/>
  <c r="A110" i="17"/>
  <c r="B110" i="17"/>
  <c r="C110" i="17"/>
  <c r="A112" i="17"/>
  <c r="B112" i="17"/>
  <c r="C112" i="17"/>
  <c r="A113" i="17"/>
  <c r="B113" i="17"/>
  <c r="C113" i="17"/>
  <c r="A114" i="17"/>
  <c r="B114" i="17"/>
  <c r="C114" i="17"/>
  <c r="A115" i="17"/>
  <c r="B115" i="17"/>
  <c r="C115" i="17"/>
  <c r="A119" i="17"/>
  <c r="B119" i="17"/>
  <c r="C119" i="17"/>
  <c r="A120" i="17"/>
  <c r="B120" i="17"/>
  <c r="C120" i="17"/>
  <c r="A121" i="17"/>
  <c r="B121" i="17"/>
  <c r="C121" i="17"/>
  <c r="A122" i="17"/>
  <c r="B122" i="17"/>
  <c r="C122" i="17"/>
  <c r="A123" i="17"/>
  <c r="B123" i="17"/>
  <c r="C123" i="17"/>
  <c r="A125" i="17"/>
  <c r="B125" i="17"/>
  <c r="C125" i="17"/>
  <c r="A126" i="17"/>
  <c r="B126" i="17"/>
  <c r="C126" i="17"/>
  <c r="A127" i="17"/>
  <c r="B127" i="17"/>
  <c r="C127" i="17"/>
  <c r="A128" i="17"/>
  <c r="B128" i="17"/>
  <c r="C128" i="17"/>
  <c r="A129" i="17"/>
  <c r="B129" i="17"/>
  <c r="C129" i="17"/>
  <c r="A131" i="17"/>
  <c r="B131" i="17"/>
  <c r="C131" i="17"/>
  <c r="A133" i="17"/>
  <c r="B133" i="17"/>
  <c r="C133" i="17"/>
  <c r="A134" i="17"/>
  <c r="B134" i="17"/>
  <c r="C134" i="17"/>
  <c r="A138" i="17"/>
  <c r="B138" i="17"/>
  <c r="A139" i="17"/>
  <c r="B139" i="17"/>
  <c r="C139" i="17"/>
  <c r="A140" i="17"/>
  <c r="B140" i="17"/>
  <c r="C140" i="17"/>
  <c r="A141" i="17"/>
  <c r="B141" i="17"/>
  <c r="C141" i="17"/>
  <c r="A143" i="17"/>
  <c r="B143" i="17"/>
  <c r="C143" i="17"/>
  <c r="A144" i="17"/>
  <c r="B144" i="17"/>
  <c r="C144" i="17"/>
  <c r="A145" i="17"/>
  <c r="B145" i="17"/>
  <c r="C145" i="17"/>
  <c r="A146" i="17"/>
  <c r="B146" i="17"/>
  <c r="C146" i="17"/>
  <c r="A148" i="17"/>
  <c r="B148" i="17"/>
  <c r="C148" i="17"/>
  <c r="A150" i="17"/>
  <c r="B150" i="17"/>
  <c r="C150" i="17"/>
  <c r="A151" i="17"/>
  <c r="B151" i="17"/>
  <c r="C151" i="17"/>
  <c r="A155" i="17"/>
  <c r="B155" i="17"/>
  <c r="C155" i="17"/>
  <c r="A156" i="17"/>
  <c r="B156" i="17"/>
  <c r="C156" i="17"/>
  <c r="A157" i="17"/>
  <c r="B157" i="17"/>
  <c r="C157" i="17"/>
  <c r="A159" i="17"/>
  <c r="B159" i="17"/>
  <c r="C159" i="17"/>
  <c r="A160" i="17"/>
  <c r="B160" i="17"/>
  <c r="C160" i="17"/>
  <c r="A164" i="17"/>
  <c r="B164" i="17"/>
  <c r="C164" i="17"/>
  <c r="A165" i="17"/>
  <c r="B165" i="17"/>
  <c r="C165" i="17"/>
  <c r="A166" i="17"/>
  <c r="B166" i="17"/>
  <c r="C166" i="17"/>
  <c r="A167" i="17"/>
  <c r="B167" i="17"/>
  <c r="C167" i="17"/>
  <c r="A168" i="17"/>
  <c r="B168" i="17"/>
  <c r="C168" i="17"/>
  <c r="A169" i="17"/>
  <c r="B169" i="17"/>
  <c r="C169" i="17"/>
  <c r="A170" i="17"/>
  <c r="B170" i="17"/>
  <c r="C170" i="17"/>
  <c r="A172" i="17"/>
  <c r="B172" i="17"/>
  <c r="C172" i="17"/>
  <c r="A173" i="17"/>
  <c r="B173" i="17"/>
  <c r="C173" i="17"/>
  <c r="A175" i="17"/>
  <c r="B175" i="17"/>
  <c r="C175" i="17"/>
  <c r="A176" i="17"/>
  <c r="B176" i="17"/>
  <c r="C176" i="17"/>
  <c r="A178" i="17"/>
  <c r="B178" i="17"/>
  <c r="C178" i="17"/>
  <c r="A179" i="17"/>
  <c r="B179" i="17"/>
  <c r="C179" i="17"/>
  <c r="A180" i="17"/>
  <c r="B180" i="17"/>
  <c r="C180" i="17"/>
  <c r="A182" i="17"/>
  <c r="B182" i="17"/>
  <c r="C182" i="17"/>
  <c r="B3" i="17"/>
  <c r="C3" i="17"/>
  <c r="A3" i="17"/>
  <c r="A46" i="14"/>
  <c r="B46" i="14"/>
  <c r="C46" i="14"/>
  <c r="B36" i="14"/>
  <c r="B3" i="14"/>
  <c r="C3" i="14"/>
  <c r="B4" i="14"/>
  <c r="C4" i="14"/>
  <c r="B6" i="14"/>
  <c r="C6" i="14"/>
  <c r="B7" i="14"/>
  <c r="C7" i="14"/>
  <c r="B8" i="14"/>
  <c r="C8" i="14"/>
  <c r="B9" i="14"/>
  <c r="C9" i="14"/>
  <c r="B10" i="14"/>
  <c r="C10" i="14"/>
  <c r="B11" i="14"/>
  <c r="C11" i="14"/>
  <c r="B12" i="14"/>
  <c r="C12" i="14"/>
  <c r="B14" i="14"/>
  <c r="C14" i="14"/>
  <c r="B15" i="14"/>
  <c r="C15" i="14"/>
  <c r="B16" i="14"/>
  <c r="C16" i="14"/>
  <c r="B18" i="14"/>
  <c r="C18" i="14"/>
  <c r="B19" i="14"/>
  <c r="C19" i="14"/>
  <c r="B21" i="14"/>
  <c r="C21" i="14"/>
  <c r="B22" i="14"/>
  <c r="C22" i="14"/>
  <c r="B23" i="14"/>
  <c r="C23" i="14"/>
  <c r="B24" i="14"/>
  <c r="C24" i="14"/>
  <c r="B26" i="14"/>
  <c r="C26" i="14"/>
  <c r="B27" i="14"/>
  <c r="C27" i="14"/>
  <c r="B28" i="14"/>
  <c r="C28" i="14"/>
  <c r="B29" i="14"/>
  <c r="C29" i="14"/>
  <c r="B31" i="14"/>
  <c r="C31" i="14"/>
  <c r="B32" i="14"/>
  <c r="C32" i="14"/>
  <c r="B33" i="14"/>
  <c r="C33" i="14"/>
  <c r="B34" i="14"/>
  <c r="C34" i="14"/>
  <c r="B35" i="14"/>
  <c r="C35" i="14"/>
  <c r="C36" i="14"/>
  <c r="B37" i="14"/>
  <c r="C37" i="14"/>
  <c r="B38" i="14"/>
  <c r="C38" i="14"/>
  <c r="B40" i="14"/>
  <c r="C40" i="14"/>
  <c r="B41" i="14"/>
  <c r="C41" i="14"/>
  <c r="B43" i="14"/>
  <c r="C43" i="14"/>
  <c r="B44" i="14"/>
  <c r="C44" i="14"/>
  <c r="B47" i="14"/>
  <c r="C47" i="14"/>
  <c r="B49" i="14"/>
  <c r="C49" i="14"/>
  <c r="B50" i="14"/>
  <c r="C50" i="14"/>
  <c r="B51" i="14"/>
  <c r="C51" i="14"/>
  <c r="B52" i="14"/>
  <c r="C52" i="14"/>
  <c r="B53" i="14"/>
  <c r="C53" i="14"/>
  <c r="B54" i="14"/>
  <c r="C54" i="14"/>
  <c r="B55" i="14"/>
  <c r="C55" i="14"/>
  <c r="B56" i="14"/>
  <c r="C56" i="14"/>
  <c r="B58" i="14"/>
  <c r="C58" i="14"/>
  <c r="B59" i="14"/>
  <c r="C59" i="14"/>
  <c r="B60" i="14"/>
  <c r="C60" i="14"/>
  <c r="B62" i="14"/>
  <c r="C62" i="14"/>
  <c r="B64" i="14"/>
  <c r="C64" i="14"/>
  <c r="B65" i="14"/>
  <c r="C65" i="14"/>
  <c r="B66" i="14"/>
  <c r="C66" i="14"/>
  <c r="B68" i="14"/>
  <c r="C68" i="14"/>
  <c r="B69" i="14"/>
  <c r="C69" i="14"/>
  <c r="B70" i="14"/>
  <c r="C70" i="14"/>
  <c r="B71" i="14"/>
  <c r="C71" i="14"/>
  <c r="B73" i="14"/>
  <c r="C73" i="14"/>
  <c r="B74" i="14"/>
  <c r="C74" i="14"/>
  <c r="B75" i="14"/>
  <c r="C75" i="14"/>
  <c r="B76" i="14"/>
  <c r="C76" i="14"/>
  <c r="B77" i="14"/>
  <c r="C77" i="14"/>
  <c r="B78" i="14"/>
  <c r="C78" i="14"/>
  <c r="B80" i="14"/>
  <c r="C80" i="14"/>
  <c r="B81" i="14"/>
  <c r="C81" i="14"/>
  <c r="B82" i="14"/>
  <c r="C82" i="14"/>
  <c r="B84" i="14"/>
  <c r="C84" i="14"/>
  <c r="B85" i="14"/>
  <c r="C85" i="14"/>
  <c r="B86" i="14"/>
  <c r="C86" i="14"/>
  <c r="B88" i="14"/>
  <c r="C88" i="14"/>
  <c r="B89" i="14"/>
  <c r="C89" i="14"/>
  <c r="B90" i="14"/>
  <c r="C90" i="14"/>
  <c r="B91" i="14"/>
  <c r="C91" i="14"/>
  <c r="B92" i="14"/>
  <c r="C92" i="14"/>
  <c r="B94" i="14"/>
  <c r="C94" i="14"/>
  <c r="B96" i="14"/>
  <c r="C96" i="14"/>
  <c r="B98" i="14"/>
  <c r="C98" i="14"/>
  <c r="B99" i="14"/>
  <c r="C99" i="14"/>
  <c r="B101" i="14"/>
  <c r="C101" i="14"/>
  <c r="B102" i="14"/>
  <c r="C102" i="14"/>
  <c r="B103" i="14"/>
  <c r="C103" i="14"/>
  <c r="B104" i="14"/>
  <c r="C104" i="14"/>
  <c r="B106" i="14"/>
  <c r="C106" i="14"/>
  <c r="B107" i="14"/>
  <c r="C107" i="14"/>
  <c r="B109" i="14"/>
  <c r="C109" i="14"/>
  <c r="B110" i="14"/>
  <c r="C110" i="14"/>
  <c r="B111" i="14"/>
  <c r="C111" i="14"/>
  <c r="B113" i="14"/>
  <c r="C113" i="14"/>
  <c r="B114" i="14"/>
  <c r="C114" i="14"/>
  <c r="B116" i="14"/>
  <c r="C116" i="14"/>
  <c r="B117" i="14"/>
  <c r="C117" i="14"/>
  <c r="B119" i="14"/>
  <c r="C119" i="14"/>
  <c r="B121" i="14"/>
  <c r="C121" i="14"/>
  <c r="B122" i="14"/>
  <c r="C122" i="14"/>
  <c r="B124" i="14"/>
  <c r="C124" i="14"/>
  <c r="B125" i="14"/>
  <c r="C125" i="14"/>
  <c r="B126" i="14"/>
  <c r="C126" i="14"/>
  <c r="B127" i="14"/>
  <c r="C127" i="14"/>
  <c r="B128" i="14"/>
  <c r="C128" i="14"/>
  <c r="B129" i="14"/>
  <c r="C129" i="14"/>
  <c r="B130" i="14"/>
  <c r="C130" i="14"/>
  <c r="B131" i="14"/>
  <c r="C131" i="14"/>
  <c r="B132" i="14"/>
  <c r="C132" i="14"/>
  <c r="B133" i="14"/>
  <c r="C133" i="14"/>
  <c r="B134" i="14"/>
  <c r="C134" i="14"/>
  <c r="B136" i="14"/>
  <c r="C136" i="14"/>
  <c r="B138" i="14"/>
  <c r="C138" i="14"/>
  <c r="B139" i="14"/>
  <c r="C139" i="14"/>
  <c r="B141" i="14"/>
  <c r="C141" i="14"/>
  <c r="B142" i="14"/>
  <c r="C142" i="14"/>
  <c r="B143" i="14"/>
  <c r="C143" i="14"/>
  <c r="B144" i="14"/>
  <c r="C144" i="14"/>
  <c r="B145" i="14"/>
  <c r="C145" i="14"/>
  <c r="B146" i="14"/>
  <c r="C146" i="14"/>
  <c r="B148" i="14"/>
  <c r="C148" i="14"/>
  <c r="B149" i="14"/>
  <c r="C149" i="14"/>
  <c r="B150" i="14"/>
  <c r="C150" i="14"/>
  <c r="B152" i="14"/>
  <c r="C152" i="14"/>
  <c r="B154" i="14"/>
  <c r="C154" i="14"/>
  <c r="B155" i="14"/>
  <c r="C155" i="14"/>
  <c r="B156" i="14"/>
  <c r="C156" i="14"/>
  <c r="B157" i="14"/>
  <c r="C157" i="14"/>
  <c r="B158" i="14"/>
  <c r="C158" i="14"/>
  <c r="B160" i="14"/>
  <c r="C160" i="14"/>
  <c r="B161" i="14"/>
  <c r="C161" i="14"/>
  <c r="B162" i="14"/>
  <c r="C162" i="14"/>
  <c r="B164" i="14"/>
  <c r="C164" i="14"/>
  <c r="B165" i="14"/>
  <c r="C165" i="14"/>
  <c r="B166" i="14"/>
  <c r="C166" i="14"/>
  <c r="B168" i="14"/>
  <c r="C168" i="14"/>
  <c r="B169" i="14"/>
  <c r="C169" i="14"/>
  <c r="B170" i="14"/>
  <c r="C170" i="14"/>
  <c r="B172" i="14"/>
  <c r="C172" i="14"/>
  <c r="B173" i="14"/>
  <c r="C173" i="14"/>
  <c r="B175" i="14"/>
  <c r="C175" i="14"/>
  <c r="B176" i="14"/>
  <c r="C176" i="14"/>
  <c r="B178" i="14"/>
  <c r="C178" i="14"/>
  <c r="B179" i="14"/>
  <c r="C179" i="14"/>
  <c r="B181" i="14"/>
  <c r="C181" i="14"/>
  <c r="B182" i="14"/>
  <c r="C182" i="14"/>
  <c r="B184" i="14"/>
  <c r="C184" i="14"/>
  <c r="B186" i="14"/>
  <c r="C186" i="14"/>
  <c r="B187" i="14"/>
  <c r="C187" i="14"/>
  <c r="B189" i="14"/>
  <c r="C189" i="14"/>
  <c r="B191" i="14"/>
  <c r="C191" i="14"/>
  <c r="B192" i="14"/>
  <c r="C192" i="14"/>
  <c r="B193" i="14"/>
  <c r="C193" i="14"/>
  <c r="B195" i="14"/>
  <c r="C195" i="14"/>
  <c r="B196" i="14"/>
  <c r="C196" i="14"/>
  <c r="B198" i="14"/>
  <c r="C198" i="14"/>
  <c r="B200" i="14"/>
  <c r="C200" i="14"/>
  <c r="B201" i="14"/>
  <c r="C201" i="14"/>
  <c r="B202" i="14"/>
  <c r="C202" i="14"/>
  <c r="B204" i="14"/>
  <c r="C204" i="14"/>
  <c r="B206" i="14"/>
  <c r="C206" i="14"/>
  <c r="B208" i="14"/>
  <c r="C208" i="14"/>
  <c r="B209" i="14"/>
  <c r="C209" i="14"/>
  <c r="B210" i="14"/>
  <c r="C210" i="14"/>
  <c r="B211" i="14"/>
  <c r="C211" i="14"/>
  <c r="B212" i="14"/>
  <c r="C212" i="14"/>
  <c r="B213" i="14"/>
  <c r="C213" i="14"/>
  <c r="B214" i="14"/>
  <c r="C214" i="14"/>
  <c r="B216" i="14"/>
  <c r="C216" i="14"/>
  <c r="B218" i="14"/>
  <c r="C218" i="14"/>
  <c r="B219" i="14"/>
  <c r="C219" i="14"/>
  <c r="B221" i="14"/>
  <c r="C221" i="14"/>
  <c r="B223" i="14"/>
  <c r="C223" i="14"/>
  <c r="B225" i="14"/>
  <c r="C225" i="14"/>
  <c r="B226" i="14"/>
  <c r="C226" i="14"/>
  <c r="B227" i="14"/>
  <c r="C227" i="14"/>
  <c r="B229" i="14"/>
  <c r="C229" i="14"/>
  <c r="B230" i="14"/>
  <c r="C230" i="14"/>
  <c r="B231" i="14"/>
  <c r="C231" i="14"/>
  <c r="B232" i="14"/>
  <c r="C232" i="14"/>
  <c r="B233" i="14"/>
  <c r="C233" i="14"/>
  <c r="B235" i="14"/>
  <c r="C235" i="14"/>
  <c r="B236" i="14"/>
  <c r="C236" i="14"/>
  <c r="B237" i="14"/>
  <c r="C237" i="14"/>
  <c r="B239" i="14"/>
  <c r="C239" i="14"/>
  <c r="B240" i="14"/>
  <c r="C240" i="14"/>
  <c r="B241" i="14"/>
  <c r="C241" i="14"/>
  <c r="A204" i="14"/>
  <c r="A206" i="14"/>
  <c r="A208" i="14"/>
  <c r="A209" i="14"/>
  <c r="A210" i="14"/>
  <c r="A211" i="14"/>
  <c r="A212" i="14"/>
  <c r="A213" i="14"/>
  <c r="A214" i="14"/>
  <c r="A216" i="14"/>
  <c r="A218" i="14"/>
  <c r="A219" i="14"/>
  <c r="A221" i="14"/>
  <c r="A223" i="14"/>
  <c r="A225" i="14"/>
  <c r="A226" i="14"/>
  <c r="A227" i="14"/>
  <c r="A229" i="14"/>
  <c r="A230" i="14"/>
  <c r="A231" i="14"/>
  <c r="A232" i="14"/>
  <c r="A233" i="14"/>
  <c r="A235" i="14"/>
  <c r="A236" i="14"/>
  <c r="A237" i="14"/>
  <c r="A239" i="14"/>
  <c r="A240" i="14"/>
  <c r="A241" i="14"/>
  <c r="A170" i="14"/>
  <c r="A172" i="14"/>
  <c r="A173" i="14"/>
  <c r="A175" i="14"/>
  <c r="A176" i="14"/>
  <c r="A178" i="14"/>
  <c r="A179" i="14"/>
  <c r="A181" i="14"/>
  <c r="A182" i="14"/>
  <c r="A184" i="14"/>
  <c r="A186" i="14"/>
  <c r="A187" i="14"/>
  <c r="A189" i="14"/>
  <c r="A191" i="14"/>
  <c r="A192" i="14"/>
  <c r="A193" i="14"/>
  <c r="A195" i="14"/>
  <c r="A196" i="14"/>
  <c r="A198" i="14"/>
  <c r="A200" i="14"/>
  <c r="A201" i="14"/>
  <c r="A202" i="14"/>
  <c r="A4" i="14"/>
  <c r="A6" i="14"/>
  <c r="A7" i="14"/>
  <c r="A8" i="14"/>
  <c r="A9" i="14"/>
  <c r="A10" i="14"/>
  <c r="A11" i="14"/>
  <c r="A12" i="14"/>
  <c r="A14" i="14"/>
  <c r="A15" i="14"/>
  <c r="A16" i="14"/>
  <c r="A18" i="14"/>
  <c r="A19" i="14"/>
  <c r="A21" i="14"/>
  <c r="A22" i="14"/>
  <c r="A23" i="14"/>
  <c r="A24" i="14"/>
  <c r="A26" i="14"/>
  <c r="A27" i="14"/>
  <c r="A28" i="14"/>
  <c r="A29" i="14"/>
  <c r="A31" i="14"/>
  <c r="A32" i="14"/>
  <c r="A33" i="14"/>
  <c r="A34" i="14"/>
  <c r="A35" i="14"/>
  <c r="A36" i="14"/>
  <c r="A37" i="14"/>
  <c r="A38" i="14"/>
  <c r="A40" i="14"/>
  <c r="A41" i="14"/>
  <c r="A43" i="14"/>
  <c r="A44" i="14"/>
  <c r="A47" i="14"/>
  <c r="A49" i="14"/>
  <c r="A50" i="14"/>
  <c r="A51" i="14"/>
  <c r="A52" i="14"/>
  <c r="A53" i="14"/>
  <c r="A54" i="14"/>
  <c r="A55" i="14"/>
  <c r="A56" i="14"/>
  <c r="A58" i="14"/>
  <c r="A59" i="14"/>
  <c r="A60" i="14"/>
  <c r="A62" i="14"/>
  <c r="A64" i="14"/>
  <c r="A65" i="14"/>
  <c r="A66" i="14"/>
  <c r="A68" i="14"/>
  <c r="A69" i="14"/>
  <c r="A70" i="14"/>
  <c r="A71" i="14"/>
  <c r="A73" i="14"/>
  <c r="A74" i="14"/>
  <c r="A75" i="14"/>
  <c r="A76" i="14"/>
  <c r="A77" i="14"/>
  <c r="A78" i="14"/>
  <c r="A80" i="14"/>
  <c r="A81" i="14"/>
  <c r="A82" i="14"/>
  <c r="A84" i="14"/>
  <c r="A85" i="14"/>
  <c r="A86" i="14"/>
  <c r="A88" i="14"/>
  <c r="A89" i="14"/>
  <c r="A90" i="14"/>
  <c r="A91" i="14"/>
  <c r="A92" i="14"/>
  <c r="A94" i="14"/>
  <c r="A96" i="14"/>
  <c r="A98" i="14"/>
  <c r="A99" i="14"/>
  <c r="A101" i="14"/>
  <c r="A102" i="14"/>
  <c r="A103" i="14"/>
  <c r="A104" i="14"/>
  <c r="A106" i="14"/>
  <c r="A107" i="14"/>
  <c r="A109" i="14"/>
  <c r="A110" i="14"/>
  <c r="A111" i="14"/>
  <c r="A113" i="14"/>
  <c r="A114" i="14"/>
  <c r="A116" i="14"/>
  <c r="A117" i="14"/>
  <c r="A119" i="14"/>
  <c r="A121" i="14"/>
  <c r="A122" i="14"/>
  <c r="A124" i="14"/>
  <c r="A125" i="14"/>
  <c r="A126" i="14"/>
  <c r="A127" i="14"/>
  <c r="A128" i="14"/>
  <c r="A129" i="14"/>
  <c r="A130" i="14"/>
  <c r="A131" i="14"/>
  <c r="A132" i="14"/>
  <c r="A133" i="14"/>
  <c r="A134" i="14"/>
  <c r="A136" i="14"/>
  <c r="A138" i="14"/>
  <c r="A139" i="14"/>
  <c r="A141" i="14"/>
  <c r="A142" i="14"/>
  <c r="A143" i="14"/>
  <c r="A144" i="14"/>
  <c r="A145" i="14"/>
  <c r="A146" i="14"/>
  <c r="A148" i="14"/>
  <c r="A149" i="14"/>
  <c r="A150" i="14"/>
  <c r="A152" i="14"/>
  <c r="A154" i="14"/>
  <c r="A155" i="14"/>
  <c r="A156" i="14"/>
  <c r="A157" i="14"/>
  <c r="A158" i="14"/>
  <c r="A160" i="14"/>
  <c r="A161" i="14"/>
  <c r="A162" i="14"/>
  <c r="A164" i="14"/>
  <c r="A165" i="14"/>
  <c r="A166" i="14"/>
  <c r="A168" i="14"/>
  <c r="A169" i="14"/>
  <c r="A3" i="14"/>
  <c r="A3" i="11"/>
  <c r="B1" i="5"/>
  <c r="C96" i="11"/>
  <c r="C346" i="11"/>
  <c r="B116" i="11"/>
  <c r="C116" i="11"/>
  <c r="B117" i="11"/>
  <c r="C117" i="11"/>
  <c r="B118" i="11"/>
  <c r="C118" i="11"/>
  <c r="B136" i="11"/>
  <c r="C136" i="11"/>
  <c r="B137" i="11"/>
  <c r="C137" i="11"/>
  <c r="B138" i="11"/>
  <c r="C138" i="11"/>
  <c r="B139" i="11"/>
  <c r="C139" i="11"/>
  <c r="B157" i="11"/>
  <c r="C157" i="11"/>
  <c r="B158" i="11"/>
  <c r="C158" i="11"/>
  <c r="B159" i="11"/>
  <c r="C159" i="11"/>
  <c r="B160" i="11"/>
  <c r="C160" i="11"/>
  <c r="B165" i="11"/>
  <c r="C165" i="11"/>
  <c r="B166" i="11"/>
  <c r="C166" i="11"/>
  <c r="B167" i="11"/>
  <c r="C167" i="11"/>
  <c r="B175" i="11"/>
  <c r="C175" i="11"/>
  <c r="B176" i="11"/>
  <c r="C176" i="11"/>
  <c r="B177" i="11"/>
  <c r="C177" i="11"/>
  <c r="B178" i="11"/>
  <c r="C178" i="11"/>
  <c r="B184" i="11"/>
  <c r="C184" i="11"/>
  <c r="B185" i="11"/>
  <c r="C185" i="11"/>
  <c r="B186" i="11"/>
  <c r="C186" i="11"/>
  <c r="B187" i="11"/>
  <c r="C187" i="11"/>
  <c r="B188" i="11"/>
  <c r="C188" i="11"/>
  <c r="B201" i="11"/>
  <c r="C201" i="11"/>
  <c r="B206" i="11"/>
  <c r="C206" i="11"/>
  <c r="B207" i="11"/>
  <c r="C207" i="11"/>
  <c r="B216" i="11"/>
  <c r="C216" i="11"/>
  <c r="B217" i="11"/>
  <c r="C217" i="11"/>
  <c r="B222" i="11"/>
  <c r="C222" i="11"/>
  <c r="B223" i="11"/>
  <c r="C223" i="11"/>
  <c r="B224" i="11"/>
  <c r="C224" i="11"/>
  <c r="B225" i="11"/>
  <c r="C225" i="11"/>
  <c r="B226" i="11"/>
  <c r="C226" i="11"/>
  <c r="B227" i="11"/>
  <c r="C227" i="11"/>
  <c r="B235" i="11"/>
  <c r="C235" i="11"/>
  <c r="B236" i="11"/>
  <c r="C236" i="11"/>
  <c r="B244" i="11"/>
  <c r="C244" i="11"/>
  <c r="B245" i="11"/>
  <c r="C245" i="11"/>
  <c r="B246" i="11"/>
  <c r="C246" i="11"/>
  <c r="B250" i="11"/>
  <c r="C250" i="11"/>
  <c r="B251" i="11"/>
  <c r="C251" i="11"/>
  <c r="B258" i="11"/>
  <c r="C258" i="11"/>
  <c r="B259" i="11"/>
  <c r="C259" i="11"/>
  <c r="B260" i="11"/>
  <c r="C260" i="11"/>
  <c r="B261" i="11"/>
  <c r="C261" i="11"/>
  <c r="B275" i="11"/>
  <c r="C275" i="11"/>
  <c r="B276" i="11"/>
  <c r="C276" i="11"/>
  <c r="B277" i="11"/>
  <c r="C277" i="11"/>
  <c r="B278" i="11"/>
  <c r="C278" i="11"/>
  <c r="B293" i="11"/>
  <c r="C293" i="11"/>
  <c r="B294" i="11"/>
  <c r="C294" i="11"/>
  <c r="B295" i="11"/>
  <c r="C295" i="11"/>
  <c r="B307" i="11"/>
  <c r="C307" i="11"/>
  <c r="B308" i="11"/>
  <c r="C308" i="11"/>
  <c r="B309" i="11"/>
  <c r="C309" i="11"/>
  <c r="B316" i="11"/>
  <c r="C316" i="11"/>
  <c r="B317" i="11"/>
  <c r="C317" i="11"/>
  <c r="B318" i="11"/>
  <c r="C318" i="11"/>
  <c r="B319" i="11"/>
  <c r="C319" i="11"/>
  <c r="B330" i="11"/>
  <c r="C330" i="11"/>
  <c r="B331" i="11"/>
  <c r="C331" i="11"/>
  <c r="B346" i="11"/>
  <c r="A117" i="11"/>
  <c r="A118" i="11"/>
  <c r="A136" i="11"/>
  <c r="A137" i="11"/>
  <c r="A138" i="11"/>
  <c r="A139" i="11"/>
  <c r="A157" i="11"/>
  <c r="A158" i="11"/>
  <c r="A159" i="11"/>
  <c r="A160" i="11"/>
  <c r="A165" i="11"/>
  <c r="A166" i="11"/>
  <c r="A167" i="11"/>
  <c r="A175" i="11"/>
  <c r="A176" i="11"/>
  <c r="A177" i="11"/>
  <c r="A178" i="11"/>
  <c r="A184" i="11"/>
  <c r="A185" i="11"/>
  <c r="A186" i="11"/>
  <c r="A187" i="11"/>
  <c r="A188" i="11"/>
  <c r="A201" i="11"/>
  <c r="A206" i="11"/>
  <c r="A207" i="11"/>
  <c r="A216" i="11"/>
  <c r="A217" i="11"/>
  <c r="A222" i="11"/>
  <c r="A223" i="11"/>
  <c r="A224" i="11"/>
  <c r="A225" i="11"/>
  <c r="A226" i="11"/>
  <c r="A227" i="11"/>
  <c r="A235" i="11"/>
  <c r="A236" i="11"/>
  <c r="A244" i="11"/>
  <c r="A245" i="11"/>
  <c r="A246" i="11"/>
  <c r="A250" i="11"/>
  <c r="A251" i="11"/>
  <c r="A258" i="11"/>
  <c r="A259" i="11"/>
  <c r="A260" i="11"/>
  <c r="A261" i="11"/>
  <c r="A275" i="11"/>
  <c r="A276" i="11"/>
  <c r="A277" i="11"/>
  <c r="A278" i="11"/>
  <c r="A293" i="11"/>
  <c r="A294" i="11"/>
  <c r="A295" i="11"/>
  <c r="A307" i="11"/>
  <c r="A308" i="11"/>
  <c r="A309" i="11"/>
  <c r="A316" i="11"/>
  <c r="A317" i="11"/>
  <c r="A318" i="11"/>
  <c r="A319" i="11"/>
  <c r="A330" i="11"/>
  <c r="A331" i="11"/>
  <c r="A346" i="11"/>
  <c r="A94" i="11"/>
  <c r="B94" i="11"/>
  <c r="C94" i="11"/>
  <c r="A95" i="11"/>
  <c r="B95" i="11"/>
  <c r="C95" i="11"/>
  <c r="A96" i="11"/>
  <c r="B96" i="11"/>
  <c r="A116" i="11"/>
  <c r="B93" i="11"/>
  <c r="C93" i="11"/>
  <c r="A93" i="11"/>
  <c r="B87" i="11"/>
  <c r="C87" i="11"/>
  <c r="B88" i="11"/>
  <c r="C88" i="11"/>
  <c r="A88" i="11"/>
  <c r="A87" i="11"/>
  <c r="A82" i="11"/>
  <c r="B81" i="11"/>
  <c r="C81" i="11"/>
  <c r="B82" i="11"/>
  <c r="C82" i="11"/>
  <c r="A81" i="11"/>
  <c r="A72" i="11"/>
  <c r="B68" i="11"/>
  <c r="C68" i="11"/>
  <c r="B69" i="11"/>
  <c r="C69" i="11"/>
  <c r="B70" i="11"/>
  <c r="C70" i="11"/>
  <c r="B71" i="11"/>
  <c r="C71" i="11"/>
  <c r="B72" i="11"/>
  <c r="C72" i="11"/>
  <c r="A69" i="11"/>
  <c r="A70" i="11"/>
  <c r="A71" i="11"/>
  <c r="A68" i="11"/>
  <c r="A60" i="11"/>
  <c r="B53" i="11"/>
  <c r="C53" i="11"/>
  <c r="B54" i="11"/>
  <c r="C54" i="11"/>
  <c r="B55" i="11"/>
  <c r="C55" i="11"/>
  <c r="B56" i="11"/>
  <c r="C56" i="11"/>
  <c r="B57" i="11"/>
  <c r="C57" i="11"/>
  <c r="B58" i="11"/>
  <c r="C58" i="11"/>
  <c r="B59" i="11"/>
  <c r="C59" i="11"/>
  <c r="B60" i="11"/>
  <c r="C60" i="11"/>
  <c r="A54" i="11"/>
  <c r="A55" i="11"/>
  <c r="A56" i="11"/>
  <c r="A57" i="11"/>
  <c r="A58" i="11"/>
  <c r="A59" i="11"/>
  <c r="A53" i="11"/>
  <c r="A44"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A33" i="11"/>
  <c r="A34" i="11"/>
  <c r="A35" i="11"/>
  <c r="A36" i="11"/>
  <c r="A37" i="11"/>
  <c r="A38" i="11"/>
  <c r="A39" i="11"/>
  <c r="A40" i="11"/>
  <c r="A41" i="11"/>
  <c r="A42" i="11"/>
  <c r="A43" i="11"/>
  <c r="A32" i="11"/>
  <c r="A22" i="11"/>
  <c r="B19" i="11"/>
  <c r="C19" i="11"/>
  <c r="B20" i="11"/>
  <c r="C20" i="11"/>
  <c r="B21" i="11"/>
  <c r="C21" i="11"/>
  <c r="B22" i="11"/>
  <c r="C22" i="11"/>
  <c r="B18" i="11"/>
  <c r="C18" i="11"/>
  <c r="B11" i="11"/>
  <c r="C11" i="11"/>
  <c r="B4" i="11"/>
  <c r="C4" i="11"/>
  <c r="B3" i="11"/>
  <c r="A19" i="11"/>
  <c r="A20" i="11"/>
  <c r="A21" i="11"/>
  <c r="A18" i="11"/>
  <c r="A11" i="11"/>
  <c r="A4" i="11"/>
  <c r="B1" i="8"/>
  <c r="A1" i="7"/>
  <c r="C5" i="15"/>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4" i="7"/>
  <c r="I5" i="7"/>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alcChain>
</file>

<file path=xl/sharedStrings.xml><?xml version="1.0" encoding="utf-8"?>
<sst xmlns="http://schemas.openxmlformats.org/spreadsheetml/2006/main" count="15472" uniqueCount="8305">
  <si>
    <t>Have the staff adequately been instructed on the symptoms of infection with pathogens worked with in the laboratory?</t>
  </si>
  <si>
    <t>Activity</t>
  </si>
  <si>
    <t>Is there a written procedure on how to act in case of a suspected laboratory associated infection/laboratory accident whereby a staff-member has potentially become infected?</t>
  </si>
  <si>
    <t>Has the Risk Group for each laboratory room been determined?</t>
  </si>
  <si>
    <t>Has a Facilities &amp; Safety Assessment been performed?</t>
  </si>
  <si>
    <t>Is an action plan present to implement improvements based on findings from the Facility &amp; Safety assessment?</t>
  </si>
  <si>
    <t>Are the action points in this action plan from the Facility &amp; Safety Assessment formulated according to the SMART method?</t>
  </si>
  <si>
    <t>Have the action points in this action plan from the Facility &amp; Safety Assessment been fulfilled on or before the deadline?</t>
  </si>
  <si>
    <t>Have completed action points from the Facility &amp; Safety Assessment been signed and dated for completion?</t>
  </si>
  <si>
    <t>Does the laboratory have a procedure for processing and disposal of the different types of waste produced?</t>
  </si>
  <si>
    <t>Does the laboratory demonstrably adhere to procedures for processing and disposal of different types of waste produced?</t>
  </si>
  <si>
    <t>Are up-to-date guidelines present on safe disposal of waste?</t>
  </si>
  <si>
    <t>Does lab staff adhere to guidelines on safe disposal of waste?</t>
  </si>
  <si>
    <t>Is potentially infectious waste safely and securely stored before incineration?</t>
  </si>
  <si>
    <t>Is potentially infectious material properly incinerated?</t>
  </si>
  <si>
    <t>Are sharps securely and safely incinerated without the risk for needle accidents?</t>
  </si>
  <si>
    <t>Is the area around the fire pit/incinerator free from clutter?</t>
  </si>
  <si>
    <t>Is infectious glassware for re-use autoclaved correctly?</t>
  </si>
  <si>
    <t>Are separate, clearly distinguishable containers present for different types of chemical waste?</t>
  </si>
  <si>
    <t>Is chemical waste processed correctly?</t>
  </si>
  <si>
    <t>Are trashcans for (bio)hazardous waste clearly distinguishable to prevent confusion with the bins for normal waste?</t>
  </si>
  <si>
    <t>Is normal waste processed according to local/national regulations (if applicable)?</t>
  </si>
  <si>
    <t>Is an up-to-date Biosafety Manual present in the laboratory?</t>
  </si>
  <si>
    <t>Does the biological safety manual have a logical structure with table of contents, an introduction and a title page clearly stating the words “Biosafety Manual”?</t>
  </si>
  <si>
    <t>Does the Biosafety Manual contain general safety rules for working in the laboratory with human material?</t>
  </si>
  <si>
    <t>Does the Biosafety Manual contain preventive safety procedures?</t>
  </si>
  <si>
    <t>Does the Biosafety Manual contain procedures for emergency situations?</t>
  </si>
  <si>
    <t>Are the Biosafety Manual chapters signed by the author, reviewer and Laboratory Management?</t>
  </si>
  <si>
    <t>Is the Biosafety Manual easily accessible for all staff members at a logical location?</t>
  </si>
  <si>
    <t>Is the Biosafety Manual read and signed by all staff members?</t>
  </si>
  <si>
    <t>Is an SOP present describing how to clean the laboratory building?</t>
  </si>
  <si>
    <t>Does the SOP on cleaning of the laboratory building include a section with specific guidelines for cleaning laboratory rooms?</t>
  </si>
  <si>
    <t>Is a cleaning schedule present?</t>
  </si>
  <si>
    <t>Does the cleaning schedule show what should be cleaned by who and when?</t>
  </si>
  <si>
    <t>Is the laboratory cleaned on a regular basis?</t>
  </si>
  <si>
    <t>Are there spill kits present in adequate numbers and are these kits complete</t>
  </si>
  <si>
    <t>Is there an SOP that provides procedures for dealing with the different types of spills?</t>
  </si>
  <si>
    <t>Are first aid providers present in the laboratory?</t>
  </si>
  <si>
    <t>Are first aid kits present and placed at accessible locations?</t>
  </si>
  <si>
    <t>Is the implementation of the quality management system coordinated through a Quality Project Team?</t>
  </si>
  <si>
    <t>Does the laboratory have a Quality Focal Point to which staff can turn to for information about the quality management system?</t>
  </si>
  <si>
    <t>Does the laboratory make use of action plans with SMART formulated action points?</t>
  </si>
  <si>
    <t>Are action plans all stored together in one folder, with a logical structure (e.g. completed action plans in the back, open action plans in the front, sorted on date, etc.)?</t>
  </si>
  <si>
    <t>Are staff meetings held regularly (weekly)?</t>
  </si>
  <si>
    <t>Are minutes made of weekly staff meetings?</t>
  </si>
  <si>
    <t>Do the minutes of weekly staff meetings include a summary of discussions, SMART action points and the agenda for next week?</t>
  </si>
  <si>
    <t>Are the minutes of weekly staff meetings stored in a well-organized way?</t>
  </si>
  <si>
    <t>Has a Biosafety Officer been appointed?</t>
  </si>
  <si>
    <t>Is there a description of the tasks and responsibilities of the Biosafety Officer?</t>
  </si>
  <si>
    <t>Do all the staff members know who the Biosafety Officer is?</t>
  </si>
  <si>
    <t>Do all the staff members know the function of the Biosafety Officer?</t>
  </si>
  <si>
    <t>Has an Equipment Officer been appointed?</t>
  </si>
  <si>
    <t>Is the Equipment Officer trained in calibration and technical maintenance of equipment (if necessary)?</t>
  </si>
  <si>
    <t>Is the Equipment Officer protected against overburdening of work by allocating tasks of his/her former work to other staff members (if necessary)?</t>
  </si>
  <si>
    <t>Does the laboratory have a designated person who is responsible for monitoring stocks and ordering supplies and reagents (called a â€œStock Officerâ€)?</t>
  </si>
  <si>
    <t>Are all laboratory staff members aware of the existence of the position of Stock Officer?</t>
  </si>
  <si>
    <t>Do all laboratory staff members know who the Stock Officer is?</t>
  </si>
  <si>
    <t>Do all laboratory staff members know what the tasks are of the Stock Officer?</t>
  </si>
  <si>
    <t>If the laboratory is part of a bigger organization: does the laboratory have an Organizational Chart that clearly shows the position of the laboratory within the bigger organization?</t>
  </si>
  <si>
    <t>Is the Organizational Chart that shows the position of the laboratory in the bigger organization signed and dated by the management of the bigger organization?</t>
  </si>
  <si>
    <t>Does the laboratory have an Organizational Chart showing the organization of all positions within the laboratory?</t>
  </si>
  <si>
    <t>Is the chart showing the organization of positions within the laboratory signed and dated by the Laboratory Manager?</t>
  </si>
  <si>
    <t>Are the Organizational Chart(s) stored in a folder that is accessible to all the staff members of the laboratory?</t>
  </si>
  <si>
    <t>Have all staff members participated in an introductory course in quality management for medical laboratories?</t>
  </si>
  <si>
    <t>Have certificates of the introductory course in quality management been stored in the Personnel Files folder?</t>
  </si>
  <si>
    <t>Has the Biosafety Officer received laboratory biosafety training?</t>
  </si>
  <si>
    <t>Is the certificate of the laboratory biosafety training of the Biosafety Officer stored in a folder called "Personnel Files"?</t>
  </si>
  <si>
    <t>Does the laboratory have an Authorization Matrix, showing for each position in the laboratory the authorizations, responsibilities and tasks?</t>
  </si>
  <si>
    <t>Is the Authorization Matrix signed and dated by the Laboratory Manager?</t>
  </si>
  <si>
    <t>Is the Authorization Matrix accessible to all staff members?</t>
  </si>
  <si>
    <t>Do staff members know what the Authorization Matrix is?</t>
  </si>
  <si>
    <t>Are staff members able to find the Authorization Matrix?</t>
  </si>
  <si>
    <t>Are staff members able to explain how the Authorization Matrix works?</t>
  </si>
  <si>
    <t>Does the laboratory have a job description for each position in the laboratory?</t>
  </si>
  <si>
    <t>Does the job description for each position in the laboratory give a complete and clear impression of the tasks, responsibilities and authorities of each position?</t>
  </si>
  <si>
    <t>Have Personal Job Descriptions been made for all the staff members?</t>
  </si>
  <si>
    <t>Are all job descriptions (both Position Job Descriptions and Personal Job Descriptions) up to date?</t>
  </si>
  <si>
    <t>Are Personal Job Descriptions stored in an orderly fashion in the Personnel Files folder?</t>
  </si>
  <si>
    <t>Is the folder Personnel Files up-to-date; i.e. have all certificates and diplomas been collected for all staff members and been stored in the personnel files?</t>
  </si>
  <si>
    <t>Does the laboratory have a clear register of all the equipment present?</t>
  </si>
  <si>
    <t>Does the equipment register contain the following details for each piece of equipment? (tick off)</t>
  </si>
  <si>
    <t>Identity</t>
  </si>
  <si>
    <t>Label</t>
  </si>
  <si>
    <t>Serial number</t>
  </si>
  <si>
    <t>Manufacturer name</t>
  </si>
  <si>
    <t>Manufacturer’s contact person and contact details</t>
  </si>
  <si>
    <t>Service provider name</t>
  </si>
  <si>
    <t>Service provider’s contact person and contact details</t>
  </si>
  <si>
    <t>Date of purchase</t>
  </si>
  <si>
    <t>Date of putting into service</t>
  </si>
  <si>
    <t>Location</t>
  </si>
  <si>
    <t>Condition</t>
  </si>
  <si>
    <t>Frequency of maintenance</t>
  </si>
  <si>
    <t>Date of previous maintenance</t>
  </si>
  <si>
    <t>Date of next scheduled maintenance</t>
  </si>
  <si>
    <t>Remarks</t>
  </si>
  <si>
    <t>Is all critical equipment functional?</t>
  </si>
  <si>
    <t>Has the laboratory identified critical needs for specific pieces of equipment that must be present in order for the piece of equipment to function?</t>
  </si>
  <si>
    <t>Are SOPs present for all pieces of equipment?</t>
  </si>
  <si>
    <t>Are Equipment SOPs written in accordance with the procedure described in the Master SOP?</t>
  </si>
  <si>
    <t>Are Equipment SOPs stored at a logical location (near the equipment they have been written for), accessible to all staff members?</t>
  </si>
  <si>
    <t>Have staff members demonstrably read the SOPs that are relevant for them?</t>
  </si>
  <si>
    <t>Is the stock register in accordance with the actual stock (i.e. is it up-to-date)?</t>
  </si>
  <si>
    <t>Does the laboratory have a Request Form that includes at least the following details (tick off):</t>
  </si>
  <si>
    <t>Patient details (name, address, telephone number, birth date, gender, etc.)</t>
  </si>
  <si>
    <t>Requester details</t>
  </si>
  <si>
    <t>Type of primary sample</t>
  </si>
  <si>
    <t>Examination(s) requested</t>
  </si>
  <si>
    <t>Clinical information relevant to the laboratory (HIV status, CD4 count, etc)</t>
  </si>
  <si>
    <t>Date, time and place of sample collection</t>
  </si>
  <si>
    <t>Date and time of receipt of the sample at the laboratory</t>
  </si>
  <si>
    <t>Is the Request Form for Laboratory Testing clear?</t>
  </si>
  <si>
    <t>Does the Request Form for Laboratory Testing provide clear guidance on how it should be filled-out?</t>
  </si>
  <si>
    <t>Has the laboratory identified and listed all the tests performed to determine which SOPs need to be written?</t>
  </si>
  <si>
    <t>Have SOPs been written for all the tests routinely performed at the laboratory?</t>
  </si>
  <si>
    <t>Have all SOPs been written according to the procedures described in the Master SOP?</t>
  </si>
  <si>
    <t>Do all SOPs have the same structure and lay-out, complying with the guidelines of the Master SOP?</t>
  </si>
  <si>
    <t>Does the laboratory have a Master SOP that explains how to write SOPs?</t>
  </si>
  <si>
    <t>Does the Master SOP have different sections on how to write Analysis SOPs, Equipment SOPs and Procedure SOPs?</t>
  </si>
  <si>
    <t>Has a Baseline Assessment of the laboratory been conducted to gain information on where some elements of a quality management system may be already in place and functioning, or where there are gaps that need to be addressed?</t>
  </si>
  <si>
    <t>Le personnel a-t-il été suffisamment formé pour reconnaître les symptômes d'infection par des pathogènes manipulés dans le laboratoire ?</t>
  </si>
  <si>
    <t>Activité</t>
  </si>
  <si>
    <t>Existe-t-il une procédure écrite sur la manière d'agir en cas de suspicion d'une infection potentiellement contractée au laboratoire /d'un accident de laboratoire ayant pu entraîner une infection chez un membre du personnel ?</t>
  </si>
  <si>
    <t>Le groupe de risque de chaque pièce du laboratoire a-t-il été déterminé ?</t>
  </si>
  <si>
    <t>Une évaluation des bâtiments et de la sécurité a-t-elle été effectuée ?</t>
  </si>
  <si>
    <t>Existe-t-il un plan d'action pour mettre en œuvre les améliorations sur la base des résultats de l'évaluation des bâtiments et de la sécurité ?</t>
  </si>
  <si>
    <t>Les actions à mener dans ce plan d'action découlant de l'évaluation des bâtiments et de la sécurité sont-elles formulées selon la méthode SMART ?</t>
  </si>
  <si>
    <t>Les actions à mener dans ce plan d'action découlant de l'évaluation des bâtiments et de la sécurité ont-elles été réalisées à la date butoir fixée ou plus tôt ?</t>
  </si>
  <si>
    <t>Les actions découlant de l'évaluation des bâtiments et de la sécurité ont-elles été signées et datées une fois achevées ?</t>
  </si>
  <si>
    <t>Le laboratoire dispose-t-il d'une procédure pour le traitement et l'élimination des différents types de déchets produits ?</t>
  </si>
  <si>
    <t>Le laboratoire respecte-t-il les procédures de traitement et d'élimination des différents types de déchets produits ?</t>
  </si>
  <si>
    <t>Existe-t-il des directives actualisées concernant le traitement des déchets en toute sécurité ?</t>
  </si>
  <si>
    <t>Le personnel du laboratoire respecte-t-il les directives relatives à l'élimination des déchets en toute sécurité ?</t>
  </si>
  <si>
    <t>Les déchets potentiellement infectieux sont-ils stockés en toute sécurité avant d'être incinérés ?</t>
  </si>
  <si>
    <t>Le matériel potentiellement infectieux est-il correctement incinéré ?</t>
  </si>
  <si>
    <t>Les objets tranchants ou piquants sont-ils incinérés en toute sécurité sans risque d'accidents dus aux aiguilles ?</t>
  </si>
  <si>
    <t>Le périmètre autour de la fosse d'incinération/l'incinérateur est-il bien ordonné ?</t>
  </si>
  <si>
    <t>La verrerie réutilisable contaminée est-elle correctement autoclavée ?</t>
  </si>
  <si>
    <t>Y a-t-il des conteneurs séparés, clairement reconnaissables pour les différents types de déchets chimiques ?</t>
  </si>
  <si>
    <t>Les déchets chimiques sont-ils traités correctement ?</t>
  </si>
  <si>
    <t>Les poubelles à déchets (biologiques) dangereux sont-elles clairement reconnaissables afin d'éviter toute confusion avec les poubelles normales ?</t>
  </si>
  <si>
    <t>Les déchets ordinaires sont-ils traités selon les réglementations locales/nationales (le cas échéant)?</t>
  </si>
  <si>
    <t>Y a-t-il un manuel de sécurité biologique actualisé dans le laboratoire ?</t>
  </si>
  <si>
    <t>Le manuel de sécurité biologique présente-t-il une structure logique avec une table des matières, une introduction et une page de titre mentionnant clairement "Manuel de sécurité biologique" ?</t>
  </si>
  <si>
    <t>Le manuel de sécurité biologique comprend-il des règles générales de sécurité pour le travail dans le laboratoire avec du matériel humain ?</t>
  </si>
  <si>
    <t>Le manuel de sécurité biologique comprend-il des procédures de sécurité préventives ?</t>
  </si>
  <si>
    <t>Le manuel de sécurité biologique comprend-il des procédures pour les situations d'urgence ?</t>
  </si>
  <si>
    <t>Les chapitres du manuel de sécurité biologique sont-ils signés par l'auteur, le réviseur et la direction du laboratoire ?</t>
  </si>
  <si>
    <t>Le manuel de sécurité biologique est-il aisément accessible à tous les membres du personnel, dans un emplacement logique ?</t>
  </si>
  <si>
    <t>Le manuel de sécurité biologique a-t-il été lu et signé par tous les membres du personnel ?</t>
  </si>
  <si>
    <t>Y a-t-il une POS décrivant comment le nettoyage du bâtiment du laboratoire doit être effectué ?</t>
  </si>
  <si>
    <t>La POS relative au nettoyage du laboratoire comprend-elle une section présentant des directives spécifiques pour le nettoyage des pièces du laboratoire ?</t>
  </si>
  <si>
    <t>Existe-t-il un calendrier de nettoyage ?</t>
  </si>
  <si>
    <t>Le calendrier de nettoyage indique-t-il ce qui doit être nettoyé, par qui et quand ?</t>
  </si>
  <si>
    <t>Le laboratoire est-il nettoyé régulièrement ?</t>
  </si>
  <si>
    <t>Des nécessaires pour le nettoyage de produits répandus sont-ils présents en nombre approprié et sont-ils complets ?</t>
  </si>
  <si>
    <t>Existe-t-il une POS indiquant les procédures à suivre en cas de renversement des différents types de produits ?</t>
  </si>
  <si>
    <t>Y a-t-il des secouristes dans le laboratoire ?</t>
  </si>
  <si>
    <t>Y a-t-il des trousses de premiers secours et sont-elles placées en des endroits accessibles ?</t>
  </si>
  <si>
    <t>La mise en œuvre du système de gestion de la qualité est-elle coordonnée par une équipe du projet qualité ?</t>
  </si>
  <si>
    <t>Le laboratoire a-t-il un point focal qualité auquel le personnel peut s'adresser pour demander des informations sur le système de gestion de la qualité ?</t>
  </si>
  <si>
    <t>Le laboratoire utilise-t-il des plans d'action dans lesquels les actions à mener sont définies selon la méthode SMART ?</t>
  </si>
  <si>
    <t>Les plans d'action sont-ils réunis et conservés dans un dossier, de manière logique (par exemple, les plans d'action terminés à la fin, les plans d'action en cours au début, classés chronologiquement, etc. ) ?</t>
  </si>
  <si>
    <t>Des réunions du personnel ont-elles lieu régulièrement (chaque semaine) ?</t>
  </si>
  <si>
    <t>Des comptes rendus des réunions hebdomadaires du personnel sont-ils rédigés ?</t>
  </si>
  <si>
    <t>Les comptes rendus des réunions hebdomadaires du personnel comprennent-ils un résumé des discussions, les actions à mener formulées selon la méthode SMART et le programme pour la semaine suivante ?</t>
  </si>
  <si>
    <t>Les comptes rendus des réunions hebdomadaires du personnel sont-ils conservés d'une manière bien organisée ?</t>
  </si>
  <si>
    <t>Un responsable de la sécurité biologique a-t-il été désigné ?</t>
  </si>
  <si>
    <t>Existe-t-il une description de ses tâches et de ses responsabilités ?</t>
  </si>
  <si>
    <t>Tous les membres du personnel savent-ils qui est le responsable de la sécurité biologique?</t>
  </si>
  <si>
    <t>Tous les membres du personnel connaissent-ils la fonction du responsable de la sécurité biologique ?</t>
  </si>
  <si>
    <t>Un responsable de l'équipement a-t-il été désigné ?</t>
  </si>
  <si>
    <t>Le responsable de l'équipement a-t-il reçu une formation sur l'étalonnage et la maintenance technique de l'équipement (le cas échéant) ?</t>
  </si>
  <si>
    <t>Une attribution à d'autres membres du personnel des tâches antérieures du responsable de l'équipement lui évite-t-elle une surcharge de travail (le cas échéant) ?</t>
  </si>
  <si>
    <t>Le laboratoire a-t-il désigné une personne qui est responsable du suivi du stock et de l'exécution de commandes de fournitures et de réactifs (appelée responsable des stocks) ?</t>
  </si>
  <si>
    <t>Tous les membres du personnel du laboratoire connaissent-ils l'existence du poste de responsable du stock ?</t>
  </si>
  <si>
    <t>Tous les membres du personnel du laboratoire savent-ils qui est le responsable du stock ?</t>
  </si>
  <si>
    <t>Tous les membres du personnel du laboratoire savent-ils quelles sont les tâches du responsable du stock ?</t>
  </si>
  <si>
    <t>Si le laboratoire fait partie d'une organisation plus large : le laboratoire dispose-t-il d'un organigramme montrant clairement le positionnement du laboratoire au sein de l'organisation plus large ?</t>
  </si>
  <si>
    <t>L'organigramme montrant le positionnement du laboratoire dans l'organisation plus large est-il signé et daté par la direction de cette organisation plus large ?</t>
  </si>
  <si>
    <t>Le laboratoire dispose-t-il d'un organigramme montrant l'organisation de tous les postes au sein du laboratoire ?</t>
  </si>
  <si>
    <t>L'organigramme montrant l'organisation des postes au sein du laboratoire est-il signé et daté par le responsable du laboratoire ?</t>
  </si>
  <si>
    <t>L'(Les) organigramme(s) est(sont)-il(s) conservé(s) dans un classeur accessible à tous les membres du laboratoire ?</t>
  </si>
  <si>
    <t>Tous les membres du personnel ont-ils participé à un cours d'introduction sur la gestion de la qualité pour les laboratoires médicaux ?</t>
  </si>
  <si>
    <t>Les certificats du cours d'introduction sur la gestion de la qualité ont-ils été conservés dans le dossier Dossiers du personnel ? </t>
  </si>
  <si>
    <t>Le responsable de la sécurité biologique au laboratoire a-t-il reçu une formation dans ce domaine ?</t>
  </si>
  <si>
    <t>Le certificat de formation sur la sécurité biologie au laboratoire du responsable de la sécurité biologique est-il conservé dans le classeur appelé "Dossiers du personnel" ?</t>
  </si>
  <si>
    <t>Le laboratoire dispose-t-il d'une grille d'autorisation, indiquant, pour chaque poste du laboratoire, les autorisations, responsabilités et tâches ?</t>
  </si>
  <si>
    <t>La grille d'autorisation est-elle signée et datée par le responsable du laboratoire ?</t>
  </si>
  <si>
    <t>La grille d'autorisation est-elle accessible à tous les membres du personnel ?</t>
  </si>
  <si>
    <t>Les membres du personnel savent-ils ce qu'est une grille d'autorisation ?</t>
  </si>
  <si>
    <t>Les membres du personnel savent-ils où trouver la grille d'autorisation ?</t>
  </si>
  <si>
    <t>Les membres du personnel sont-ils capables d'expliquer comment fonctionne la grille d'autorisation ?</t>
  </si>
  <si>
    <t>Le laboratoire dispose-t-il d'un descriptif de la fonction pour chaque poste dans le laboratoire ?</t>
  </si>
  <si>
    <t>Le descriptif de la fonction pour chaque poste du laboratoire donne-t-il une vue complète et claire des tâches, responsabilités et autorisations associées à chaque poste dans le laboratoire ?</t>
  </si>
  <si>
    <t>Des descriptifs personnalisés de poste ont-ils été élaborés pour tous les membres du personnel ?</t>
  </si>
  <si>
    <t>Tous les descriptifs de poste (descriptifs de poste et descriptifs personnalisés de poste) sont-ils à jour ?</t>
  </si>
  <si>
    <t>Les descriptifs personnalisés de poste sont-ils conservés de manière ordonnée dans le classeur Dossiers du personnel ?</t>
  </si>
  <si>
    <t>Le classeur Dossiers du personnel est-il à jour, à savoir tous les certificats et diplômes ont-ils été collectés pour tous les membres du personnel et ont-ils été conservés dans leurs dossiers ?</t>
  </si>
  <si>
    <t>Le laboratoire dispose-t-il d'un registre cohérent de l'ensemble de l'équipement présent ?</t>
  </si>
  <si>
    <t>Le registre d'équipement contient-il les informations suivantes pour chaque unité d'équipement ? (cocher)</t>
  </si>
  <si>
    <t>Identité</t>
  </si>
  <si>
    <t>Étiquette</t>
  </si>
  <si>
    <t>Numéro de série</t>
  </si>
  <si>
    <t>Nom du fabricant</t>
  </si>
  <si>
    <t>Personne à contacter chez le fabricant et ses coordonnées</t>
  </si>
  <si>
    <t>Nom du prestataire de services</t>
  </si>
  <si>
    <t>Personne à contacter chez le prestataire de services et ses coordonnées</t>
  </si>
  <si>
    <t>Date d'achat</t>
  </si>
  <si>
    <t>Date de mise en service</t>
  </si>
  <si>
    <t>Emplacement</t>
  </si>
  <si>
    <t>État</t>
  </si>
  <si>
    <t>Fréquence de la maintenance</t>
  </si>
  <si>
    <t>Date de la dernière maintenance</t>
  </si>
  <si>
    <t>Date de la maintenance programmée suivante</t>
  </si>
  <si>
    <t>Remarques</t>
  </si>
  <si>
    <t>Toutes les unités d'équipement essentielles sont-elles fonctionnelles ?</t>
  </si>
  <si>
    <t>Le laboratoire a-t-il identifié des besoins urgents en rapport avec des unités d'équipement spécifiques, essentiels pour assurer leur fonctionnalité ?</t>
  </si>
  <si>
    <t>Existe-t-il des POS pour toutes les unités d'équipement ?</t>
  </si>
  <si>
    <t>Les POS relatives à l'équipement sont-elles rédigées conformément à la procédure décrite dans la POS-cadre ?</t>
  </si>
  <si>
    <t>Les POS relatives à l'équipement sont-elles conservées en un endroit logique (près de l'équipement pour lequel elles ont été écrites), accessible à tous les membres du personnel ?</t>
  </si>
  <si>
    <t>Les membres du personnel ont-ils lu (preuve à l'appui) les POS qui les concernent ?</t>
  </si>
  <si>
    <t>Le registre de stock concorde-t-il avec le stock réel (c'est-à-dire est-il à jour) ?</t>
  </si>
  <si>
    <t>Le laboratoire dispose-t-il d'un formulaire de demande incluant au moins les informations suivantes (cocher) :</t>
  </si>
  <si>
    <t>Informations sur le patient (nom, adresse, numéro de téléphone, date de naissance, sexe, etc.)</t>
  </si>
  <si>
    <t>Informations sur le demandeur</t>
  </si>
  <si>
    <t>Type d'échantillon primaire</t>
  </si>
  <si>
    <t>Examen(s) demandé(s)</t>
  </si>
  <si>
    <t>Informations cliniques pertinentes pour le laboratoire (statut par rapport VIH, numération CD4, etc.)</t>
  </si>
  <si>
    <t>Date, heure et lieu de prélèvement de l'échantillon</t>
  </si>
  <si>
    <t>Date et heure de la réception de l'échantillon au laboratoire</t>
  </si>
  <si>
    <t>Le formulaire de demande d'examen de laboratoire est-il clair ?</t>
  </si>
  <si>
    <t>Le formulaire de demande d'examen de laboratoire comporte-t-il des instructions claires sur la manière de le remplir ?</t>
  </si>
  <si>
    <t>Le laboratoire a-t-il identifié et établi une liste de l'ensemble des examens réalisés afin de déterminer quelles POS doivent être rédigées ?</t>
  </si>
  <si>
    <t>Des POS ont-elles été rédigées pour tous les examens réalisés en routine dans le laboratoire ?</t>
  </si>
  <si>
    <t>Toutes les POS ont-elles été rédigées selon les procédures décrites dans la POS-cadre ?</t>
  </si>
  <si>
    <t>Toutes les POS ont-elles la même structure et la même présentation, en conformité avec les lignes directrices de la POS-cadre ?</t>
  </si>
  <si>
    <t>Le laboratoire dispose-t-il d'une POS-cadre qui explique comment il faut rédiger les POS ?</t>
  </si>
  <si>
    <t>La POS-cadre contient-elle différentes sections sur la façon de rédiger des POS relatives aux analyses, des POS relatives à l'équipement et des POS relatives aux procédures ?</t>
  </si>
  <si>
    <t>Une évaluation de la situation initiale du laboratoire a-t-elle été effectuée pour obtenir des informations sur les points où un système de gestion de la qualité peut déjà exister et fonctionner, ou sur les points où existent des lacunes qui doivent être corrigées?</t>
  </si>
  <si>
    <t>Был ли персонал надлежащим образом информирован о симптомах заражения патогенами, с которыми работают в лаборатории?</t>
  </si>
  <si>
    <t>Мероприятие</t>
  </si>
  <si>
    <t>Имеется ли в письменном виде процедура, описывающая порядок действий в случае возможной лабораторной инфекции или лабораторной аварии, в которой кто-то из сотрудников мог быть потенциально заражен?</t>
  </si>
  <si>
    <t>Была ли определена группа риска для каждой комнаты лаборатории?</t>
  </si>
  <si>
    <t>Была ли проведена оценка помещений и безопасности?</t>
  </si>
  <si>
    <t>Имеется ли план действий для проведения изменений, предложенных на основе результатов оценки помещений и безопасности?</t>
  </si>
  <si>
    <t>Были ли конкретные действия плана изменений, предложенных на основе оценки помещений и безопасности, сформулированы в соответствии с методом SMART?</t>
  </si>
  <si>
    <t>Были ли конкретные действия плана изменений, предложенных на основе оценки помещений и безопасности, выполнены в срок?</t>
  </si>
  <si>
    <t>Регистрировалось ли с подписью и датой выполнение конкретных действий плана изменений, предложенных на основе оценки помещений и безопасности?</t>
  </si>
  <si>
    <t>Имеется ли в лаборатории процедура, описывающая обработку и удаление различных видов отходов?</t>
  </si>
  <si>
    <t>Следует ли лаборатория в явном виде процедуре обработки и удаления различных видов отходов?</t>
  </si>
  <si>
    <t>Имеются ли соответствующие сегодняшнему дню рекомендации по безопасному удалению отходов?</t>
  </si>
  <si>
    <t>Придерживаются ли сотрудники рекомендаций по безопасному удалению отходов?</t>
  </si>
  <si>
    <t>Организовано ли безопасное и надежное хранение потенциально инфекционных отходов до их сжигания?</t>
  </si>
  <si>
    <t>Сжигаются ли должным образом потенциально инфекционные материалы?</t>
  </si>
  <si>
    <t>Сжигаются ли острые и колющие предметы надежно и безопасно, без риска уколоться?</t>
  </si>
  <si>
    <t>Поддерживается ли зона вокруг печи для сжигания отходов чистой и незагроможденной?</t>
  </si>
  <si>
    <t>Автоклавируют ли должным образом стеклянную лабораторную посуду многоразового использования?</t>
  </si>
  <si>
    <t>Имеются ли отдельные, четко различимые контейнеры для различных видов химических отходов?</t>
  </si>
  <si>
    <t>Правильно ли обрабатываются химические отходы?</t>
  </si>
  <si>
    <t>Являются ли контейнеры для (биологических) опасных отходов легко отличимыми от емкостей для обычных отходов во избежание путаницы?</t>
  </si>
  <si>
    <t>Удаляются ли обычные отходы в соответствии с местными и национальными правилами (если применимо)?</t>
  </si>
  <si>
    <t>Имеется ли в лаборатории соответствующее сегодняшнему дню «Руководство по биобезопасности»?</t>
  </si>
  <si>
    <t>Имеет ли «Руководство по биобезопасности» логическую структуру с оглавлением, введением и титульным листом, на котором ясно написано «Руководство по биобезопасности»?</t>
  </si>
  <si>
    <t>Содержатся ли в «Руководстве по биобезопасности» общие правила безопасности при работе в лаборатории с человеческим материалом?</t>
  </si>
  <si>
    <t>Содержатся ли в «Руководстве по биобезопасности» предупреждающие процедуры безопасности?</t>
  </si>
  <si>
    <t>Содержатся ли в «Руководстве по биобезопасности» процедуры для чрезвычайных ситуаций?</t>
  </si>
  <si>
    <t>Подписаны ли главы «Руководства по биобезопасности» автором, рецензентом и руководителем лаборатории?</t>
  </si>
  <si>
    <t>Находится ли «Руководство по биобезопасности» в разумном месте, легко доступном для всех сотрудников?</t>
  </si>
  <si>
    <t>Было ли «Руководство по биобезопасности» прочитано и подписано всеми сотрудниками?</t>
  </si>
  <si>
    <t>Имеется ли в наличии СОП, описывающая, как проводить уборку лабораторных помещений?</t>
  </si>
  <si>
    <t>Включает ли СОП уборки лаборатории раздел с конкретными инструкциями по уборке рабочих комнат лаборатории?</t>
  </si>
  <si>
    <t>Имеется ли график уборки?</t>
  </si>
  <si>
    <t>Указано ли в графике уборки, что должно быть убрано, кем и когда?</t>
  </si>
  <si>
    <t>Регулярно ли проводится уборка лаборатории?</t>
  </si>
  <si>
    <t>Имеются ли в достаточном количестве комплекты для уборки разлитий и полные ли эти комплекты?</t>
  </si>
  <si>
    <t>Имеется ли СОП, в которой описаны порядок действий в случае разных типов разлитий?</t>
  </si>
  <si>
    <t>Имеются ли в лаборатории сотрудники, умеющие оказывать первую помощь?</t>
  </si>
  <si>
    <t>Имеются ли в доступных местах аптечки первой помощи?</t>
  </si>
  <si>
    <t>Координирует ли команда проекта «Качество» внедрение системы управления качеством?</t>
  </si>
  <si>
    <t>Есть ли в лаборатории Координатор по качеству, к которому сотрудники могут обратиться за информацией о системе управления качеством?</t>
  </si>
  <si>
    <t>Используют ли в лаборатории планы действий, которые содержат конкретные SMART действия?</t>
  </si>
  <si>
    <t>Хранятся ли все планы действий вместе в одной папке в логической последовательности (например, выполненные планы в конце, планы в работе в начале, отсортированы по дате и т. д.)?</t>
  </si>
  <si>
    <t>Проводятся ли регулярные (еженедельные) совещания сотрудников?</t>
  </si>
  <si>
    <t>Готовятся ли протоколы еженедельных совещаний сотрудников?</t>
  </si>
  <si>
    <t>Включают ли протоколы еженедельных совещаний сотрудников краткую информацию об обсуждаемых вопросах, перечень SMART действий и повестку дня на следующую неделю?</t>
  </si>
  <si>
    <t>Хорошо ли организовано хранение протоколов еженедельных совещаний сотрудников?</t>
  </si>
  <si>
    <t>Был ли назначен сотрудник, ответственный за биобезопасность?</t>
  </si>
  <si>
    <t>Имеется ли описание задач и ответственности сотрудника, ответственного за биобезопасность?</t>
  </si>
  <si>
    <t>Все ли сотрудники знают, кто является ответственным за биобезопасность?</t>
  </si>
  <si>
    <t>Все ли сотрудники знают, в чем заключаются функции сотрудника, ответственного за биобезопасность?</t>
  </si>
  <si>
    <t>Был ли назначен сотрудник, ответственный за оборудование?</t>
  </si>
  <si>
    <t>Обучен ли сотрудник, ответственный за оборудование, калибровке и техническому обслуживанию оборудования (если это требуется)?</t>
  </si>
  <si>
    <t>Предотвращена ли перегрузка сотрудника, ответственного за оборудование, путем передачи (части) его/ее предыдущих задач другим сотрудникам (если необходимо)?</t>
  </si>
  <si>
    <t>Назначен ли в лаборатории человек, который отвечает за отслеживание запасов и заказ расходных материалов и реагентов (называемый ответственным за инвентарный учет)?</t>
  </si>
  <si>
    <t>Знают ли все сотрудники лаборатории знают о существовании должности сотрудника, ответственного за инвентарный учет?</t>
  </si>
  <si>
    <t>Все ли сотрудники знают, кто именно является ответственным за инвентарный учет?</t>
  </si>
  <si>
    <t>Все ли сотрудники знают, в чем заключаются функции сотрудника, ответственногоза инвентарный учет?</t>
  </si>
  <si>
    <t>Если лаборатория является частью крупной организации: есть ли в лаборатории графическая схема крупной организации, ясно показывающая место лаборатории в этой структуре?</t>
  </si>
  <si>
    <t>Проставлены ли на органиграмме всей крупной организации, в которую входит лаборатория, подпись и дата руководителя крупной организации?</t>
  </si>
  <si>
    <t>Есть ли в лаборатории графическая схема, показывающая организацию всех должностей в лаборатории?</t>
  </si>
  <si>
    <t>Проставлены ли на органиграмме, показывающей организацию всех должностей в лаборатории, подпись и дата руководителя/менеджера лаборатории?</t>
  </si>
  <si>
    <t>Хранятся ли органиграммы в папке, доступной для всех сотрудников лаборатории?</t>
  </si>
  <si>
    <t>Все ли сотрудники прошли вводный курс по управлению качеством для медицинских лабораторий?</t>
  </si>
  <si>
    <t>Хранятся ли копии сертификатов вводного курса по управлению качеством в папке «Личные дела сотрудников»?</t>
  </si>
  <si>
    <t>Прошел ли сотрудник, ответственный за биобезопасность, обучение по биобезопасности?</t>
  </si>
  <si>
    <t>Хранится ли копия сертификата обучения по биобезопасности сотрудника, ответственного за биобезопасность, в папке «Личные дела сотрудников»?</t>
  </si>
  <si>
    <t>Есть ли в лаборатории «Таблица полномочий», в которой для каждой должности приводятся полномочия, ответственность и задачи?</t>
  </si>
  <si>
    <t>Стоит ли на «Таблице полномочий» дата и подпись руководителя/менеджера лаборатории?</t>
  </si>
  <si>
    <t>Доступна ли «Таблица полномочий» всем сотрудникам?</t>
  </si>
  <si>
    <t>Знают ли сотрудники, что такое «Таблица полномочий»?</t>
  </si>
  <si>
    <t>Могут ли сотрудники найти «Таблицу полномочий»?</t>
  </si>
  <si>
    <t>Могут ли сотрудники объяснить, как работает «Таблицф полномочий»?</t>
  </si>
  <si>
    <t>Есть ли в лаборатории должностные инструкции для каждой должности?</t>
  </si>
  <si>
    <t>Дает ли должностная инструкция ясное и полное описание того, какие задачи, ответственность и полномочия относятся к каждой должности в лаборатории?</t>
  </si>
  <si>
    <t>Были ли подготовлены индивидуальные должностные инструкции для всех сотрудников?</t>
  </si>
  <si>
    <t>Соответствуют ли все должностные инструкции (стандартные и индивидуальные) сегодняшнему дню?</t>
  </si>
  <si>
    <t>Хранятся ли в упорядоченном виде индивидуальные должностные инструкции в папке «Личные дела сотрудников»?</t>
  </si>
  <si>
    <t>Соответствует ли папка «Личные дела сотрудников» сегодняшнему дню, т. е., были ли собраны у всех сотрудников копии всех их сертификатов и дипломов и хранятся ли эти копии в личных делах сотрудников?</t>
  </si>
  <si>
    <t>Имеется ли в лаборатории опись или журнал учета всего оборудования?</t>
  </si>
  <si>
    <t>Содержатся ли в описи оборудования следующие сведения о каждой единице? (пометьте галочкой)</t>
  </si>
  <si>
    <t>Наименование</t>
  </si>
  <si>
    <t>Этикетка</t>
  </si>
  <si>
    <t>Серийный номер</t>
  </si>
  <si>
    <t>Название производителя</t>
  </si>
  <si>
    <t>Контактное лицо и контактная информация производителя</t>
  </si>
  <si>
    <t>Название поставщика технического обслуживания</t>
  </si>
  <si>
    <t>Контактное лицо и контактная информация поставщика технического обслуживания</t>
  </si>
  <si>
    <t>Дата покупки</t>
  </si>
  <si>
    <t>Дата начала эксплуатации</t>
  </si>
  <si>
    <t>Местоположение</t>
  </si>
  <si>
    <t>Состояние</t>
  </si>
  <si>
    <t>Периодичность обслуживания</t>
  </si>
  <si>
    <t>Дата предыдущего обслуживания</t>
  </si>
  <si>
    <t>Дата следующего запланированного обслуживания</t>
  </si>
  <si>
    <t>Примечания</t>
  </si>
  <si>
    <t>Все ли критически важное оборудование работает надлежащим образом?</t>
  </si>
  <si>
    <t>Выявили ли в лаборатории важнейшие потребности в конкретных единицах оборудования, которые должны иметься для надлежащего выполнения лабораторных исследований?</t>
  </si>
  <si>
    <t>Имеются ли СОП для всех единиц оборудования?</t>
  </si>
  <si>
    <t>Были ли СОП по оборудованию подготовлены в соответствии с процедурой, описанной в «Образце СОП»?</t>
  </si>
  <si>
    <t>Хранятся ли СОП по оборудованию в разумных местах (рядом с оборудованием, для которого они были написаны), являются ли они доступными для всех сотрудников?</t>
  </si>
  <si>
    <t>Прочитали ли сотрудники СОП, имеющие отношение к их работе, и что об этом свидетельствует?</t>
  </si>
  <si>
    <t>Соответствует ли журнал инвентарного учета фактическим запасам?</t>
  </si>
  <si>
    <t>Имеется ли в лаборатории «Форма запроса», которая включает по крайней мере следующие сведения (пометьте галочкой):</t>
  </si>
  <si>
    <t>Сведения о пациенте (ФИО, адрес, номер телефона, дата рождения, пол и т. д.)</t>
  </si>
  <si>
    <t>Сведения о лице, запрашивающем исследование</t>
  </si>
  <si>
    <t>Тип первичной пробы</t>
  </si>
  <si>
    <t>Запрашиваемое(ые) исследование(я)</t>
  </si>
  <si>
    <t>Клиническая информация, имеющая значение для лаборатории (ВИЧ-статус, число CD4-лимфоцитов и т. п.)</t>
  </si>
  <si>
    <t>Дата, время и место сбора пробы</t>
  </si>
  <si>
    <t>Дата и время получения пробы в лаборатории</t>
  </si>
  <si>
    <t>Является ли «Форма запроса» лабораторных исследований понятной?</t>
  </si>
  <si>
    <t>Имеются ли в «Форме запроса» лабораторных исследований четкие указания о том, как эту форму следует заполнять?</t>
  </si>
  <si>
    <t>Был ли в лаборатории составлен список всех выполняемых исследований, для того чтобы понять, какие СОП должны быть подготовлены?</t>
  </si>
  <si>
    <t>Были ли подготовлены СОП для всех исследований, обычно выполняемых в лаборатории?</t>
  </si>
  <si>
    <t>Все ли СОП были подготовлены в соответствии с процедурами, описанными в «Образце СОП»?</t>
  </si>
  <si>
    <t>Все ли СОП имеют одинаковые план и структуру в соответствии с форматом, заданным в «Образце СОП»?</t>
  </si>
  <si>
    <t>Есть ли в лаборатории «Образец СОП», в которой объясняется, как писать СОП?</t>
  </si>
  <si>
    <t>Содержит ли «Образец СОП» отдельные разделы, объясняющие, как писать процедурные СОП, аналитические СОП и СОП по оборудованию?</t>
  </si>
  <si>
    <t>Была ли проведена оценка исходного (базового) состояния лаборатории с целью получения информации о тех аспектах, где уже имеются определенные элементы системы управления качеством и где они уже работают, а также участках, где есть пробелы, которые необходимо закрыть.</t>
  </si>
  <si>
    <t>¿Se ha instruido debidamente al personal sobre los síntomas de infección de los patógenos con los que se trabaja en el laboratorio?</t>
  </si>
  <si>
    <t>Actividad</t>
  </si>
  <si>
    <t>¿Existe un procedimiento escrito que indique cómo actuar en caso de sospecha de infección asociada al laboratorio o de accidente en el laboratorio que pueda haber infectado a un miembro del personal?</t>
  </si>
  <si>
    <t>¿Se ha determinado el grupo de riesgo de cada sala del laboratorio?</t>
  </si>
  <si>
    <t>¿Se ha realizado una evaluación de la seguridad y las instalaciones?</t>
  </si>
  <si>
    <t>¿Se ha elaborado un plan de acción para implementar mejoras en función de los resultados de la evaluación de la seguridad y las instalaciones?</t>
  </si>
  <si>
    <t>¿Se han formulado los puntos de acción del plan de acción procedente de la evaluación de la seguridad y las instalaciones de acuerdo con el método SMART?</t>
  </si>
  <si>
    <t>¿Se han completado los puntos de acción del plan de acción de la evaluación de la seguridad y las instalaciones antes de llegar a su fecha límite?</t>
  </si>
  <si>
    <t>¿Se han firmado los puntos de acción completados de la evaluación de la seguridad y las instalaciones, y se ha indicado la fecha de finalización de esos puntos de acción?</t>
  </si>
  <si>
    <t>¿Dispone el laboratorio de un procedimiento para el tratamiento y eliminación de los diferentes tipos de residuos que se producen?</t>
  </si>
  <si>
    <t>¿Se puede demostrar que el laboratorio cumple con los procedimientos para el tratamiento y eliminación de los diferentes tipos de residuos que se producen?</t>
  </si>
  <si>
    <t>¿Se dispone de directrices actualizadas para la eliminación segura de los residuos?</t>
  </si>
  <si>
    <t>¿Cumple el personal del laboratorio las directrices sobre eliminación segura de los residuos?</t>
  </si>
  <si>
    <t>¿Se almacenan de forma segura los desechos potencialmente infecciosos antes de la incineración?</t>
  </si>
  <si>
    <t>¿Se incinera adecuadamente el material potencialmente infeccioso?</t>
  </si>
  <si>
    <t>¿Se incineran los objetos punzocortantes de forma segura y sin riesgo de que se produzcan accidentes con agujas?</t>
  </si>
  <si>
    <t>¿Está despejada la zona alrededor de la incineradora?</t>
  </si>
  <si>
    <t>¿Se realiza correctamente el autoclavado de los objetos de vidrio reutilizables infecciosos?</t>
  </si>
  <si>
    <t>¿Se dispone de contenedores separados y claramente distinguibles para diferentes tipos de residuos químicos?</t>
  </si>
  <si>
    <t>¿Se tratan correctamente los residuos químicos?</t>
  </si>
  <si>
    <t>¿Se dispone de cubos para residuos con peligro biológico claramente distinguibles de los cubos para residuos normales?</t>
  </si>
  <si>
    <t>¿Se cumplen las reglamentaciones locales/nacionales aplicables sobre tratamiento de residuos normales?</t>
  </si>
  <si>
    <t>¿Se dispone de un Manual de bioseguridad actualizado en el laboratorio?</t>
  </si>
  <si>
    <t>¿Tiene el Manual de bioseguridad una estructura lógica con índice, introducción y una página de título que indique claramente las palabras “Manual de bioseguridad”?</t>
  </si>
  <si>
    <t>¿Incluye el Manual de bioseguridad las reglas de seguridad generales para el trabajo con material humano en el laboratorio?</t>
  </si>
  <si>
    <t>¿Incluye el Manual de bioseguridad procedimientos de seguridad preventivos?</t>
  </si>
  <si>
    <t>¿Incluye el Manual de bioseguridad procedimientos para situaciones de emergencia?</t>
  </si>
  <si>
    <t>¿Los capítulos del Manual de bioseguridad los han firmado el autor, el revisor y el director del laboratorio?</t>
  </si>
  <si>
    <t>¿Está disponible el Manual de bioseguridad en un lugar lógico y de fácil acceso para todos los miembros del personal?</t>
  </si>
  <si>
    <t>¿Han leído y firmado el Manual de bioseguridad todos los miembros del personal?</t>
  </si>
  <si>
    <t>¿Se dispone de un POE que describe el procedimiento para limpiar el edificio del laboratorio?</t>
  </si>
  <si>
    <t>¿Incluye el POE de limpieza del edificio del laboratorio un apartado con directrices específicas para la limpieza de las salas de laboratorio?</t>
  </si>
  <si>
    <t>¿Se ha programado un calendario de limpieza?</t>
  </si>
  <si>
    <t>¿El calendario de limpieza muestra qué partes se deben limpiar, cuándo hay que hacerlo y quién es responsable de ello?</t>
  </si>
  <si>
    <t>¿Se limpia el laboratorio con regularidad?</t>
  </si>
  <si>
    <t>¿Se dispone de kits para derrames completos y en número suficiente?</t>
  </si>
  <si>
    <t>¿Se ha redactado un POE que incluya los procedimientos para controlar los diversos tipos de derrames?</t>
  </si>
  <si>
    <t>¿Hay prestadores de primeros auxilios en el laboratorio?</t>
  </si>
  <si>
    <t>¿Se dispone de botiquines de primeros auxilios en lugares de fácil acceso?</t>
  </si>
  <si>
    <t>¿Se ha coordinado la implementación del sistema de gestión de la calidad mediante un equipo del proyecto de calidad?</t>
  </si>
  <si>
    <t>¿Dispone el laboratorio de un enlace de coordinación para la calidad al que puede recurrir el personal para obtener información sobre el sistema de gestión de la calidad?</t>
  </si>
  <si>
    <t>¿Se utilizan planes de acción con puntos de acción formulados según los parámetros SMART en el laboratorio?</t>
  </si>
  <si>
    <t>¿Están guardados todos los planes de acción en una misma carpeta con una estructura lógica (por ejemplo, planes de acción completados en la parte posterior, planes de acción abiertos en la parte delantera, planes ordenados por fecha, etc.)?</t>
  </si>
  <si>
    <t>¿Se están organizando reuniones de personal con regularidad (semanalmente)?</t>
  </si>
  <si>
    <t>¿Se están redactando actas de las reuniones semanales de personal?</t>
  </si>
  <si>
    <t>¿Se incluye en las actas de las reuniones semanales del personal un resumen de los asuntos tratados, los puntos de acción SMART y la orden del día para la semana siguiente?</t>
  </si>
  <si>
    <t>¿Se guardan las actas de las reuniones semanales del personal de forma bien organizada?</t>
  </si>
  <si>
    <t>¿Se ha designado a un encargado de bioseguridad?</t>
  </si>
  <si>
    <t>¿Existe una descripción de las tareas y responsabilidades del encargado de bioseguridad?</t>
  </si>
  <si>
    <t>¿Saben todos los miembros del personal quién es el encargado de bioseguridad?</t>
  </si>
  <si>
    <t>¿Conocen todos los miembros del personal las funciones del encargado de bioseguridad?</t>
  </si>
  <si>
    <t>¿Se ha designado a un encargado de equipos?</t>
  </si>
  <si>
    <t>¿Ha recibido el encargado de equipos la formación adecuada en calibración y mantenimiento técnico de los equipos (en caso de que sea necesario)?</t>
  </si>
  <si>
    <t>¿Se está protegiendo al encargado de equipos ante la sobrecarga de trabajo mediante la asignación de tareas de su anterior actividad a otros miembros del personal (en caso de que sea necesario)?</t>
  </si>
  <si>
    <t>¿Hay en el laboratorio una persona designada como responsable de hacer el seguimiento de las existencias y de encargar los pedidos de suministros y reactivos (llamada encargado de existencias)?</t>
  </si>
  <si>
    <t>¿Son conscientes todos los miembros del personal de laboratorio de que existe el puesto de encargado de existencias?</t>
  </si>
  <si>
    <t>¿Saben todos los miembros del personal de laboratorio quién es el encargado de existencias?</t>
  </si>
  <si>
    <t>¿Conocen todos los miembros del personal de laboratorio las tareas del encargado de existencias?</t>
  </si>
  <si>
    <t>Si el laboratorio forma parte de una organización mayor: ¿cuenta el laboratorio con un organigrama que muestre claramente la posición del laboratorio dentro de la organización mayor?</t>
  </si>
  <si>
    <t>¿Este organigrama que muestra la posición de laboratorio en la organización mayor lo ha firmado con fecha la dirección de la organización mayor?</t>
  </si>
  <si>
    <t>¿Tiene el laboratorio un organigrama que muestre la organización de todos los puestos dentro del laboratorio?</t>
  </si>
  <si>
    <t>¿Este organigrama que muestra la organización de todos los puestos dentro del laboratorio lo ha firmado con fecha el director del laboratorio?</t>
  </si>
  <si>
    <t>¿Están los organigramas almacenados en una carpeta accesible a todos los miembros del personal del laboratorio?</t>
  </si>
  <si>
    <t>¿Han participado todos los miembros del personal en un curso de introducción a la gestión de la calidad para laboratorios clínicos?</t>
  </si>
  <si>
    <t>¿Se han guardado los certificados del curso de introducción a la gestión de la calidad en la carpeta “Archivos del personal”?</t>
  </si>
  <si>
    <t>¿Ha recibido el encargado de bioseguridad la formación adecuada en materia de bioseguridad en el laboratorio?</t>
  </si>
  <si>
    <t>¿Se ha guardado el certificado de la formación en bioseguridad en el laboratorio que ha recibido el encargado de bioseguridad en la carpeta titulada “Archivos de personal”?</t>
  </si>
  <si>
    <t>¿Tiene el laboratorio una matriz de autorización que muestre las autorizaciones, responsabilidades y tareas de cada puesto del laboratorio?</t>
  </si>
  <si>
    <t>¿La matriz de autorización está firmada con fecha por el director del laboratorio?</t>
  </si>
  <si>
    <t>¿La matriz de autorización es accesible a todos los miembros del personal?</t>
  </si>
  <si>
    <t>¿Saben los miembros del personal lo que es una matriz de autorización?</t>
  </si>
  <si>
    <t>¿Son capaces los miembros del personal de encontrar la matriz de autorización?</t>
  </si>
  <si>
    <t>¿Son capaces los miembros del personal de explicar cómo funciona la matriz de autorización?</t>
  </si>
  <si>
    <t>¿Cuenta el laboratorio con una descripción del puesto de trabajo para cada puesto?</t>
  </si>
  <si>
    <t>¿La descripción de cada puesto de trabajo del laboratorio proporciona una idea clara y completa de las tareas, responsabilidades y autoridades de cada puesto?</t>
  </si>
  <si>
    <t>¿Se han elaborado descripciones de los puestos de trabajo personales para todos los miembros del personal?</t>
  </si>
  <si>
    <t>¿Están todas las descripciones de los puestos de trabajo (tanto las personales como las de puestos) al día?</t>
  </si>
  <si>
    <t>¿Están las descripciones de los puestos de trabajo personales almacenadas de forma ordenada en la carpeta “Archivos del personal”?</t>
  </si>
  <si>
    <t>¿Está actualizada la carpeta de “Archivos del personal”? Es decir, ¿se han recopilado todos los certificados y diplomas de todos los miembros del personal y se han guardado en dicha carpeta?</t>
  </si>
  <si>
    <t>¿Tiene el laboratorio un registro claro de todos los equipos presentes?</t>
  </si>
  <si>
    <t>¿Contiene el registro de los equipos los siguientes detalles de cada parte de los equipos? (marque)</t>
  </si>
  <si>
    <t>Identidad</t>
  </si>
  <si>
    <t>Etiqueta</t>
  </si>
  <si>
    <t>Número de serie</t>
  </si>
  <si>
    <t>Nombre del fabricante</t>
  </si>
  <si>
    <t>Persona de contacto del fabricante e información de contacto</t>
  </si>
  <si>
    <t>Nombre del proveedor de servicios</t>
  </si>
  <si>
    <t>Persona de contacto del proveedor de servicios e información de contacto</t>
  </si>
  <si>
    <t>Fecha de compra</t>
  </si>
  <si>
    <t>Fecha de puesta en marcha</t>
  </si>
  <si>
    <t>Ubicación</t>
  </si>
  <si>
    <t>Condición</t>
  </si>
  <si>
    <t>Frecuencia de mantenimiento</t>
  </si>
  <si>
    <t>Fecha del anterior mantenimiento</t>
  </si>
  <si>
    <t>Fecha del próximo mantenimiento programado</t>
  </si>
  <si>
    <t>Comentarios</t>
  </si>
  <si>
    <t>¿Funcionan todos los equipos críticos?</t>
  </si>
  <si>
    <t>¿Ha identificado el laboratorio las necesidades críticas de las partes específicas de los equipos que deben estar presentes para que la parte de los equipos funcione?</t>
  </si>
  <si>
    <t>¿Existen POE para todas las partes de los equipos?</t>
  </si>
  <si>
    <t>¿Los POE se han redactado siguiendo el procedimiento sobre cómo redactar los POE relativos a los equipos, tal y como se describe en el POE principal?</t>
  </si>
  <si>
    <t>¿Los POE relativos a los equipos se han almacenado en una ubicación lógica (cerca de los equipos para los que se han redactado), accesible a todos los miembros del personal?</t>
  </si>
  <si>
    <t>¿Se puede demostrar que cada miembro del personal ha leído los POE importantes para él o ella?</t>
  </si>
  <si>
    <t>¿El registro de existencias concuerda con las existencias reales (es decir, está al día)?</t>
  </si>
  <si>
    <t>¿Cuenta el laboratorio con una hoja de petición que incluya al menos los siguientes detalles? (márquelos):</t>
  </si>
  <si>
    <t>Información del paciente (nombre, dirección, número de teléfono, fecha de nacimiento, sexo, etc.).</t>
  </si>
  <si>
    <t>Información del solicitante</t>
  </si>
  <si>
    <t>Tipo de muestra primaria</t>
  </si>
  <si>
    <t>Análisis solicitado(s)</t>
  </si>
  <si>
    <t>¿Información clínica de importancia para el laboratorio (estado del VIH, recuento de CD4, etc.)?</t>
  </si>
  <si>
    <t>Fecha, hora y lugar de la recogida de la muestra</t>
  </si>
  <si>
    <t>Fecha y hora de recepción de la muestra en el laboratorio</t>
  </si>
  <si>
    <t>¿La hoja de petición para pruebas analíticas está clara?</t>
  </si>
  <si>
    <t>¿La hoja de petición para pruebas analíticas proporciona directrices claras sobre cómo se debe cumplimentar?</t>
  </si>
  <si>
    <t>¿El laboratorio ha identificado y enumerado todas las pruebas que se realizan para determinar los POE que se han de redactar?</t>
  </si>
  <si>
    <t>¿Se han redactado POE para todas las pruebas que se realizan de forma rutinaria en el laboratorio?</t>
  </si>
  <si>
    <t>¿Todos los POE se han redactado de acuerdo con los procedimientos descritos en el POE principal?</t>
  </si>
  <si>
    <t>¿Tienen todos los POE la misma estructura y diseño y cumplen con las directrices establecidas en el POE principal?</t>
  </si>
  <si>
    <t>¿Tiene el laboratorio un POE principal que explique cómo redactar los POE?</t>
  </si>
  <si>
    <t>¿Tiene el POE principal diferentes apartados sobre cómo redactar los POE relativos a los análisis, relativos a los equipos y relativos a los procedimientos?</t>
  </si>
  <si>
    <t>¿Se ha llevado a cabo una evaluación inicial del laboratorio para identificar elementos del sistema de gestión de la calidad que ya puedan encontrarse disponibles y en funcionamiento o revelar la existencia de carencias que deban resolverse?</t>
  </si>
  <si>
    <t>តើមន្រ្តីបរិក្ខាត្រូវបានសម្រួលការងារកុំឱ្យមានបន្ទុកធ្ងន់ធ្ងរពេកដោយចែករំលែកកិច្ចការចាស់របស់គាត់ដល់បុគ្គលិកផ្សេងទៀតដែរឬទេ (បើចាំបាច់)?</t>
  </si>
  <si>
    <t>តើមន្ទីរពិសោធន៍មានចាត់តាំងបុគ្គលិកម្នាក់ជាអ្នកទទួលខុសត្រូវសម្រាប់ការត្រួតពិនិត្យស្តុកនិងការបញ្ជាទិញសម្ភារៈនិងប្រតិករ (ដែលគេហៅថាមន្រ្តីស្តុក)ដែរឬទេ?</t>
  </si>
  <si>
    <t>តើសមាជិកបុគ្គលិកមន្ទីរពិសោធន៍ទាំងអស់ដឹងថាមានមុខតំណែងមន្ត្រីស្តុកដែរឬទេ?</t>
  </si>
  <si>
    <t>តើសមាជិកបុគ្គលិកមន្ទីរពិសោធន៍ទាំងអស់ដឹងថាភារកិច្ចរបស់មន្រ្តីស្តុកមានអ្វីខ្លះ ដែរឬទេ?</t>
  </si>
  <si>
    <t>ប្រសិនបើមន្ទីរពិសោធន៍នេះគឺជាផ្នែកមួយនៃអង្គភាពធំមួយ: តើមន្ទីរពិសោធន៍មានតារាងរចនាសម្ព័ន្ធដែលបានបង្ហាញយ៉ាងច្បាស់ពីទីតំាងមន្ទីរពិសោធន៍ក្នុងអង្គភាពធំនោះដែរឬទេ?</t>
  </si>
  <si>
    <t>តើសមាជិកបុគ្គលិកអាចពន្យល់ពីរបៀប Authorization Matrix ធ្វើការ ដែរឬទេ?</t>
  </si>
  <si>
    <t>តើការពិព៌ណនាការងារទាំងអស់ (ពិពណ៌នាការងារលើតួនាទីនិងពិពណ៌នាការងាររបស់បុគ្គលិកម្នាក់ៗ) មានបច្ចុប្បន្នភាព ដែរឬទេ?</t>
  </si>
  <si>
    <t>តើមន្ទីរពិសោធន៍មានបញ្ជីសារពើភ័ណ្ឌសម្រាប់បរិក្ខារទាំងអស់ ដែរឬទេ?</t>
  </si>
  <si>
    <t xml:space="preserve">អត្តសញ្ញាណ </t>
  </si>
  <si>
    <t>ស្លាក</t>
  </si>
  <si>
    <t>លេខស៊េរី</t>
  </si>
  <si>
    <t xml:space="preserve">ឈ្មោះក្រុមហ៊ុនផលិត </t>
  </si>
  <si>
    <t xml:space="preserve">ឈ្មោះអ្នកផ្តល់សេវា </t>
  </si>
  <si>
    <t xml:space="preserve">កាលបរិច្ឆេទនៃការទិញ </t>
  </si>
  <si>
    <t xml:space="preserve">ទីតាំង </t>
  </si>
  <si>
    <t>ស្ថានភាព</t>
  </si>
  <si>
    <t xml:space="preserve">ភាពញឹកញាប់នៃការថែទាំ </t>
  </si>
  <si>
    <t xml:space="preserve">កាលបរិច្ឆេទនៃការថែទាំលើកមុន </t>
  </si>
  <si>
    <t xml:space="preserve">កាលបរិច្ឆេទនៃការថែទាំបន្ទាប់ </t>
  </si>
  <si>
    <t>កំណត់សំគាល់</t>
  </si>
  <si>
    <t>តើចំនួនក្នុងបញ្ជីស្តុកដូចគ្នានឹងចំនួនស្តុកជាក់ស្តែង ដែរឬទេ?</t>
  </si>
  <si>
    <t>ព័ត៌មានលំអិតរបស់អ្នកជំងឺ (ឈ្មោះ អាស័យដ្ឋាន លេខទូរស័ព្ទ ថ្ងៃខែឆ្នាំកំណើត ភេទ ។ល។)</t>
  </si>
  <si>
    <t>ព័ត៌មានលំអិតពីអ្នកស្នើសុំ</t>
  </si>
  <si>
    <t>ប្រភេទនៃសំណាក</t>
  </si>
  <si>
    <t>តេស្តវិភាគដែលស្នើរសុំ</t>
  </si>
  <si>
    <t>ព័ត៌មានគ្លីនិកពាក់ព័ន្ធនឹងមន្ទីរពិសោធន៍(ស្ថានភាពផ្ទុកមេរោគអេដស៍ ចំនួនCD4..)</t>
  </si>
  <si>
    <t>Phase 1</t>
  </si>
  <si>
    <t>Phase 2</t>
  </si>
  <si>
    <t>Phase 3</t>
  </si>
  <si>
    <t>Phase 4</t>
  </si>
  <si>
    <t>Facilities and Safety</t>
  </si>
  <si>
    <t>Organization</t>
  </si>
  <si>
    <t>Personnel</t>
  </si>
  <si>
    <t>Equipment</t>
  </si>
  <si>
    <t>Puchasing and Inventory</t>
  </si>
  <si>
    <t>Process Management</t>
  </si>
  <si>
    <t>Documents and records</t>
  </si>
  <si>
    <t>Assessment</t>
  </si>
  <si>
    <t>Is access to the laboratory facility controlled against unauthorized persons?</t>
  </si>
  <si>
    <t>Can the access control system, protecting the laboratory from unauthorized access, be overridden in case of an emergency such as fire?</t>
  </si>
  <si>
    <t>Are primary sample collection facilities separated from the laboratory rooms?</t>
  </si>
  <si>
    <t>Is the sample processing room separated from the room where PCR is performed?</t>
  </si>
  <si>
    <t>Are laboratory rooms where incompatible procedures are being undertaken separated from each other?</t>
  </si>
  <si>
    <t>Are rooms for cleaning of laboratory glassware and tools separated from the laboratory rooms?</t>
  </si>
  <si>
    <t>Are the rooms designed and furnished in a logical way enabling a unidirectional workflow and preventing unnecessary movements of people through the rooms?</t>
  </si>
  <si>
    <t>Is office space separated from laboratory rooms?</t>
  </si>
  <si>
    <t>Is there a dedicated area for breaks/lunches?</t>
  </si>
  <si>
    <t>Is communication to outside the laboratory rooms possible without leaving the room?</t>
  </si>
  <si>
    <t>Are emergency numbers available near telephones and clearly visible?</t>
  </si>
  <si>
    <t>Is the use of mobile phones forbidden inside all laboratory rooms?</t>
  </si>
  <si>
    <t>Is continuing delivery of electricity guaranteed through a working generator and/or Uninterrupted Power Supply (UPS) system in case of a power failure?</t>
  </si>
  <si>
    <t>Is all the essential/critical equipment locked onto the generator?</t>
  </si>
  <si>
    <t>Is an indicator placed in relevant rooms for monitoring the air flow and preventing that pathogens are blown towards the staff working in the laboratory.</t>
  </si>
  <si>
    <t>Have critical environmental/equipment parameters been identified?</t>
  </si>
  <si>
    <t>Are all critical environmental/equipment parameters monitored adequately?</t>
  </si>
  <si>
    <t>Are all Critical Parameter Log Sheets filled out completely and up-to-date?</t>
  </si>
  <si>
    <t>Are all Critical Parameter Log Sheets placed at a logical location?</t>
  </si>
  <si>
    <t>Has a Quality Officer been appointed?</t>
  </si>
  <si>
    <t>Is the position of Quality Officer visible, at the right place, in the Organizational Chart?</t>
  </si>
  <si>
    <t>Does the laboratory have a job description of the position of Quality Officer?</t>
  </si>
  <si>
    <t>Is the position of Quality Officer included in the Authorization Matrix?</t>
  </si>
  <si>
    <t>If a staff member was appointed as Quality Officer, has his former position been filled by a new/another staff member if necessary?</t>
  </si>
  <si>
    <t>Has the laboratory manager been trained in principles of change management?</t>
  </si>
  <si>
    <t>Does the laboratory have an up-to-date routine work schedule?</t>
  </si>
  <si>
    <t>Is this Daily Routine Work Schedule placed at a visible location accessible to all staff?</t>
  </si>
  <si>
    <t>Is the laboratory legally identifiable?</t>
  </si>
  <si>
    <t>Is the laboratory and its status recognized by the appropriate authorities?</t>
  </si>
  <si>
    <t>Are the Organizational Charts up-to-date?</t>
  </si>
  <si>
    <t>Are the Organizational Charts signed and dated by the appropriate management?</t>
  </si>
  <si>
    <t>Has an SOP for Competency Assessment been developed?</t>
  </si>
  <si>
    <t>Does this SOP contain one or more standardized form(s) that must be used to record the findings of the assessment?</t>
  </si>
  <si>
    <t>Are competency assessments done annually for each staff member?</t>
  </si>
  <si>
    <t>Is a report made of each competency assessment?</t>
  </si>
  <si>
    <t>Are the points for improvement described in the report of a competency assessment, including with a description of the strategy on how to improve these points?</t>
  </si>
  <si>
    <t>Are the reports of the competency assessments stored in the personnel files?</t>
  </si>
  <si>
    <t>If training needs are identified during competency assessment, is the staff member send to the appropriate training?</t>
  </si>
  <si>
    <t>Is the competency of the Laboratory Manager annually assessed?</t>
  </si>
  <si>
    <t>Does the laboratory have an induction program for new staff?</t>
  </si>
  <si>
    <t>Is the procedure of the induction program documented in an SOP?</t>
  </si>
  <si>
    <t>Does the SOP for Induction of New Personnel include a checklist for verifying correct completion of the program?</t>
  </si>
  <si>
    <t>Are completed checklists stored at a logical location (e.g. in the personnel file of the new staff member)?</t>
  </si>
  <si>
    <t>Are performance appraisals performed for all staff members at least once per two years?</t>
  </si>
  <si>
    <t>Are findings of performance appraisals discussed with staff members that were assessed to find the root cause and come to a good approach on eliminating this root cause and improving performance?</t>
  </si>
  <si>
    <t>Are findings of performance appraisals recorded, including the identification of root causes behind poor performance and the approach chosen to eliminate these and improve performance?</t>
  </si>
  <si>
    <t>Is a personnel file present of each staff member?</t>
  </si>
  <si>
    <t>Are all the records described in ISO 15189:2012 article 5.1.9 (ISO 15189:2007 5.1.2) present in the personnel file of each staff member?</t>
  </si>
  <si>
    <t>Are the personnel files structured in an orderly fashion?</t>
  </si>
  <si>
    <t>Is the Personnel Files folder stored in a locked cabinet that is only accessible to the Laboratory Manager and the secretary?</t>
  </si>
  <si>
    <t>Does the laboratory have a standardized, documented procedure for procurement and reception of new equipment?</t>
  </si>
  <si>
    <t>Does the laboratory have a standardized, documented procedure for acceptance or rejection of donated equipment?</t>
  </si>
  <si>
    <t>Is the SOP for Procurement and Reception of Equipment stored at a logical location, accessible to all staff members?</t>
  </si>
  <si>
    <t>Is the SOP for Procurement and Reception of Equipment demonstrably reviewed and verified by fellow staff members?</t>
  </si>
  <si>
    <t>Is the SOP for Procurement and Reception of Equipment demonstrably authorized by laboratory management?</t>
  </si>
  <si>
    <t>Are all technical and managerial staff members aware of the existence of the SOP and do they know when to use it?</t>
  </si>
  <si>
    <t>Has all equipment in the laboratory been labeled?</t>
  </si>
  <si>
    <t>Do the equipment labels include the following data:</t>
  </si>
  <si>
    <t>Equipment code</t>
  </si>
  <si>
    <t>Date of last service/calibration</t>
  </si>
  <si>
    <t>Date of next service/calibration</t>
  </si>
  <si>
    <t>Are the equipment labels resistant to fluids, chemicals, light, and other daily factors causing wear and tear of the labels?</t>
  </si>
  <si>
    <t>Is it documented who is responsible for each piece of equipment and who is authorized to use the equipment?</t>
  </si>
  <si>
    <t>Are staff members authorized for use of a piece of equipment properly instructed/trained?</t>
  </si>
  <si>
    <t>Does the laboratory have a Maintenance Log Sheet for each piece of equipment that shows what maintenance has been performed at which moment to which piece of equipment?</t>
  </si>
  <si>
    <t>Does the laboratory use log sheets to record usage of specific pieces of equipment where necessary?</t>
  </si>
  <si>
    <t>Do staff members know how and when to fill out Usage Log Sheets/log books for each piece of equipment?</t>
  </si>
  <si>
    <t>Are the Usage Log Sheets placed near the piece of equipment they have been developed for?</t>
  </si>
  <si>
    <t>Are Maintenance Log Sheets of equipment stored orderly in the Equipment Archive?</t>
  </si>
  <si>
    <t>Does the laboratory have an Equipment Archive that contains all the documents and records needed for each piece of equipment as listed in ISO 15189:2007 article 5.3.4 or ISO 15189:2012 article 5.3.1.7?</t>
  </si>
  <si>
    <t>Does the laboratory have a documented procedure that describes the following:</t>
  </si>
  <si>
    <t>Activities that need to be undertaken when new equipment is introduced in the laboratory</t>
  </si>
  <si>
    <t>The required measures for ensuring maintenance and calibration of the piece of equipment</t>
  </si>
  <si>
    <t>Ensuring presence of the SOP for maintenance and use of the piece of equipment</t>
  </si>
  <si>
    <t>Are Bench Aids used for various pieces of equipment?</t>
  </si>
  <si>
    <t>Are these Bench Aids in accordance with the SOPs for equipment?</t>
  </si>
  <si>
    <t>Is the method of maintenance and calibration of equipment documented?</t>
  </si>
  <si>
    <t>Is the budget needed for the maintenance and calibration of equipment calculated and documented?</t>
  </si>
  <si>
    <t>Have funds been identified for annual maintenance and calibration of equipment?</t>
  </si>
  <si>
    <t>Have funds been identified for training of a staff member for internal maintenance and calibration of equipment?</t>
  </si>
  <si>
    <t>Is a preventive maintenance program in place for all pieces of equipment?</t>
  </si>
  <si>
    <t>Is the procedure for ensuring equipment maintenance standardized in an SOP?</t>
  </si>
  <si>
    <t>Does the laboratory have an SOP for Equipment Repair, including a clear procedure for disinfection and clear labeling the equipment as “defect”?</t>
  </si>
  <si>
    <t>Does the laboratory have an SOP explaining the procedure to be followed for ensuring validation of adequate functioning of equipment when it is returned into service after repair?</t>
  </si>
  <si>
    <t>Does the laboratory have an overview of all the items in stock?</t>
  </si>
  <si>
    <t>Has the laboratory formulated key specification for each item in stock?</t>
  </si>
  <si>
    <t>Does the laboratory have an Inventory Control Register that contains the following details:</t>
  </si>
  <si>
    <t>Names of all the items in stock</t>
  </si>
  <si>
    <t>The number of units of each item currently in stock</t>
  </si>
  <si>
    <t>The average number of units used per day of each item</t>
  </si>
  <si>
    <t>The minimum stock level of each item for which a new order must be made</t>
  </si>
  <si>
    <t>Of each item the average number of days before orders arrive at the laboratory</t>
  </si>
  <si>
    <t>The supplier details of each item</t>
  </si>
  <si>
    <t>The key specifications of each item</t>
  </si>
  <si>
    <t>Is the Inventory Control Register kept up to date by counting the items in stock and comparing this with the number of items shown in the register?</t>
  </si>
  <si>
    <t>Does the laboratory have a documented procedure on selecting, ordering, acceptance testing and storing of new reagents and consumables?</t>
  </si>
  <si>
    <t>Does the laboratory have a documented procedure on maintenance of the stock and inventory system?</t>
  </si>
  <si>
    <t>Are all supplies stored under the right conditions in the laboratory?</t>
  </si>
  <si>
    <t>Are records of supplies kept with the following details? [tick off]</t>
  </si>
  <si>
    <t>Name of the supply</t>
  </si>
  <si>
    <t>Preparation date/date of receipt</t>
  </si>
  <si>
    <t>Whether or not acceptance criteria were met and any follow-up actions</t>
  </si>
  <si>
    <t>Opening date (to be filled out when first opened)</t>
  </si>
  <si>
    <t>Expiry date (can often be found on internet if not visible on supply package)</t>
  </si>
  <si>
    <t>Possible safety warnings (Risk (R-) and Safety (S-) sentence numbers) if not indicated already on the supply package</t>
  </si>
  <si>
    <t>Are all supplies stored such that they cannot fall from shelves or suffer damage in other ways?</t>
  </si>
  <si>
    <t>In regions where earthquakes are a real risk: are supplies stored in such a way that they cannot be damaged due to an earthquake?</t>
  </si>
  <si>
    <t>Are all supplies stored according to the first-in-first-out (FIFO) system?</t>
  </si>
  <si>
    <t>Are all storage areas complying with the safety requirements related to the supplies stored in them?</t>
  </si>
  <si>
    <t>Do storage areas protect the supplies from external influences such as humidity, light, insects, etc.?</t>
  </si>
  <si>
    <t>Are all storage areas lockable to prevent unauthorized access?</t>
  </si>
  <si>
    <t>Are all storage areas labeled with hazard symbols related to the supplies stored in them?</t>
  </si>
  <si>
    <t>Is a list with R- and S-sentences provided on each storage area where this is relevant?</t>
  </si>
  <si>
    <t>Has the laboratory formulated clear and specific sample acceptation/rejection criteria for each type of sample used by the laboratory, leaving no room for interpretation?</t>
  </si>
  <si>
    <t>Does the laboratory have an SOP for Sample Collection to ensure correct collection of good quality samples for each test, protecting the safety of both the sample collector and patient as well as the privacy of the patient?</t>
  </si>
  <si>
    <t>Does the SOP for Sample Collection include at least the following element? [tick-off]</t>
  </si>
  <si>
    <t>Pre-collection:</t>
  </si>
  <si>
    <t>Instructions for identification of the patient</t>
  </si>
  <si>
    <t>Instructions to verify that the patient meets examination requirements (e.g. verification that the patient is sober when this is needed for laboratory testing)</t>
  </si>
  <si>
    <t>Instructions for protecting patient safety</t>
  </si>
  <si>
    <t>Instructions for protecting safety of the laboratory staff member</t>
  </si>
  <si>
    <t>Instructions for protecting the privacy of the patient</t>
  </si>
  <si>
    <t>Instructions for correct treatment of the patient (with respect, friendly, and polite)</t>
  </si>
  <si>
    <t>Instructions for information provision to the patient (what is going to happen, when can the patient expect the results and where can the patient get the results)</t>
  </si>
  <si>
    <t>Instructions for preparation of the patient (including provision of information to the patient on sample collection and laboratory testing)</t>
  </si>
  <si>
    <t>Guideline for completion of the Request Form, including identification of the person collecting the sample and the patient</t>
  </si>
  <si>
    <t>Collection:</t>
  </si>
  <si>
    <t>Instructions for correct collection of the sample, including reference to sample acceptance criteria to ensure collection of a good quality sample</t>
  </si>
  <si>
    <t>Post-collection:</t>
  </si>
  <si>
    <t>Procedure of labeling of the sample</t>
  </si>
  <si>
    <t>Requirements for correct and safe packing of the sample</t>
  </si>
  <si>
    <t>Instructions on sample transport (including time frame and temperature interval) and proper storage conditions if the sample is not transported directly after collection</t>
  </si>
  <si>
    <t>Instructions for safe disposal of materials used for collection of the sample</t>
  </si>
  <si>
    <t>Does the laboratory have an SOP for Sample Reception and Processing?</t>
  </si>
  <si>
    <t>Does the SOP for Sample Reception and Processing cover the following procedures:</t>
  </si>
  <si>
    <t>Checking sample integrity and deciding if the sample is accepted or rejected</t>
  </si>
  <si>
    <t>Introduction of the sample into the laboratory register</t>
  </si>
  <si>
    <t>Sample labeling</t>
  </si>
  <si>
    <t>Sample processing</t>
  </si>
  <si>
    <t>Procedure for processing urgent samples</t>
  </si>
  <si>
    <t>Procedure for dealing with verbal requests</t>
  </si>
  <si>
    <t>Periodical review of required sample volumes</t>
  </si>
  <si>
    <t>Has the laboratory authorized staff members for reviewing requests and deciding which examinations must be performed?</t>
  </si>
  <si>
    <t>Has the SOP for Sample Reception and Processing been read by all relevant staff members?</t>
  </si>
  <si>
    <t>Does the laboratory use a Sample Reception Register?</t>
  </si>
  <si>
    <t>Does the Sample Reception Register leave room for including the following information:</t>
  </si>
  <si>
    <t>Patient name + label</t>
  </si>
  <si>
    <t>Details of requester</t>
  </si>
  <si>
    <t>Date of sample collection</t>
  </si>
  <si>
    <t>Date of sample reception</t>
  </si>
  <si>
    <t>Date of sample acceptance</t>
  </si>
  <si>
    <t>Results of examinations + name of the laboratory technologists performing the examinations</t>
  </si>
  <si>
    <t>Date of reporting</t>
  </si>
  <si>
    <t>Signature and initials of person sending the report</t>
  </si>
  <si>
    <t>Does the SOP for Sample Reception and Processing have an appendix with a Sample Rejection Form?</t>
  </si>
  <si>
    <t>Does the Sample Rejection Form include the following elements?</t>
  </si>
  <si>
    <t>Identification of the patient</t>
  </si>
  <si>
    <t>Identification of the person collecting the sample</t>
  </si>
  <si>
    <t>Identification of the clinician (if different than the person collecting the sample)</t>
  </si>
  <si>
    <t>Identification of the sample</t>
  </si>
  <si>
    <t>Reasons for sample rejection</t>
  </si>
  <si>
    <t>Action to be taken (does the sample requester have to send in a new sample? Does the sample collector have to change the procedure?)</t>
  </si>
  <si>
    <t>Are copies of completed forms stored at the laboratory?</t>
  </si>
  <si>
    <t>Has the laboratory made flowcharts of all the procedures routinely being performed in the laboratory?</t>
  </si>
  <si>
    <t>Has the laboratory formulated quality controls to guard the quality of each process step in each procedure?</t>
  </si>
  <si>
    <t>Are internal quality control results recorded in a register?</t>
  </si>
  <si>
    <t>Are internal quality control protocols included in all relevant SOPs?</t>
  </si>
  <si>
    <t>Does the laboratory have an SOP for Internal Quality Control that contains:</t>
  </si>
  <si>
    <t>An explanation on the concept of internal quality control</t>
  </si>
  <si>
    <t>The general procedure for performing an internal quality control</t>
  </si>
  <si>
    <t>Procedure for developing internal quality control materials</t>
  </si>
  <si>
    <t>The procedure for periodic review of internal quality controls</t>
  </si>
  <si>
    <t>The procedure to follow when an internal quality control fails</t>
  </si>
  <si>
    <t>Does the laboratory monitor internal quality control results and act on quality control failures?</t>
  </si>
  <si>
    <t>Are internal quality control results continuously monitored?</t>
  </si>
  <si>
    <t>Does the laboratory undertake action as soon as possible to solve internal quality control failures/deviations from trends?</t>
  </si>
  <si>
    <t>Is reporting of results halted when internal quality controls deviate/fail?</t>
  </si>
  <si>
    <t>Has the laboratory developed a list of all SOPs needed to standardize the entire primary process?</t>
  </si>
  <si>
    <t>Are all SOPs complete and in line with the Master SOP, covering all required elements such as quality control, safety, tasks, authorizations and responsibilities, references, appendixes, etc.?</t>
  </si>
  <si>
    <t>Does the laboratory have a fixed format for the Result Report?</t>
  </si>
  <si>
    <t>Does the Result Report include at least the following elements: [tick off]</t>
  </si>
  <si>
    <t>Name of the laboratory</t>
  </si>
  <si>
    <t>Personal details of the patient, including clinical information as received by the laboratory from the requester</t>
  </si>
  <si>
    <t>Details of the requester</t>
  </si>
  <si>
    <t>List of examinations performed</t>
  </si>
  <si>
    <t>Date of the primary sample collection</t>
  </si>
  <si>
    <t>Primary sample type</t>
  </si>
  <si>
    <t>Comments on the quality of the sample (either adequate for the examinations performed or inadequate, which could influence reliability of results)</t>
  </si>
  <si>
    <t>Examination results</t>
  </si>
  <si>
    <t>Biological reference intervals/decision values, including the “alert/critical” intervals for all examinations performed, with interpretive comments on results, if applicable.</t>
  </si>
  <si>
    <t>Details of the laboratory staff member reviewing the results and authorizing the report for release</t>
  </si>
  <si>
    <t>Date and time of release of the report</t>
  </si>
  <si>
    <t>Was the format of the Result Report discussed with regular clients of the laboratory during development?</t>
  </si>
  <si>
    <t>Is a procedure in place that ensures verification of correct transcription of results on reports?</t>
  </si>
  <si>
    <t>Is a procedure in place for authorizing Result Reports for release only if review of results has taken place and correct transcription of correct results and other important information to the report has been confirmed?</t>
  </si>
  <si>
    <t>Does the laboratory have a procedure to ensure immediate notification of the requester in case results fall within critical intervals?</t>
  </si>
  <si>
    <t>Does the laboratory record the occurrences in which results fall within critical intervals and requesters have to be notified directly (for verification purposes)?</t>
  </si>
  <si>
    <t>Does the laboratory use a method for sending the Result Reports to the requesters with a minimum risk for losing reports?</t>
  </si>
  <si>
    <t>Does the laboratory use a method for sending the Result Reports to the requester that ensures that reports are delivered as soon as possible?</t>
  </si>
  <si>
    <t>Are patient data (such as Request Forms, work forms, registers, copies of Result Reports, revised Result Reports, Immediate Notification Forms, etc.) stored securely, protected from unauthorized access?</t>
  </si>
  <si>
    <t>Are patient data (such as Request Forms, work forms, registers, copies of Result Reports, revised Result Reports, Immediate Notification Forms, etc.) stored in a logical way enabling quick and easy retrieval of data?</t>
  </si>
  <si>
    <t>Does the laboratory have an SOP for Recording, Reporting and Archiving of Results, describing at least the following procedures:</t>
  </si>
  <si>
    <t>Recording of results</t>
  </si>
  <si>
    <t>Reviewing and authorizing results for release</t>
  </si>
  <si>
    <t>Normal procedure for reporting of results</t>
  </si>
  <si>
    <t>Immediate reporting of results from urgent samples</t>
  </si>
  <si>
    <t>Immediate reporting of results in critical intervals</t>
  </si>
  <si>
    <t>Notification of clinician if turnaround time is exceeded</t>
  </si>
  <si>
    <t>Reporting via telephone or other electronic means</t>
  </si>
  <si>
    <t>Reporting of results of samples of inadequate quality but that were still tested</t>
  </si>
  <si>
    <t>Alteration of reports</t>
  </si>
  <si>
    <t>Archiving of results</t>
  </si>
  <si>
    <t>Are the procedures in the SOP for Recording, Reporting and Archiving of Results routinely and correctly implemented in practice?</t>
  </si>
  <si>
    <t>Are all staff members that are involved in any way in recording, reporting and archiving of results aware of the contents of the SOP for Recording, Reporting and Archiving of Results?</t>
  </si>
  <si>
    <t>Is the laboratory able to trace back the staff members who signed documents based on the signature or initials?</t>
  </si>
  <si>
    <t>Have all laboratory staff members signed a confidentiality agreement?</t>
  </si>
  <si>
    <t>If the laboratory stores information digitally: are weekly backups being made?</t>
  </si>
  <si>
    <t>Are backups of the computerized system stored behind lock and key in another building than the laboratory building where the computerized system is?</t>
  </si>
  <si>
    <t>Does the laboratory have an overview of the time each type of record should be archived?</t>
  </si>
  <si>
    <t>Does the laboratory have an overview of where each type of record should be archived?</t>
  </si>
  <si>
    <t>Are SOPs available at logical locations, at least:</t>
  </si>
  <si>
    <t>Near the place where the procedures the SOPs describe are routinely performed</t>
  </si>
  <si>
    <t>In the office areas</t>
  </si>
  <si>
    <t>In the dedicated quality documents archive</t>
  </si>
  <si>
    <t>Are inconsistencies and errors found in documents recorded in a Document Revision Form?</t>
  </si>
  <si>
    <t>Do staff members know where to find the Document Revision Form?</t>
  </si>
  <si>
    <t>Do staff members know what the Document Revision Form is for and do they know how to use it?</t>
  </si>
  <si>
    <t>Is a Document Control Log available that shows all the quality documents of the laboratory with at least the following details:</t>
  </si>
  <si>
    <t>The document code</t>
  </si>
  <si>
    <t>The document title</t>
  </si>
  <si>
    <t>The name of the author</t>
  </si>
  <si>
    <t>The names of the reviewers</t>
  </si>
  <si>
    <t>The name of the authorizer</t>
  </si>
  <si>
    <t>The current version number</t>
  </si>
  <si>
    <t>The date on which it was released for use</t>
  </si>
  <si>
    <t>The date before which the document must be reviewed</t>
  </si>
  <si>
    <t>Distribution list</t>
  </si>
  <si>
    <t>The title of the previous version</t>
  </si>
  <si>
    <t>The name of the author of the previous version</t>
  </si>
  <si>
    <t>The names of the reviewers of the previous version</t>
  </si>
  <si>
    <t>The name of the authorizer of the previous version</t>
  </si>
  <si>
    <t>The date on which the previous version was released for use</t>
  </si>
  <si>
    <t>The date on which the previous version was replaced</t>
  </si>
  <si>
    <t>Is each quality document (SOP, quality manual chapter, Biosafety Manual chapter) supplied with a front page that contains the following information: [tick off]</t>
  </si>
  <si>
    <t>Document code</t>
  </si>
  <si>
    <t>The date before the document must be reviewed</t>
  </si>
  <si>
    <t>Description of changes compared to previous version</t>
  </si>
  <si>
    <t>Does the laboratory have a document control system that ensures that all its quality documents are reviewed, and, when necessary, revised on an annual (or, after maturation of the quality management system, biannual) basis?</t>
  </si>
  <si>
    <t>Are the Bench Aids used in the laboratory based on current versions of SOPs?</t>
  </si>
  <si>
    <t>Have all quality documents currently in use been reviewed by at least one reviewer?</t>
  </si>
  <si>
    <t>Are all the quality documents used in the laboratory authorized for release?</t>
  </si>
  <si>
    <t>Are all the quality documents used in the laboratory the current versions?</t>
  </si>
  <si>
    <t>Are copies of replaced quality documents in the quality documentation archive clearly marked as “replaced” with the date on which they were replaced?</t>
  </si>
  <si>
    <t>Are all the references in quality documents to other documents, locations and equipment correct?</t>
  </si>
  <si>
    <t>Does the laboratory have a dedicated archive in which it stores all its current and replaced quality documents for a period of five years?</t>
  </si>
  <si>
    <t>Are all the procedures related to the document control system standardized in an SOP?</t>
  </si>
  <si>
    <t>Are the Equipment SOPs complete, i.e. do they include the procedures that were developed in phase 2 such as calibration, preventive maintenance and corrective maintenance?</t>
  </si>
  <si>
    <t>Does the laboratory have a database/register with regular customers?</t>
  </si>
  <si>
    <t>Are correct biological reference intervals/decision values and alert/critical interval values included for all the examinations performed by the laboratory in the Laboratory Result Reports?</t>
  </si>
  <si>
    <t>Is the correctness of the biological reference intervals/diagnostic decision values and alert/critical interval values regularly verified for all the examinations performed by the laboratory?</t>
  </si>
  <si>
    <t>If the methodology of an examination is changed, does the laboratory verify if the biological reference interval/diagnostic decision value and alert/critical interval value is still correct for that examination?</t>
  </si>
  <si>
    <t>Does the laboratory have a service manual that includes the following: [tick-off]</t>
  </si>
  <si>
    <t>Description of which tests are available at the laboratory, including information on which the clinical situations require this test to be performed.</t>
  </si>
  <si>
    <t>What sample is needed for each test, the volume/amount needed and, if applicable, special timing of collection.</t>
  </si>
  <si>
    <t>How this sample must be collected, including:</t>
  </si>
  <si>
    <t>Identification of the patient and verification that the patient meets the pre-examination requirements (e.g. for some examinations the patient must be sober; the sample collector must verify that the patient is indeed sober).</t>
  </si>
  <si>
    <t>How to prepare the patient.</t>
  </si>
  <si>
    <t>How to label the patient.</t>
  </si>
  <si>
    <t>The type of container in which the sample must be collected.</t>
  </si>
  <si>
    <t>How and under which conditions it must be packed and sent to the laboratory, including:</t>
  </si>
  <si>
    <t>Time frame within which the sample must be sent to the laboratory.</t>
  </si>
  <si>
    <t>Temperature interval in which it must be transported.</t>
  </si>
  <si>
    <t>The method of packing the sample container to prevent leaks.</t>
  </si>
  <si>
    <t>If applicable, requirements regarding patient consent.</t>
  </si>
  <si>
    <t>The procedure for requesting routine laboratory testing, including how to complete the Request Form.</t>
  </si>
  <si>
    <t>The procedure for requesting urgent laboratory testing.</t>
  </si>
  <si>
    <t>The normal turnaround time for each test.</t>
  </si>
  <si>
    <t>The biological reference intervals and, if applicable, the critical/alert values for specific tests.</t>
  </si>
  <si>
    <t>A list of factors known to affect the performance of the examination or the interpretation of results of each examination.</t>
  </si>
  <si>
    <t>The routine method of reporting.</t>
  </si>
  <si>
    <t>A guideline to interpreting the Result Report.</t>
  </si>
  <si>
    <t>The procedure for reporting urgent testing results.</t>
  </si>
  <si>
    <t>Requesting additional testing, including the time-frame in which this is possible.</t>
  </si>
  <si>
    <t>The laboratory’s policy on protection of patient information.</t>
  </si>
  <si>
    <t>The laboratory’s complaint procedure (this will not yet be included in phase 2 as this will be developed in phase 4).</t>
  </si>
  <si>
    <t>Has the Laboratory Service Manual been sent to all the clients of the laboratory?</t>
  </si>
  <si>
    <t>When changes are made to the service manual, is the new version directly printed and sent to the clients of the laboratory, with the note that they have to destroy the previous version?</t>
  </si>
  <si>
    <t>Are correct biological reference intervals/decision values and alert/critical interval values included for all the examinations performed by the laboratory in the Laboratory Service Manual?</t>
  </si>
  <si>
    <t>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t>
  </si>
  <si>
    <t>Does the laboratory participate in proficiency testing/inter-laboratory comparison schemes for all the examinations performed?</t>
  </si>
  <si>
    <t>If participation in a proficiency testing scheme or organization of an inter-laboratory comparison for a certain test is not possible: does the laboratory have a rechecking/retesting system to compare results?</t>
  </si>
  <si>
    <t>If results of proficiency testing/inter-laboratory comparisons are deviating/incorrect, does the laboratory act with performing an analysis to identify the causes of the problem and does it implement corrective actions, controls and, if possible, preventive actions?</t>
  </si>
  <si>
    <t>Does the laboratory have an SOP for participation in a proficiency testing scheme and/or an inter-laboratory comparison scheme?</t>
  </si>
  <si>
    <t>If the laboratory is the organizer of an inter-laboratory comparison scheme, does the SOP for External Quality Assessment include the procedure for organizing this?</t>
  </si>
  <si>
    <t>If the laboratory rechecks/retests samples for a certain test (in case no PT or inter-laboratory comparison was possible), does the SOP for External Quality Assessment include the procedure for organizing this?</t>
  </si>
  <si>
    <t>Information Management</t>
  </si>
  <si>
    <t>Customer Focus</t>
  </si>
  <si>
    <t>Is access to first aid secured at the laboratory?</t>
  </si>
  <si>
    <t>In laboratories where the presence of first aid providers is necessary: have enough staff members been appointed as first aid provider such that continuous presence of at least one first aid provider is ensured?</t>
  </si>
  <si>
    <t>Is the training of the first aid providers up-to-date?</t>
  </si>
  <si>
    <t>Does the Biosafety Manual contain an explanation of the tasks and responsibilities of first aid providers?</t>
  </si>
  <si>
    <t>Is the laboratory staff aware of who the first aid providers are?</t>
  </si>
  <si>
    <t>Have the Personal Job Descrptions of the first aid providers been adapted to reflect the authorizations of their position as first aid provider?</t>
  </si>
  <si>
    <t>Is the biosafety level III laboratory equipped with a negative pressure system?</t>
  </si>
  <si>
    <t>Is the pressure of the biosafety level III regularly monitored and recorded?</t>
  </si>
  <si>
    <t>Is the negative pressure system connected to a backup electricity supply to ensure that it keeps functioning during a power failure?</t>
  </si>
  <si>
    <t>Is the negative pressure system included in the preventive maintenance program of the laboratory?</t>
  </si>
  <si>
    <t>Is access into the BSL III laboratory controlled to prevent unauthorized access?</t>
  </si>
  <si>
    <t>Is a primary sample collection facility available and physically separate from the laboratory activities?</t>
  </si>
  <si>
    <t>Are patients in the waiting area and primary sample collection facility protected against rain and direct sunlight?</t>
  </si>
  <si>
    <t>Does the patient sample collection facility allow for the protection of privacy of patients?</t>
  </si>
  <si>
    <t>Are there enough chairs in the waiting area and primary sample collection facility so that every patient can sit?</t>
  </si>
  <si>
    <t>Is the waiting area and primary sample collection facility accessible for physically handicapped patients?</t>
  </si>
  <si>
    <t>Are samples stored under appropriate conditions, protected from unauthorized access and demonstrably easily retrievable?</t>
  </si>
  <si>
    <t>Are all reagents and supplies stored under the proper conditions, protected from unauthorized access and easily retrievable?</t>
  </si>
  <si>
    <t>Is equipment stored under appropriate conditions protected from unauthorized use?</t>
  </si>
  <si>
    <t>Is defective equipment demonstrably contaminated and stored outside the laboratory protected from use?</t>
  </si>
  <si>
    <t>Are documents and records stored under appropriate conditions, protected from fire, insects, humidity and other harmful elements?</t>
  </si>
  <si>
    <t>Are documents and records protected from unauthorized access?</t>
  </si>
  <si>
    <t>Are documents and records stored in a logical manner so that they are demonstrably easily retrievable?</t>
  </si>
  <si>
    <t>Does the retention schedule for storing different types of materials include the storage durations for samples and slides?</t>
  </si>
  <si>
    <t>Does the retention schedule for storing different types of materials include the following documents:</t>
  </si>
  <si>
    <t>Replaced SOPs</t>
  </si>
  <si>
    <t>Completed worksheets</t>
  </si>
  <si>
    <t>Completed log sheets</t>
  </si>
  <si>
    <t>Completed Request Forms</t>
  </si>
  <si>
    <t>Patient reports</t>
  </si>
  <si>
    <t>Result registers</t>
  </si>
  <si>
    <t>All contracts of the laboratory with external parties</t>
  </si>
  <si>
    <t>Personnel data</t>
  </si>
  <si>
    <t>Does the laboratory have a clear Vision?</t>
  </si>
  <si>
    <t>Is the Vision of the laboratory documented and stored?</t>
  </si>
  <si>
    <t>Does the laboratory have a clear Mission?</t>
  </si>
  <si>
    <t>Is the Mission of the laboratory documented and stored?</t>
  </si>
  <si>
    <t>Does the laboratory have long-term goals?</t>
  </si>
  <si>
    <t>Are the long-term goals of the laboratory covering all the core-activities?</t>
  </si>
  <si>
    <t>Are the long-term goals of the laboratory aimed at improvement?</t>
  </si>
  <si>
    <t>Are the long-term goals of the laboratory documented and stored?</t>
  </si>
  <si>
    <t>Does the laboratory have a Quality Policy?</t>
  </si>
  <si>
    <t>Does the Quality Policy describe clearly the scope of the laboratory services?</t>
  </si>
  <si>
    <t>Does the Quality Policy describe clearly the Long Term Goals and what the laboratory will do to achieve these goals?</t>
  </si>
  <si>
    <t>Does the Quality Policy contain a statement of the management’s commitment to implement and maintain the quality management system?</t>
  </si>
  <si>
    <t>Does the Quality Policy contain a statement of the laboratory's commitment to provide good professional practice, quality examinations, in compliance with the quality management system adhering to ISO 15189?</t>
  </si>
  <si>
    <t>Does the Quality Policy contain a requirement that all staff members of the laboratory must be familiar with the policies and procedures of the laboratory and implement these?</t>
  </si>
  <si>
    <t>Does the laboratory have measures to prevent interruption of services due to break down of old equipment?</t>
  </si>
  <si>
    <t>Is purchasing of new equipment taken into account in making the laboratory budget for the next year?</t>
  </si>
  <si>
    <t>Are maintenance costs (including repairs) taken into account in the laboratory budget?</t>
  </si>
  <si>
    <t>Did the laboratory formulate goals for the coming year prior to drafting the Quality Year Plan?</t>
  </si>
  <si>
    <t>Does the laboratory plan its activities through a Quality Year Plan?</t>
  </si>
  <si>
    <t>Is the Quality Year Plan complete (does it cover all the aspects of the quality management system)?</t>
  </si>
  <si>
    <t>Is the Quality Year Plan appropriately stored and easily retrievable?</t>
  </si>
  <si>
    <t>Is the Quality Year Plan signed and dated by management?</t>
  </si>
  <si>
    <t>Is the Quality Year Plan translated into an action plan?</t>
  </si>
  <si>
    <t>Is this action plan of the Quality Year Plan signed and dated by the Laboratory Manager for approval?</t>
  </si>
  <si>
    <t>Is the quality management system appropriately documented in a quality manual, i.e. does it include information on each of the 12 quality system essentials and how these are implemented in the laboratory?</t>
  </si>
  <si>
    <t>Is the quality manual part of the document control system?</t>
  </si>
  <si>
    <t>Have all staff members read the quality manual?</t>
  </si>
  <si>
    <t>Is the performance of the quality management system recorded in Quarterly Reports?</t>
  </si>
  <si>
    <t>Is the functioning of the quality management system reviewed annually by laboratory management?</t>
  </si>
  <si>
    <t>Are reports drafted of management reviews?</t>
  </si>
  <si>
    <t>Do Management Review Reports include action points if applicable?</t>
  </si>
  <si>
    <t>Are Management Review Reports securely and orderly stored?</t>
  </si>
  <si>
    <t>Does the Quality Year Plan include action points from the management review?</t>
  </si>
  <si>
    <t>Does the Quality Year Plan take into account the Quality Policy, Long Term Goals, Core Values, Mission and Vision of the laboratory?</t>
  </si>
  <si>
    <t>Is an action plan drafted based on the action points yielding from the Quality Year Plan?</t>
  </si>
  <si>
    <t>Have all the policy cycle activities been documented in an SOP (i.e. drafting a quality year plan, monitoring of performance of the quality management system and drafting quarterly reports, and performing a management review)?</t>
  </si>
  <si>
    <t>Has the laboratory investigated if there are potential conflicts of interest among laboratory staff?</t>
  </si>
  <si>
    <t>If potential conflicts of interest among laboratory staff were identified, were they appropriately solved and documented?</t>
  </si>
  <si>
    <t>Is a personnel replacement matrix present in the laboratory?</t>
  </si>
  <si>
    <t>Is a backup staff member defined for each staff member in the laboratory?</t>
  </si>
  <si>
    <t>Is the competency of the backup staff members checked for the tasks they need to take over from absent staff members?</t>
  </si>
  <si>
    <t>Does the laboratory perform a financial analysis on a regular basis to anticipate income versus expenditure for the coming year?</t>
  </si>
  <si>
    <t>Does the laboratory have an SOP for Selection and Evaluation of Suppliers?</t>
  </si>
  <si>
    <t>Does the laboratory select suppliers in a standardized way and documents this procedure?</t>
  </si>
  <si>
    <t>Does the laboratory develop contracts for reception of services in a standardized way?</t>
  </si>
  <si>
    <t>Does the laboratory evaluate contracts for reception of services in a standardized way and documents this procedure?</t>
  </si>
  <si>
    <t>If contracts are amended/changed, does the laboratory have records/minutes explaining the amendments/changes and why they were made?</t>
  </si>
  <si>
    <t>Has the laboratory formulated the procedure for selecting referral laboratories? If the laboratory does not refer samples to other laboratories: is a statement included in the quality manual explaining that no samples are referred to other laboratories?</t>
  </si>
  <si>
    <t>Has the laboratory formulated the procedure for monitoring referral laboratories on a regular basis?</t>
  </si>
  <si>
    <t>Is a folder present containing documents with appointments between the referral laboratories and this laboratory and monitoring data?</t>
  </si>
  <si>
    <t>Is a folder present containing records of samples referred to referral laboratories, including the result reports?</t>
  </si>
  <si>
    <t>Have the maximum allowed turnaround time been determined for each examination performed in the laboratory?</t>
  </si>
  <si>
    <t>Is a table with the maximum allowed turnaround times for each examination included in the quality manual of the laboratory?</t>
  </si>
  <si>
    <t>Is a table with the maximum allowed turnaround times for each examination included in the SOP on Reporting and Archiving of Results?</t>
  </si>
  <si>
    <t>Does the SOP on Reporting and Archiving of Results include the procedure that the requester is immediately informed if the TAT of an examination is exceeded and this can compromise patient care?</t>
  </si>
  <si>
    <t>Are staff members aware of the procedure for immediately informing the requester if an examination is exceeding the turnaround time when this can compromise patient care?</t>
  </si>
  <si>
    <t>Is the turnaround time monitored on a continuous basis for each examinations?</t>
  </si>
  <si>
    <t>Is the result of turnaround time assessment included in the Quarterly Reports?</t>
  </si>
  <si>
    <t>Are corrective and preventive actions implemented in an attempt to decrease the percentage of samples exceeding the turnaround time to a minimum?</t>
  </si>
  <si>
    <t>When sudden increases are seen in the percentage of samples exceeding turnaround time, is an analysis performed to identify the cause and implement corrective and preventive actions?</t>
  </si>
  <si>
    <t>Is the efficacy of corrective and preventive actions to minimize/counteract increase of samples exceeding turnaround time determined in subsequent turnaround time assessments?</t>
  </si>
  <si>
    <t>Has the laboratory standardized the procedure of validation of examination methods and equipment in an SOP?</t>
  </si>
  <si>
    <t>When the laboratory, through validation, identified the need to change an examination method, was this change made (including adaption of the SOP for that method)?</t>
  </si>
  <si>
    <t>Does the laboratory have an archive for laboratory records that is constructed in a logical way allowing for quick and easy access to information?</t>
  </si>
  <si>
    <t>Is the laboratory archive lockable?</t>
  </si>
  <si>
    <t>Does the laboratory archive protect records from deteriorating influences such as fire, humidity, insects, sunlight, etc.?</t>
  </si>
  <si>
    <t>Is access to the laboratory archive controlled?</t>
  </si>
  <si>
    <t>Is the computerized system properly protected by a firewall?</t>
  </si>
  <si>
    <t>Is the computerized system scanned for viruses on a weekly basis by a proper, up to date virus scanner?</t>
  </si>
  <si>
    <t>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t>
  </si>
  <si>
    <t>Are the Personal Job Descriptions adapted of the staff members who are authorized to access or access and change laboratory information?</t>
  </si>
  <si>
    <t>Is a documented contingency plan present in the laboratory that should be followed in case of downtime of the computerized information system, to ensure access to laboratory information at all times?</t>
  </si>
  <si>
    <t>Has the laboratory standardized the procedures for information management in an SOP?</t>
  </si>
  <si>
    <t>Does the SOP on management of laboratory information include at least the following procedures:</t>
  </si>
  <si>
    <t>Management and maintenance of the computerized laboratory information system, including procedures regarding:</t>
  </si>
  <si>
    <t>Regular backup, regular virus scanning and the contingency plan protocols</t>
  </si>
  <si>
    <t>Accessing laboratory information in the computerized system</t>
  </si>
  <si>
    <t>Entering laboratory information</t>
  </si>
  <si>
    <t>Changing laboratory information stored in the computerized system</t>
  </si>
  <si>
    <t>Defining authorizations for accessing, accessing and entering laboratory information, and accessing, entering and changing laboratory information in the computerized system</t>
  </si>
  <si>
    <t>Protocol for ensuring confidentiality of patient data</t>
  </si>
  <si>
    <t>Management and maintenance of the laboratory archive, including procedures regarding:</t>
  </si>
  <si>
    <t>Accessing information</t>
  </si>
  <si>
    <t>Storing information</t>
  </si>
  <si>
    <t>Changing information in the archive</t>
  </si>
  <si>
    <t>Ensuring protection of records from external deteriorating factors such as humidity, fire, insects, sunlight, etc.</t>
  </si>
  <si>
    <t>Defining authorizations for accessing, accessing and storing laboratory information, and accessing, storing and changing laboratory information in the archive</t>
  </si>
  <si>
    <t>Is a client satisfaction survey conducted on a two-yearly basis?</t>
  </si>
  <si>
    <t>Is a report drafted of the client satisfaction survey that shows the main findings and points for improvement that were identified?</t>
  </si>
  <si>
    <t>Is a SMART action plan drafted to implement points for improvement identified in client satisfaction surveys in practice?</t>
  </si>
  <si>
    <t>Does the laboratory have a standardized procedure for entering into a contract for service delivery?</t>
  </si>
  <si>
    <t>Does the laboratory maintain minutes of meetings to discuss the contents of the contracts for service delivery?</t>
  </si>
  <si>
    <t>Is the Quality Officer appointed as Internal Auditor?</t>
  </si>
  <si>
    <t>Have Internal Auditors been appropriately trained and certified?</t>
  </si>
  <si>
    <t>Is a Position Job Description present for the position of Internal Auditor?</t>
  </si>
  <si>
    <t>Have the Personal Job Descriptions of the staff members appointed as Internal Auditors been adapted to include the tasks and responsibilities for their position as Internal Auditor?</t>
  </si>
  <si>
    <t>Does the Authorization Matrix include the tasks and responsibilities pertaining to the position of Internal Auditor?</t>
  </si>
  <si>
    <t>Have staff adequately been informed about what internal auditing is, why it is done, and who the Internal Auditors are?</t>
  </si>
  <si>
    <t>Are internal audits planned on a yearly basis and is this audit plan communicated to all the laboratory staff involved?</t>
  </si>
  <si>
    <t>Are internal audits carried out in such a way that the complete quality management system and all examinations are audited every 12 months?</t>
  </si>
  <si>
    <t>Are observations made during internal audits reported and are nonconformities identified and scored according to severity?</t>
  </si>
  <si>
    <t>Is the audit report submitted to laboratory management for translation into a SMART action plan to ensure correcting/solving of all the nonconformities noted?</t>
  </si>
  <si>
    <t>Are action plans made to solve/correct the nonconformities identified in internal audits with corrective actions, control steps and preventive actions when necessary and applicable?</t>
  </si>
  <si>
    <t>Is timely implementation of the action plans following internal audit monitored?</t>
  </si>
  <si>
    <t>Are Internal Audit Reports with action plans archived when all action points have been completed?</t>
  </si>
  <si>
    <t>Is the procedure for planning, conducting and processing internal audits standardized in an SOP?</t>
  </si>
  <si>
    <t>L'accès aux premiers secours est-il assuré dans le laboratoire ?</t>
  </si>
  <si>
    <t>Dans les laboratoires où la présence de secouristes est nécessaire : y a-t-il suffisamment de membres du personnel pouvant assumer le rôle de secouriste, de telle sorte que la présence d'au moins un secouriste soit toujours assurée ?</t>
  </si>
  <si>
    <t>La formation des secouristes est-elle actualisée ?</t>
  </si>
  <si>
    <t>Le manuel de sécurité biologique explique-t-il les tâches et responsabilités des secouristes ?</t>
  </si>
  <si>
    <t>Les membres du personnel du laboratoire savent-ils qui sont les secouristes ?</t>
  </si>
  <si>
    <t>Les descriptifs personnalisés de poste des secouristes ont-ils été adaptés pour indiquer leurs autorisations en tant que secouristes ?</t>
  </si>
  <si>
    <t>Le laboratoire de sécurité biologique de niveau III est-il équipé d'un système de pression négative ?</t>
  </si>
  <si>
    <t>La pression dans le laboratoire de sécurité biologique de niveau III est-elle régulièrement surveillée et enregistrée ?</t>
  </si>
  <si>
    <t>Le système de pression négative est-il raccordé à une alimentation électrique de secours afin d'assurer la continuité de son fonctionnement en cas de panne de courant ?</t>
  </si>
  <si>
    <t>Le système de pression négative est-il inclus dans le programme de maintenance préventive du laboratoire ?</t>
  </si>
  <si>
    <t>L'accès au laboratoire NSB 3 est-il contrôlé afin d'empêcher l'accès aux personnes non autorisées ?</t>
  </si>
  <si>
    <t>Existe-t-il un local destiné au prélèvement d'échantillons primaires et est-il physiquement séparé des activités du laboratoire ?</t>
  </si>
  <si>
    <t>Les patients se trouvant dans la salle d'attente et le local destiné au prélèvement d'échantillons primaires sont-ils protégés de la pluie et de l'éclairage direct du soleil ?</t>
  </si>
  <si>
    <t>Le local destiné au prélèvement d'échantillons primaires permet-il de préserver l'intimité des patients ?</t>
  </si>
  <si>
    <t>Y a-t-il suffisamment de sièges dans la salle d'attente et dans le local destiné au prélèvement d'échantillons primaires pour permettre à chaque patient de s'asseoir ?</t>
  </si>
  <si>
    <t>La salle d'attente et le local destiné au prélèvement d'échantillons primaires sont-ils accessibles aux personnes physiquement handicapées ?</t>
  </si>
  <si>
    <t>Les échantillons sont-ils stockés dans des conditions appropriées, protégés contre un accès non autorisé et peuvent-ils être aisément retrouvés (preuve à l'appui) ?</t>
  </si>
  <si>
    <t>Tous les réactifs et fournitures sont-ils stockés dans des conditions appropriées, protégés contre un accès non autorisé et aisément retrouvés ?</t>
  </si>
  <si>
    <t>L'équipement est-il stocké dans des conditions appropriées, protégé contre une utilisation non autorisée ?</t>
  </si>
  <si>
    <t>L'équipement défectueux est-il décontaminé (preuve à l'appui) et stocké à l'extérieur du laboratoire, de manière à éviter son utilisation ?</t>
  </si>
  <si>
    <t>Les documents et registres sont-ils stockés dans des conditions appropriées, protégés contre le feu, les insectes, l'humidité et autres éléments nuisibles?</t>
  </si>
  <si>
    <t>Les documents et registres sont-ils protégés contre un accès non autorisé ?</t>
  </si>
  <si>
    <t>Les documents et registres sont-ils stockés de manière logique de façon à pouvoir être aisément retrouvés (preuve à l'appui) ?</t>
  </si>
  <si>
    <t>Le calendrier des durées de stockage/archivage des différents types de matériels inclut-il les échantillons et les préparations microscopiques ?</t>
  </si>
  <si>
    <t>Le calendrier des durées de stockage/archivage des différents types de matériels inclut-il les documents suivants :</t>
  </si>
  <si>
    <t>POS remplacées</t>
  </si>
  <si>
    <t>Feuilles de travail remplies</t>
  </si>
  <si>
    <t>Feuilles d'utilisation remplies</t>
  </si>
  <si>
    <t>Formulaires de demande remplis</t>
  </si>
  <si>
    <t>Dossiers des patients</t>
  </si>
  <si>
    <t>Registres de résultats</t>
  </si>
  <si>
    <t>Tous les contrats du laboratoire avec des parties tierces</t>
  </si>
  <si>
    <t>Données relatives au personnel</t>
  </si>
  <si>
    <t>Le laboratoire a-t-il une vision claire ?</t>
  </si>
  <si>
    <t>La vision du laboratoire est-elle consignée dans un document qui est conservé ?</t>
  </si>
  <si>
    <t>Le laboratoire a-t-il une mission claire ?</t>
  </si>
  <si>
    <t>La mission du laboratoire est-elle consignée dans un document qui est conservé ?</t>
  </si>
  <si>
    <t>Le laboratoire a-t-il des objectifs à long terme ?</t>
  </si>
  <si>
    <t>Les objectifs à long terme du laboratoire couvrent-ils toutes les activités essentielles ?</t>
  </si>
  <si>
    <t>Les objectifs à long terme du laboratoire visent-ils une amélioration ?</t>
  </si>
  <si>
    <t>Les objectifs à long terme du laboratoire sont-ils consignés sur un document qui est conservé ?</t>
  </si>
  <si>
    <t>Le laboratoire a-t-il une politique de la qualité ?</t>
  </si>
  <si>
    <t>La politique de la qualité décrit-elle clairement la portée des services du laboratoire ?</t>
  </si>
  <si>
    <t>La politique de la qualité décrit-elle clairement les objectifs à long terme et ce que le laboratoire fera pour les réaliser ?</t>
  </si>
  <si>
    <t>La politique de la qualité contient-elle une déclaration de la direction dans laquelle elle s'engage à mettre en œuvre et à préserver le système de gestion de la qualité ?</t>
  </si>
  <si>
    <t>La politique de la qualité contient-elle un engagement du laboratoire à s'astreindre à une bonne pratique professionnelle et à réaliser des examens de qualité en conformité avec la norme ISO 15189 relative au système de gestion de la qualité ?</t>
  </si>
  <si>
    <t>La politique de la qualité contient-elle une déclaration selon laquelle tous les membres du personnel doivent se familiariser avec les politiques et les procédures du laboratoire et les mettre en œuvre ?</t>
  </si>
  <si>
    <t>Le laboratoire a-t-il mis en place des mesures pour empêcher l'interruption du service en raison d'une panne d'un équipement vétuste ?</t>
  </si>
  <si>
    <t>L'achat d'un nouvel équipement est-il pris en compte lors de l'établissement du budget du laboratoire de l'année suivante ?</t>
  </si>
  <si>
    <t>Les coûts de maintenance (incluant les réparations) sont-ils pris en compte dans le budget du laboratoire ?</t>
  </si>
  <si>
    <t>Le laboratoire a-t-il formulé des objectifs pour l'année suivante avant de rédiger le plan annuel qualité ?</t>
  </si>
  <si>
    <t>Le laboratoire planifie-t-il ses activités au moyen d'un plan annuel qualité ?</t>
  </si>
  <si>
    <t>Le plan annuel qualité est-il complet (couvre-t-il tous les aspects du système de gestion de la qualité) ?</t>
  </si>
  <si>
    <t>Le plan annuel qualité est-il bien conservé et aisément localisable ?</t>
  </si>
  <si>
    <t>Le plan annuel qualité est-il signé et daté par la direction ?</t>
  </si>
  <si>
    <t>Le plan annuel qualité est-il transcrit en un plan d'action ?</t>
  </si>
  <si>
    <t>Ce plan d'action du plan annuel qualité est-il daté et signé par le responsable du laboratoire pour approbation ?</t>
  </si>
  <si>
    <t>Le système de gestion de la qualité est-il bien consigné dans un manuel de la qualité, c'est-à-dire inclut-il des informations sur chacun des 12 points essentiels du système de gestion de la qualité et sur la façon dont ceux-ci sont mis en œuvre dans le laboratoire ?</t>
  </si>
  <si>
    <t>Le manuel de la qualité fait-il partie du système de contrôle des documents ?</t>
  </si>
  <si>
    <t>Tous les membres du personnel ont-ils lu le manuel de la qualité ?</t>
  </si>
  <si>
    <t>Le suivi du fonctionnement du système de gestion de la qualité est-il enregistré dans des rapports trimestriels ?</t>
  </si>
  <si>
    <t>Le fonctionnement du système de gestion de la qualité est-il contrôlé/revu annuellement par la direction du laboratoire ?</t>
  </si>
  <si>
    <t>Des rapports de revue de direction sont-ils rédigés ?</t>
  </si>
  <si>
    <t>Les rapports de revue de direction incluent-ils les actions à mener le cas échéant ?</t>
  </si>
  <si>
    <t>Les rapports de revue de direction sont-ils conservés en toute sécurité et de manière ordonnée ?</t>
  </si>
  <si>
    <t>Le plan annuel qualité inclut-il des actions à mener découlant de la revue de direction ?</t>
  </si>
  <si>
    <t>Le plan annuel qualité tient-il compte de la politique de la qualité, des objectifs à long terme, des valeurs fondamentales, de la mission et de la vision du laboratoire ?</t>
  </si>
  <si>
    <t>Un plan d'action est-il rédigé sur la base des actions à mener découlant du plan annuel qualité ?</t>
  </si>
  <si>
    <t>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t>
  </si>
  <si>
    <t>Le laboratoire a-t-il fait une enquête pour savoir s'il pouvait exister des conflits d'intérêts parmi les membres du personnel ?</t>
  </si>
  <si>
    <t>Si des conflits d'intérêts potentiels ont été identifiés parmi les membres du personnel, ceux-ci ont-ils été correctement résolus et documentés ?</t>
  </si>
  <si>
    <t>Le laboratoire dispose-t-il d'une grille de remplacement du personnel ?</t>
  </si>
  <si>
    <t>Un membre du personnel suppléant est-il désigné pour chaque membre du personnel dans le laboratoire ?</t>
  </si>
  <si>
    <t>Les compétences des membres du personnel suppléants pour les tâches qu'ils seront amenés à effectuer quand des membres du personnel sont absents ont-elles été vérifiées ?</t>
  </si>
  <si>
    <t>Le laboratoire effectue-t-il une analyse financière sur une base régulière afin d'anticiper les recettes et les dépenses pour l'année suivante ?</t>
  </si>
  <si>
    <t>Le laboratoire dispose-t-il d'une POS relative à la sélection et l'évaluation des fournisseurs ?</t>
  </si>
  <si>
    <t>Le laboratoire sélectionne-t-il les fournisseurs de manière standardisée et consigne-t-il cette procédure ?</t>
  </si>
  <si>
    <t>Le laboratoire établit-il des contrats de délivrance de services d'une manière standardisée ?</t>
  </si>
  <si>
    <t>Le laboratoire évalue-t-il les contrats de délivrance de services d'une manière standardisée et consigne-t-il cette procédure ?</t>
  </si>
  <si>
    <t>Si les contrats sont amendés/ modifiés, le laboratoire conserve-t-il des traces/des comptes rendus expliquant ces amendements/changements et leur raison ?</t>
  </si>
  <si>
    <t>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t>
  </si>
  <si>
    <t>Le laboratoire a-t-il formulé la procédure pour le suivi régulier des laboratoires de référence ?</t>
  </si>
  <si>
    <t>Y a-t-il un classeur contenant des documents sur les accords convenus entre le laboratoire concerné et les laboratoires de référence ainsi que des données de suivi ?</t>
  </si>
  <si>
    <t>Y a-t-il un classeur dans lequel sont enregistrés les échantillons qui ont été transmis aux laboratoires de référence, ainsi que les rapports de résultats ?</t>
  </si>
  <si>
    <t>Le temps maximum autorisé pour l'obtention des résultats a-t-il été déterminé pour chaque examen réalisé dans le laboratoire ?</t>
  </si>
  <si>
    <t>Un tableau des temps maxima autorisés pour l'obtention des résultats de chaque examen est-il inclus dans le manuel de la qualité du laboratoire ?</t>
  </si>
  <si>
    <t>Un tableau des temps maxima autorisés pour l'obtention des résultats de chaque examen est-il inclus dans la POS relative à la notification et l'archivage des résultats ?</t>
  </si>
  <si>
    <t>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t>
  </si>
  <si>
    <t>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t>
  </si>
  <si>
    <t>Le temps d'obtention des résultats est-il surveillé systématiquement pour chacun des examens ?</t>
  </si>
  <si>
    <t>Le résultat de l'évaluation des temps d'obtention des résultats est-il inclus dans les rapports trimestriels ?</t>
  </si>
  <si>
    <t>Des actions correctives et préventives sont-elles mises en œuvre pour réduire autant que possible le pourcentage d'échantillons pour lesquels le temps d'obtention des résultats est excessif ?</t>
  </si>
  <si>
    <t>Lorsque de brusques augmentations du pourcentage d'échantillons pour lesquels le temps d'obtention des résultats est excessif sont observées, une analyse est-elle effectuée pour en identifier la cause et des mesures correctives et préventives sont-elles prises ?</t>
  </si>
  <si>
    <t>L'efficacité des mesures correctives et préventives pour minimiser/inverser l'augmentation de la proportion d'échantillons pour lesquels le temps d'obtention des résultats est excessif est-elle déterminée dans les évaluations ultérieures ?</t>
  </si>
  <si>
    <t>Le laboratoire a-t-il standardisé la procédure de validation des méthodes d'examen et de l'équipement dans une POS ?</t>
  </si>
  <si>
    <t>Quand le laboratoire, suite à une validation, a identifié le besoin de modifier une méthode d'examen, ce changement a-t-il été introduit (y compris en adaptant la POS correspondant à cette méthode) ?</t>
  </si>
  <si>
    <t>Le laboratoire dispose-t-il d'archives pour ses documents, organisées de manière logique pour permettre un accès rapide et aisé aux informations ?</t>
  </si>
  <si>
    <t>Les archives du laboratoire peuvent-elles être fermées à clé ?</t>
  </si>
  <si>
    <t>Les archives du laboratoire protègent-elles les documents contre les détériorations dues à l'humidité, l'éclairage direct du soleil, les insectes, le feu, etc.?</t>
  </si>
  <si>
    <t>L'accès aux archives du laboratoire est-il contrôlé ?</t>
  </si>
  <si>
    <t>Le système informatique est-il correctement protégé par un pare-feu ?</t>
  </si>
  <si>
    <t>Le système informatique du laboratoire est-il analysé au moyen d'un logiciel anti-virus approprié, mis à jour chaque semaine ?</t>
  </si>
  <si>
    <t>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t>
  </si>
  <si>
    <t>Les descriptifs personnalisés de poste des membres du personnel autorisés à accéder aux données du laboratoire ou à y accéder et les modifier sont-ils mis à jour ?</t>
  </si>
  <si>
    <t>Le laboratoire dispose-t-il d'un plan d'urgence consigné dans un document, indiquant la marche à suivre en cas de panne du système informatique, afin de garantir un accès permanent aux données du laboratoire ?</t>
  </si>
  <si>
    <t>Le laboratoire a-t-il standardisé dans une POS les procédures de gestion de l'information ?</t>
  </si>
  <si>
    <t>La POS relative à la gestion de l'information du laboratoire comprend-elle au moins les procédures suivantes :</t>
  </si>
  <si>
    <t>Gestion et maintenance du système informatisé de gestion des données du laboratoire, incluant des procédures relatives aux points suivants :</t>
  </si>
  <si>
    <t>Sauvegardes régulières, vérification régulière de l'absence de virus et protocoles de plan d'urgence</t>
  </si>
  <si>
    <t>Accès aux données du laboratoire dans le système informatisé</t>
  </si>
  <si>
    <t>Saisie des données du laboratoire</t>
  </si>
  <si>
    <t>Modification des données du laboratoire enregistrées dans le système informatisé</t>
  </si>
  <si>
    <t>Définition des autorisations d'accéder aux données, d'accéder aux données et de les saisir ainsi que d'accéder aux données, les saisir et les modifier dans le système informatisé</t>
  </si>
  <si>
    <t>Protocole destiné à garantir la confidentialité des données des patients</t>
  </si>
  <si>
    <t>Gestion et maintenance des archives du laboratoire, incluant des procédures relatives aux points suivants:</t>
  </si>
  <si>
    <t>Accès aux informations</t>
  </si>
  <si>
    <t>Conservation des informations</t>
  </si>
  <si>
    <t>Modification des informations archivées</t>
  </si>
  <si>
    <t>Garantie de la protection des dossiers contre les facteurs externes pouvant entraîner leur détérioration tels que l'humidité, le feu, les insectes, l'éclairage direct du soleil, etc.</t>
  </si>
  <si>
    <t>Définition des autorisations d'accéder aux informations, d'accéder aux informations et de les archiver ainsi que d'accéder aux informations, les archiver et les modifier dans les archives</t>
  </si>
  <si>
    <t>Une enquête de satisfaction des clients est-elle réalisée tous les deux ans ?</t>
  </si>
  <si>
    <t>Un rapport est-il rédigé après l'enquête de satisfaction des clients, faisant apparaître les principales observations et les points à améliorer qui ont été identifiés ?</t>
  </si>
  <si>
    <t>Un plan d'action selon la méthode SMART est-il rédigé pour mettre concrètement en œuvre l'amélioration des points identifiés dans les enquêtes de satisfaction des clients ?</t>
  </si>
  <si>
    <t>Le laboratoire dispose-t-il d'une procédure standardisée pour établir un contrat de prestation de services ?</t>
  </si>
  <si>
    <t>Le laboratoire conserve-t-il des comptes rendus des réunions organisées pour discuter des contrats de prestation de services ?</t>
  </si>
  <si>
    <t>Le responsable qualité est-il désigné auditeur interne ?</t>
  </si>
  <si>
    <t>Les auditeurs internes ont-ils reçu une formation appropriée et certifiée ?</t>
  </si>
  <si>
    <t>Existe-t-il un descriptif de poste d'auditeur interne ?</t>
  </si>
  <si>
    <t>Les descriptifs personnalisés de poste des membres du personnel désignés auditeurs internes ont-ils été adaptés pour inclure les tâches et les responsabilités associées à leur poste d'auditeur interne ?</t>
  </si>
  <si>
    <t>La grille d'autorisation inclut-elle les tâches et les responsabilités associées au poste d'auditeur interne ?</t>
  </si>
  <si>
    <t>A-t-on correctement informé le personnel de ce qu'est un audit interne, pourquoi il est effectué et qui sont les auditeurs internes ?</t>
  </si>
  <si>
    <t>Des audits internes sont-ils planifiés sur une base annuelle et ce plan d'audit est-il communiqué à tous les membres concernés du personnel du laboratoire ?</t>
  </si>
  <si>
    <t>Des audits internes sont-ils effectués de telle manière que la totalité du système de gestion de la qualité et l'ensemble des examens soient audités tous les 12 mois ?</t>
  </si>
  <si>
    <t>Les observations faites durant les audits internes sont-elles consignées dans un rapport et les non-conformités sont-elles identifiées et notées selon leur gravité ?</t>
  </si>
  <si>
    <t>Le rapport d'audit est-il soumis à la direction du laboratoire pour être transcrit en un plan d'action selon la méthode SMART afin de garantir que la correction/l'élimination de toutes les non-conformités est consignée ?</t>
  </si>
  <si>
    <t>Des plans d'action sont-ils établis pour éliminer/corriger les non-conformités identifiées lors des audits internes en formulant des actions correctives, des étapes de contrôle et des actions préventives si nécessaire et s'il y a lieu ?</t>
  </si>
  <si>
    <t>Après un audit interne, la mise en œuvre des plans d'action, selon le calendrier fixé, fait-elle l'objet d'un suivi ?</t>
  </si>
  <si>
    <t>Les rapports d'audit interne sont-ils archivés avec les plans d'action quand toutes les actions à mener ont été réalisées ?</t>
  </si>
  <si>
    <t>La procédure pour planifier, mener et traiter les audits internes est-elle standardisée dans une POS ?</t>
  </si>
  <si>
    <t>Обеспечен ли в лаборатории доступ к первой помощи?</t>
  </si>
  <si>
    <t>В лабораториях, где первую помощь оказывают сотрудники, было ли назначено достаточное число сотрудников для оказания первой помощи, так чтобы в лаборатории постоянно присутствовал по крайней мере один человек, способный оказать первую помощь?</t>
  </si>
  <si>
    <t>Достаточно ли подготовлены лица для оказания первой помощи?</t>
  </si>
  <si>
    <t>Содержит ли «Руководство по биобезопасности» объяснение задач и ответственности лиц, оказывающих первую помощь?</t>
  </si>
  <si>
    <t>Известно ли сотрудникам лаборатории, кто оказывает первую помощь?</t>
  </si>
  <si>
    <t>Отражены ли полномочия лиц, оказывающих первую помощь, в их индивидуальных должностных инструкциях?</t>
  </si>
  <si>
    <t>Оснащена ли лабораторная комната уровня биобезопасности 3 системой отрицательного давления воздуха?</t>
  </si>
  <si>
    <t>Проводится ли регулярное отслеживание и запись разницы в давлении воздуха в комнате уровня биобезопасности 3?</t>
  </si>
  <si>
    <t>Подсоединена ли система отрицательного давления к резервному источнику электроэнергии, чтобы обеспечить ее работу во время перебоев с электроснабжением?</t>
  </si>
  <si>
    <t>Добавлена ли система отрицательного давления воздуха в лабораторную программу профилактического обслуживания?</t>
  </si>
  <si>
    <t>Контролируется ли доступ в помещение УББ3 лаборатории для предотвращения несанкционированного доступа?</t>
  </si>
  <si>
    <t>Имеется ли отдельное от рабочих зон лаборатории помещение для сбора первичных проб?</t>
  </si>
  <si>
    <t>Защищены ли пациенты в зоне ожидания и в комнате сбора первичных проб от дождя и прямых солнечных лучей?</t>
  </si>
  <si>
    <t>Есть ли у пациентов возможность находиться не на виду у других людей в комнате взятия проб?</t>
  </si>
  <si>
    <t>Достаточно ли стульев для всех пациентов в зоне ожидания и в комнате сбора первичных проб?</t>
  </si>
  <si>
    <t>Являются ли зона ожидания и комната сбора первичных проб доступными для пациентов с ограниченными физическими возможностями?</t>
  </si>
  <si>
    <t>Хранятся ли пробы в соответствующих условиях, защищенные от несанкционированного доступа? Можно ли убедиться, что их легко найти и извлечь?</t>
  </si>
  <si>
    <t>Хранятся ли реагенты и расходные материалы в соответствующих условиях, защищенные от несанкционированного доступа? Можно ли убедиться, что их легко найти и извлечь?</t>
  </si>
  <si>
    <t>Хранится ли оборудование в соответствующих условиях, защищенное от несанкционированного доступа?</t>
  </si>
  <si>
    <t>Хранится ли неисправное оборудование за пределами лаборатории, явным образом помеченное как дезинфицированное и непригодное для использования?</t>
  </si>
  <si>
    <t>Хранится ли документы и записи в соответствующих условиях, защищенные от огня, насекомых, влаги и других вредных элементов?</t>
  </si>
  <si>
    <t>Защищены ли документы и записи от несанкционированного доступа?</t>
  </si>
  <si>
    <t>Можно ли убедиться, что документы и записи хранятся в логическом порядке и их легко найти и извлечь?</t>
  </si>
  <si>
    <t>Включает ли перечень сохраняемых материалов срок хранения для проб и предметных стекол?</t>
  </si>
  <si>
    <t>Включает ли перечень сохраняемых материалов срок хранения для следующих документов:</t>
  </si>
  <si>
    <t>замененные СОП,</t>
  </si>
  <si>
    <t>заполненные рабочие таблицы,</t>
  </si>
  <si>
    <t>заполненные листы (журналы) регистрации,</t>
  </si>
  <si>
    <t>заполненные формы запросов на анализ,</t>
  </si>
  <si>
    <t>копии отчетов с результатами пациентов,</t>
  </si>
  <si>
    <t>журналы регистрации результатов,</t>
  </si>
  <si>
    <t>все контракты лаборатории с внешними организациями,</t>
  </si>
  <si>
    <t>личные дела сотрудников?</t>
  </si>
  <si>
    <t>Есть ли у лаборатории ясное видение?</t>
  </si>
  <si>
    <t>Хранится ли в лаборатории задокументированное видение?</t>
  </si>
  <si>
    <t>Есть ли у лаборатории ясная миссия?</t>
  </si>
  <si>
    <t>Хранится ли в лаборатории задокументированная миссия?</t>
  </si>
  <si>
    <t>Есть ли у лаборатории долгосрочные цели?</t>
  </si>
  <si>
    <t>Охватывают ли долгосрочные цели всю основную деятельность лаборатории?</t>
  </si>
  <si>
    <t>Направляют ли лабораторию к улучшению ее долгосрочные цели?</t>
  </si>
  <si>
    <t>Хранятся ли в лаборатории задокументированные долгосрочные цели?</t>
  </si>
  <si>
    <t>Есть ли у лаборатории политика (руководящие принципы) в области качеств?</t>
  </si>
  <si>
    <t>Достаточно ли ясно политика в области качества описывает сферу лабораторных услуг?</t>
  </si>
  <si>
    <t>Достаточно ли ясно политика в области качества описывает долгосрочные цели и способы, которыми лаборатория собирается их достигать?</t>
  </si>
  <si>
    <t>Содержит ли политика в области качества заявление о приверженности руководства внедрению и поддержанию системы управления качеством?</t>
  </si>
  <si>
    <t>Содержит ли политика в области качества заявление о приверженности всей лаборатории хорошей профессиональной практике и качественному выполнению исследований в соответствии с системой управления качеством стандарта ИСО 15189?</t>
  </si>
  <si>
    <t>Содержит ли политика в области качества требование, чтобы все сотрудники были осведомлены о руководящих принципах и процедурах лаборатории и следовали им?</t>
  </si>
  <si>
    <t>Принимает ли лаборатория меры по предотвращению остановок работы из-за поломок старого оборудования?</t>
  </si>
  <si>
    <t>Учитывается ли приобретение нового оборудования при подготовке бюджета лаборатории на следующий год?</t>
  </si>
  <si>
    <t>Учитываются ли затраты на техническое обслуживание (в том числе на ремонт) при подготовке бюджета лаборатории?</t>
  </si>
  <si>
    <t>Были ли в лаборатории сформулированы цели на предстоящий год до составления годового плана по качеству?</t>
  </si>
  <si>
    <t>Планирует ли лаборатория свою деятельность, составляя годовой план по качеству?</t>
  </si>
  <si>
    <t>Является ли годовой план по качеству полным (охватывает ли он все аспекты системы управления качеством)?</t>
  </si>
  <si>
    <t>Хранится ли годовой план по качеству надлежащим образом и легко ли его найти и извлечь?</t>
  </si>
  <si>
    <t>Имеется ли на годовом плане по качеству дата и подпись руководителя?</t>
  </si>
  <si>
    <t>Был ли годовой план по качеству переведен в план SMART действий?</t>
  </si>
  <si>
    <t>Был ли план действий, составленный на основе годового плана по качеству, утвержден руководителем/менеджером лаборатории с датой и подписью?</t>
  </si>
  <si>
    <t>Достаточно ли хорошо отражена в «Руководстве по качеству» система управления качеством, т. е. имеется ли в Руководстве информация о каждом из 12 основных элементов системы качества и о том, как они реализованы в лаборатории?</t>
  </si>
  <si>
    <t>Является ли «Руководство по качеству» частью системы контроля документов?</t>
  </si>
  <si>
    <t>Все ли сотрудники прочитали «Руководство по качеству»?</t>
  </si>
  <si>
    <t>Регистрируется ли функционирование системы управления качеством в квартальных отчетах?</t>
  </si>
  <si>
    <t>Анализирует ли ежегодно руководство лаборатории функционирование системы управления качеством?</t>
  </si>
  <si>
    <t>Подготавливаются ли отчеты о результатах анализа руководством?</t>
  </si>
  <si>
    <t>Включают ли в «Отчеты о результатах анализа руководством» конкретные действия, если это применимо?</t>
  </si>
  <si>
    <t>Хранятся ли «Отчеты о результатах анализа руководством» надежно и упорядоченно?</t>
  </si>
  <si>
    <t>Включает ли годовой план по качеству конкретные действия из «Отчета о результатах анализа руководством»?</t>
  </si>
  <si>
    <t>Учитываются ли в годовом плане по качеству политика в области качества, долгосрочные цели, основные ценностей, видение и миссия лаборатории?</t>
  </si>
  <si>
    <t>Готовится ли план конкретных действий, вытекающих из годового плана по качеству?</t>
  </si>
  <si>
    <t>Все ли мероприятия цикла управления были задокументированы в виде СОП (а именно: составление годового плана по качеству, отслеживание функционирования системы управления качеством, подготовка квартальных отчетов, выполнение анализа руководством)?</t>
  </si>
  <si>
    <t>Исследовали ли в лаборатории наличие потенциальных конфликтов интересов у сотрудников?</t>
  </si>
  <si>
    <t>Если были выявлены потенциальные конфликты интересов среди сотрудников лаборатории, были ли они соответствующим образом решены и задокументированы?</t>
  </si>
  <si>
    <t>Имеется ли в лаборатории таблица замен персонала?</t>
  </si>
  <si>
    <t>Определены ли замещающие сотрудники для каждого сотрудника лаборатории?</t>
  </si>
  <si>
    <t>Проверяется ли компетенция сотрудников в тех заданиях, по которым они замещают отсутствующих?</t>
  </si>
  <si>
    <t>Выполняется ли в лаборатории на регулярной основе финансовый анализ на предстоящий год для составления представления о доходах по сравнению с расходами?</t>
  </si>
  <si>
    <t>Есть ли в лаборатории СОП «Выбор и оценка поставщиков»?</t>
  </si>
  <si>
    <t>Выбирает ли лаборатория поставщиков стандартным способом и документирует ли она эту процедуру?</t>
  </si>
  <si>
    <t>Подготавливает ли лаборатория договоры на получение услуг стандартным способом?</t>
  </si>
  <si>
    <t>Проводит ли лаборатория оценку договоров на получение услуг стандартным способом и документирует ли она эту процедуру?</t>
  </si>
  <si>
    <t>Если в договоры вносят поправки или изменения, имеются ли у лаборатории записи или протоколы встреч, поясняющие данные поправки или изменения и причины их внесения?</t>
  </si>
  <si>
    <t>Была ли в лаборатории подготовлена процедура для выбора субподрядных лабораторий? Если лаборатория не передает пробы на анализы в другие лаборатории, было ли в «Руководство по качеству» включено утверждение, это объясняющее?</t>
  </si>
  <si>
    <t>Была ли в лаборатории подготовлена процедура регулярного отслеживания качества работы субподрядных лабораторий?</t>
  </si>
  <si>
    <t>Имеется ли в лаборатории папка, содержащая документы с договоренностями данной лаборатории с субподрядными лабораториями и результаты отслеживания?</t>
  </si>
  <si>
    <t>Имеется ли в лаборатории папка регистрации проб, переданных на анализ в субподрядные лаборатории, включая отчеты о результатах этих анализов?</t>
  </si>
  <si>
    <t>Было ли определено предельное время выполнения для каждого исследования, проводимого лабораторией?</t>
  </si>
  <si>
    <t>Была ли таблица с предельным временем выполнения для каждого исследования включена в «Руководство по качеству» лаборатории?</t>
  </si>
  <si>
    <t>Была ли таблица с предельным временем выполнения для каждого исследования включена в СОП «Предоставление отчетов, регистрация и архивирование результатов»?</t>
  </si>
  <si>
    <t>Включена ли в СОП «Предоставление отчетов, регистрация и архивирование результатов» процедура немедленного уведомления заказчика, если было превышено время выполнения и задержка может поставить под угрозу лечение пациента?</t>
  </si>
  <si>
    <t>Осведомлены ли сотрудники о процедуре немедленного уведомления заказчика, если было превышено время выполнения и задержка может поставить под угрозу лечение пациента?</t>
  </si>
  <si>
    <t>Отслеживается ли на постоянной основе время выполнения каждого исследования?</t>
  </si>
  <si>
    <t>Включают ли результаты оценки времени выполнения анализов в квартальные отчеты?</t>
  </si>
  <si>
    <t>Проводят ли корректирующие и предупреждающие действия в попытке уменьшить до минимума процент проб с превышенным временем выполнения?</t>
  </si>
  <si>
    <t>Если замечен внезапный рост числа проб с превышенным временем выполнения анализа, проводится ли анализ для выявления причин и осуществляются ли корректирующие и предупреждающие действия?</t>
  </si>
  <si>
    <t>Определяется ли эффективность корректирующих и предупреждающих действий в снижении доли проб с превышенным временем выполнения анализа при последующих оценках времени выполнения?</t>
  </si>
  <si>
    <t>Были ли в лаборатории стандартизированы процедуры валидации методов исследований и оборудования в виде СОП?</t>
  </si>
  <si>
    <t>Если лаборатория по результатам валидации выявила необходимость изменить метод исследования, было это изменение сделано (в том числе переделка СОП для этого метода)?</t>
  </si>
  <si>
    <t>Имеет ли лаборатория архив для лабораторных записей, организованный логическим способом, который позволяет быстро и легко найти информацию?</t>
  </si>
  <si>
    <t>Запирается ли лабораторный архив на ключ?</t>
  </si>
  <si>
    <t>Защищает ли система хранения записи лабораторного архива от неблагоприятных воздействий, таких как пожар, влажность, насекомые, прямые солнечные лучи и т. д.?</t>
  </si>
  <si>
    <t>Контролируется ли доступ к лабораторному архиву?</t>
  </si>
  <si>
    <t>Защищена ли компьютеризированная система должным образом брандмауэром (межсетевым экраном)?</t>
  </si>
  <si>
    <t>Проверяется ли компьютеризированная система еженедельно на вирусы надлежащей, регулярно обновляемой антивирусной программой?</t>
  </si>
  <si>
    <t>Имеют ли конкретные сотрудники полномочия на (1) «доступ к электронной лабораторной информации», (2) «доступ и ввод электронной лабораторной информации» или (3) «доступ, ввод и изменение электронной лабораторной информации») и указано ли в «Таблице полномочий», какие должности имеют какой уровень разрешения на эти виды деятельности?</t>
  </si>
  <si>
    <t>Были ли переделаны индивидуальные должностные инструкции, чтобы они отражали полномочия сотрудников в отношении доступа или доступа и изменения лабораторной информации?</t>
  </si>
  <si>
    <t>Имеется ли в лаборатории план, обеспечивающий безотказный альтернативный доступ к лабораторной информации в случае сбоев в лабораторной компьютеризированной системе информации?</t>
  </si>
  <si>
    <t>Были ли процедуры управления информацией стандартизированы в лаборатории в виде СОП?</t>
  </si>
  <si>
    <t>Описывает ли СОП по управлению лабораторной информацией по крайней мере следующие процедуры:</t>
  </si>
  <si>
    <t>поддержание и обслуживание компьютеризированной лабораторной информационной системы, в том числе следующие процедуры:</t>
  </si>
  <si>
    <t>регулярное резервное копирование, регулярное сканирование на вирусы и альтернативный план доступа к лабораторной информации,</t>
  </si>
  <si>
    <t>доступ к лабораторной информации в компьютерной системе,</t>
  </si>
  <si>
    <t>ввод лабораторной информации,</t>
  </si>
  <si>
    <t>изменение лабораторной информации, хранящейся в компьютерной системе,</t>
  </si>
  <si>
    <t>определение разрешений на доступ, доступ и ввод лабораторной информации и доступ, ввод и изменение лабораторной информации в компьютерной системе;</t>
  </si>
  <si>
    <t>протокол, обеспечивающий конфиденциальность сведений о пациентах;</t>
  </si>
  <si>
    <t>поддержание и обслуживание лабораторного архива, в том числе следующие процедуры:</t>
  </si>
  <si>
    <t>доступ к информации,</t>
  </si>
  <si>
    <t>помещение информации на хранение,</t>
  </si>
  <si>
    <t>изменение информации в архиве,</t>
  </si>
  <si>
    <t>обеспечение защиты записей от внешних неблагоприятных факторов, таких как влажность, пожар, насекомые, прямой солнечный свет и т. д.,</t>
  </si>
  <si>
    <t>определение разрешений на доступ, доступ и помещение на хранение лабораторной информации и доступ, помещение на хранение и изменение лабораторной информации в архиве?</t>
  </si>
  <si>
    <t>Проводится ли исследование удовлетворенности клиентов каждые два года?</t>
  </si>
  <si>
    <t>Готовится ли отчет об исследовании удовлетворенности клиентов, в котором приводят основные выводы и выявленные аспекты, нуждающиеся в улучшении?</t>
  </si>
  <si>
    <t>Готовят ли план SMART действий для осуществления улучшений аспектов, выявленных в ходе исследования удовлетворенности клиентов?</t>
  </si>
  <si>
    <t>Есть ли в лаборатории стандартизированная процедура для заключения договоров на оказание услуг?</t>
  </si>
  <si>
    <t>Ведет ли лаборатория протоколы встреч, на которых обсуждают содержание договоров на оказание услуг?</t>
  </si>
  <si>
    <t>Был ли менеджер по качеству назначен внутренним аудитором?</t>
  </si>
  <si>
    <t>Были ли внутренние аудиторы надлежащим образом обучены и сертифицированы?</t>
  </si>
  <si>
    <t>Имеются ли должностные инструкции для должности внутреннего аудитора?</t>
  </si>
  <si>
    <t>Были ли переделаны индивидуальные должностные инструкции сотрудников, назначенных в качестве внутренних аудиторов, так чтобы они включали задачи и ответственность внутреннего аудитора?</t>
  </si>
  <si>
    <t>Включает ли «Таблица полномочий» задачи и ответственность, относящиеся к должности внутреннего аудитора?</t>
  </si>
  <si>
    <t>Был ли персонал адекватно проинформирован о том, что такое внутренний аудит, почему его проводят и кто является внутренними аудиторами?</t>
  </si>
  <si>
    <t>Готовится ли годовой график внутренних аудитов и извещают ли об этом плане всех участвующих сотрудников лаборатории?</t>
  </si>
  <si>
    <t>Проводятся ли внутренние аудиты таким образом, что вся система управления качеством и все исследования проходят аудит один раз в 12 месяцев?</t>
  </si>
  <si>
    <t>Готовится ли отчет о наблюдениях, сделанных во время внутренних аудитов, и оцениваются ли выявленные несоответствия по их тяжести?</t>
  </si>
  <si>
    <t>Передается ли аудиторский отчет руководству лаборатории для перевода в план SMART действий, что должно обеспечить исправление или разрешение всех отмеченных несоответствий?</t>
  </si>
  <si>
    <t>Составляются ли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внутренних аудитов?</t>
  </si>
  <si>
    <t>Отслеживается ли своевременное выполнение планов действий, составленных на основе внутренних аудитов?</t>
  </si>
  <si>
    <t>Помещают ли в архив отчеты о внутренних аудитах вместе с планами действий после того, как все конкретные действия завершены?</t>
  </si>
  <si>
    <t>Были ли процедуры планирования и проведения аудитов и действий, следующих за аудитами, стандартизированы в виде СОП?</t>
  </si>
  <si>
    <t>¿Está garantizado el acceso a primeros auxilios en el laboratorio?</t>
  </si>
  <si>
    <t>En los laboratorios en los que sea necesaria la presencia de prestadores de primeros auxilios, ¿se ha designado a suficientes miembros del personal como prestadores de primeros auxilios de forma que se garantice que siempre haya disponible como mínimo un prestador de primeros auxilios?</t>
  </si>
  <si>
    <t>¿Está actualizada la capacitación de los prestadores de primeros auxilios?</t>
  </si>
  <si>
    <t>¿Incluye el Manual de bioseguridad una explicación de las tareas y responsabilidades de los prestadores de primeros auxilios?</t>
  </si>
  <si>
    <t>¿Conoce el personal del laboratorio quiénes son los prestadores de primeros auxilios?</t>
  </si>
  <si>
    <t>¿Se han adaptado las descripciones de los puestos de trabajo personales de los prestadores de primeros auxilios para reflejar las autorizaciones correspondientes a sus tareas como prestadores de primeros auxilios?</t>
  </si>
  <si>
    <t>¿Está equipado el laboratorio de bioseguridad de nivel 3 con un sistema de presión negativa de aire?</t>
  </si>
  <si>
    <t>¿Se realiza un seguimiento y registro de la presión en el nivel 3 de bioseguridad?</t>
  </si>
  <si>
    <t>¿Está el sistema de presión negativa de aire conectado a una fuente eléctrica auxiliar para asegurar que siga funcionando aun en caso de caída de corriente?</t>
  </si>
  <si>
    <t>¿Está incluido el sistema de presión negativa de aire en el programa de mantenimiento preventivo del laboratorio?</t>
  </si>
  <si>
    <t>¿Está controlado el acceso al laboratorio NBS3 para impedir accesos no autorizados?</t>
  </si>
  <si>
    <t>¿Existe una instalación de obtención de muestras primarias separada de las actividades del laboratorio?</t>
  </si>
  <si>
    <t>¿Los pacientes están protegidos de la lluvia y los rayos de sol en la zona de espera y en la instalación de obtención de muestras primarias?</t>
  </si>
  <si>
    <t>¿Permite la instalación de obtención de muestras de pacientes proteger la privacidad de los pacientes?</t>
  </si>
  <si>
    <t>¿Hay suficientes sillas en la zona de espera y en la instalación de obtención de muestras primarias para que se sienten todos los pacientes?</t>
  </si>
  <si>
    <t>¿La zona de espera y la instalación de obtención de muestras primarias son accesibles para los pacientes discapacitados?</t>
  </si>
  <si>
    <t>¿Las muestras están almacenadas bajo condiciones apropiadas, están protegidas del acceso no autorizado y son fácilmente recuperables?</t>
  </si>
  <si>
    <t>¿Los reactivos y suministros están almacenados bajo condiciones apropiadas, están protegidos del acceso no autorizado y son fácilmente recuperables?</t>
  </si>
  <si>
    <t>¿Los equipos están almacenados bajo condiciones apropiadas y protegidos del uso no autorizado?</t>
  </si>
  <si>
    <t>¿Los equipos defectuosos se descontaminan y almacenan fuera del laboratorio para evitar su uso?</t>
  </si>
  <si>
    <t>¿Los documentos y registros están almacenados bajo condiciones apropiadas, protegidos de fuego, insectos, humedad y otros elementos perjudiciales?</t>
  </si>
  <si>
    <t>¿Los documentos y registros están protegidos del acceso no autorizado?</t>
  </si>
  <si>
    <t>¿Los documentos y registros están almacenados de forma lógica, para que se puedan recuperar fácilmente?</t>
  </si>
  <si>
    <t>¿Incluye el calendario de retención para el almacenamiento de los diferentes tipos de materiales las duraciones de almacenamiento para muestras y diapositivas?</t>
  </si>
  <si>
    <t>¿Incluye el calendario de retención para el almacenamiento de los diferentes tipos de materiales los siguientes documentos?</t>
  </si>
  <si>
    <t>POE reemplazados</t>
  </si>
  <si>
    <t>Hojas de trabajo cumplimentadas</t>
  </si>
  <si>
    <t>Hojas de registro cumplimentadas</t>
  </si>
  <si>
    <t>Hojas de petición cumplimentadas</t>
  </si>
  <si>
    <t>Informes de paciente</t>
  </si>
  <si>
    <t>Registros de resultados</t>
  </si>
  <si>
    <t>Todos los contratos del laboratorio con terceros</t>
  </si>
  <si>
    <t>Datos del personal</t>
  </si>
  <si>
    <t>¿Tiene el laboratorio una visión clara?</t>
  </si>
  <si>
    <t>¿Está documentada y guardada la visión del laboratorio?</t>
  </si>
  <si>
    <t>¿Tiene el laboratorio una misión clara?</t>
  </si>
  <si>
    <t>¿Está la misión del laboratorio documentada y guardada?</t>
  </si>
  <si>
    <t>¿Tiene el laboratorio objetivos a largo plazo?</t>
  </si>
  <si>
    <t>¿Abarcan los objetivos a largo plazo del laboratorio todas las actividades fundamentales?</t>
  </si>
  <si>
    <t>¿Están dirigidos los objetivos a largo plazo del laboratorio hacia la mejora?</t>
  </si>
  <si>
    <t>¿Están documentados y guardados los objetivos a largo plazo del laboratorio?</t>
  </si>
  <si>
    <t>¿Tiene el laboratorio una política de la calidad?</t>
  </si>
  <si>
    <t>¿Describe claramente la política de la calidad el objeto y campo de aplicación de los servicios del laboratorio?</t>
  </si>
  <si>
    <t>¿Describe claramente la política de la calidad los objetivos a largo plazo y lo que hará el laboratorio para alcanzar estos objetivos?</t>
  </si>
  <si>
    <t>¿Contiene la política de la calidad una declaración del compromiso de la dirección para implementar y mantener el sistema de gestión de la calidad?</t>
  </si>
  <si>
    <t>¿Contiene la política de la calidad una declaración del compromiso de todo el laboratorio de proporcionar un buen ejercicio profesional y análisis de calidad, de conformidad con el sistema de gestión de la calidad que cumple con la norma ISO 15189?</t>
  </si>
  <si>
    <t>¿Contiene la política de la calidad el requisito de que todos los miembros del personal del laboratorio deben estar familiarizados con las políticas y los procedimiento del laboratorio e implementarlos?</t>
  </si>
  <si>
    <t>¿Tiene el laboratorio medidas para impedir la interrupción de los servicios a consecuencia de averías de equipos antiguos?</t>
  </si>
  <si>
    <t>¿Se ha tenido en cuenta la compra de nuevos equipos al crear el presupuesto del laboratorio del año siguiente?</t>
  </si>
  <si>
    <t>¿Se han tenido en cuenta los costes de mantenimiento (incluidas las reparaciones) en el presupuesto del laboratorio?</t>
  </si>
  <si>
    <t>¿Formuló el laboratorio objetivos para el próximo año antes de redactar el plan anual de calidad?</t>
  </si>
  <si>
    <t>¿Planifica el laboratorio sus actividades mediante un plan anual de calidad?</t>
  </si>
  <si>
    <t>¿Está completo el plan anual de calidad (abarca todos los aspectos del sistema de gestión de la calidad)?</t>
  </si>
  <si>
    <t>¿Está el plan anual de calidad guardado adecuadamente y se puede acceder a él con facilidad?</t>
  </si>
  <si>
    <t>¿Está el plan anual de calidad firmado y fechado por parte de la dirección?</t>
  </si>
  <si>
    <t>¿Está traducido el plan anual de calidad en un plan de acción?</t>
  </si>
  <si>
    <t>¿Está este plan de acción del plan anual de calidad firmado y fechado por el director del laboratorio para su aprobación?</t>
  </si>
  <si>
    <t>¿Está el sistema de gestión de la calidad documentado apropiadamente en un manual de calidad?; es decir, ¿incluye información sobre cada uno de los 12 elementos clave del sistema de gestión de la calidad y sobre cómo están implementados en el laboratorio?</t>
  </si>
  <si>
    <t>¿Es el manual de calidad parte del sistema de control de la documentación?</t>
  </si>
  <si>
    <t>¿Han leído todos los miembros del personal el manual de calidad?</t>
  </si>
  <si>
    <t>¿Está registrado el rendimiento del sistema de gestión de la calidad en los informes trimestrales?</t>
  </si>
  <si>
    <t>¿Revisa anualmente la dirección del laboratorio el funcionamiento del sistema de gestión de la calidad?</t>
  </si>
  <si>
    <t>¿Se redactan informes de las revisiones por parte de la dirección?</t>
  </si>
  <si>
    <t>¿Incluyen los informes de revisión por parte de la dirección medidas de acción si procede?</t>
  </si>
  <si>
    <t>¿Están los informes de revisiones por parte de la dirección guardados de forma segura y ordenada?</t>
  </si>
  <si>
    <t>¿Incluye este plan anual de calidad puntos de acción realizados a partir de la revisión por parte de la dirección?</t>
  </si>
  <si>
    <t>¿Tiene en cuenta el plan anual de calidad la política de la calidad, los objetivos a largo plazo, los valores fundamentales, la misión y la visión del laboratorio?</t>
  </si>
  <si>
    <t>¿Se ha redactado un plan de acción basándose en los puntos de acción resultantes del plan anual de calidad?</t>
  </si>
  <si>
    <t>¿Se han documentado en un POE todas las actividades del ciclo de la política (es decir, redactando un plan anual de calidad, realizando seguimiento del rendimiento del sistema de gestión de la calidad y redactando informes trimestrales y realizando una revisión por parte de la dirección)?</t>
  </si>
  <si>
    <t>¿Ha investigado el laboratorio si existen posibles conflictos de intereses entre el personal del laboratorio?</t>
  </si>
  <si>
    <t>Si se han identificado posibles conflictos de intereses entre el personal del laboratorio, ¿se han solucionado y documentado adecuadamente esos posibles conflictos?</t>
  </si>
  <si>
    <t>¿Se dispone en el laboratorio de una matriz de sustitución de personal?</t>
  </si>
  <si>
    <t>¿Se ha designado a un sustituto para cada miembro del personal del laboratorio?</t>
  </si>
  <si>
    <t>¿Se comprueba la competencia de los miembros del personal sustitutos para las tareas que deberán asumir cuando sustituyan a un miembro ausente?</t>
  </si>
  <si>
    <t>¿Realiza el laboratorio un análisis financiero de forma habitual para anticipar los ingresos que habrá frente a los gastos para el año siguiente?</t>
  </si>
  <si>
    <t>¿Tiene el laboratorio un POE de selección y evaluación de proveedores?</t>
  </si>
  <si>
    <t>¿El laboratorio selecciona proveedores de forma normalizada y documenta este procedimiento?</t>
  </si>
  <si>
    <t>¿Elabora el laboratorio contratos para la recepción de servicios de forma normalizada?</t>
  </si>
  <si>
    <t>¿Evalúa el laboratorio los contratos de recepción de servicios de forma normalizada y documenta este procedimiento?</t>
  </si>
  <si>
    <t>Si se modifican/cambian los contratos, ¿el laboratorio tiene registros/actas que expliquen las modificaciones/cambios y por qué se hicieron?</t>
  </si>
  <si>
    <t>¿Ha formulado el laboratorio el procedimiento para seleccionar laboratorios subcontratistas? Si el laboratorio no remite muestras a otros laboratorios: ¿se ha incluido una declaración en el manual de calidad explicando que ninguna muestra se debe remitir a otro laboratorio?</t>
  </si>
  <si>
    <t>¿Ha formulado el laboratorio el procedimiento para el seguimiento periódico de los laboratorios subcontratistas?</t>
  </si>
  <si>
    <t>¿Existe una carpeta con los documentos sobre las citas entre los laboratorios subcontratistas y este laboratorio y los datos de seguimiento?</t>
  </si>
  <si>
    <t>¿Existe una carpeta con los registros de las muestras remitidas a los laboratorios subcontratistas, incluidos los informes de resultados?</t>
  </si>
  <si>
    <t>¿Se ha determinado el plazo de entrega máximo permitido para todos los análisis que se realizan en el laboratorio?</t>
  </si>
  <si>
    <t>¿Se ha incluido en el manual de calidad del laboratorio una tabla con los plazos de entrega máximos permitidos de cada análisis?</t>
  </si>
  <si>
    <t>¿Se ha incluido en el POE de Notificación y archivo de resultados una tabla con los plazos de entrega máximos permitidos de cada análisis?</t>
  </si>
  <si>
    <t>¿Incluye el POE de Notificación y archivo de resultados el procedimiento según el cual se debe informar al solicitante inmediatamente si se supera el plazo de entrega de un análisis y el retraso puede suponer un riesgo para la atención al paciente?</t>
  </si>
  <si>
    <t>¿Conocen los miembros del personal el procedimiento para informar inmediatamente al solicitante si se supera el plazo de entrega de un análisis y el retraso puede suponer un riesgo para la atención al paciente?</t>
  </si>
  <si>
    <t>¿Se realiza un seguimiento continuo de los plazos de entrega de cada uno de los análisis?</t>
  </si>
  <si>
    <t>¿Se incluyen los resultados de la evaluación de plazos de entrega en los informes trimestrales?</t>
  </si>
  <si>
    <t>¿Se implementan acciones correctivas y preventivas para reducir al mínimo el porcentaje de muestras que superan el plazo de entrega?</t>
  </si>
  <si>
    <t>Si se detecta que el porcentaje de muestras que superan el plazo de entrega aumenta repentinamente, ¿se examina la situación para identificar las causas de ello e implementar acciones correctivas y preventivas?</t>
  </si>
  <si>
    <t>¿Se determina en evaluaciones posteriores la eficacia de las acciones correctivas y preventivas implementadas para minimizar/contrarrestar el aumento de las muestras que superan el plazo de entrega?</t>
  </si>
  <si>
    <t>¿El laboratorio ha normalizado el procedimiento de validación de los métodos de análisis y de los equipos en un POE?</t>
  </si>
  <si>
    <t>Si el resultado de una validación implica la necesidad de cambiar un método de análisis, ¿se han introducido los cambios pertinentes y se ha actualizado el POE de ese método?</t>
  </si>
  <si>
    <t>¿Tiene el laboratorio un archivo para los registros del laboratorio construido de forma lógica que permita un acceso rápido y fácil a la información?</t>
  </si>
  <si>
    <t>¿El archivo del laboratorio se puede cerrar con llave?</t>
  </si>
  <si>
    <t>¿Están los registros del archivo del laboratorio protegidos de cualquier influencia que los pueda deteriorar, como la humedad, la luz solar, los insectos, el fuego, etc.?</t>
  </si>
  <si>
    <t>¿Está controlado el acceso al archivo del laboratorio?</t>
  </si>
  <si>
    <t>¿Está el sistema informático protegido adecuadamente por un firewall?</t>
  </si>
  <si>
    <t>¿Se está analizando el sistema informático en busca de virus semanalmente con un antivirus adecuado y actualizado?</t>
  </si>
  <si>
    <t>¿Están los diferentes miembros concretos del personal autorizados para (I) acceder a la información digital del laboratorio; (II) acceder e introducir información digital del laboratorio; (III) acceder, introducir y cambiar información digital del laboratorio y se ha adaptado la matriz de autorización para indicar quién está autorizado para realizar estas actividades?</t>
  </si>
  <si>
    <t>¿Están las descripciones de los puestos de trabajo personales adaptadas a los miembros del personal que están autorizados a acceder, o a acceder y cambiar la información del laboratorio?</t>
  </si>
  <si>
    <t>¿Existe un plan de contingencia documentado en el laboratorio para que se siga en caso de avería del sistema informático y para asegurar el acceso a la información del laboratorio en todo momento?</t>
  </si>
  <si>
    <t>¿Ha normalizado el laboratorio los procedimientos para gestión de la información en un POE?</t>
  </si>
  <si>
    <t>¿Incluye el POE de gestión del laboratorio información sobre al menos los siguientes procedimientos?</t>
  </si>
  <si>
    <t>Gestión y mantenimiento del sistema informático de información del laboratorio, incluyendo los siguientes procedimientos:</t>
  </si>
  <si>
    <t>Copias de seguridad periódicas, análisis regulares en busca de virus y los protocolos del plan de contingencia.</t>
  </si>
  <si>
    <t>Acceso a la información del laboratorio del sistema informático.</t>
  </si>
  <si>
    <t>Introducción de información del laboratorio.</t>
  </si>
  <si>
    <t>Cambio de información del laboratorio almacenada en el sistema informático.</t>
  </si>
  <si>
    <t>Definición de autorizaciones para el acceso, el acceso e introducción de información del laboratorio y el acceso, introducción y cambio de la información del laboratorio en el sistema informático.</t>
  </si>
  <si>
    <t>Un protocolo para asegurar la confidencialidad de los datos de los pacientes.</t>
  </si>
  <si>
    <t>Gestión y mantenimiento del archivo del laboratorio, incluyendo los siguientes procedimientos:</t>
  </si>
  <si>
    <t>Acceso a la información.</t>
  </si>
  <si>
    <t>Almacenamiento de la información.</t>
  </si>
  <si>
    <t>Cambio de la información del archivo.</t>
  </si>
  <si>
    <t>Garantía de protección de los registros ante factores externos de deterioro, como la humedad, la luz solar, los insectos, el fuego, etc.</t>
  </si>
  <si>
    <t>Definición de autorizaciones para el acceso, el acceso y el almacenamiento de información del laboratorio y el acceso, almacenamiento y cambio de la información del laboratorio del archivo.</t>
  </si>
  <si>
    <t>¿Se llevan a cabo encuestas de satisfacción del cliente una vez cada dos años?</t>
  </si>
  <si>
    <t>¿Se ha redactado un informe sobre la encuesta de satisfacción del cliente que muestre las principales conclusiones y puntos de mejora que se han identificado?</t>
  </si>
  <si>
    <t>¿Se ha elaborado un plan de acción SMART para implementar los puntos de mejora identificados mediante las encuestas de satisfacción del cliente?</t>
  </si>
  <si>
    <t>¿Tiene el laboratorio un procedimiento normalizado para formalizar un contrato de prestación de servicios?</t>
  </si>
  <si>
    <t>¿Mantiene el laboratorio actas de las reuniones para comentar el contenido de los contratos de prestación de servicios?</t>
  </si>
  <si>
    <t>¿Está designado el encargado de calidad como auditor interno?</t>
  </si>
  <si>
    <t>¿Se han formado y certificado adecuadamente los auditores internos?</t>
  </si>
  <si>
    <t>¿Existe una descripción del puesto de trabajo para el cargo de auditor interno?</t>
  </si>
  <si>
    <t>¿Se han adaptado las descripciones de los puestos de trabajo personales de los miembros del personal designados como auditores internos para incluir las tareas y responsabilidades de su cargo como auditores internos?</t>
  </si>
  <si>
    <t>¿Incluye la matriz de autorización las tareas y responsabilidades relacionadas con el cargo de auditor interno?</t>
  </si>
  <si>
    <t>¿Se ha informado adecuadamente a los equipos acerca de lo que es la auditoría interna, por qué se hace y quiénes son los auditores internos?</t>
  </si>
  <si>
    <t>¿Se planifican las auditorías internas anualmente y se comunica este plan a todo el personal del laboratorio implicado?</t>
  </si>
  <si>
    <t>¿Se llevan a cabo las auditorías internas de tal manera que el sistema de gestión de la calidad completo y todos los análisis se auditen cada 12 meses?</t>
  </si>
  <si>
    <t>¿Se realizan observaciones durante las auditorías internas comunicadas y se identifican y puntúan las no conformidades según la gravedad?</t>
  </si>
  <si>
    <t>¿Se presenta el informe de auditoría a la dirección del laboratorio para su traducción a un plan de acción SMART para garantizar la corrección/resolución de todas las no conformidades observadas?</t>
  </si>
  <si>
    <t>¿Se han hecho planes de acción para resolver/corregir las no conformidades identificadas en las auditorías internas con las acciones correctivas, pasos de control y acciones preventivas cuando sea necesario y pertinente?</t>
  </si>
  <si>
    <t>¿Se realiza seguimiento de la implementación oportuna de los planes de acción después de la auditoría interna?</t>
  </si>
  <si>
    <t>¿Se han archivado los informes de la auditoría interna con los planes de acción cuando se han terminado todos los puntos de acción?</t>
  </si>
  <si>
    <t>¿Está normalizado en un POE el procedimiento para la planificación, la realización y el procesamiento de las auditorías internas?</t>
  </si>
  <si>
    <t>Activida</t>
  </si>
  <si>
    <t>English</t>
  </si>
  <si>
    <t>Français</t>
  </si>
  <si>
    <t>Русский</t>
  </si>
  <si>
    <t>Español</t>
  </si>
  <si>
    <t>ខ្មែរ</t>
  </si>
  <si>
    <t>SQE</t>
  </si>
  <si>
    <t>Checklist</t>
  </si>
  <si>
    <t>Évaluation</t>
  </si>
  <si>
    <t>Оценка</t>
  </si>
  <si>
    <t>Evaluación</t>
  </si>
  <si>
    <t>Service aux clients</t>
  </si>
  <si>
    <t>Фокус на клиенте</t>
  </si>
  <si>
    <t>Responsable de clientes</t>
  </si>
  <si>
    <t>Documents et Registres</t>
  </si>
  <si>
    <t>Документы и записи</t>
  </si>
  <si>
    <t>Documentos y registros</t>
  </si>
  <si>
    <t>Équipement</t>
  </si>
  <si>
    <t>Оборудование</t>
  </si>
  <si>
    <t>Equipos</t>
  </si>
  <si>
    <t>Bâtiments et Sécurité</t>
  </si>
  <si>
    <t>Помещения, инфраструктура и безопасность</t>
  </si>
  <si>
    <t>Instalaciones y seguridad</t>
  </si>
  <si>
    <t>Gestion de l’information</t>
  </si>
  <si>
    <t>Управление информацией</t>
  </si>
  <si>
    <t>Gestión de la información</t>
  </si>
  <si>
    <t>Organisation</t>
  </si>
  <si>
    <t>Организация</t>
  </si>
  <si>
    <t>Organización</t>
  </si>
  <si>
    <t>Персонал</t>
  </si>
  <si>
    <t>Personal</t>
  </si>
  <si>
    <t>Contrôle des processus</t>
  </si>
  <si>
    <t>Управление процессами</t>
  </si>
  <si>
    <t>Gestión de procesos</t>
  </si>
  <si>
    <t> Approvisionnement et Gestion des stocks</t>
  </si>
  <si>
    <t>Закупка и инвентарный учет</t>
  </si>
  <si>
    <t>Adquisiciones e inventario</t>
  </si>
  <si>
    <t>yes</t>
  </si>
  <si>
    <t>no</t>
  </si>
  <si>
    <t>1. Presence of the list for pathogens and its symptoms for the pathogens most frequently worked with in the laboratory.</t>
  </si>
  <si>
    <t>2. Presence of the minute of meeting/record on the discussion and explanation of the symptoms of the diseases caused by these pathogens with all staff; and explain to the staff members what they should do when they have these symptoms.</t>
  </si>
  <si>
    <t>3. Presence of policy that staff need to be vaccinated and regular check for TB.</t>
  </si>
  <si>
    <t>4. Presence of the certificate of vaccination of staff against Hepatitis B.</t>
  </si>
  <si>
    <t>Activities</t>
  </si>
  <si>
    <t>Identify the pathogens most frequently worked with in the laboratory.</t>
  </si>
  <si>
    <t>Identify the symptoms of diseases caused by these pathogens.</t>
  </si>
  <si>
    <t>Present and discuss the symptoms of the diseases caused by these pathogens with all staff. Explain to the staff members what they should do when they have these symptoms.</t>
  </si>
  <si>
    <t>If possible, have all the staff members working with human materials vaccinated against Hepatitis B (this is obligatory in many countries) and organize regular checks for TB where opportune. Coordinate this in cooperation with the Laboratory Manager.</t>
  </si>
  <si>
    <t>Write the procedure on what to do when staff members (potentially) have become infected in the laboratory, including the administration of PEP and visiting of medical services. Later in this phase the Laboratory Biosafety Manual needs to be written. This procedure will become part of this manual. Therefore, try to closely follow the outline of the template of the Biosafety Manual chapter as provided in the right-hand column of this webpage. An example of a Biosafety Manual chapter is also provided to give an indication of the level of detail used for the Biosafety Manual.</t>
  </si>
  <si>
    <t>1. Perform the Facility and Safety Assessment using the checklist provided in ISO 15190, Annex B.</t>
  </si>
  <si>
    <t>2. Report all the biosafety nonconformities noted during the Facility and Safety Assessment.</t>
  </si>
  <si>
    <t>3. Discuss with the laboratory manager for every nonconformity:</t>
  </si>
  <si>
    <t>The urgency of solving the nonconformity</t>
  </si>
  <si>
    <t>The solution for solving the nonconformity</t>
  </si>
  <si>
    <t>The period in which the nonconformity must be solved.</t>
  </si>
  <si>
    <t>4. Make action points for all the nonconformities</t>
  </si>
  <si>
    <t>5. Combine all action points into an action plan entitled "Facility and Safety Assessment" and put this in the Action Plans folder.</t>
  </si>
  <si>
    <t>6. Check on a monthly basis the timely and correct implementation of action points. If completion of certain action points is not yet done after passing of the deadline, notify the Laboratory Manager who has to ensure that the assigned person implements the action point as soon as possible.</t>
  </si>
  <si>
    <t>1. Make an inventory of the types of waste produced by your laboratory. For chemical waste: also identify the category of chemical waste.</t>
  </si>
  <si>
    <t>2. Check if national or local regulations exist for the processing of the types of waste produced by your laboratory.</t>
  </si>
  <si>
    <t>3. If these regulations exist: write the SOP such that it complies to these regulations. If these regulations do not exist: implement at least the requirements of the ISO 15190 standard, article 23 on waste management. Write the SOP according to the protocol for writing a Procedure SOP in the Master SOP and use the template for a Procedure SOP attached to the Master SOP. You can use the template SOP Waste Segregation and Disposal provided in the right-hand column as example. Please note that this template does not include a procedure for chemical waste. If your laboratory produces chemical waste, you must also include a procedure on processing this type of waste.</t>
  </si>
  <si>
    <t>4. Print the SOP and put it in a new folder entitled "Biosafety Manual".</t>
  </si>
  <si>
    <t>5. Make the facilities for implementing the Waste Segregation and Disposal SOP. I.e. place clearly labeled containers for each waste category in each laboratory room.</t>
  </si>
  <si>
    <t>6. Include the SOP in the Read and Understand List and indicate that all staff members have to read the SOP.</t>
  </si>
  <si>
    <t>7. Present the SOP in a weekly staff meeting and indicate that all staff members have to read the SOP and sign the Read and Understand List when they have read it.</t>
  </si>
  <si>
    <t>8. Ensure that waste is processed according to the procedure (take regular samples by checking how the infectious waste, infectious glassware and sharps are processed. Also check for litter around the incinerator.</t>
  </si>
  <si>
    <t>1. Make a list of all the safety procedures that are needed for your laboratory.</t>
  </si>
  <si>
    <t>2. Discuss this list with the Laboratory Manager and staff to determine if it covers all the necessary topics or that topics should be added.</t>
  </si>
  <si>
    <t>3. Once consensus is reached on the outline of the biosafety manual, start writing the chapters. Each chapter is a safety procedure which is in essence an SOP, hence, follow the protocol for writing a Procedure SOP in the Master SOP and use the template for a Procedure SOP attached to the Master SOP. See the example biosafety manual chapter provided in the right-hand column.</t>
  </si>
  <si>
    <t>4. Let the Laboratory Manager and one other senior staff member review the procedures you've developed.</t>
  </si>
  <si>
    <t>5. Correct the procedures based on comments of the two reviewers.</t>
  </si>
  <si>
    <t>6. Sign the procedures after completion and let the two reviewers also sign.</t>
  </si>
  <si>
    <t>7. All the procedures together form the Biosafety Manual. Present the Biosafety Manual to all the staff members and explain the use of it.</t>
  </si>
  <si>
    <t>1. Set up a cleaning schedule that indicates:</t>
  </si>
  <si>
    <t>When which part of the building should be cleaned.</t>
  </si>
  <si>
    <t>What should be cleaned (and tidied-up)</t>
  </si>
  <si>
    <t>Include a column in the schedule that cleaning personnel have to date and sign when they have cleaned.</t>
  </si>
  <si>
    <t>A template Cleaning Log Sheet is added to the right-hand column.</t>
  </si>
  <si>
    <t>2. Write an SOP for Cleaning of the Laboratory and include a section with specific guidelines for cleaning laboratory rooms. Write this SOP in accordance with the protocol for writing a Procedure SOP in the Master SOP and use the template for a Procedure SOP attached to the Master SOP.</t>
  </si>
  <si>
    <t>3. Add the procedure to the Biosafety Manual (i.e. cleaning is a preventive safety measure).</t>
  </si>
  <si>
    <t>4. Familiarize staff with this procedure; all staff members have to read the procedure and sign and date the Read and Understand List of the Biosafety Manual.</t>
  </si>
  <si>
    <t>1. Once the spill kit(s) are received, start writing the SOP on Dealing with Spills. First make a list of the different procedures needed to clean up different types of spills (e.g. chemical spills, spill of infectious material in the laboratory room, spill of infectious material in the biosafety cabinet, etc.</t>
  </si>
  <si>
    <t>2. Write the SOP in accordance with the protocol for writing a Procedure SOP in the Master SOP and use the template for a Procedure SOP attached to the Master SOP.</t>
  </si>
  <si>
    <t>3. Add the procedure to the Biosafety Manual.</t>
  </si>
  <si>
    <t>1. Purchase first aid kits. The number needed depends on the size of the facility. Place the first aid kits at suitable locations that are easily accessible to everybody. Place at least a first aid kit at the patient reception area and near the laboratory rooms.</t>
  </si>
  <si>
    <t>2. Determine the number of staff members that need to be trained in provision of first aid. Identify appropriate staff members and send them to training in first aid provision.</t>
  </si>
  <si>
    <t>3. Store copies of their certificates in their Personnel Files and adapt their job descriptions.</t>
  </si>
  <si>
    <t>4. Explain to the rest of the staff who the first aid providers are.</t>
  </si>
  <si>
    <t>Score</t>
  </si>
  <si>
    <t>Value</t>
  </si>
  <si>
    <t>Completion Check 1</t>
  </si>
  <si>
    <t>Completion Check 2</t>
  </si>
  <si>
    <t>Completion Check 3</t>
  </si>
  <si>
    <t>Completion Check 4</t>
  </si>
  <si>
    <t xml:space="preserve">1. Presence of SOP on what to do when staff members (potentially) have become infected in the laboratory; which includes the pre-exposure prophylaxis and post-exposure prophylaxis. </t>
  </si>
  <si>
    <t>Presence of symbol of risk group on each laboratory room</t>
  </si>
  <si>
    <t>pythonw</t>
  </si>
  <si>
    <t>FS1.1</t>
  </si>
  <si>
    <t>FS1.2</t>
  </si>
  <si>
    <t>FS1.3</t>
  </si>
  <si>
    <t>FS1.4</t>
  </si>
  <si>
    <t>FS1.5</t>
  </si>
  <si>
    <t>FS1.6</t>
  </si>
  <si>
    <t>FS1.7</t>
  </si>
  <si>
    <t>FS1.8</t>
  </si>
  <si>
    <t>FS1.9</t>
  </si>
  <si>
    <t>FS1.10</t>
  </si>
  <si>
    <t>FS1.11</t>
  </si>
  <si>
    <t>FS1.12</t>
  </si>
  <si>
    <t>FS1.13</t>
  </si>
  <si>
    <t>FS1.14</t>
  </si>
  <si>
    <t>FS1.15</t>
  </si>
  <si>
    <t>FS1.16</t>
  </si>
  <si>
    <t>FS1.17</t>
  </si>
  <si>
    <t>FS1.18</t>
  </si>
  <si>
    <t>FS1.19</t>
  </si>
  <si>
    <t>FS1.20</t>
  </si>
  <si>
    <t>FS1.21</t>
  </si>
  <si>
    <t>FS1.22</t>
  </si>
  <si>
    <t>FS1.23</t>
  </si>
  <si>
    <t>FS1.24</t>
  </si>
  <si>
    <t>FS1.25</t>
  </si>
  <si>
    <t>FS1.26</t>
  </si>
  <si>
    <t>FS1.27</t>
  </si>
  <si>
    <t>FS1.28</t>
  </si>
  <si>
    <t>FS1.29</t>
  </si>
  <si>
    <t>FS1.30</t>
  </si>
  <si>
    <t>FS1.31</t>
  </si>
  <si>
    <t>FS1.32</t>
  </si>
  <si>
    <t>FS1.33</t>
  </si>
  <si>
    <t>FS1.34</t>
  </si>
  <si>
    <t>FS1.35</t>
  </si>
  <si>
    <t>FS1.36</t>
  </si>
  <si>
    <t>FS1.37</t>
  </si>
  <si>
    <t>FS1.38</t>
  </si>
  <si>
    <t>PERS1.1</t>
  </si>
  <si>
    <t>ORG1.1</t>
  </si>
  <si>
    <t>ORG1.2</t>
  </si>
  <si>
    <t>ORG1.3</t>
  </si>
  <si>
    <t>ORG1.4</t>
  </si>
  <si>
    <t>ORG1.5</t>
  </si>
  <si>
    <t>ORG1.6</t>
  </si>
  <si>
    <t>ORG1.7</t>
  </si>
  <si>
    <t>ORG1.8</t>
  </si>
  <si>
    <t>ORG1.9</t>
  </si>
  <si>
    <t>ORG1.10</t>
  </si>
  <si>
    <t>ORG1.11</t>
  </si>
  <si>
    <t>ORG1.12</t>
  </si>
  <si>
    <t>ORG1.13</t>
  </si>
  <si>
    <t>ORG1.14</t>
  </si>
  <si>
    <t>ORG1.15</t>
  </si>
  <si>
    <t>ORG1.16</t>
  </si>
  <si>
    <t>ORG1.17</t>
  </si>
  <si>
    <t>ORG1.18</t>
  </si>
  <si>
    <t>ORG1.19</t>
  </si>
  <si>
    <t>ORG1.20</t>
  </si>
  <si>
    <t>ORG1.21</t>
  </si>
  <si>
    <t>ORG1.22</t>
  </si>
  <si>
    <t>ORG1.23</t>
  </si>
  <si>
    <t>ORG1.24</t>
  </si>
  <si>
    <t>ORG1.25</t>
  </si>
  <si>
    <t>ORG1.26</t>
  </si>
  <si>
    <t>ORG1.27</t>
  </si>
  <si>
    <t>PERS1.2</t>
  </si>
  <si>
    <t>PERS1.3</t>
  </si>
  <si>
    <t>PERS1.4</t>
  </si>
  <si>
    <t>PERS1.5</t>
  </si>
  <si>
    <t>PERS1.6</t>
  </si>
  <si>
    <t>PERS1.7</t>
  </si>
  <si>
    <t>PERS1.8</t>
  </si>
  <si>
    <t>PERS1.9</t>
  </si>
  <si>
    <t>PERS1.10</t>
  </si>
  <si>
    <t>PERS1.11</t>
  </si>
  <si>
    <t>PERS1.12</t>
  </si>
  <si>
    <t>PERS1.13</t>
  </si>
  <si>
    <t>PERS1.14</t>
  </si>
  <si>
    <t>PERS1.15</t>
  </si>
  <si>
    <t>PERS1.16</t>
  </si>
  <si>
    <t>PERS1.17</t>
  </si>
  <si>
    <t>PERS1.18</t>
  </si>
  <si>
    <t>EQUIP1.1</t>
  </si>
  <si>
    <t>EQUIP1.2</t>
  </si>
  <si>
    <t>EQUIP1.3</t>
  </si>
  <si>
    <t>EQUIP1.4</t>
  </si>
  <si>
    <t>EQUIP1.5</t>
  </si>
  <si>
    <t>EQUIP1.6</t>
  </si>
  <si>
    <t>EQUIP1.7</t>
  </si>
  <si>
    <t>EQUIP1.8</t>
  </si>
  <si>
    <t>PI1.1</t>
  </si>
  <si>
    <t>PI1.2</t>
  </si>
  <si>
    <t>PI1.3</t>
  </si>
  <si>
    <t>PM1.1</t>
  </si>
  <si>
    <t>PM1.2</t>
  </si>
  <si>
    <t>PM1.3</t>
  </si>
  <si>
    <t>PM1.4</t>
  </si>
  <si>
    <t>PM1.5</t>
  </si>
  <si>
    <t>PM1.6</t>
  </si>
  <si>
    <t>PM1.7</t>
  </si>
  <si>
    <t>DR1.1</t>
  </si>
  <si>
    <t>DR1.2</t>
  </si>
  <si>
    <t>ASSESS1.1</t>
  </si>
  <si>
    <t>FS2.1</t>
  </si>
  <si>
    <t>FS2.2</t>
  </si>
  <si>
    <t>FS2.3</t>
  </si>
  <si>
    <t>FS2.4</t>
  </si>
  <si>
    <t>FS2.5</t>
  </si>
  <si>
    <t>FS2.6</t>
  </si>
  <si>
    <t>FS2.7</t>
  </si>
  <si>
    <t>FS2.8</t>
  </si>
  <si>
    <t>FS2.9</t>
  </si>
  <si>
    <t>FS2.10</t>
  </si>
  <si>
    <t>FS2.11</t>
  </si>
  <si>
    <t>FS2.12</t>
  </si>
  <si>
    <t>FS2.13</t>
  </si>
  <si>
    <t>FS2.14</t>
  </si>
  <si>
    <t>FS2.15</t>
  </si>
  <si>
    <t>FS2.16</t>
  </si>
  <si>
    <t>FS2.17</t>
  </si>
  <si>
    <t>FS2.18</t>
  </si>
  <si>
    <t>FS2.19</t>
  </si>
  <si>
    <t>FS2.20</t>
  </si>
  <si>
    <t>FS2.21</t>
  </si>
  <si>
    <t>FS2.22</t>
  </si>
  <si>
    <t>ORG2.1</t>
  </si>
  <si>
    <t>ORG2.2</t>
  </si>
  <si>
    <t>ORG2.3</t>
  </si>
  <si>
    <t>ORG2.4</t>
  </si>
  <si>
    <t>ORG2.5</t>
  </si>
  <si>
    <t>ORG2.6</t>
  </si>
  <si>
    <t>ORG2.7</t>
  </si>
  <si>
    <t>ORG2.8</t>
  </si>
  <si>
    <t>ORG2.9</t>
  </si>
  <si>
    <t>ORG2.10</t>
  </si>
  <si>
    <t>ORG2.11</t>
  </si>
  <si>
    <t>ORG2.12</t>
  </si>
  <si>
    <t>ORG2.13</t>
  </si>
  <si>
    <t>ORG2.14</t>
  </si>
  <si>
    <t>PERS2.1</t>
  </si>
  <si>
    <t>PERS2.2</t>
  </si>
  <si>
    <t>PERS2.3</t>
  </si>
  <si>
    <t>PERS2.4</t>
  </si>
  <si>
    <t>PERS2.5</t>
  </si>
  <si>
    <t>PERS2.6</t>
  </si>
  <si>
    <t>PERS2.7</t>
  </si>
  <si>
    <t>PERS2.8</t>
  </si>
  <si>
    <t>PERS2.9</t>
  </si>
  <si>
    <t>PERS2.10</t>
  </si>
  <si>
    <t>PERS2.11</t>
  </si>
  <si>
    <t>PERS2.12</t>
  </si>
  <si>
    <t>PERS2.13</t>
  </si>
  <si>
    <t>PERS2.14</t>
  </si>
  <si>
    <t>PERS2.15</t>
  </si>
  <si>
    <t>PERS2.16</t>
  </si>
  <si>
    <t>PERS2.17</t>
  </si>
  <si>
    <t>PERS2.18</t>
  </si>
  <si>
    <t>PERS2.19</t>
  </si>
  <si>
    <t>EQUIP2.1</t>
  </si>
  <si>
    <t>EQUIP2.2</t>
  </si>
  <si>
    <t>EQUIP2.3</t>
  </si>
  <si>
    <t>EQUIP2.4</t>
  </si>
  <si>
    <t>EQUIP2.5</t>
  </si>
  <si>
    <t>EQUIP2.6</t>
  </si>
  <si>
    <t>EQUIP2.7</t>
  </si>
  <si>
    <t>EQUIP2.8</t>
  </si>
  <si>
    <t>EQUIP2.9</t>
  </si>
  <si>
    <t>EQUIP2.10</t>
  </si>
  <si>
    <t>EQUIP2.11</t>
  </si>
  <si>
    <t>EQUIP2.12</t>
  </si>
  <si>
    <t>EQUIP2.13</t>
  </si>
  <si>
    <t>EQUIP2.14</t>
  </si>
  <si>
    <t>EQUIP2.15</t>
  </si>
  <si>
    <t>EQUIP2.16</t>
  </si>
  <si>
    <t>EQUIP2.17</t>
  </si>
  <si>
    <t>EQUIP2.18</t>
  </si>
  <si>
    <t>EQUIP2.19</t>
  </si>
  <si>
    <t>EQUIP2.20</t>
  </si>
  <si>
    <t>EQUIP2.21</t>
  </si>
  <si>
    <t>EQUIP2.22</t>
  </si>
  <si>
    <t>EQUIP2.23</t>
  </si>
  <si>
    <t>EQUIP2.24</t>
  </si>
  <si>
    <t>EQUIP2.25</t>
  </si>
  <si>
    <t>EQUIP2.26</t>
  </si>
  <si>
    <t>EQUIP2.27</t>
  </si>
  <si>
    <t>EQUIP2.28</t>
  </si>
  <si>
    <t>EQUIP2.29</t>
  </si>
  <si>
    <t>EQUIP2.30</t>
  </si>
  <si>
    <t>PI2.1</t>
  </si>
  <si>
    <t>PI2.2</t>
  </si>
  <si>
    <t>PI2.3</t>
  </si>
  <si>
    <t>PI2.4</t>
  </si>
  <si>
    <t>PI2.5</t>
  </si>
  <si>
    <t>PI2.6</t>
  </si>
  <si>
    <t>PI2.7</t>
  </si>
  <si>
    <t>PI2.8</t>
  </si>
  <si>
    <t>PI2.9</t>
  </si>
  <si>
    <t>PI2.10</t>
  </si>
  <si>
    <t>PI2.11</t>
  </si>
  <si>
    <t>PI2.12</t>
  </si>
  <si>
    <t>PI2.13</t>
  </si>
  <si>
    <t>PI2.14</t>
  </si>
  <si>
    <t>PI2.15</t>
  </si>
  <si>
    <t>PI2.16</t>
  </si>
  <si>
    <t>PI2.17</t>
  </si>
  <si>
    <t>PI2.18</t>
  </si>
  <si>
    <t>PM2.1</t>
  </si>
  <si>
    <t>PM2.2</t>
  </si>
  <si>
    <t>PM2.3</t>
  </si>
  <si>
    <t>PM2.4</t>
  </si>
  <si>
    <t>PM2.5</t>
  </si>
  <si>
    <t>PM2.6</t>
  </si>
  <si>
    <t>PM2.7</t>
  </si>
  <si>
    <t>PM2.8</t>
  </si>
  <si>
    <t>PM2.9</t>
  </si>
  <si>
    <t>PM2.10</t>
  </si>
  <si>
    <t>PM2.11</t>
  </si>
  <si>
    <t>PM2.12</t>
  </si>
  <si>
    <t>PM2.13</t>
  </si>
  <si>
    <t>PM2.14</t>
  </si>
  <si>
    <t>PM2.15</t>
  </si>
  <si>
    <t>PM2.16</t>
  </si>
  <si>
    <t>PM2.17</t>
  </si>
  <si>
    <t>PM2.18</t>
  </si>
  <si>
    <t>PM2.19</t>
  </si>
  <si>
    <t>PM2.20</t>
  </si>
  <si>
    <t>PM2.21</t>
  </si>
  <si>
    <t>PM2.22</t>
  </si>
  <si>
    <t>PM2.23</t>
  </si>
  <si>
    <t>PM2.24</t>
  </si>
  <si>
    <t>INFO2.1</t>
  </si>
  <si>
    <t>INFO2.2</t>
  </si>
  <si>
    <t>INFO2.3</t>
  </si>
  <si>
    <t>INFO2.4</t>
  </si>
  <si>
    <t>INFO2.5</t>
  </si>
  <si>
    <t>INFO2.6</t>
  </si>
  <si>
    <t>INFO2.7</t>
  </si>
  <si>
    <t>INFO2.8</t>
  </si>
  <si>
    <t>INFO2.9</t>
  </si>
  <si>
    <t>INFO2.10</t>
  </si>
  <si>
    <t>INFO2.11</t>
  </si>
  <si>
    <t>INFO2.12</t>
  </si>
  <si>
    <t>INFO2.13</t>
  </si>
  <si>
    <t>INFO2.14</t>
  </si>
  <si>
    <t>INFO2.15</t>
  </si>
  <si>
    <t>INFO2.16</t>
  </si>
  <si>
    <t>INFO2.17</t>
  </si>
  <si>
    <t>INFO2.18</t>
  </si>
  <si>
    <t>DR2.1</t>
  </si>
  <si>
    <t>DR2.2</t>
  </si>
  <si>
    <t>DR2.3</t>
  </si>
  <si>
    <t>DR2.4</t>
  </si>
  <si>
    <t>DR2.5</t>
  </si>
  <si>
    <t>DR2.6</t>
  </si>
  <si>
    <t>DR2.7</t>
  </si>
  <si>
    <t>DR2.8</t>
  </si>
  <si>
    <t>DR2.9</t>
  </si>
  <si>
    <t>DR2.10</t>
  </si>
  <si>
    <t>DR2.11</t>
  </si>
  <si>
    <t>DR2.12</t>
  </si>
  <si>
    <t>DR2.13</t>
  </si>
  <si>
    <t>DR2.14</t>
  </si>
  <si>
    <t>DR2.15</t>
  </si>
  <si>
    <t>DR2.16</t>
  </si>
  <si>
    <t>DR2.17</t>
  </si>
  <si>
    <t>DR2.18</t>
  </si>
  <si>
    <t>DR2.19</t>
  </si>
  <si>
    <t>CF2.1</t>
  </si>
  <si>
    <t>CF2.2</t>
  </si>
  <si>
    <t>CF2.3</t>
  </si>
  <si>
    <t>CF2.4</t>
  </si>
  <si>
    <t>CF2.5</t>
  </si>
  <si>
    <t>CF2.6</t>
  </si>
  <si>
    <t>CF2.7</t>
  </si>
  <si>
    <t>CF2.31</t>
  </si>
  <si>
    <t>CF2.32</t>
  </si>
  <si>
    <t>ASSESS2.1</t>
  </si>
  <si>
    <t>ASSESS2.2</t>
  </si>
  <si>
    <t>ASSESS2.3</t>
  </si>
  <si>
    <t>ASSESS2.4</t>
  </si>
  <si>
    <t>ASSESS2.5</t>
  </si>
  <si>
    <t>ASSESS2.6</t>
  </si>
  <si>
    <t>FS3.1</t>
  </si>
  <si>
    <t>FS3.2</t>
  </si>
  <si>
    <t>FS3.3</t>
  </si>
  <si>
    <t>FS3.4</t>
  </si>
  <si>
    <t>FS3.5</t>
  </si>
  <si>
    <t>FS3.6</t>
  </si>
  <si>
    <t>FS3.7</t>
  </si>
  <si>
    <t>FS3.8</t>
  </si>
  <si>
    <t>FS3.9</t>
  </si>
  <si>
    <t>FS3.10</t>
  </si>
  <si>
    <t>FS3.11</t>
  </si>
  <si>
    <t>FS3.12</t>
  </si>
  <si>
    <t>FS3.13</t>
  </si>
  <si>
    <t>FS3.14</t>
  </si>
  <si>
    <t>FS3.15</t>
  </si>
  <si>
    <t>FS3.16</t>
  </si>
  <si>
    <t>FS3.17</t>
  </si>
  <si>
    <t>FS3.18</t>
  </si>
  <si>
    <t>FS3.19</t>
  </si>
  <si>
    <t>FS3.20</t>
  </si>
  <si>
    <t>FS3.21</t>
  </si>
  <si>
    <t>FS3.22</t>
  </si>
  <si>
    <t>FS3.23</t>
  </si>
  <si>
    <t>FS3.24</t>
  </si>
  <si>
    <t>FS3.25</t>
  </si>
  <si>
    <t>ORG3.1</t>
  </si>
  <si>
    <t>ORG3.2</t>
  </si>
  <si>
    <t>ORG3.3</t>
  </si>
  <si>
    <t>ORG3.4</t>
  </si>
  <si>
    <t>ORG3.5</t>
  </si>
  <si>
    <t>ORG3.6</t>
  </si>
  <si>
    <t>ORG3.7</t>
  </si>
  <si>
    <t>ORG3.8</t>
  </si>
  <si>
    <t>ORG3.9</t>
  </si>
  <si>
    <t>ORG3.10</t>
  </si>
  <si>
    <t>ORG3.11</t>
  </si>
  <si>
    <t>ORG3.12</t>
  </si>
  <si>
    <t>ORG3.13</t>
  </si>
  <si>
    <t>ORG3.14</t>
  </si>
  <si>
    <t>ORG3.15</t>
  </si>
  <si>
    <t>ORG3.16</t>
  </si>
  <si>
    <t>ORG3.17</t>
  </si>
  <si>
    <t>ORG3.18</t>
  </si>
  <si>
    <t>ORG3.19</t>
  </si>
  <si>
    <t>ORG3.20</t>
  </si>
  <si>
    <t>ORG3.21</t>
  </si>
  <si>
    <t>ORG3.22</t>
  </si>
  <si>
    <t>ORG3.23</t>
  </si>
  <si>
    <t>ORG3.24</t>
  </si>
  <si>
    <t>ORG3.25</t>
  </si>
  <si>
    <t>ORG3.26</t>
  </si>
  <si>
    <t>ORG3.27</t>
  </si>
  <si>
    <t>ORG3.28</t>
  </si>
  <si>
    <t>ORG3.29</t>
  </si>
  <si>
    <t>ORG3.30</t>
  </si>
  <si>
    <t>ORG3.31</t>
  </si>
  <si>
    <t>ORG3.32</t>
  </si>
  <si>
    <t>ORG3.33</t>
  </si>
  <si>
    <t>ORG3.34</t>
  </si>
  <si>
    <t>ORG3.35</t>
  </si>
  <si>
    <t>ORG3.36</t>
  </si>
  <si>
    <t>ORG3.37</t>
  </si>
  <si>
    <t>ORG3.38</t>
  </si>
  <si>
    <t>ORG3.39</t>
  </si>
  <si>
    <t>ORG3.40</t>
  </si>
  <si>
    <t>ORG3.41</t>
  </si>
  <si>
    <t>ORG3.42</t>
  </si>
  <si>
    <t>ORG3.43</t>
  </si>
  <si>
    <t>ORG3.44</t>
  </si>
  <si>
    <t>PERS3.1</t>
  </si>
  <si>
    <t>PERS3.2</t>
  </si>
  <si>
    <t>PERS3.3</t>
  </si>
  <si>
    <t>PERS3.4</t>
  </si>
  <si>
    <t>PERS3.5</t>
  </si>
  <si>
    <t>PERS3.6</t>
  </si>
  <si>
    <t>PI3.1</t>
  </si>
  <si>
    <t>PI3.2</t>
  </si>
  <si>
    <t>PI3.3</t>
  </si>
  <si>
    <t>PI3.4</t>
  </si>
  <si>
    <t>PI3.5</t>
  </si>
  <si>
    <t>PI3.6</t>
  </si>
  <si>
    <t>PI3.7</t>
  </si>
  <si>
    <t>PI3.8</t>
  </si>
  <si>
    <t>PI3.9</t>
  </si>
  <si>
    <t>PI3.10</t>
  </si>
  <si>
    <t>PM3.1</t>
  </si>
  <si>
    <t>PM3.2</t>
  </si>
  <si>
    <t>PM3.3</t>
  </si>
  <si>
    <t>PM3.4</t>
  </si>
  <si>
    <t>PM3.5</t>
  </si>
  <si>
    <t>PM3.6</t>
  </si>
  <si>
    <t>PM3.7</t>
  </si>
  <si>
    <t>PM3.8</t>
  </si>
  <si>
    <t>PM3.9</t>
  </si>
  <si>
    <t>PM3.10</t>
  </si>
  <si>
    <t>PM3.11</t>
  </si>
  <si>
    <t>PM3.12</t>
  </si>
  <si>
    <t>PM3.13</t>
  </si>
  <si>
    <t>INFO3.1</t>
  </si>
  <si>
    <t>INFO3.2</t>
  </si>
  <si>
    <t>INFO3.3</t>
  </si>
  <si>
    <t>INFO3.4</t>
  </si>
  <si>
    <t>INFO3.5</t>
  </si>
  <si>
    <t>INFO3.6</t>
  </si>
  <si>
    <t>INFO3.7</t>
  </si>
  <si>
    <t>INFO3.8</t>
  </si>
  <si>
    <t>INFO3.9</t>
  </si>
  <si>
    <t>INFO3.10</t>
  </si>
  <si>
    <t>INFO3.11</t>
  </si>
  <si>
    <t>CF3.1</t>
  </si>
  <si>
    <t>CF3.2</t>
  </si>
  <si>
    <t>CF3.3</t>
  </si>
  <si>
    <t>CF3.4</t>
  </si>
  <si>
    <t>CF3.5</t>
  </si>
  <si>
    <t>ASSESS3.1</t>
  </si>
  <si>
    <t>ASSESS3.2</t>
  </si>
  <si>
    <t>ASSESS3.3</t>
  </si>
  <si>
    <t>ASSESS3.4</t>
  </si>
  <si>
    <t>ASSESS3.5</t>
  </si>
  <si>
    <t>ASSESS3.6</t>
  </si>
  <si>
    <t>ASSESS3.7</t>
  </si>
  <si>
    <t>ASSESS3.8</t>
  </si>
  <si>
    <t>ASSESS3.9</t>
  </si>
  <si>
    <t>ASSESS3.10</t>
  </si>
  <si>
    <t>ASSESS3.11</t>
  </si>
  <si>
    <t>ASSESS3.12</t>
  </si>
  <si>
    <t>ASSESS3.13</t>
  </si>
  <si>
    <t>ASSESS3.14</t>
  </si>
  <si>
    <t>ASSESS3.15</t>
  </si>
  <si>
    <t>Do staff members know the correct procedure of taking items from the stock?
Take a sample by asking random staff members.</t>
  </si>
  <si>
    <t>Les membres du personnel connaissent-ils la procédure correcte pour obtenir des articles en stock?
Faire un sondage en questionnant des membres du personnel choisis au hasard.</t>
  </si>
  <si>
    <t>Знают ли сотрудники правильную процедуру изъятия материалов из запаса?
Проверьте, спросив случайно выбранных сотрудников.</t>
  </si>
  <si>
    <t>¿Los miembros del personal conocen el procedimiento correcto para coger artículos de las existencias?
Pregunte a varios miembros del personal aleatoriamente.</t>
  </si>
  <si>
    <t>2. Place its flow charts at the place that all staff could see it easily.</t>
  </si>
  <si>
    <t>This tool follows the principles as described in ISO 15190:2003 Medical Laboratories - Requirements for Safety. It is therefore recommended to refer to this standard.</t>
  </si>
  <si>
    <t>In ISO 15190 (paragraph 4) and chapter 3, 4 and 5 of the WHO Biosafety Manual the different Risk Groups are explained. Determine in which Risk Group every room of the laboratory falls based on the examinations being performed and the pathogens worked with.</t>
  </si>
  <si>
    <t>Determine for each laboratory room and for the laboratory as a whole which improvements are necessary to comply with the requirements of the specific Risk Group.</t>
  </si>
  <si>
    <t>Translate the points for improvement into action points and define who should do each action point and at which moment they should be completed. Remember to adhere to the SMART principles!</t>
  </si>
  <si>
    <t>Include all action points into one action plan titled: "Facility and Safety Risk Group Improvement Plan".</t>
  </si>
  <si>
    <t>Check timely and correct implementation of action points. If completion of certain action points is not yet done after passing of the deadline, notify the Laboratory Manager who has to ensure that the assigned person implements the action point as soon as possible.</t>
  </si>
  <si>
    <t>Are Quality Project Team meetings held on a regular basis?
The presence of minutes serve as prove for this.</t>
  </si>
  <si>
    <t>Des réunions de l'équipe du projet qualité se tiennent-elles régulièrement ?
L'existence de comptes rendus permet de le prouver.</t>
  </si>
  <si>
    <t>Проводятся ли рабочие совещания команды проекта «Качество» на регулярной основе?
Наличие протоколов служит доказательством этого.</t>
  </si>
  <si>
    <t>¿Se programan reuniones del equipo del proyecto de calidad con regularidad?
La existencia de actas sirve como prueba de estas reuniones.</t>
  </si>
  <si>
    <t>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t>
  </si>
  <si>
    <t>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t>
  </si>
  <si>
    <t>Надлежащим ли образом работает команда проекта «Качество»?
Просмотрите протоколы на предмет показателей качества функционирования команды и обратите внимание на перечни конкретных действий: если эти действия зачастую не завершаются до назначенного срока, это признак того, что у команды проблемы с выполнением мероприятий. В этом случае изучите протоколы и поговорите с членами команды, чтобы попытаться найти причину проблем.</t>
  </si>
  <si>
    <t>¿Funciona correctamente el equipo del proyecto de calidad?
Lea las actas para encontrar indicadores de la calidad del funcionamiento del equipo. Examine los puntos de acción: si suelen quedar incompletos antes o al llegar a su fecha límite, esto significa que el equipo tiene problemas para implementar las actividades. En este caso, revise los indicadores de las actas y entreviste a los miembros del equipo para tratar de averiguar la causa de los problemas.</t>
  </si>
  <si>
    <t>Has commitment to implement a quality management system been created among laboratory staff?
Interview various staff members to find out if a meeting was held and if this was successful.</t>
  </si>
  <si>
    <t>Le personnel du laboratoire a-t-il été encouragé à s'engager dans la mise en œuvre d'un système de gestion de la qualité ?
Interroger différents membres du personnel pour déterminer si une réunion a été organisée et si elle a été fructueuse.</t>
  </si>
  <si>
    <t>Имеется ли у сотрудников лаборатории приверженность внедрению системы управления качеством?
Поговорите с различными сотрудниками, чтобы выяснить, было ли проведено рабочее совещание и было ли оно успешным.</t>
  </si>
  <si>
    <t>¿Se ha generado compromiso por implementar un sistema de gestión de la calidad entre el personal del laboratorio?
Entreviste a varios miembros del personal para averiguar si se ha organizado una reunión y si ha sido satisfactoria.</t>
  </si>
  <si>
    <t>Have all staff members adequately been trained in the procedures they are performing?
Ask several staff members this question for the procedure they are doing at that moment and cross-check with their Personnel File.</t>
  </si>
  <si>
    <t>Tous les membres du personnel ont-ils reçu une formation adéquate pour les procédures qu'ils réalisent ?
Poser à plusieurs membres du personnel cette question quant à la procédure qu'ils réalisent actuellement et vérifier avec leur dossier.</t>
  </si>
  <si>
    <t>Были ли все сотрудники достаточно обучены выполнению тех процедур, которые они выполняют?
Спросите об этом нескольких сотрудников о той процедуре, которую они в этот момент выполняют, и перепроверьте их ответ по записям в их личном деле.</t>
  </si>
  <si>
    <t>¿Han recibido todos los miembros del personal una formación adecuada para los procedimientos que están ejecutando?
Haga esta pregunta a varios miembros del personal en relación con el procedimiento que estén ejecutando en ese momento y compruebe la información obtenida comparándola con su información en los archivos del personal.</t>
  </si>
  <si>
    <t>EQUIP1.2a</t>
  </si>
  <si>
    <t>EQUIP1.2b</t>
  </si>
  <si>
    <t>EQUIP1.2c</t>
  </si>
  <si>
    <t>EQUIP1.2d</t>
  </si>
  <si>
    <t>EQUIP1.2e</t>
  </si>
  <si>
    <t>EQUIP1.2f</t>
  </si>
  <si>
    <t>EQUIP1.2g</t>
  </si>
  <si>
    <t>EQUIP1.2h</t>
  </si>
  <si>
    <t>EQUIP1.2i</t>
  </si>
  <si>
    <t>EQUIP1.2j</t>
  </si>
  <si>
    <t>EQUIP1.2k</t>
  </si>
  <si>
    <t>EQUIP1.2l</t>
  </si>
  <si>
    <t>EQUIP1.2m</t>
  </si>
  <si>
    <t>EQUIP1.2n</t>
  </si>
  <si>
    <t>EQUIP1.2o</t>
  </si>
  <si>
    <t>Are all items available in the laboratory stock recorded in a Stock Inventory Register?
Take a sample by checking for two or three supplies in the stock if their Stock Cards are in the Stock Inventory Register and check if the Stock Cards are up-to-date.</t>
  </si>
  <si>
    <t>Tous les articles disponibles dans le stock du laboratoire sont-ils enregistrés dans un registre de stock ?
Vérifier pour deux ou trois fournitures dans le stock si leur fiche de stock figure dans le registre de stock et vérifier si les fiches de stock sont à jour.</t>
  </si>
  <si>
    <t>Все ли материалы, имеющиеся в лаборатории, зарегистрированы в журнале инвентарного учета?
Убедитесь в этом, проверив для двух или трех наименований, имеются ли для них «Карточки учета запасов» и соответствует ли информация в карточках реальности.</t>
  </si>
  <si>
    <t>¿Todos los artículos disponibles en las existencias del laboratorio están incorporados en el registro del inventario de existencias?
Tome una muestra comprobando dos o tres suministros en las existencias si sus tarjetas de existencias están en el registro del inventario de existencias y verifique si estas están al día.</t>
  </si>
  <si>
    <t>Approvisionnement et Gestion des stocks</t>
  </si>
  <si>
    <t>PM1.1a</t>
  </si>
  <si>
    <t>PM1.1b</t>
  </si>
  <si>
    <t>PM1.1c</t>
  </si>
  <si>
    <t>PM1.1d</t>
  </si>
  <si>
    <t>PM1.1e</t>
  </si>
  <si>
    <t>PM1.1f</t>
  </si>
  <si>
    <t>PM1.1g</t>
  </si>
  <si>
    <t>1. Policy on internal auidit existed (in Quality Manual).</t>
  </si>
  <si>
    <t>2. Presence of the schedule for internal audit (Quarterly).</t>
  </si>
  <si>
    <t>3. Checklist (Annex B of ISO 15190)/ LQSI checklist is available.</t>
  </si>
  <si>
    <t>4. Presence of Minute of staff training on checklist.</t>
  </si>
  <si>
    <t>5. List of staff and their role and responsibility in conducting internal audit.</t>
  </si>
  <si>
    <t>6. Baseline score is available.</t>
  </si>
  <si>
    <t>7. Corrective actions are available.</t>
  </si>
  <si>
    <t>1. Presence of action plan based on findings (corrective actions) from internal audit</t>
  </si>
  <si>
    <t>1. Presence of action plan with SMART method</t>
  </si>
  <si>
    <t>1. Percentage of activities listed in the action plan had been achieved.</t>
  </si>
  <si>
    <t>2. Presence of another corrective action for 2nd cycle of PDCA.</t>
  </si>
  <si>
    <t>Presence of signature and date on every completed action point in the action plan.</t>
  </si>
  <si>
    <t>1. Presence of written SOP on how to process and dispose of the different types of laboratory wastes.</t>
  </si>
  <si>
    <t>1.Presence of containers labeled for each waste category:
• Non-infectious (household) waste
• Infectious waste (including sharps)
• Infectious glassware for re-use
• Chemical waste</t>
  </si>
  <si>
    <t>2. Waste segregation flow chart is on the walls of the laboratory.</t>
  </si>
  <si>
    <t>3. Staff could explain the waste segregation flow chart (by interview).</t>
  </si>
  <si>
    <t>MOH ?</t>
  </si>
  <si>
    <t>1. Presence of working autoclave with autoclave bags</t>
  </si>
  <si>
    <t>2. Presence of SOP on how to use autoclave</t>
  </si>
  <si>
    <t>3. Infectious waste stored in autoclave bag at secured location.</t>
  </si>
  <si>
    <t>4. Infectious waste are autoclaved before incinerating</t>
  </si>
  <si>
    <t>1. Incinerator existed in hospital and work properly</t>
  </si>
  <si>
    <t xml:space="preserve">2. Presence of SOP for properly incinerated waste. </t>
  </si>
  <si>
    <t>3. Minute of training to target staff on this SOP.</t>
  </si>
  <si>
    <t>4. Presence of Read and Understood form signed by target staff.</t>
  </si>
  <si>
    <t>5. Waste was incinerated properly.</t>
  </si>
  <si>
    <t>1. All shaps wastes are stored in sharps container</t>
  </si>
  <si>
    <t>2. Sharps containers are autoclaved</t>
  </si>
  <si>
    <t>3. Sharps containers are incinerated properly</t>
  </si>
  <si>
    <t>1. Minute of meeting</t>
  </si>
  <si>
    <t>2. Area around the incinerator is free from clutter.</t>
  </si>
  <si>
    <t>3. Presence of SOP which mentioned about free from clutter around incinerator.</t>
  </si>
  <si>
    <t>1. Presence of functioned autoclave</t>
  </si>
  <si>
    <t>2. Presence of waste container for infectious glasswares for re-use.</t>
  </si>
  <si>
    <t>3. Infectious glasswares for re-use are autoclave correctly</t>
  </si>
  <si>
    <t>1. Presence of various type of chemical waste containers with clear labels</t>
  </si>
  <si>
    <t>2. Presence of SOP on disposing chemical wastes.</t>
  </si>
  <si>
    <t>1. Different types of chemical wastes are stored in chemical waste containers accordingly.</t>
  </si>
  <si>
    <t>2. Presence of treatment place for chemical waste</t>
  </si>
  <si>
    <t>Presence of biohazard containers and normal waste with clear labels</t>
  </si>
  <si>
    <t>2. Presence of Read and Understand form signed by staff</t>
  </si>
  <si>
    <t>1. Presence of SOP on normal waste processing (according to local/national regulation.)</t>
  </si>
  <si>
    <t>1. Presence of list of all safety procedures needed</t>
  </si>
  <si>
    <t>2. Presence of folder of Biosafety manual</t>
  </si>
  <si>
    <t>3. Presence of the Read and Understand List signed by staffs</t>
  </si>
  <si>
    <t>1. Presence of biosafety manual which includes all the neccessary elements</t>
  </si>
  <si>
    <t>1. Presence of general safety rules/instructions in the folder of biosafety manual</t>
  </si>
  <si>
    <t>1. Presence of preventive safety procedures in the folder of biosafety manual</t>
  </si>
  <si>
    <t>1. Presence of​ procedures for emergency situations in the folder of biosafety manual</t>
  </si>
  <si>
    <t>Presence of signatures of author, reviewer, and lab manager for all SOPs.</t>
  </si>
  <si>
    <t>The biosafety manaul locates at easily accessible place</t>
  </si>
  <si>
    <t>Presence of the Read and Understand Form including all staffs'signatures</t>
  </si>
  <si>
    <t>1. Presence of SOP on cleaning laboratory building</t>
  </si>
  <si>
    <t>2. Presence of  the Read and Understand Form for SOP on cleaning laboratory building including all staffs' signatures</t>
  </si>
  <si>
    <t>Presence of cleaning schedule on wall or somewhere else</t>
  </si>
  <si>
    <t>1. Presence of spill kits (at  least two)</t>
  </si>
  <si>
    <t>Presence of SOP to deal with:</t>
  </si>
  <si>
    <t xml:space="preserve"> Infectious spills (outside a BSC)</t>
  </si>
  <si>
    <t>Infectious spills (contained within a BSC)</t>
  </si>
  <si>
    <t xml:space="preserve"> Breakage of tubes inside sealed buckets (safety cups)</t>
  </si>
  <si>
    <t>Chemicals spills</t>
  </si>
  <si>
    <t>1. Presence of first aid training course</t>
  </si>
  <si>
    <t>2. Copies of the first aid provider certificates</t>
  </si>
  <si>
    <t>Presence of first aid kits at accessible location</t>
  </si>
  <si>
    <t>Laboratory Manager:</t>
  </si>
  <si>
    <t>1. Decide how many persons the Quality Project Team must consist of, compared to the amount of work that needs to be done (this depends on the size of the laboratory) and the laboratory's deadline for receiving accreditation. However, be mindful that the group should be small with a maximum of 6 persons to keep the situation manageable and workable. Experience has shown that too many people in this team can lead to complications and delays.</t>
  </si>
  <si>
    <t>2. Appoint staff members as members of the Quality Project Team. Include the Biosafety Officer who will also be appointed in this phase. Appoint a chair of this team; this will be the Quality Focal Person of the laboratory.</t>
  </si>
  <si>
    <t>3. Take into account that being member of the Quality Project Team will take time that the staff members can't spend on doing their regular work. This is especially the case for the Quality Focal Person. If needed, hire new staff or reorganize the laboratory (if possible) to prevent overburdening of Quality Project Team members (or their colleagues).</t>
  </si>
  <si>
    <t>4. Explain to the Quality Project Team members and the Quality Focal Person what their tasks and responsibilities are.</t>
  </si>
  <si>
    <t>5. Schedule the first meetings of the team (at least twice per month but more often if convenient).</t>
  </si>
  <si>
    <t>6. Monitor the work of the team. Help to solve problems if these occur and take care that the team keeps functioning correctly.</t>
  </si>
  <si>
    <t>Quality Focal Point:</t>
  </si>
  <si>
    <t>1. Lead the team meetings and appoint one team member who has to write minutes of these meetings.</t>
  </si>
  <si>
    <t>2. Monitor the progress of the activities (discuss action points in the minutes, see below).</t>
  </si>
  <si>
    <t>3. Inform the Laboratory Manager about the developments.</t>
  </si>
  <si>
    <t>Quality Project Team member assigned with the task to write minutes:</t>
  </si>
  <si>
    <t>1. Make minutes of each meeting and distribute these to the rest of the team within one day after the meeting. They should at least consist of the following parts:</t>
  </si>
  <si>
    <t>Summary of what was discussed during the meeting.</t>
  </si>
  <si>
    <t>Overview of SMART action points (click here to go to the activity on making SMART action points).</t>
  </si>
  <si>
    <t>Agenda for the next meeting, including the planned date of the next meeting.</t>
  </si>
  <si>
    <t>2. Take a new folder and name this "Minutes".</t>
  </si>
  <si>
    <t>3. Insert a tab entitled "Quality Project Team Minutes" and archive the minutes in this folder behind this tab.</t>
  </si>
  <si>
    <t>NOTE: a template of minutes is added in the right-hand column that can be used for writing minutes of the Quality Project Team meetings. Feel free to adapt this template to suit your demands and wishes.</t>
  </si>
  <si>
    <t>Is the completion of action points and action plans checked on a monthly basis and, if necessary, followed-up?
I.e. do you see action points that have not been completed while their deadline has passed?</t>
  </si>
  <si>
    <t>A-t-on vérifié sur une base mensuelle si les actions à mener et les plans d'action étaient terminés et, si nécessaire, un suivi a-t-il été organisé ?
En d'autres termes, y a-t-il des actions à mener qui n'ont pas été achevées alors que la date butoir était dépassée ?</t>
  </si>
  <si>
    <t>Проверяется ли ежемесячно завершение действий и планов и, если требуется, планируются ли последующие действия?
Последующие действия требуются в том случае, если вы видите пункты, которые не были завершены в отведенный срок.</t>
  </si>
  <si>
    <t>¿Se comprueba mensualmente si los puntos y planes de acción se han completado? ¿Se realiza un seguimiento de su evolución en caso necesario?
Es decir, ¿hay puntos de acción que aún no se hayan completado después de su fecha límite de ejecución?</t>
  </si>
  <si>
    <t>Making SMART action points:</t>
  </si>
  <si>
    <t>Applicable to all staff members that have to assign tasks to other staff members:</t>
  </si>
  <si>
    <t>1. Determine for every task that needs to be done who should do it, when it should be done, and formulate the action point such that you can "measure" (or check) at the deadline whether the action point really has been completed.</t>
  </si>
  <si>
    <t>2. Formulate specifically what should be done and take care not to make the action point too extensive.</t>
  </si>
  <si>
    <t>3. If an action point is too extensive, split it into multiple action points. Hence, don't say "replace the floors in the laboratory" but divide the process of replacing floors into multiple steps with step 1: "find the most suitable floor material for the laboratory", step 2: "calculate the costs of replacing floors in the laboratory", etc.</t>
  </si>
  <si>
    <t>4. Discuss in meetings the progress of implementing action points.</t>
  </si>
  <si>
    <t>Making Action Plans:</t>
  </si>
  <si>
    <t>Applicable to all staff members that have to make SMART action plans:</t>
  </si>
  <si>
    <t>For making action plans you can use the Template of an Action Plan provided in the right-hand column.</t>
  </si>
  <si>
    <t>1. Make the action plan.</t>
  </si>
  <si>
    <t>2. Give the action plan to the Quality Focal Point.</t>
  </si>
  <si>
    <t>1. Include all the action points of the action plan in the minutes of the weekly staff meetings (see next activity). This enables monitoring of timely implementation of all action points: the status of their implementation is discussed every week.</t>
  </si>
  <si>
    <t>2. Take a new folder and name this "Action Plans".</t>
  </si>
  <si>
    <t>3. Put two tabs in the folder and name them "Open action plans" and "Completed action plans".</t>
  </si>
  <si>
    <t>4. Put all the action plans in the folder.</t>
  </si>
  <si>
    <t>5. The Laboratory Manager must check every month which action points have been completed, which are still open and which need follow-up. When all the action points of one action plan have been completed the manager must sign the action plan and move it to the tab "Completed action plans".</t>
  </si>
  <si>
    <t>Laboratory management:</t>
  </si>
  <si>
    <t>1. Schedule weekly staff meetings at a convenient time at which everybody is present.</t>
  </si>
  <si>
    <t>2. Chair the staff meetings and assign the secretary to make minutes of these meetings. The following items should be discussed:</t>
  </si>
  <si>
    <t>Regular issues</t>
  </si>
  <si>
    <t>Quality issues</t>
  </si>
  <si>
    <t>Nonconformities (complaints received, accidents, defects of equipment/facility, organizational issues, errors in documents, etc.)</t>
  </si>
  <si>
    <t>Safety issues</t>
  </si>
  <si>
    <t>Status of action points (see previous activity)</t>
  </si>
  <si>
    <t>Question round (opportunity for each staff member to ask questions)</t>
  </si>
  <si>
    <t>3. If certain discussions give rise to the need to undertake action, this action should be translated into SMART action point(s). These need to be included in the minutes of the meeting and their status is checked every following meeting. For example: when a staff members indicates that there is a problem, a decision should be made on how this must be solved. This solution must then be translated into SMART action points and included in the minutes. Every next staff meeting the status of completion of the action points is checked.</t>
  </si>
  <si>
    <t>Secretary:</t>
  </si>
  <si>
    <t>1. Make minutes of each meeting. They should at least consist of the following parts (see activity earlier in phase 1):</t>
  </si>
  <si>
    <t>Summary of what was discussed during the meeting</t>
  </si>
  <si>
    <t>Overview of SMART action points</t>
  </si>
  <si>
    <t>Agenda for the next meeting, including the planned date of the next meeting. In the right-hand column a template of Minutes is provided that can be used.</t>
  </si>
  <si>
    <t>2. Distribute the minutes to all staff members within the next 3 (working) days.</t>
  </si>
  <si>
    <t>3. Take the Minutes folder (made earlier in phase 1) and put a tab in this folder with the name "Weekly staff meetings". Store the minutes behind this tab (a tab is necessary because also minutes of other meetings, such as Quality Project Team meetings, will be stored in this folder).</t>
  </si>
  <si>
    <t>1. Start with making a "profile" of the position Biosafety Officer. This means: make a description of the tasks and responsibilities for the Biosafety Officer.</t>
  </si>
  <si>
    <t>2. After this, choose a staff member that is willing to, and competent to be the Biosafety Officer. Appoint this staff member as Biosafety Officer and discuss with him/her the tasks and responsibilities belonging to this position.</t>
  </si>
  <si>
    <t>3. After appointing the Biosafety Officer explain to all staff members who the Biosafety Officer is and what his/her tasks and responsibilities are.</t>
  </si>
  <si>
    <t>Laboratory Management:</t>
  </si>
  <si>
    <t>1. Read the WHO LQMS sheet with General Information on Equipment Management (in the right-hand column).</t>
  </si>
  <si>
    <t>3. Select the most appropriate staff member for the position of Equipment Officer.</t>
  </si>
  <si>
    <t>4. Appoint this staff member as Equipment Officer.</t>
  </si>
  <si>
    <t>5. The position of Equipment Officer is part time, but it poses an extra burden on the normal work activities of this staff member. If the tasks become to many and the staff member is overburdened with work, allocate tasks of the Equipment Officer’s former work to other staff members or hire additional staff if necessary.</t>
  </si>
  <si>
    <t>If some pieces of equipment need regular calibration or specified maintenance and there is no availability of specified technical maintenance companies in-country, identify funding and send the Equipment Officer to training on technical maintenance and calibration of these pieces of equipment. Where possible include technical training on maintenance in calibration in tenders for new equipment.</t>
  </si>
  <si>
    <t>1. Make a lists of tasks and responsibilities for the position of Stock Officer (these will later be used when writing the Position Job Description, Authorization Matrix, and the Personal Job Description).</t>
  </si>
  <si>
    <t>2. Although the position of Stock Officer can be a part-time position for most laboratories, the addition of this position means addition of new tasks to the set of tasks already in place. Determine if the current utilization of personnel in the laboratory allows for burdening one staff member with the additional tasks belonging to the position of Stock Officer. If the current utilization of personnel does not allow the appointment of an already existing staff member as Stock Officer, a new staff member must be hired.</t>
  </si>
  <si>
    <t>3. Select a staff member most suited for the position of Stock Officer and appoint him/her for this position. Explain him/her the tasks and responsibilities.</t>
  </si>
  <si>
    <t>4. Present to all the laboratory staff in a weekly staff meeting the staff member that has been appointed as Stock Officer and explain the tasks and responsibilities of this position. This way all the staff members know what to ask of the Stock Officer and, equally important, what not.</t>
  </si>
  <si>
    <t>1. If the laboratory is part of a hospital or other organization, two Organizational Charts are needed:</t>
  </si>
  <si>
    <t>One Organizational Chart showing the place of the laboratory within the total organization.</t>
  </si>
  <si>
    <t>One chart showing the organization of positions within the laboratory itself.</t>
  </si>
  <si>
    <t>If your laboratory is part of a bigger organization make the Organizational Chart as described in the first bullet point. This means that you have to identify all the departments of the bigger organization and the place of the laboratory within this network. In the right-hand column an example of such an Organizational Chart is added.</t>
  </si>
  <si>
    <t>2. Make a list of names of all the positions in the laboratory. Examples are: Laboratory Manager, Quality Focal Point, Biosafety Officer, Equipment Officer, Laboratory Technologist, Laboratory Attendant, Technical Officer, etc.</t>
  </si>
  <si>
    <t>3. Using this list, make the Organizational Chart as described in the second bullet point. In the right-hand column also an example of this chart is added which you can use for making your own chart. In the chart every section of the laboratory must be clearly distinguishable, including its relation to other positions in the hierarchy. The persons responsible for the quality (the Quality Project Team and Quality Focal Point) should not be held accountable for the functioning of the laboratory and quality management system in particular. As such they should not be in a position that has authority over other positions: they only monitor the functioning of the quality management system and provide this information to the Laboratory Manager who, based on this information, can assign tasks to staff members to direct quality management system implementation. Therefore the persons responsible for the quality management system are in an advisory position (see the template organizational chart provided in the right-hand column). When advisory positions are held accountable for the performance of the subject they provide advice on, they may be restrained from providing information to the Laboratory Manager when the performance is poor because they fear consequences for their employment.</t>
  </si>
  <si>
    <t>4. Make a short description (300 words) of each position: what is the core function and what are the responsibilities?</t>
  </si>
  <si>
    <t>5. List for each position the names of the staff members in that position. Indicate for each key position who can replace him/her when absent. See for an illustration the Example Organizational Chart B provided in the right-hand column.</t>
  </si>
  <si>
    <t>6. If an Organizational Chart for the total organization (described at the first bullet point above) was made, this chart must be reviewed, signed and dated by the management of the total organization (e.g. hospital management).</t>
  </si>
  <si>
    <t>7. Sign and date the Organizational Chart showing the organization of positions in the laboratory itself.</t>
  </si>
  <si>
    <t>8. In phase 3 the Quality Manual will be developed. The Organizational Charts will be part of the Quality Manual. Until then, store the Organizational Charts in a new folder entitled "Organization". This folder must be accessible to all staff members.</t>
  </si>
  <si>
    <t>1. Organize a work meeting to carry-out this activity.</t>
  </si>
  <si>
    <t>In the right-hand column of this webpage, an introduction to quality from the WHO Laboratory Quality Management System (LQMS) handbook is provided. This can be used to explain the staff the first basic principles of quality management. There is also a document with information for the laboratory manager regarding the implementation of the quality management system.</t>
  </si>
  <si>
    <t>Also provided is a publication by Walters (2011), which discusses the importance of involving staff in the implementation of an ISO 15189 quality management system. Permission to reproduce the paper was kindly provided by NP Communications/Medical Laboratory Observer Magazine.</t>
  </si>
  <si>
    <t>1. Select an appropriate course/training.</t>
  </si>
  <si>
    <t>2. Identify funding for this training.</t>
  </si>
  <si>
    <t>3. Take a new folder and name this "Personnel Files".</t>
  </si>
  <si>
    <t>4. Add tabs to this folder with the name of each staff member on one tab.</t>
  </si>
  <si>
    <t>5. After the training, archive a copy of the certificate of each staff member in this folder behind the correct tab.</t>
  </si>
  <si>
    <t>6. Store the folder in the archive. Store it behind lock and key to prevent unauthorized access as the folder may contain sensitive personal data (maybe not now but certainly in the future).</t>
  </si>
  <si>
    <t>7. Note that when new staff members are hired, the laboratory must also properly teach these staff members in the principles of quality management and the quality management system.</t>
  </si>
  <si>
    <t>1. Find funds for training of the Biosafety Officer.</t>
  </si>
  <si>
    <t>2. Find an appropriate training in Laboratory Biosafety.</t>
  </si>
  <si>
    <t>3. After participating in the training store the certificate in the folder Personnel Files behind the tab of the Biosafety Officer and store it in the archive.</t>
  </si>
  <si>
    <t>1. Make a list of all the activities performed in the laboratory. Examples are: ordering of reagents, signing for receipt of reagents, checking if the reagents comply with what was orders, etc. The best way is to first list all the sections of the laboratory, then list all the procedures performed in those sections, and subsequently identify steps in each procedure for which the authorizations need to be defined. Use a pragmatic approach and don't be afraid to forget some activities; you can always add these later.</t>
  </si>
  <si>
    <t>2. Make the outline of the Authorization Matrix (see the Example Authorization Matrix provided in the right-hand column). It is strongly recommended to keep the Authorization Matrix as a "living document". Hence, don't print it on paper but, if possible, use a spreadsheet and keep the document digitally. This way you can change and amend it any time you want. Experiences show that this is much more convenient, especially in the beginning.</t>
  </si>
  <si>
    <t>3. Define per activity which position/section in the laboratory is responsible and which positions/sections are authorized to perform the activity (in the previous activity a list of positions in the laboratory was made). Indicate this in the Authorization Matrix. Don't forget that somebody in the organization (usually the Laboratory Manager) must be authorized him/herself to authorize other staff members to perform specific activities and to adapt the Authorization Matrix.</t>
  </si>
  <si>
    <t>4. Sign and date the Authorization Matrix.</t>
  </si>
  <si>
    <t>5. Store the Authorization Matrix in the folder Organization or keep it digitally and make it accessible to all staff members.</t>
  </si>
  <si>
    <t>6. Explain in a weekly staff meeting to the staff that the Organizational Charts and an Authorization Matrix have been developed. Explain to the staff members the relation between the Authorization Matrix and their positions and that they are free to look into the Authorization Matrix to find out about their tasks, responsibilities and authorizations. It is important that staff members check their authorizations when they are unsure whether they are allowed to perform a certain task or not.</t>
  </si>
  <si>
    <t>1. When you developed the Authorization Matrix you drafted a list of all the positions in the laboratory. Make a description of each position, including tasks, responsibilities and authorities. See the Example Position Job Description provided in the right-hand column to give you an idea of the writing-style, outline and contents. Use the Authorization Matrix as basis to include the major responsibilities and authorities of each position. Include at least information about:</t>
  </si>
  <si>
    <t>Required education</t>
  </si>
  <si>
    <t>Required experience</t>
  </si>
  <si>
    <t>Required theoretical and practical background</t>
  </si>
  <si>
    <t>Required demonstrated skills</t>
  </si>
  <si>
    <t>2. Store the position job descriptions in the folder Organization you made earlier in this phase. Make a new tab titled "Position Job Descriptions". Store the position descriptions behind this tab.</t>
  </si>
  <si>
    <t>1. Make Personal Job Descriptions specific for each staff member.</t>
  </si>
  <si>
    <t>2. Store the Personal Job Descriptions behind the tab of each staff member in the Personnel Files folder.</t>
  </si>
  <si>
    <t>1. Start collecting copies of diplomas/certificates of all the education each staff member has completed (including short courses relevant to the work).</t>
  </si>
  <si>
    <t>2. Store these in the folder Personnel Files behind the tab of that specific staff member.</t>
  </si>
  <si>
    <t>3. Decide, based on the educational background of each staff member and the tasks the staff member is routinely performing, which additional training is needed. If competency assessment is already being done, you can also use the results of these activities to see how staff members perform and if they need additional training.</t>
  </si>
  <si>
    <t>4. Identify appropriate courses for each staff member and search funding to finance these.</t>
  </si>
  <si>
    <t>5. After participating in the training, each staff member should submit his/her certificate to you; make a copy of this and store this in the folder Personnel Files behind the tab of that specific staff member. Hand the original certificate back to the staff member.</t>
  </si>
  <si>
    <t>Equipment Officer:</t>
  </si>
  <si>
    <t>1. Make an inventory of equipment present in the laboratory. You can do this on paper or digitally if possible. It is more convenient to make a digital register as this poses less work when adaptions need to be made. Be sure to include all the details listed above. In the right-hand column a template Equipment Register is provided that includes the above listed details.</t>
  </si>
  <si>
    <t>2. Be sure to include all equipment. Think of computers, autoclaves, incubators, centrifuges, laminar flow cabinets, pipettes, timer clocks, etc.</t>
  </si>
  <si>
    <t>3. Determine for each piece of equipment if it is functioning properly for the examinations performed. Also ask the staff members using the piece of equipment frequently whether it functions properly.</t>
  </si>
  <si>
    <t>4. If you have identified a nonfunctional piece of equipment and this piece of equipment has a direct critical effect on laboratory testing, put it out of service, determine which repair must be performed, and explain this to the laboratory manager. Critical means that the absence of a properly functioning piece of equipment makes specific routine laboratory examinations impossible to be performed.</t>
  </si>
  <si>
    <t>5. Determine if there is a critical need for a specific piece of equipment that is not present in the laboratory at this moment.</t>
  </si>
  <si>
    <t>6. If this is the case, list the characteristics of the piece of equipment needed and submit this to the Laboratory Manager.</t>
  </si>
  <si>
    <t>1. When the Equipment Officer indicates that specific pieces of equipment need repair, identify funding and arrange repair. If extensive repairs are needed to a certain piece of equipment, determine whether it is more cost efficient to purchase a new piece of equipment or to go on with repairing the old piece of equipment.</t>
  </si>
  <si>
    <t>2. The Equipment Officer also drafts a list with new equipment needed to enable correct performance of laboratory examinations. Investigate the procurement options for each piece of equipment and determine the amount of funding needed. In choosing the equipment take into account:</t>
  </si>
  <si>
    <t>3. Identify the funding and purchase the required equipment.</t>
  </si>
  <si>
    <t>Quality Project Team/Quality Focal Point in cooperation with the Equipment Officer and the Laboratory Manager:</t>
  </si>
  <si>
    <t>1. Make a list of SOPs needed.</t>
  </si>
  <si>
    <t>2. Determine who must write the SOPs. In most cases it can be the Equipment Officer. However, when a specific colleague is the one most often operating one specific piece of equipment, it may be better if this person writes the SOP for that piece of equipment in cooperation with the Equipment Officer.</t>
  </si>
  <si>
    <t>Quality Project Team/Quality Focal Point:</t>
  </si>
  <si>
    <t>1. Make a planning for writing the SOPs.</t>
  </si>
  <si>
    <t>2. When colleagues have to write certain SOPs guide them in this process to make sure that the SOPs are written correctly and are complete (in concordance with the Master SOP also developed in phase 1). Note that when equipment needs regular calibration, the SOP must also describe this procedure.</t>
  </si>
  <si>
    <t>3. When drafts of SOPs have been written, forward a copy to one or two colleagues for review.</t>
  </si>
  <si>
    <t>4. Improve the drafts based on the suggestions for improvement received from the reviewer colleagues.</t>
  </si>
  <si>
    <t>5. Finalize the SOPs, print them and put them in a new folder which you entitle "Equipment SOPs".</t>
  </si>
  <si>
    <t>6. Staff members who regularly use the pieces of equipment for which the SOPs have been written must read the SOPs. Include the SOP in the Read and Understand List and indicate which staff members have to read the SOP.</t>
  </si>
  <si>
    <t>7. Present the new SOPs to staff members in a weekly staff meeting and name the staff members who have to read the new SOPs. Explain that they must sign the Read and Understand List when they have read the SOP. Also explain where they can find the SOPs and the Read and Understand List.</t>
  </si>
  <si>
    <t>8. Regularly check that every staff member has read the SOPs. If some staff member lag too far behind, indicate this to the Laboratory Management.</t>
  </si>
  <si>
    <t>1. If the Quality Focal Point indicates that certain staff members lag too far behind in reading the SOPs assigned to them, motivate these staff members to read the SOPs.</t>
  </si>
  <si>
    <t>Stock Officer:</t>
  </si>
  <si>
    <t>1. Design the Stock Card. The Template Stock Card provided in the right-hand column could be used as a start.</t>
  </si>
  <si>
    <t>2. If on paper: Print a sufficient number of Stock Cards (of each item in the stock a Stock Card should be filled-out).</t>
  </si>
  <si>
    <t>3. Take a new folder and title this "Stock Inventory Register". Place two tabs in this folder, one named "Orders" and one named "Stock Inventory". Order forms of orders that have not yet been received by the laboratory are placed behind the "Orders"-tab and the Stock Cards with details of all items already in stock are placed behind the "Stock Inventory"-tab. If an electronic register is used: create a similar system that helps you to keep track of which items are ordered and which are already in stock (and in which quantity).</t>
  </si>
  <si>
    <t>4. Fill-out a Stock Card for each item in stock.</t>
  </si>
  <si>
    <t>5. If necessary, make a good system for orderly division of items in stock. E.g. place items in alphabetical order of names and place the oldest item in the front and the newer items in the back so that the older items are used first, decreasing the risk of using expired products.</t>
  </si>
  <si>
    <t>6. Present to all staff members in a weekly staff meeting how the stock inventory system works and what a Stock Card is. The laboratory manager will explain that nobody is authorized any longer to take items from stock and that they have to ask you if they need something. This way you can keep the Stock Cards up to date and prevent differences between the quantities in the stock register and the actual stock as much as possible. Note that you always have to help colleagues who need something from the stock directly.</t>
  </si>
  <si>
    <t>7. Perform a stock balance once per quarter: count of each item how many there are in stock, and see if this is in accordance with the amount indicated on the Stock Card. If not, update the Stock Card. Also check expiration dates and discard items that are expired.</t>
  </si>
  <si>
    <t>1. Stress during the weekly staff meeting in which the Stock Officer presents how the stock inventory system works that the Stock Officer is now the only person that is allowed to take items from the stock. This way the Stock Officer can update the Stock Cards directly and it is prevented that quantities in stock start to differ from quantities in the register. Explain also that each newly arrived order must be inspected and unpacked by the Stock Officer. Nobody is allowed to place items in the stock him/herself as the laboratory must segregate uninspected/unaccepted supplies from inspected/accepted supplies.</t>
  </si>
  <si>
    <t>2. Adapt the Authorization Matrix to specify that nobody is authorized to take items from stock except for the Stock Officer.</t>
  </si>
  <si>
    <t>Quality Focal Point (together with a staff member who can provide useful input on developing the Request Form):</t>
  </si>
  <si>
    <t>1. Develop the Request Form including the required elements summed-up above (see ISO 15189:2007 article 5.4.1 and ISO 15189:2012 article 5.4.3).</t>
  </si>
  <si>
    <t>2. Present the Request Form in a weekly staff meeting and ask for suggestions for improvement. Some staff members may have valuable suggestions which you may not have thought of when making the form.</t>
  </si>
  <si>
    <t>3. Present the Request Form to several clinicians and also ask them for suggestions for improvement. Clinicians have a different perspective that could lead to some valuable suggestions for improvement.</t>
  </si>
  <si>
    <t>4. Optimize the Request Form based on the suggestions for improvement received from both the laboratory staff and the clinicians.</t>
  </si>
  <si>
    <t>5. Print the Request Form: make as much copies as needed to provide all the clinicians that regularly request laboratory testing with enough forms. Notify the clinicians that they have to contact the laboratory if they need more Request Forms. Explain the clinicians that they have to start using the new Request Forms as from now and throw away all the old Request Forms.</t>
  </si>
  <si>
    <t>Quality Project Team in cooperation with the Laboratory Manager:</t>
  </si>
  <si>
    <t>1. Determine which staff members are most suitable to write each of the SOPs.</t>
  </si>
  <si>
    <t>2. Laboratory Manager:</t>
  </si>
  <si>
    <t>Assign the selected staff members to write the SOPs. Explain the procedure of writing SOPs and tell them to familiarize themselves with the Master SOP and use the protocol for writing Analysis SOPs in the Master SOP and using the template for an Analysis SOP attached to the Master SOP. Explain that if they have questions they can go to a member of the Quality Project Team.</t>
  </si>
  <si>
    <t>Clearly define the tasks of the staff member (creating the SOP content: writing the procedure and other paragraphs of the SOPs) and of the Quality Project Team (optimizing the SOP structure and lay-out to make it complying with the Master SOP guidelines. This way everybody knows what to do and double efforts are prevented.</t>
  </si>
  <si>
    <t>Make SMART appointments with the different staff members when to finish their tasks to keep this process going.</t>
  </si>
  <si>
    <t>3. When SOPs are ready (i.e. written, reviewed, and authorized) determine at which location copies of the SOPs must be available and indicate these locations on the SOP to keep track of this and to know where to replace old copies when the SOPs are revised. Make folders entitled "Analysis SOPs" for storing the SOPs at the various locations identified.</t>
  </si>
  <si>
    <t>4. Include the SOPs in a Read and Understand List and indicate which staff members must read and understand the SOPs (those for whom the SOPs are relevant). A template for a Read and Understand List is provided in the right-hand column.</t>
  </si>
  <si>
    <t>5. Present the SOPs and where to find them in a weekly staff meeting to all the staff members. Explain which staff members have to read the SOPs and explain about the Read and Understand List and that they must sign the list when they have read an SOP.</t>
  </si>
  <si>
    <t>6. Monitor that all the staff members have read the SOPs assigned to them. If not, remind them that they still have to do this.</t>
  </si>
  <si>
    <t>Quality Project Team (including the Laboratory Manager):</t>
  </si>
  <si>
    <t>1. A document with general background information on documents and records of the WHO Laboratory Quality Management System (LQMS) training is provided in the right-hand column. Read this first.</t>
  </si>
  <si>
    <t>2. A document with background information on SOP writing of the WHO LQMS training is also provided. Read this as well.</t>
  </si>
  <si>
    <t>3. Read the template Master SOP provided in the right-hand column. This gives you an idea of how it should be written and how SOPs are made in general.</t>
  </si>
  <si>
    <t>4. Make a rough overview of what you want to describe in the Master SOP.</t>
  </si>
  <si>
    <t>5. Write the Master SOP.</t>
  </si>
  <si>
    <t>6. Let members of the Quality Project Team (that have not helped in writing the Master SOP) read the document and ask for suggestions for improvement.</t>
  </si>
  <si>
    <t>7. Improve the document.</t>
  </si>
  <si>
    <t>8. Print the final version of the Master SOP.</t>
  </si>
  <si>
    <t>9. Take a new folder and name this "Procedure SOPs". Put the Master SOP in this folder.</t>
  </si>
  <si>
    <t>10. Staff members have to read the SOP so that they also know what an SOP is and of which elements it consists. It is important that you can track who has read the SOP and who not. To track whether the staff members have read the SOPs, a Read and Understand List must be used. In the right-hand column a template of such a list is provided. Insert the names of all the laboratory staff members (if necessary add extra columns). Add the titles of the SOPs to the left column. Cross the cells of the staff members that do not have to read a specific document. For clarity´s sake an example of a Read and Understand List with signatures and crossed cells is provided as well. In this example you also see cells without signatures. This means that the staff members with open cells in their column have not yet read the document in the row where these open cells are.</t>
  </si>
  <si>
    <t>11. Place the Read and Understand list at a location that is visible for all staff members such as a notice board.</t>
  </si>
  <si>
    <t>12. Present the Master SOP to all staff members in a weekly staff meeting and explain that all the SOPs must be written according to the procedure described in the Master SOP. Stress that everybody must read the Master SOP and, when they have read it, must sign the Read and Understand List. Explain where to find the Master SOP and the Read and Understand List.</t>
  </si>
  <si>
    <t>13. Regularly check on the list if every staff member has read the SOP. If not, motivate the staff members who have not yet signed the list to read the SOP.</t>
  </si>
  <si>
    <t>Laboratory Manager</t>
  </si>
  <si>
    <t>1. Build and prepare the assessment team.</t>
  </si>
  <si>
    <t>An assessment team should be assembled from appropriate personnel. The assessment can be carried out by:</t>
  </si>
  <si>
    <t>Laboratory specialists (representatives from public health, hospital, clinical, private or academic laboratories, etc.)</t>
  </si>
  <si>
    <t>Staff from the Ministry of Health</t>
  </si>
  <si>
    <t>WHO country office staff</t>
  </si>
  <si>
    <t>Public health specialists, epidemiologists</t>
  </si>
  <si>
    <t>Disease control programme officers (e.g. HIV, tuberculosis, malaria national control programmes)</t>
  </si>
  <si>
    <t>non-governmental organizations</t>
  </si>
  <si>
    <t>The roles and responsibilities of each team member should be clearly stated in the Terms of Reference document, and a team leader should be designated.</t>
  </si>
  <si>
    <t>Assessment Team:</t>
  </si>
  <si>
    <t>1. Review the LAT and adapt if necessary.</t>
  </si>
  <si>
    <t>The assessment team should review the Laboratory Assessment Tool/System Questionnaire and the Laboratory Assessment Tool/Facility Questionnaire and adjust them according to the local structure and needs. The team should ultimately agree on the assessment questionnaire(s) to be used and familiarize themselves with the questions.</t>
  </si>
  <si>
    <t>2. Collect documents for review.</t>
  </si>
  <si>
    <t>Key documents such as regulations, guidelines, and manuals should be collected as much as possible in advance. A non-exhaustive list of useful documents to gather is provided in the Laboratory Assessment Tool (see pages 17-19).</t>
  </si>
  <si>
    <t>3. Plan for meetings, interviews and field visits.</t>
  </si>
  <si>
    <t>The assessment team should create a planning agenda for the assessment process, clearly stating the deadline dates, the expected outcomes/deliverables and identifying the persons responsible for each task. Requests for interviews, meetings and documents should be sent ahead of time. Translations and interpretations, if needed, must be planned for.</t>
  </si>
  <si>
    <t>4. Conduct the assessment.</t>
  </si>
  <si>
    <t>The assessment should be conducted using the previously agreed-upon questionnaire. If necessary, the members of the assessment team can separate into smaller groups to cover different technical or geographical areas.</t>
  </si>
  <si>
    <t>5. Prepare the assessment report.</t>
  </si>
  <si>
    <t>Ideally, a draft report could be drafted during the assessment mission and shared across the team before the final day. The assessment team should agree on the report content (main recommendations) as well as the format, length and dissemination process. This report, together with the findings of the assessment, should be used to help plan the process to implement the quality management system.</t>
  </si>
  <si>
    <r>
      <t>Make sure that laboratory staff have access to appropriate post-exposure prophylaxis (PEP), diagnostic and medical services (including financial assistance when needed). Do this also in cooperation with the Laboratory Manager. PEP is a prophylactic that can be administered directly after a potential infection with a pathogen. Examples of diseases for which PEP must be available: Rabies, HIV, Tetanus and Hepatitis A, B and C. For more information the World Health Organization (WHO)/International Labour Organization (ILO) developed a </t>
    </r>
    <r>
      <rPr>
        <sz val="11"/>
        <color rgb="FF1E7FB8"/>
        <rFont val="Bell MT"/>
        <family val="1"/>
      </rPr>
      <t>guide for HIV PEP</t>
    </r>
    <r>
      <rPr>
        <sz val="11"/>
        <color rgb="FF3B3B3B"/>
        <rFont val="Bell MT"/>
        <family val="1"/>
      </rPr>
      <t>. The WHO also has a </t>
    </r>
    <r>
      <rPr>
        <sz val="11"/>
        <color rgb="FF1E7FB8"/>
        <rFont val="Bell MT"/>
        <family val="1"/>
      </rPr>
      <t>webpage on Rabies PEP</t>
    </r>
    <r>
      <rPr>
        <sz val="11"/>
        <color rgb="FF3B3B3B"/>
        <rFont val="Bell MT"/>
        <family val="1"/>
      </rPr>
      <t>.</t>
    </r>
  </si>
  <si>
    <r>
      <t>2. Make a list of tasks and responsibilities for the position of Equipment Officer (these will later be used when writing the </t>
    </r>
    <r>
      <rPr>
        <sz val="11"/>
        <color rgb="FF1E7FB8"/>
        <rFont val="Bell MT"/>
        <family val="1"/>
      </rPr>
      <t>Position Job Description</t>
    </r>
    <r>
      <rPr>
        <sz val="11"/>
        <color rgb="FF3B3B3B"/>
        <rFont val="Bell MT"/>
        <family val="1"/>
      </rPr>
      <t>, </t>
    </r>
    <r>
      <rPr>
        <sz val="11"/>
        <color rgb="FF1E7FB8"/>
        <rFont val="Bell MT"/>
        <family val="1"/>
      </rPr>
      <t>Authorization Matrix</t>
    </r>
    <r>
      <rPr>
        <sz val="11"/>
        <color rgb="FF3B3B3B"/>
        <rFont val="Bell MT"/>
        <family val="1"/>
      </rPr>
      <t>, and the </t>
    </r>
    <r>
      <rPr>
        <sz val="11"/>
        <color rgb="FF1E7FB8"/>
        <rFont val="Bell MT"/>
        <family val="1"/>
      </rPr>
      <t>Personal Job Description</t>
    </r>
    <r>
      <rPr>
        <sz val="11"/>
        <color rgb="FF3B3B3B"/>
        <rFont val="Bell MT"/>
        <family val="1"/>
      </rPr>
      <t>).</t>
    </r>
  </si>
  <si>
    <r>
      <t>That reagents are </t>
    </r>
    <r>
      <rPr>
        <u/>
        <sz val="11"/>
        <color rgb="FF3B3B3B"/>
        <rFont val="Bell MT"/>
        <family val="1"/>
      </rPr>
      <t>available</t>
    </r>
    <r>
      <rPr>
        <sz val="11"/>
        <color rgb="FF3B3B3B"/>
        <rFont val="Bell MT"/>
        <family val="1"/>
      </rPr>
      <t> and </t>
    </r>
    <r>
      <rPr>
        <u/>
        <sz val="11"/>
        <color rgb="FF3B3B3B"/>
        <rFont val="Bell MT"/>
        <family val="1"/>
      </rPr>
      <t>easily deliverable</t>
    </r>
    <r>
      <rPr>
        <sz val="11"/>
        <color rgb="FF3B3B3B"/>
        <rFont val="Bell MT"/>
        <family val="1"/>
      </rPr>
      <t>.</t>
    </r>
  </si>
  <si>
    <r>
      <t>That specific technical maintenance must be possible (e.g. a maintenance company is available that is capable of performing specified </t>
    </r>
    <r>
      <rPr>
        <u/>
        <sz val="11"/>
        <color rgb="FF3B3B3B"/>
        <rFont val="Bell MT"/>
        <family val="1"/>
      </rPr>
      <t>technical maintenance</t>
    </r>
    <r>
      <rPr>
        <sz val="11"/>
        <color rgb="FF3B3B3B"/>
        <rFont val="Bell MT"/>
        <family val="1"/>
      </rPr>
      <t> on the equipment, or that training can be given in the laboratory by the company that installs the piece of equipment, in order to learn how to perform maintenance on the equipment).</t>
    </r>
  </si>
  <si>
    <t>1. Official Nomination Letter existed for Quality Officer.</t>
  </si>
  <si>
    <t>1. Presence of the minutes of the meeting</t>
  </si>
  <si>
    <t xml:space="preserve">1. Presence of the minute of meeting </t>
  </si>
  <si>
    <t>1. Presence of  Action plans with SMART.</t>
  </si>
  <si>
    <t xml:space="preserve">1. Presence of folder of action plans with logical structure with two tabs inside (completed action plans in the back and open action plans in the front and they sorted on date) </t>
  </si>
  <si>
    <t>1. Presence of signature and date on the completed action point and action plan.</t>
  </si>
  <si>
    <t>2. Presence of another plan for corrective action for 2nd cycle of PDCA for the non-completed action plan/point.</t>
  </si>
  <si>
    <t>Presence of minute for weekly staff meeting</t>
  </si>
  <si>
    <t>1. Presence of minute taker in the meeting</t>
  </si>
  <si>
    <t>2. Presence of minute for weekly staff meeting</t>
  </si>
  <si>
    <t>Presence of minute of weekly staff meeting that includes a summary of discussions, SMART action points and the agenda for next week</t>
  </si>
  <si>
    <t>Presence of folder named "minutes of weekly staff meeting" and the minutes of meeting are sorted by date</t>
  </si>
  <si>
    <t xml:space="preserve">1. Presence of Biosafety Officer with nomination letter 
</t>
  </si>
  <si>
    <t>1. Presence of tasks and responsbilities for  Biosafety Officer</t>
  </si>
  <si>
    <t>1. All staff have been informed who is the Biosafety Officer (check in minute of meeting)</t>
  </si>
  <si>
    <t>All staff members know the function of biosafety officer. At least the critical funtion of biosafety officer</t>
  </si>
  <si>
    <t>Presence of equipment officer and the list of  his/her tasks</t>
  </si>
  <si>
    <t>1. Equipment Officer has been trained as demonstrated by certificate of completion from trainings</t>
  </si>
  <si>
    <t>Presence of final personnel job description of Equipment officer.</t>
  </si>
  <si>
    <t>Presence of stock officer and the list of  his/her tasks</t>
  </si>
  <si>
    <t>All staff members know the function of stock officer. At least the critical funtion of stock officer</t>
  </si>
  <si>
    <t>1. All staff have been informed who is the Stock Officer (check in minute of meeting)</t>
  </si>
  <si>
    <t>All staff members know the tasks and responsibilities of stock officer.</t>
  </si>
  <si>
    <t>Presence of Organizational Chart showing the place of the laboratory within the total organization in laboratory document in the Quality Manual.</t>
  </si>
  <si>
    <t>Presence of date and signature/stamp of hospital director on the Organizational Chart showing the place of the laboratory within the total organization.</t>
  </si>
  <si>
    <t>Presence of Organizational chart  showing the organization of all positions within the laboratory in laboratory.</t>
  </si>
  <si>
    <t>Presence of date and signature/stamp of laboratory chief on the Organizational Chart</t>
  </si>
  <si>
    <t>1. Presence of organizational chart on the wall in the lab</t>
  </si>
  <si>
    <t>2. Presence of a copy of the organizational chart in Quality Manual</t>
  </si>
  <si>
    <t>2. Minute of meetings are existed.</t>
  </si>
  <si>
    <t>3. Presence of the letter of committment.</t>
  </si>
  <si>
    <t>4. Presence of letter of committment in the quality manual.</t>
  </si>
  <si>
    <t>1. a summary/presentation slides in Khmer language of  an introduction to quality and a publication by Walters (2011) existed.</t>
  </si>
  <si>
    <t>???</t>
  </si>
  <si>
    <t>Presence of certificate of training in the perosnnel folder</t>
  </si>
  <si>
    <t>1.​Presence of the copy of training certificate in Personnel Files.</t>
  </si>
  <si>
    <t>1. Presence of Authorization Matrix</t>
  </si>
  <si>
    <t>1. Authorization Matrix is signed and dated by Laboratory Manager</t>
  </si>
  <si>
    <t>1. Presence of Authorization Matrix in the folder Organization (and/or on the information board?)</t>
  </si>
  <si>
    <t>1. All staff members are know and sign the Authorization Matrix (minute of meeting)</t>
  </si>
  <si>
    <t>Presence of all position job description in the folder of Organization such as:
    1. Laboratory Manager
    2. Quality Officer
    3. Biosafety Officer
    4. Equipment Officer
    5. Laboratory Technologist
    6. Internal Auditor
    7. Secretariat
    8. Stock officer
    9. Occupational Health ...etc.</t>
  </si>
  <si>
    <t>Presence of Personal Job Descriptions for each staff in Personnel Files Folder</t>
  </si>
  <si>
    <t>Presence of the job description (both position and personel job description) with date and signature of the staff and the management</t>
  </si>
  <si>
    <t>Job description of all staff are orderly stored in the Personnel File folder</t>
  </si>
  <si>
    <t>1. Presence of all copies of diplomas/certificates of each staff member in the folder of Personnel Files.</t>
  </si>
  <si>
    <t>2. Presence of competency assessment report and upcoming training schedule/plan for each staff if needed (will see in phase 2).</t>
  </si>
  <si>
    <t>1. Presence of inventory list for all equipment.</t>
  </si>
  <si>
    <t xml:space="preserve">1. Presence of preventive maintenance logs </t>
  </si>
  <si>
    <t>2. Presence of contract with supplier/manufacturer for regular maintenance service.</t>
  </si>
  <si>
    <t>3. Presence of equipment corrective action log.</t>
  </si>
  <si>
    <t>1. Presence of list of all critical spare parts needed for critical equipment.</t>
  </si>
  <si>
    <t>2. Presence of those spare parts within the laboratory</t>
  </si>
  <si>
    <t>Presence of SOPs for all pieces of equipment such as:
- BSC
- Centrifuge
- Spectrophotometer
- Blood count analyzer
- Incubator
- Freezer
- ...etc.</t>
  </si>
  <si>
    <t>Presence of equipment SOPs nearby the location of equipment or accessible to all staff members</t>
  </si>
  <si>
    <t>2. Present of up to date stock card for every item</t>
  </si>
  <si>
    <t>1. Presence of  Stock Card for every item in Stock Inventory Register folder</t>
  </si>
  <si>
    <t>3. Presence of minute of meeting</t>
  </si>
  <si>
    <t>1. Actual number of each item match with number in Stock Card.</t>
  </si>
  <si>
    <t>1. Presence of procedure for taking items from the stock</t>
  </si>
  <si>
    <t>2. Presence of the Read and Understand List</t>
  </si>
  <si>
    <t>1. Presence of up-to-date Request Form including all required elements</t>
  </si>
  <si>
    <t>1. Presence of clearly printed request form</t>
  </si>
  <si>
    <t>Presence minute of the meeting.</t>
  </si>
  <si>
    <t>1. Presence of the list of all tests performed in the laboratory.</t>
  </si>
  <si>
    <t>2. Presence of the SOPs on all tests</t>
  </si>
  <si>
    <t>3. Presence of the Read and Understand List</t>
  </si>
  <si>
    <t>1. Presence of Master SOP</t>
  </si>
  <si>
    <t>2. Presence of folder named  "Procedure SOPs". with Master SOP inside.</t>
  </si>
  <si>
    <t>3. Presence of the Read and Understand List.</t>
  </si>
  <si>
    <t>1. Presence of the "Authorized Personnel Only" sign on the entry doors.</t>
  </si>
  <si>
    <t>1. Presence of a lock on the entrance door(s) and only a door handle on the inside of the door.</t>
  </si>
  <si>
    <t>Primary sample collection area is separated from the laboratory rooms.</t>
  </si>
  <si>
    <t>Presence of cleaning of laboratory glassware/tools room separated from the laboratory room.</t>
  </si>
  <si>
    <t>1. Presence of work efficiency floor plan (Spaghetti diagram) in folder of "Organization".</t>
  </si>
  <si>
    <t>2.  Laboratory has unidirectional workflow.</t>
  </si>
  <si>
    <t>Presence of an office area/room separated from laboratory room.</t>
  </si>
  <si>
    <t>Presence of a room where staff can have breaks/lunch (not in laboratory rooms!).</t>
  </si>
  <si>
    <t>Presence of a telephone/intercom system in the rooms where necessary.</t>
  </si>
  <si>
    <t>Presence of the emergency numbers (fire, police, ambulance,...etc.) on the wall near the communication system.</t>
  </si>
  <si>
    <t>Presence of signage states that mobile phone is forbidden in laboratory rooms.</t>
  </si>
  <si>
    <t>2. Presence of  a list of equipment that should be connected to a UPS.</t>
  </si>
  <si>
    <t>3. Presence of a list of equipment that should be connected to a voltage regulator/stabilizer.</t>
  </si>
  <si>
    <t>1. Presence of a list of equipment that should be connected to a generator.</t>
  </si>
  <si>
    <t>All necessary equipment are connected to generator, UPS, voltage stabilizer</t>
  </si>
  <si>
    <t>Presence of a visual indicator (i.e. a piece of tissue-paper) for directional airflow in the laboratory rooms/benchs/BSC which work with the airbone pathogenes.</t>
  </si>
  <si>
    <t xml:space="preserve">Presence of "Hazardous Material Register". </t>
  </si>
  <si>
    <t>Hazardous Material Register is up to date</t>
  </si>
  <si>
    <t>Are all hazardous materials in the laboratory registered?
Take a sample by identifying some hazardous materials and looking them up in the register.</t>
  </si>
  <si>
    <t>Is the Hazardous Material Register up to date?
Take a sample by comparing the amount of several materials as noted in the register and in reality.</t>
  </si>
  <si>
    <t>Are MSDS Sheets present for all hazardous materials in the laboratory?
Take a sample and check.</t>
  </si>
  <si>
    <t>1. Presence of MSDS folder with MSDS sheet</t>
  </si>
  <si>
    <t>2. Presence of minute of meeting</t>
  </si>
  <si>
    <t>Logsheets are filled out regularly and properly</t>
  </si>
  <si>
    <t>2. Presence of responsible persons for the task of monitoring the various parameters.</t>
  </si>
  <si>
    <t>3. Parameters are reviewed and signed monthly by lab manager/quality officer</t>
  </si>
  <si>
    <t>4. Presence of corrective actions taken and documented.</t>
  </si>
  <si>
    <t>1. Presence of each parameter the frequency with which it should be monitored (e.g. daily/weekly/monthly).</t>
  </si>
  <si>
    <t>1. Presence of logsheets on the wall or next to, or attach to the equipment</t>
  </si>
  <si>
    <t>2. Presence of a folder to keep the old logsheets.</t>
  </si>
  <si>
    <t>2. Temperature of refrigerators and freezers</t>
  </si>
  <si>
    <t>3. Environmental temperature</t>
  </si>
  <si>
    <t>4. Environmental pressure</t>
  </si>
  <si>
    <t>5. Calibration of equipment</t>
  </si>
  <si>
    <t>Presence of monitoring logsheet, which include the critical intervals, for:
1. Temperature of incubators</t>
  </si>
  <si>
    <t>3. TB microscopy room</t>
  </si>
  <si>
    <t xml:space="preserve">4. TB Culture room </t>
  </si>
  <si>
    <t>5. TB Drug Susceptibility testing room.</t>
  </si>
  <si>
    <t>6. Microbiology room</t>
  </si>
  <si>
    <t>7. Media preparation room</t>
  </si>
  <si>
    <t>8. Waste autoclaving and glassware room</t>
  </si>
  <si>
    <t>9. Storage areas for clothing, personal items and personal protective equipment</t>
  </si>
  <si>
    <t>Presence of different processing rooms/areas:
1. General analyzing laboratory room (hem, bio, sero/immuno)</t>
  </si>
  <si>
    <t>Presence of nomination letter for Quality Officer</t>
  </si>
  <si>
    <t>Presence of Organizational chart with the position of Quality Officer</t>
  </si>
  <si>
    <t>Presence of Job Description of Quality Officer</t>
  </si>
  <si>
    <t>Presence of position of Quality Officer in the Authorization Matrix</t>
  </si>
  <si>
    <t>Presence of meeting minute</t>
  </si>
  <si>
    <t>Do the Quality Officer and Laboratory Manager have regular bilateral meetings to discuss proceedings?
Ask the Quality Officer.</t>
  </si>
  <si>
    <t>Do all staff members know where to find the Daily Routine Work Schedule?
Take a sample by asking this question to several staff members.</t>
  </si>
  <si>
    <t>Presence of another staff incharge of the former position of Quality Officer if necessary</t>
  </si>
  <si>
    <t>Presence of daily routine work schedule</t>
  </si>
  <si>
    <t>2. Presence of a folder documented the old duty rosters.</t>
  </si>
  <si>
    <t>1. The daily routine work schedule (Duty Roster) is at a visible location accessible to all staff</t>
  </si>
  <si>
    <t>Presence of minute of meeting</t>
  </si>
  <si>
    <t>Organizational chart is up to date.</t>
  </si>
  <si>
    <t>Presence of signature of laboratory manager and the date on the organizational chart.</t>
  </si>
  <si>
    <t>Presence of a SOP for competency assessment</t>
  </si>
  <si>
    <t>All lab staff have been assessed with standardized forms/checklists</t>
  </si>
  <si>
    <t>Presence staff competency assessment report in staff personnel file folders</t>
  </si>
  <si>
    <t>Presence of the corrective actions in the report of competency assessment.</t>
  </si>
  <si>
    <t>Presence of competency assessment checklists and report in the personnel files</t>
  </si>
  <si>
    <t>Staff have been trained according to the finding from competency assessment</t>
  </si>
  <si>
    <t>Presence of report of competency assessment on laboratory manager.</t>
  </si>
  <si>
    <t>Presence of SOP for the induction of the New Personnel</t>
  </si>
  <si>
    <t>Presence of induction program for new staff in quality manual</t>
  </si>
  <si>
    <t>Presence of completed checklist in personnel files for new staff</t>
  </si>
  <si>
    <t>2. Performance appraisals for all the staff members have been conducted</t>
  </si>
  <si>
    <t xml:space="preserve">3. Presence of record of the findings of the performance appraisal </t>
  </si>
  <si>
    <t xml:space="preserve">4. Presence of reports of the findings of the assessments and conclusion of discussions of the findings. </t>
  </si>
  <si>
    <t>5. Presence of the identified training needs in the report.</t>
  </si>
  <si>
    <t>6. Presence of the report of performance appraisals in the Personnel File of the staff member.</t>
  </si>
  <si>
    <t>1. Presence of SOP on Conducting Performance Appraisals.</t>
  </si>
  <si>
    <t xml:space="preserve">1. Presence of record the discussion of the findings of performance appraisals with staff members that were assessed 
</t>
  </si>
  <si>
    <t>2. Presence of record the root cause.</t>
  </si>
  <si>
    <t>Presence of up to date personnel file of each staff member</t>
  </si>
  <si>
    <t xml:space="preserve">Presence of personnel file that contains all necessary elements
</t>
  </si>
  <si>
    <t>Personnel files are structured in an orderly fashion</t>
  </si>
  <si>
    <t>Personnel Files folder is kept in a locked cabinet that is only accessible to the Laboratory Manager.</t>
  </si>
  <si>
    <t>Presence of SOP for procurement and reception of new equipment which include the criteria for acceptance and rejection of donated equipment</t>
  </si>
  <si>
    <t>The SOP for Procurement and Reception of Equipment is stored a logical location, accessible to all staff members</t>
  </si>
  <si>
    <t>Presence of signature and date of reviewer and verifier on the SOP for Procurement and Reception of Equipment.</t>
  </si>
  <si>
    <t>Presence of signature, date of lab manager on the SOP for Procurement and Reception of Equipment</t>
  </si>
  <si>
    <t>Presence of signature of all staff on the Read and Understood form</t>
  </si>
  <si>
    <t>2. Date of last service/calibration (renewed each time the piece of equipment has been services).</t>
  </si>
  <si>
    <t xml:space="preserve"> 3. Date of next service/calibration (renewed each time the piece of equipment has been services).</t>
  </si>
  <si>
    <t>Presence of label for all equipment in the laboratory with:
 1. Equipment code</t>
  </si>
  <si>
    <t>EQUIP2.8a</t>
  </si>
  <si>
    <t>EQUIP2.8b</t>
  </si>
  <si>
    <t>EQUIP2.8c</t>
  </si>
  <si>
    <t>Create List of equipment as sheet</t>
  </si>
  <si>
    <t>Link with EQUIP 2.8</t>
  </si>
  <si>
    <t>The equipment labels is laminated to resist to fluids, chemicals, light, and other daily factors causing wear and tear of the labels</t>
  </si>
  <si>
    <t>Presence of the equipment register with the name of:
1. Person responsible for equipment (chief of unit, for example)</t>
  </si>
  <si>
    <t>2. Initials of persons authorized to use equipment.</t>
  </si>
  <si>
    <t>Presence of the minute of the staff meeting</t>
  </si>
  <si>
    <t>Do staff members who are responsible for a piece of equipment know their responsibilities?
Take a sample by asking such a staff member.</t>
  </si>
  <si>
    <t>Does the laboratory demonstrably adhere to this program?
Compare maintenance records for a piece of equipment from the equipment file with the dates this maintenance was planned in the Equipment Maintenance Schedule.</t>
  </si>
  <si>
    <t>Presence of training report with agenda, attendance sheet</t>
  </si>
  <si>
    <r>
      <t>Presence of maintenance logsheet of each piece of equipment in the "Equipment Archive folder".</t>
    </r>
    <r>
      <rPr>
        <sz val="11"/>
        <color rgb="FF00B050"/>
        <rFont val="Calibri"/>
        <family val="2"/>
        <scheme val="minor"/>
      </rPr>
      <t xml:space="preserve"> And review frequently by lab manager.</t>
    </r>
  </si>
  <si>
    <r>
      <t xml:space="preserve">Presence of "Equipment Usage Logsheet" next to each piece of equipment, </t>
    </r>
    <r>
      <rPr>
        <sz val="11"/>
        <color rgb="FF00B050"/>
        <rFont val="Calibri"/>
        <family val="2"/>
        <scheme val="minor"/>
      </rPr>
      <t>especially the analyzers, centrifuge.</t>
    </r>
  </si>
  <si>
    <t>Presence of a minute of the staff meeting</t>
  </si>
  <si>
    <t>2. Presence of the filled Usage Logsheet in the "Equipment Archive folder". And review frequently by lab manager.</t>
  </si>
  <si>
    <t>1. Presence of Usage Logsheet near the piece of equipment</t>
  </si>
  <si>
    <r>
      <t xml:space="preserve">Presence of the maintenance logsheet placed in the "Equipment Archive folder". </t>
    </r>
    <r>
      <rPr>
        <sz val="11"/>
        <color rgb="FF00B050"/>
        <rFont val="Calibri"/>
        <family val="2"/>
        <scheme val="minor"/>
      </rPr>
      <t xml:space="preserve">And review frequently by lab </t>
    </r>
    <r>
      <rPr>
        <sz val="10"/>
        <color rgb="FF00B050"/>
        <rFont val="Calibri"/>
        <family val="2"/>
        <scheme val="minor"/>
      </rPr>
      <t>manager.</t>
    </r>
  </si>
  <si>
    <t>2. Equipment Register</t>
  </si>
  <si>
    <t>3. Maintenance Log Sheets</t>
  </si>
  <si>
    <t>4. Maintenance forms/calibration forms</t>
  </si>
  <si>
    <t>5. Completed Usage Log Sheets/log books</t>
  </si>
  <si>
    <t>6. Manufacturer's instructions</t>
  </si>
  <si>
    <t>Presence of Equipment Archive folder which contains:
1. Equipment Identification Page (list of content)</t>
  </si>
  <si>
    <t>7. List of Spare Parts</t>
  </si>
  <si>
    <t>8. Validation reports (will be developed in phase 4)</t>
  </si>
  <si>
    <t>EQUIP2.19a</t>
  </si>
  <si>
    <t>EQUIP2.19b</t>
  </si>
  <si>
    <t>EQUIP2.19c</t>
  </si>
  <si>
    <t>Presence of Bench Aids used for various pieces of equipment in accordance with the SOPs for equipment</t>
  </si>
  <si>
    <t>Presence of maintenance (daily/weekly/monthly preventive) and calibration in the "Equipment Archive folder".</t>
  </si>
  <si>
    <t xml:space="preserve">1. Presence of annual budget plan for maintenance and calibration of equipment.
</t>
  </si>
  <si>
    <t>2. Presence of budget plan for training of a staff member to perform technical maintenance and calibration of equipment internally.</t>
  </si>
  <si>
    <t>Annual budget plan for equipment and calibration has been submitted to the hospital administration</t>
  </si>
  <si>
    <t>Presence of annual budget plan for training of a staff member for internal maintenance and calibration of equipment to the hospital administration</t>
  </si>
  <si>
    <t xml:space="preserve">2. Presence of a yearly schedule for maintenance/calibration </t>
  </si>
  <si>
    <t>1. Presence of a plan for maintenance and calibration of all the pieces of equipment present in the laboratory.</t>
  </si>
  <si>
    <t>Presence of maintenance/calibration report according to the yearly schedule</t>
  </si>
  <si>
    <t>Presence of the procedure for ensuring equipment maintenance standardized in an SOP</t>
  </si>
  <si>
    <t>Presence of an SOP for Equipment Repair, including a clear procedure for disinfection and clear labeling the equipment as “defect”</t>
  </si>
  <si>
    <t>Presence of an SOP explaining the procedure to be followed for ensuring validation of adequate functioning of equipment when it is returned into service after repair</t>
  </si>
  <si>
    <t>Presence of Inventory Control Register</t>
  </si>
  <si>
    <t>PI2.3a</t>
  </si>
  <si>
    <t>PI2.3b</t>
  </si>
  <si>
    <t>PI2.3c</t>
  </si>
  <si>
    <t>PI2.3d</t>
  </si>
  <si>
    <t>PI2.3e</t>
  </si>
  <si>
    <t>PI2.3f</t>
  </si>
  <si>
    <t>PI2.3g</t>
  </si>
  <si>
    <t>Presence an up to date Inventory Control Register</t>
  </si>
  <si>
    <t>Presence of a folder "Checklists New Deliveries"  with the filled-out checklists</t>
  </si>
  <si>
    <t>Does the laboratory routinely perform acceptance tests on newly delivered products before they are taken into service?
Ask for evidence.</t>
  </si>
  <si>
    <t>Presence of SOP on selecting, ordering, acceptance testing and storing of new reagents and consumables, and Maintaining the Stock</t>
  </si>
  <si>
    <t>All supplies are stored under the right condition in the laboratory</t>
  </si>
  <si>
    <t>PI2.9a</t>
  </si>
  <si>
    <t>PI2.9b</t>
  </si>
  <si>
    <t>PI2.9c</t>
  </si>
  <si>
    <t>PI2.9d</t>
  </si>
  <si>
    <t>PI2.9e</t>
  </si>
  <si>
    <t>PI2.9f</t>
  </si>
  <si>
    <t>Do staff members know what R- and S-sentences are and how to find them?
Take a sample by asking some staff members.</t>
  </si>
  <si>
    <t>All supplies are stored in such that they cannot fall from the shelves or suffer damage in other ways</t>
  </si>
  <si>
    <t>All supplies are stored according to the FIFO and FEFO system (First in-First out and First expired-First out).</t>
  </si>
  <si>
    <t>All storage areas are complying with the safety requirements related to the supplies.</t>
  </si>
  <si>
    <t>Supplies in the storage areas are protected from external influences such as humidity, light, insects, etc.</t>
  </si>
  <si>
    <t>Presence of hazard symbols visibly on each storage area</t>
  </si>
  <si>
    <t>Presence of a list with R- and S-sentences on each storage area where this is relevant</t>
  </si>
  <si>
    <t>Minute of the staff meeting</t>
  </si>
  <si>
    <t>1. Presence of restricted access sign in front of the all storage areas</t>
  </si>
  <si>
    <t>2. The door of all storage areas is always locked</t>
  </si>
  <si>
    <t>Presence of the criteria for sample acceptance/rejection.</t>
  </si>
  <si>
    <t>Presence of SOP for sample collection</t>
  </si>
  <si>
    <t>PM2.3XX</t>
  </si>
  <si>
    <t>PM2.3a</t>
  </si>
  <si>
    <t>PM2.3b</t>
  </si>
  <si>
    <t>PM2.3c</t>
  </si>
  <si>
    <t>PM2.3d</t>
  </si>
  <si>
    <t>PM2.3e</t>
  </si>
  <si>
    <t>PM2.3f</t>
  </si>
  <si>
    <t>PM2.3g</t>
  </si>
  <si>
    <t>PM2.3h</t>
  </si>
  <si>
    <t>PM2.3i</t>
  </si>
  <si>
    <t>PM2.3j</t>
  </si>
  <si>
    <t>PM2.3k</t>
  </si>
  <si>
    <t>PM2.3l</t>
  </si>
  <si>
    <t>PM2.3m</t>
  </si>
  <si>
    <t>PM2.3n</t>
  </si>
  <si>
    <t>Presence of SOP for sample reception and processing.</t>
  </si>
  <si>
    <t>PM2.5a</t>
  </si>
  <si>
    <t>PM2.5b</t>
  </si>
  <si>
    <t>PM2.5c</t>
  </si>
  <si>
    <t>PM2.5d</t>
  </si>
  <si>
    <t>PM2.5e</t>
  </si>
  <si>
    <t>PM2.5f</t>
  </si>
  <si>
    <t>PM2.5g</t>
  </si>
  <si>
    <t>PM2.9a</t>
  </si>
  <si>
    <t>PM2.9b</t>
  </si>
  <si>
    <t>PM2.9c</t>
  </si>
  <si>
    <t>PM2.9d</t>
  </si>
  <si>
    <t>PM2.9e</t>
  </si>
  <si>
    <t>PM2.9f</t>
  </si>
  <si>
    <t>PM2.9g</t>
  </si>
  <si>
    <t>PM2.9h</t>
  </si>
  <si>
    <t>PM2.9i</t>
  </si>
  <si>
    <t>PM2.9j</t>
  </si>
  <si>
    <t>PM2.11a</t>
  </si>
  <si>
    <t>PM2.11b</t>
  </si>
  <si>
    <t>PM2.11c</t>
  </si>
  <si>
    <t>PM2.11d</t>
  </si>
  <si>
    <t>PM2.11e</t>
  </si>
  <si>
    <t>PM2.11f</t>
  </si>
  <si>
    <t>PM2.17a</t>
  </si>
  <si>
    <t>PM2.17b</t>
  </si>
  <si>
    <t>PM2.17c</t>
  </si>
  <si>
    <t>PM2.17d</t>
  </si>
  <si>
    <t>PM2.17e</t>
  </si>
  <si>
    <t>Presence of Sample Rejection Form in the SOP for Sample Reception and Processing as an appendix</t>
  </si>
  <si>
    <t>1. Presence of a folder "Rejected samples"</t>
  </si>
  <si>
    <t>2. Presence of the copies of the sample rejection form in the folder "Rejected Samples".</t>
  </si>
  <si>
    <t>Presence of process flowcharts for each section/unit of laboratory.</t>
  </si>
  <si>
    <t>Presence of process flowcharts for each section of laboratory with the possible failure and quality control steps.</t>
  </si>
  <si>
    <t>Presence of IQC register for each section (include Levy Jennings chart for quantitative tests).</t>
  </si>
  <si>
    <t>All relevant SOPs in laboratory has internal quality control protocols.</t>
  </si>
  <si>
    <t>Presence of SOP for internal quality control.</t>
  </si>
  <si>
    <t>Presence of a nonconformity folder with the records of nonconformities.</t>
  </si>
  <si>
    <t>1. Presence of daily note, signature and date of responsible person on the Levey Jenning control chart and IQC register</t>
  </si>
  <si>
    <t>2. Presence of weekly note, signature and date of Quality Officer or Lab manager on the Levey Jenning control chart and IQC register</t>
  </si>
  <si>
    <t xml:space="preserve">Presence of filled nonconformity form </t>
  </si>
  <si>
    <t>Presence of filled nonconformity form with results halted when IQC fail.</t>
  </si>
  <si>
    <t>Presence of a list of all the needed SOPs according to the flowcharts</t>
  </si>
  <si>
    <t>Presence of all SOPs according to the list in previous item</t>
  </si>
  <si>
    <t>Are all routinely performed procedures in the laboratory standardized in SOPs?
Take a sample by asking for several SOPs indicated in the flow charts and check the document control log of the laboratory.</t>
  </si>
  <si>
    <t>Presence of a fixed format for the Result Report (see CamLIS)</t>
  </si>
  <si>
    <t>INFO2.2a</t>
  </si>
  <si>
    <t>INFO2.2b</t>
  </si>
  <si>
    <t>INFO2.2c</t>
  </si>
  <si>
    <t>INFO2.2d</t>
  </si>
  <si>
    <t>INFO2.2e</t>
  </si>
  <si>
    <t>INFO2.2f</t>
  </si>
  <si>
    <t>INFO2.2g</t>
  </si>
  <si>
    <t>INFO2.2h</t>
  </si>
  <si>
    <t>INFO2.2i</t>
  </si>
  <si>
    <t>INFO2.2j</t>
  </si>
  <si>
    <t>INFO2.2k</t>
  </si>
  <si>
    <t>CamLIS has disccused with the clients during the development phase</t>
  </si>
  <si>
    <t>Presence of an SOP for Recording, Reporting and Archiving of Results.</t>
  </si>
  <si>
    <t>Presence of the blank "Immediate Notification Form" next to the telephone</t>
  </si>
  <si>
    <t>Presence of the filled "Immediate Notification Form" kept in the folder locked in the cabinet</t>
  </si>
  <si>
    <t>Presence of a locked cabinet that all records containing patient data are stored and that this cabinet can only be opened by authorized staff members.</t>
  </si>
  <si>
    <t>2. Available of updated Authorization Matrix and Personal Job Descriptiont of the assinged staff who are authorized to access the patient data archive.</t>
  </si>
  <si>
    <t>INFO2.12a</t>
  </si>
  <si>
    <t>INFO2.12b</t>
  </si>
  <si>
    <t>INFO2.12c</t>
  </si>
  <si>
    <t>INFO2.12d</t>
  </si>
  <si>
    <t>INFO2.12e</t>
  </si>
  <si>
    <t>INFO2.12f</t>
  </si>
  <si>
    <t>INFO2.12g</t>
  </si>
  <si>
    <t>INFO2.12h</t>
  </si>
  <si>
    <t>INFO2.12i</t>
  </si>
  <si>
    <t>INFO2.12j</t>
  </si>
  <si>
    <t>Presence of Read and Understood list with signatures.</t>
  </si>
  <si>
    <r>
      <t>1. Presence of Confidentiality Agreement Form for each staff with signature of each staff on it</t>
    </r>
    <r>
      <rPr>
        <sz val="11"/>
        <color rgb="FF00B050"/>
        <rFont val="Calibri"/>
        <family val="2"/>
        <scheme val="minor"/>
      </rPr>
      <t xml:space="preserve"> </t>
    </r>
    <r>
      <rPr>
        <sz val="11"/>
        <color rgb="FF0070C0"/>
        <rFont val="Calibri"/>
        <family val="2"/>
        <scheme val="minor"/>
      </rPr>
      <t>and kept in personnel files.</t>
    </r>
  </si>
  <si>
    <t>Lab has a weekly backup of the digital laboratory information.</t>
  </si>
  <si>
    <t>Presence of a proper storage place where laboratory information backups are stored behind lock and key, in another building than the laboratory building.</t>
  </si>
  <si>
    <t>Presence of a Document Retention List</t>
  </si>
  <si>
    <t>DR2.3a</t>
  </si>
  <si>
    <t>DR2.3b</t>
  </si>
  <si>
    <t>DR2.3c</t>
  </si>
  <si>
    <t>Presence of minute of the meeting</t>
  </si>
  <si>
    <t>1. Presence of the blank Document Revision Form in lab templates folder</t>
  </si>
  <si>
    <t>2. Presence of a Document Revision Form folder with the filled Document Revision Form</t>
  </si>
  <si>
    <t>DR2.7a</t>
  </si>
  <si>
    <t>DR2.7b</t>
  </si>
  <si>
    <t>DR2.7c</t>
  </si>
  <si>
    <t>DR2.7d</t>
  </si>
  <si>
    <t>DR2.7e</t>
  </si>
  <si>
    <t>DR2.7f</t>
  </si>
  <si>
    <t>DR2.7g</t>
  </si>
  <si>
    <t>DR2.7h</t>
  </si>
  <si>
    <t>DR2.7i</t>
  </si>
  <si>
    <t>DR2.7j</t>
  </si>
  <si>
    <t>DR2.7k</t>
  </si>
  <si>
    <t>DR2.7l</t>
  </si>
  <si>
    <t>DR2.7m</t>
  </si>
  <si>
    <t>DR2.7n</t>
  </si>
  <si>
    <t>DR2.7o</t>
  </si>
  <si>
    <t>DR2.7p</t>
  </si>
  <si>
    <t>DR2.8a</t>
  </si>
  <si>
    <t>DR2.8b</t>
  </si>
  <si>
    <t>DR2.8c</t>
  </si>
  <si>
    <t>DR2.8d</t>
  </si>
  <si>
    <t>DR2.8e</t>
  </si>
  <si>
    <t>DR2.8f</t>
  </si>
  <si>
    <t>DR2.8g</t>
  </si>
  <si>
    <t>DR2.8h</t>
  </si>
  <si>
    <t>DR2.8i</t>
  </si>
  <si>
    <t>DR2.8j</t>
  </si>
  <si>
    <t>Is staff aware of what they have to do when they detect an error in a quality document?
Take a sample by asking several staff members.</t>
  </si>
  <si>
    <t>Presence of document review schedule</t>
  </si>
  <si>
    <t>Presence of up to date bench aids</t>
  </si>
  <si>
    <t>All quality documents currently in use are reviewed by at least one reviewer</t>
  </si>
  <si>
    <t>All the quality documents used in the laboratory are authorized for release</t>
  </si>
  <si>
    <t>All the quality documents used in the laboratory are the current versions</t>
  </si>
  <si>
    <t>All the old version of quality documents in the quality documentation archive are  marked with the word “replaced” with the date on which they were replaced</t>
  </si>
  <si>
    <t>All references to other documents, to locations and to pieces of equipment are correct</t>
  </si>
  <si>
    <t>Presence of area/room/cabinet for storing all quality documents for a period of five years.</t>
  </si>
  <si>
    <t>Presence of SOP for document control</t>
  </si>
  <si>
    <r>
      <t>Presence of Client Register,</t>
    </r>
    <r>
      <rPr>
        <sz val="11"/>
        <color rgb="FF00B050"/>
        <rFont val="Calibri"/>
        <family val="2"/>
        <scheme val="minor"/>
      </rPr>
      <t xml:space="preserve"> </t>
    </r>
    <r>
      <rPr>
        <sz val="11"/>
        <color rgb="FF0070C0"/>
        <rFont val="Calibri"/>
        <family val="2"/>
        <scheme val="minor"/>
      </rPr>
      <t>next to the telephone or on the wall, where is accessible to all staff</t>
    </r>
  </si>
  <si>
    <t>Presence of Biological Reference Interval regularly</t>
  </si>
  <si>
    <t>Presence of Biological Reference Interval, based on the brands of reagents</t>
  </si>
  <si>
    <t>2. Presence of lab report form which include biological reference values</t>
  </si>
  <si>
    <t>3. Presence of lab service manual which include biological reference values and critival values</t>
  </si>
  <si>
    <t>1. Presence of Biological Reference value and Critical Values for Cambodian Population</t>
  </si>
  <si>
    <t>CF2.5a</t>
  </si>
  <si>
    <t>CF2.5b</t>
  </si>
  <si>
    <t>CF2.5d</t>
  </si>
  <si>
    <t>CF2.5e</t>
  </si>
  <si>
    <t>CF2.5f</t>
  </si>
  <si>
    <t>CF2.5g</t>
  </si>
  <si>
    <t>CF2.5h</t>
  </si>
  <si>
    <t>CF2.5i</t>
  </si>
  <si>
    <t>CF2.5j</t>
  </si>
  <si>
    <t>CF2.5k</t>
  </si>
  <si>
    <t>CF2.5l</t>
  </si>
  <si>
    <t>CF2.5m</t>
  </si>
  <si>
    <t>CF2.5n</t>
  </si>
  <si>
    <t>CF2.5o</t>
  </si>
  <si>
    <t>CF2.5p</t>
  </si>
  <si>
    <t>CF2.5q</t>
  </si>
  <si>
    <t>CF2.5r</t>
  </si>
  <si>
    <t>CF2.5s</t>
  </si>
  <si>
    <t>CF2.5t</t>
  </si>
  <si>
    <t>CF2.5u</t>
  </si>
  <si>
    <t>CF2.5XX</t>
  </si>
  <si>
    <t>CF2.5dc</t>
  </si>
  <si>
    <t>Presence of Lab Service Manual in all wards in the hospitals</t>
  </si>
  <si>
    <t>Presence of update Lab Service Manual according to the SOP of document control</t>
  </si>
  <si>
    <t>See item 168</t>
  </si>
  <si>
    <t xml:space="preserve"> the Laboratory Result Report format</t>
  </si>
  <si>
    <t>all wards of the hospitals</t>
  </si>
  <si>
    <r>
      <rPr>
        <sz val="11"/>
        <color rgb="FFFF0000"/>
        <rFont val="Calibri"/>
        <family val="2"/>
        <scheme val="minor"/>
      </rPr>
      <t>Presence of an updated biological reference</t>
    </r>
    <r>
      <rPr>
        <sz val="11"/>
        <color theme="1"/>
        <rFont val="Calibri"/>
        <family val="2"/>
        <scheme val="minor"/>
      </rPr>
      <t xml:space="preserve"> interval/diagnostic decision value and/or alert/critical interval values in
- the Laboratory Service Manual</t>
    </r>
  </si>
  <si>
    <t>Presence of PT result</t>
  </si>
  <si>
    <t>Presence of record on the causes of the problem, corrective actions, and preventive actions.</t>
  </si>
  <si>
    <t>Presence of SOP for external quality assessment procedures</t>
  </si>
  <si>
    <t>2. Presence of the waiting area</t>
  </si>
  <si>
    <t xml:space="preserve">1. Presence of the sample collection area </t>
  </si>
  <si>
    <t>the sample collection area and the waiting area is accessible for disabled persons</t>
  </si>
  <si>
    <t>No defective equipment in the laboratory.</t>
  </si>
  <si>
    <r>
      <t xml:space="preserve">1. Sample Storage Areas is available with good condition.
</t>
    </r>
    <r>
      <rPr>
        <sz val="11"/>
        <color rgb="FF00B050"/>
        <rFont val="Calibri"/>
        <family val="2"/>
        <scheme val="minor"/>
      </rPr>
      <t/>
    </r>
  </si>
  <si>
    <t>2. Sample Inventory log is available.</t>
  </si>
  <si>
    <t>1-Reagent and supplies Storage Areas  is available with good condition.</t>
  </si>
  <si>
    <t>2- A register with an up-to-date overview is available</t>
  </si>
  <si>
    <t>1- Equipment Storage Areas  is available with good condition.</t>
  </si>
  <si>
    <t>2- A fire proof cabinet is available.</t>
  </si>
  <si>
    <t>3- A register with coding system is available.</t>
  </si>
  <si>
    <t>1- Storage area for documents and records is available with good condition.</t>
  </si>
  <si>
    <t>FS3.25a</t>
  </si>
  <si>
    <t>FS3.25b</t>
  </si>
  <si>
    <t>FS3.25c</t>
  </si>
  <si>
    <t>FS3.25d</t>
  </si>
  <si>
    <t>FS3.25e</t>
  </si>
  <si>
    <t>FS3.25f</t>
  </si>
  <si>
    <t>FS3.25g</t>
  </si>
  <si>
    <t>FS3.25h</t>
  </si>
  <si>
    <t>2- Quality Manual</t>
  </si>
  <si>
    <t>3- On the wall such as the entrance of the lab.</t>
  </si>
  <si>
    <t>The Vison of laboratory is available at
1- folder of Organisation</t>
  </si>
  <si>
    <t>The Mission of the laboratory is available</t>
  </si>
  <si>
    <t>Presence of long-term goals.</t>
  </si>
  <si>
    <t>Presence of Quality Policy with the read and understood list signed by all staff</t>
  </si>
  <si>
    <t>Have all staff members read the Quality Policy?
Request proof such as the Read &amp; Understand List and interview staff members about the contents of the quality policy.</t>
  </si>
  <si>
    <t>Are staff familiar with the contents of the Quality Policy?
Take a sample by randomly asking staff members.</t>
  </si>
  <si>
    <t>Are staff aware of existence of the Quality Policy?
Take a sample by randomly asking staff members.</t>
  </si>
  <si>
    <t>Les membres du personnel ont-ils connaissance de la politique de la qualité ?
Faire un sondage en interrogeant quelques membres du personnel choisis au hasard.</t>
  </si>
  <si>
    <t>Осведомлены ли сотрудники о существовании политики в области качества?
Проверьте, спросив нескольких сотрудников.</t>
  </si>
  <si>
    <t>¿El personal conoce y comprende la política de la calidad?
Pregunte a varios miembros del personal aleatoriamente.</t>
  </si>
  <si>
    <t>Les membres du personnel connaissent-ils le contenu de la politique de la qualité ?
Faire un sondage en interrogeant quelques membres du personnel choisis au hasard.</t>
  </si>
  <si>
    <t>Осведомлены ли сотрудники о содержании политики в области качества?
Проверьте, спросив нескольких сотрудников.</t>
  </si>
  <si>
    <t>¿Está el personal familiarizado con el contenido de la política de la calidad?
Pregunte a varios miembros del personal aleatoriamente.</t>
  </si>
  <si>
    <t>¿E leido todos los empleados la política de calidad?
Solicitar la prueba como el leer y comprender lista y entrevista a personal sobre el contenido de la política de calidad</t>
  </si>
  <si>
    <t>Has the Quality Year Plan been formulated with input from the Quality Officer?
Take a sample by asking the Quality Officer and some members of the Quality Project Team.</t>
  </si>
  <si>
    <t>Le plan annuel qualité a-t-il été formulé avec l'intervention du responsable qualité ?
Faire un sondage en interrogeant le responsable qualité et quelques membres de l'équipe du projet qualité.</t>
  </si>
  <si>
    <t>Был ли годовой план по качеству подготовлен при участии менеджера по качеству?
Проверьте, спросив менеджера по качеству и нескольких членов команды проекта «Качество».</t>
  </si>
  <si>
    <t>¿Se ha formulado el plan anual de calidad con aportaciones del encargado de calidad?
Pregunte al encargado de calidad y a algunos miembros del equipo del proyecto de calidad de forma aleatoria.</t>
  </si>
  <si>
    <t>Is staff aware of the existence of the Quality Year Plan?
Take a sample by asking some random staff member to explain what the Quality Year Plan is.</t>
  </si>
  <si>
    <t>Le personnel a-t-il connaissance du plan annuel qualité ?
Faire un sondage en demandant à certains membres du personnel choisis au hasard d'expliquer ce qu'est le plan annuel qualité.</t>
  </si>
  <si>
    <t>Осведомлены ли сотрудники о существовании годового плана по качеству?
Проверьте, попросив нескольких, случайно выбранных сотрудников объяснить вам, что такое годовой план по качеству.</t>
  </si>
  <si>
    <t>¿Está el personal al corriente de la existencia del plan anual de calidad?
Pregunte a varios miembros del personal aleatoriamente qué es el plan anual de calidad.</t>
  </si>
  <si>
    <t>¿Los miembros del personal conocen los puntos de acción que se les han asignado?
Pregunte a varios miembros del personal aleatoriamente sobre los puntos de acción que se les hayan asignado.</t>
  </si>
  <si>
    <t>Осведомлены ли сотрудники о порученных им конкретных действиях?
Проверьте, спросив нескольких сотрудников о порученных им конкретных действиях.</t>
  </si>
  <si>
    <t>Les membres du personnel connaissent-ils les actions à mener qui leur ont été assignées ?
Faire un sondage en interrogeant des membres du personnel sur les actions à mener qui leur ont été assignées.</t>
  </si>
  <si>
    <t>Are staff members aware of action points assigned to them?
Take a sample by asking staff members about action points assigned to them.</t>
  </si>
  <si>
    <t>Has the Quality Year Plan and the action plan based on the Quality Year Plan been presented to the laboratory staff?
See minutes of that meeting.</t>
  </si>
  <si>
    <t>Le plan annuel qualité et le plan d'action basés sur le plan annuel qualité ont-ils été présentés au personnel du laboratoire ?
Voir les comptes rendus de cette réunion.</t>
  </si>
  <si>
    <t>Был ли представлен сотрудниками лаборатории годовой план по качеству и план действий, основанный на годовом плане?
Проверьте протоколы совещаний.</t>
  </si>
  <si>
    <t>¿Se ha presentado al personal del laboratorio el plan anual de calidad y el plan de acción basado en el plan anual de calidad?
Vea las actas de esa reunión.</t>
  </si>
  <si>
    <t>Are the result of the management review presented to all staff?
See meeting minutes.</t>
  </si>
  <si>
    <t>Les résultats de revue de direction sont-ils présentés à l'ensemble du personnel ?
Voir les comptes rendus des réunions.</t>
  </si>
  <si>
    <t>Знакомят ли всех сотрудников с результатами анализа руководством?
Проверьте протоколы совещаний.</t>
  </si>
  <si>
    <t>¿Se presenta a todo el personal el resultado de la revisión por parte de la dirección?
Vea las actas de la reunión.</t>
  </si>
  <si>
    <t>1. Presence of yearly budget plan for equipment</t>
  </si>
  <si>
    <t xml:space="preserve">2.  hospital/PHD directors were informed. </t>
  </si>
  <si>
    <t>Presence of a list of goals for the coming year in the folder of organization behind the Quality Policy</t>
  </si>
  <si>
    <t>1. Presence of a Quality Year Plan for the coming year</t>
  </si>
  <si>
    <t xml:space="preserve">2. Presence of an SOP for making a Quality Year Plan. </t>
  </si>
  <si>
    <t>1. Presence of SMART action plan with signature of lab manager</t>
  </si>
  <si>
    <t>2. Copies of the Quality Year Plan and action plan are available amongst all the staff.</t>
  </si>
  <si>
    <t>Presence of QM</t>
  </si>
  <si>
    <t>2. Presence of an SOP for making a Quarterly Report</t>
  </si>
  <si>
    <r>
      <t xml:space="preserve">1. Presence of Quarterly Report in its folder </t>
    </r>
    <r>
      <rPr>
        <sz val="11"/>
        <color rgb="FF00B050"/>
        <rFont val="Calibri"/>
        <family val="2"/>
        <scheme val="minor"/>
      </rPr>
      <t>(including corrective action)</t>
    </r>
  </si>
  <si>
    <t>2. Presence of minute of staff meeting informing about the Management Annual Review Report</t>
  </si>
  <si>
    <t>3. Presence of an SOP for making a Management Annual Review Report</t>
  </si>
  <si>
    <t>4. Management Review Report is available in the Management Reviews and Quality Year Plans folder (including corrective action)</t>
  </si>
  <si>
    <r>
      <t xml:space="preserve">1. Presence of Management Annual Review Report
</t>
    </r>
    <r>
      <rPr>
        <sz val="11"/>
        <color theme="1"/>
        <rFont val="Calibri"/>
        <family val="2"/>
        <scheme val="minor"/>
      </rPr>
      <t/>
    </r>
  </si>
  <si>
    <t>2. Presence of Action Plan, include all the action points from the Quality Year Plan.</t>
  </si>
  <si>
    <t>3. Presence of Minute of meeting to present the new Quality Year Plan to the laboratory staff</t>
  </si>
  <si>
    <t>4. Presence of the monitoring report to the implementation of the action plan.</t>
  </si>
  <si>
    <t>1. Presence of Quality Year Plan, in the folder Management Reviews and Quality Year Plans.</t>
  </si>
  <si>
    <t>Presence of SOPs  related to the policy cycle</t>
  </si>
  <si>
    <t>2. Minute of weekly report to inform staff about the matrix and its advantage is available</t>
  </si>
  <si>
    <t>3. Competency Assessment report of replaced staff is available</t>
  </si>
  <si>
    <t>1. Presence of a personnel replacement matrix in a folder of Organization and at the noticeboard</t>
  </si>
  <si>
    <t>Is the laboratory staff aware of the existence of the personnel replacement matrix and which purpose it serves?
Take a sample by interviewing some staff members.</t>
  </si>
  <si>
    <t>Le personnel du laboratoire a-t-il connaissance de l'existence de la grille de remplacement du personnel et sait-il à quoi elle sert ?
Faire un sondage en interrogeant quelques membres du personnel.</t>
  </si>
  <si>
    <t>Известно ли сотрудникам лаборатории о существовании таблицы замен персонала и знают ли они, для чего нужна эта таблица?
Проверьте, спросив нескольких сотрудников.</t>
  </si>
  <si>
    <t>¿Es consciente el personal del laboratorio de la existencia de la matriz de sustitución de personal y sabe cuál es su propósito?
Pregunte a varios miembros del personal aleatoriamente.</t>
  </si>
  <si>
    <t>Presence of the SOP for Selection and Evaluation of Suppliers in a folder entitled "Contracts for Reception of Services".</t>
  </si>
  <si>
    <t>Presence of the filled checklist for selecting the supplier most closely meeting your requirements.</t>
  </si>
  <si>
    <t>Presence of the contract for service delivery by the supplier.</t>
  </si>
  <si>
    <t>Presence of a filled checklist of evaluating the contract for service delivery.</t>
  </si>
  <si>
    <t>Presence of a minute/record of the reasons for contract amended/changed if any.</t>
  </si>
  <si>
    <t xml:space="preserve">Presence of an SOP for selecting and monitoring referral laboratories in folder entitled “Referral Laboratory Database” </t>
  </si>
  <si>
    <t xml:space="preserve">Presence of a folder “Referral Laboratory Database” with the overview of the referral laboratories and its quality performance (eg. results of proficiency testing), service hours, turnaround time, method of reporting
</t>
  </si>
  <si>
    <t>Presence of a folder entitled “Results of Referral Laboratories” in which the records of samples referred and result reports of tests referred to referral laboratories are stored.</t>
  </si>
  <si>
    <t>Presence of the turnaround time table for each examination performed in the laboratory</t>
  </si>
  <si>
    <r>
      <t>Presence of TATs table in Quality Manual</t>
    </r>
    <r>
      <rPr>
        <sz val="11"/>
        <color rgb="FF00B050"/>
        <rFont val="Calibri"/>
        <family val="2"/>
        <scheme val="minor"/>
      </rPr>
      <t xml:space="preserve"> And in lab handbook</t>
    </r>
  </si>
  <si>
    <t>Presence of a quarterly TATs table with the % of sample exceeding the TAT published (The goal is to decrease the percentage of samples exceeding the TAT to 0%).</t>
  </si>
  <si>
    <t>Presence of TAT data in the Quarterly Reports</t>
  </si>
  <si>
    <t>Presence of evidence in the consecutive quarterly reports that the samples exceeding TAT is decreased.</t>
  </si>
  <si>
    <t>2. Presence of the Read and Understood form signed by staff and minute of meeting.</t>
  </si>
  <si>
    <t>1. SOP on Reporting and Archiving of Results has the table of TAT and the procedure that the requester is immediately informed in case the TAT for an examination is exceeded.</t>
  </si>
  <si>
    <t>1. Presence of a corrective and preventive actions in the format of an action plan.</t>
  </si>
  <si>
    <t>2. Presence of evidence that the above action plan is implemented.</t>
  </si>
  <si>
    <t>1. Presence of a validation report of each examination method obtained from manufacture or established textbooks, peer-reviewed journals, or in international, national or regional guidelines.</t>
  </si>
  <si>
    <t>2. Presence of SOP for equipment and reagent lot verification.</t>
  </si>
  <si>
    <t>2. Presence of reports on verification of new lot or new reagent brand.</t>
  </si>
  <si>
    <t>3. Presence of report on equipment verification for each piece of equipment.</t>
  </si>
  <si>
    <t>1. Presence of method validation report from manufacturer or kit insert for every test performed</t>
  </si>
  <si>
    <t>Has the laboratory validated all the examination methods performed in the laboratory?
Find evidence by asking for the validation reports.</t>
  </si>
  <si>
    <t>Le laboratoire a-t-il validé toutes les méthodes utilisées dans le laboratoire ?
Demander les rapports de validation pour en obtenir la preuve.</t>
  </si>
  <si>
    <t>Была ли проведена валидация для всех методов исследований, выполняемых в лаборатории?
Проверьте, попросив посмотреть отчеты о валидации.</t>
  </si>
  <si>
    <t>¿Se han validado todos los métodos de análisis que se utilizan en el laboratorio?
Solicite los informes de validación que lo demuestren.</t>
  </si>
  <si>
    <t>1. Presence of SMART action plan for establishing the lab archive.</t>
  </si>
  <si>
    <t>2. Presence of an asigned person/role for enter and change records in the Authorization Matrix.</t>
  </si>
  <si>
    <t>All archive are locked.</t>
  </si>
  <si>
    <t>All archive are well stored.</t>
  </si>
  <si>
    <t>All archive are controlled.</t>
  </si>
  <si>
    <r>
      <t>the computerized system is scanned for viruses on a weekly basis by a proper, up to date virus scanner</t>
    </r>
    <r>
      <rPr>
        <sz val="10"/>
        <color rgb="FF00B050"/>
        <rFont val="Arial"/>
        <family val="2"/>
      </rPr>
      <t xml:space="preserve"> (evidence: paper copy of scan result or a checklist)</t>
    </r>
  </si>
  <si>
    <t xml:space="preserve">2.  Presence of a good virus scanner </t>
  </si>
  <si>
    <t xml:space="preserve">1. Presence of a firewall.
</t>
  </si>
  <si>
    <t>3. Presence of a document that contains the protocol for updating and running virus scans and also for performing weekly backups.</t>
  </si>
  <si>
    <t>2. Presence of a computer system that the correct authorizations are set for each password.</t>
  </si>
  <si>
    <t>1. Presence of an update Authorization Matrix and Personnal Job Description of staff who have rights to:
  - Access digital laboratory information only
       - Access and enter digital laboratory information
       - Access, enter and change digital laboratory information</t>
  </si>
  <si>
    <t>3. Presence of meeting minute on  the new rules regarding accessing laboratory information and each position in the laboratory the authorizations regarding the management of laboratory information.</t>
  </si>
  <si>
    <t>Presence of a contingency plan in the laboratory that should be followed in case of downtime of the computerized information system, to ensure access to laboratory information at all times</t>
  </si>
  <si>
    <t>Presence of an SOP on Information Management</t>
  </si>
  <si>
    <t>INFO3.11a</t>
  </si>
  <si>
    <t>INFO3.11b</t>
  </si>
  <si>
    <t>INFO3.11c</t>
  </si>
  <si>
    <t>INFO3.11d</t>
  </si>
  <si>
    <t>INFO3.11e</t>
  </si>
  <si>
    <t>INFO3.11f</t>
  </si>
  <si>
    <t>INFO3.11g</t>
  </si>
  <si>
    <t>INFO3.11h</t>
  </si>
  <si>
    <t>INFO3.11i</t>
  </si>
  <si>
    <t>INFO3.11j</t>
  </si>
  <si>
    <t>INFO3.11k</t>
  </si>
  <si>
    <t>INFO3.11l</t>
  </si>
  <si>
    <t>INFO3.11m</t>
  </si>
  <si>
    <t>Presence of client satisfaction survey result</t>
  </si>
  <si>
    <t>Presence of a report of the client satisfaction survey that shows the main findings and points for improvement</t>
  </si>
  <si>
    <t>1. Presence of a SMART action plan
2. The action plan is implemented and monitored.</t>
  </si>
  <si>
    <t>Presence of the SOP Developing, Reviewing and Evaluating a Contract for Service Delivery in folder entitled "Contracts for Service Delivery".</t>
  </si>
  <si>
    <t>Presence of minutes of meetings to discuss the contents of the contracts for service delivery</t>
  </si>
  <si>
    <t>2. Quality Officer is also an Internal Auditor</t>
  </si>
  <si>
    <t>4. Copies of the training certificates are stored in their personnel files, after staff members have completed the course on internal audit</t>
  </si>
  <si>
    <t>6. Presence of a Position Job Description for Internal Auditor that describes the tasks and responsibilities of an Internal Auditor.</t>
  </si>
  <si>
    <t>7. Presence of a Personal Job Descriptions of the staff members that are also in the position of Internal Auditor.</t>
  </si>
  <si>
    <t>8. Presence of the Authorization Matrix with the position of Internal Auditor.</t>
  </si>
  <si>
    <t>9. Presence of a weekly staff meeting minute describing the concept of internal auditing.</t>
  </si>
  <si>
    <t>1. Presence a list of Internal Auditors  needed in the laboratory.</t>
  </si>
  <si>
    <t>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t>
  </si>
  <si>
    <t>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t>
  </si>
  <si>
    <t>Было ли подходящее число сотрудников назначено внутренними аудиторами?
Подходящее число означает такое число внутренних аудиторов, которое будет достаточным для проведения аудита всей системы управления качеством и всех методов исследования каждые 12 месяцев, без перегрузки аудиторов слишком большим объемом работы, что может привести к неприемлемому уровню рабочего стресса.</t>
  </si>
  <si>
    <t>¿Existe una cantidad adecuada de miembros del personal designados como auditores internos?
Con adecuada se quiere decir que el número de miembros del personal designados como auditores internos es suficiente para lograr la auditoría del sistema de gestión de la calidad completo y de todos los análisis cada 12 meses, sin sobrecargar a los auditores internos con demasiado trabajo, lo cual crearía una presión de trabajo inaceptablemente alta.</t>
  </si>
  <si>
    <t xml:space="preserve">2. Presence of a workable planning. </t>
  </si>
  <si>
    <t>3. Presence of meeting minute for discussion the planning in a weekly staff meeting.</t>
  </si>
  <si>
    <t xml:space="preserve">1. Presence of a schedule in which the complete quality management system is audited in one year (12 months).  </t>
  </si>
  <si>
    <t>2. internal auiding report was submitted to lab manager</t>
  </si>
  <si>
    <t>1. Presence of internal auiding report</t>
  </si>
  <si>
    <t xml:space="preserve">Presence of a SMART action plan, within 2 weeks of receiving the internal audit report, which contain of action points for correcting/solving all the nonconformities identified.
</t>
  </si>
  <si>
    <t>Presence of complete action plans, with signature and date of lab manager, in a folder.</t>
  </si>
  <si>
    <t>Presence of an SOP for Internal Audit</t>
  </si>
  <si>
    <t xml:space="preserve">1. Presence of a minute for discussing the action plan in a weekly staff meeting and informing the staff members of the action points that were assigned to them specifically.
</t>
  </si>
  <si>
    <t>2. Presence of staff signature and date to action plans that finished.</t>
  </si>
  <si>
    <t>1. Patient data are store in a quick and easy retrieval way</t>
  </si>
  <si>
    <t>Presence of the Signature List for all staffs.</t>
  </si>
  <si>
    <t>ORG4.1</t>
  </si>
  <si>
    <t>Is the SOP on performing a management review up-to-date?
Compare elements in most recent Management Review Report with required elements defined in the SOP.</t>
  </si>
  <si>
    <t>La POS relative à la réalisation de la revue de direction est-elle actualisée ?
Comparer les éléments du rapport de la revue de direction plus récente avec les éléments requis, définis dans la POS.</t>
  </si>
  <si>
    <t>Соответствует ли сегодняшнему дню СОП проведения анализа руководством?
Сравните элементы самого последнего «Отчета о результатах анализа руководством» с требуемыми элементами, описанными в СОП.</t>
  </si>
  <si>
    <t>¿Está actualizado el POE de realización de revisiones por parte de la dirección?
Compare los elementos del informe de revisión por parte de la dirección más reciente con los elementos requeridos que se definen en el POE.</t>
  </si>
  <si>
    <t>PERS4.1</t>
  </si>
  <si>
    <t>Is staff safeguarded from overburdening?</t>
  </si>
  <si>
    <t>Does the laboratory have a standardized procedure for hiring new permanent and temporary staff, and having guests?</t>
  </si>
  <si>
    <t>Is the procedure for hiring new permanent and temporary staff and having guests correctly documented?</t>
  </si>
  <si>
    <t>Does the procedure for hiring new permanent and temporary staff cover all the following elements:</t>
  </si>
  <si>
    <t>Regarding permanent and temporary staff:</t>
  </si>
  <si>
    <t>Criteria to which all applicants must comply</t>
  </si>
  <si>
    <t>Procedure for defining specific criteria for the vacancy</t>
  </si>
  <si>
    <t>Procedure of drafting and publishing the vacancy</t>
  </si>
  <si>
    <t>Procedure of selecting suitable applicants based on application letters</t>
  </si>
  <si>
    <t>Procedure of inviting applicants and organizing the application interview</t>
  </si>
  <si>
    <t>Procedure of selecting applicants based on the application interview</t>
  </si>
  <si>
    <t>Procedure of hiring suitable applicant, including:</t>
  </si>
  <si>
    <t>Determining salary</t>
  </si>
  <si>
    <t>Writing Personal Job Description</t>
  </si>
  <si>
    <t>Adapting Authorization Matrix</t>
  </si>
  <si>
    <t>Creating a personnel file</t>
  </si>
  <si>
    <t>Ensuring that staff member is properly induced according to the SOP for Induction of New Personnel</t>
  </si>
  <si>
    <t>Providing training to new staff (e.g. training into quality management to ensure that the staff member understands and works via the quality management system).</t>
  </si>
  <si>
    <t>Regarding guests:</t>
  </si>
  <si>
    <t>Procedure of identification and recording of guest details</t>
  </si>
  <si>
    <t>Procedure of recording details of the visit</t>
  </si>
  <si>
    <t>Procedure of allowing access of the staff member to the laboratory (including a health check to determine if the guest’s health allows for accessing the testing areas).</t>
  </si>
  <si>
    <t>Are all staff members appropriately trained for the tasks performed?</t>
  </si>
  <si>
    <t>Are educational needs consistently assessed in competency assessments and performance appraisals?</t>
  </si>
  <si>
    <t>Are training needs consistently fulfilled?</t>
  </si>
  <si>
    <t>Does the laboratory have a Continuous Education Program?</t>
  </si>
  <si>
    <t>Is budget available for the Continuous Education Program?</t>
  </si>
  <si>
    <t>Is the Continuous Education Program included as element in the Quality Year Plan?</t>
  </si>
  <si>
    <t>Is the ability of all technical staff members to correctly perform examinations observed by letting them analyze external quality assessment samples and evaluating the results?</t>
  </si>
  <si>
    <t>Has a laboratory staff member appropriately been trained in performing failure-mode-effect-analyses?</t>
  </si>
  <si>
    <t>Has the personnel file of the staff member participating in failure mode effect analysis training been updated after completing this training?</t>
  </si>
  <si>
    <t>Le personnel est-il à l'abri d'une surcharge de travail ?</t>
  </si>
  <si>
    <t>Le laboratoire dispose-t-il d'une procédure standardisée pour recruter un nouveau membre du personnel permanent, un agent temporaire et accueillir des visiteurs ?</t>
  </si>
  <si>
    <t>La procédure pour recruter un nouveau membre permanent du personnel, un agent temporaire et accueillir des visiteurs est-elle correctement consignée par écrit ?</t>
  </si>
  <si>
    <t>La procédure destinée à recruter un nouveau membre permanent du personnel et un agent temporaire comprend-elle les éléments suivants :</t>
  </si>
  <si>
    <t>Pour un membre permanent et un agent temporaire :</t>
  </si>
  <si>
    <t>Critères auxquels tous les candidats doivent satisfaire</t>
  </si>
  <si>
    <t>Procédure destinée à définir les critères spécifiques pour le poste à pourvoir</t>
  </si>
  <si>
    <t>Procédure pour la rédaction et la publication de l'offre d'emploi</t>
  </si>
  <si>
    <t>Procédure pour la sélection des candidats les plus aptes sur la base de leur lettre de candidature</t>
  </si>
  <si>
    <t>Procédure pour inviter les candidats à un entretien et organiser celui-ci</t>
  </si>
  <si>
    <t>Procédure pour sélectionner les candidats sur la base de l'entretien d'embauche</t>
  </si>
  <si>
    <t>Procédure pour recruter le candidat approprié, comprenant les points suivants :</t>
  </si>
  <si>
    <t>Fixer le salaire</t>
  </si>
  <si>
    <t>Rédiger le descriptif personnalisé de poste</t>
  </si>
  <si>
    <t>Adapter la grille d'autorisation</t>
  </si>
  <si>
    <t>Créer un dossier personnel</t>
  </si>
  <si>
    <t>Veiller à la bonne insertion du membre du personnel selon la POS relative à l'insertion de nouveaux membres du personnel</t>
  </si>
  <si>
    <t>Assurer la formation du nouveau membre du personnel (par exemple, formation à la gestion de la qualité pour s'assurer que le membre du personnel comprend le système de gestion de la qualité et travaille conformément à ce système).</t>
  </si>
  <si>
    <t>Pour les visiteurs :</t>
  </si>
  <si>
    <t>Procédure pour l'identification et l'enregistrement des informations concernant le visiteur</t>
  </si>
  <si>
    <t>Procédure pour enregistrer les informations concernant l'objet de la visite</t>
  </si>
  <si>
    <t>Procédure pour autoriser l'accès temporaire du visiteur au laboratoire (incluant un examen médical pour déterminer si l'état de santé de la personne lui permet d'accéder aux zones où sont effectués les examens)</t>
  </si>
  <si>
    <t>Tous les membres du personnel ont-ils la formation appropriée pour les tâches réalisées ?</t>
  </si>
  <si>
    <t>Les besoins en termes de formation sont-ils systématiquement évalués lors des évaluations des compétences et des évaluations professionnelles ?</t>
  </si>
  <si>
    <t>Les formations nécessaires sont-elles systématiquement dispensées ?</t>
  </si>
  <si>
    <t>Le laboratoire a-t-il un programme de formation continue ?</t>
  </si>
  <si>
    <t>Un budget est-il disponible pour le programme de formation continue ?</t>
  </si>
  <si>
    <t>Le programme de formation continue est-il un élément intégré dans le plan annuel qualité ?</t>
  </si>
  <si>
    <t>L'aptitude de tous les membres du personnel technique à effectuer correctement les examens est-elle observée en leur faisant analyser des échantillons de l'évaluation externe de la qualité et en évaluant les résultats ?</t>
  </si>
  <si>
    <t>Y a-t-il au laboratoire un membre ayant reçu une formation appropriée sur l'analyse des modes de défaillance et de leurs effets ?</t>
  </si>
  <si>
    <t>Le dossier du membre du personnel ayant suivi une formation sur l'analyse des modes de défaillance et de leurs effets a-t-il été mis à jour après cette formation ?</t>
  </si>
  <si>
    <t>Защищен ли персонал от рабочей перегрузки?</t>
  </si>
  <si>
    <t>Есть ли в лаборатории стандартизированная процедура для найма нового постоянного и временного персонала и приема посетителей?</t>
  </si>
  <si>
    <t>Правильно ли задокументирована процедура найма новых сотрудников и временного персонала и приема посетителей?</t>
  </si>
  <si>
    <t>Задокументированы ли в процедуре найма новых сотрудников и временного персонала и приема посетителей следующие элементы:</t>
  </si>
  <si>
    <t>Для постоянного и временного персонала:</t>
  </si>
  <si>
    <t>критерии, которым должны соответствовать все соискатели;</t>
  </si>
  <si>
    <t>процедура определения конкретных критериев для определенной вакансии;</t>
  </si>
  <si>
    <t>процедура подготовки и публикации объявления на вакансию;</t>
  </si>
  <si>
    <t>процедура отбора подходящих соискателей на основе их заявлений;</t>
  </si>
  <si>
    <t>процедура приглашения соискателей на собеседование и организации собеседования;</t>
  </si>
  <si>
    <t>процедура отбора соискателей на основе собеседования;</t>
  </si>
  <si>
    <t>процедура найма подходящего соискателя, в том числе:</t>
  </si>
  <si>
    <t>определение зарплаты,</t>
  </si>
  <si>
    <t>написание индивидуальных должностных инструкций,</t>
  </si>
  <si>
    <t>обновление таблицы полномочий,</t>
  </si>
  <si>
    <t>создание личного дела,</t>
  </si>
  <si>
    <t>обеспечение адекватного инструктажа в соответствии с СОП «Инструктаж новых сотрудников»,</t>
  </si>
  <si>
    <t>обучение новых сотрудников (например, обучение управлению качеством для того, чтобы сотрудник понимал систему управления качеством и применял ее в работе);</t>
  </si>
  <si>
    <t>Для посетителей:</t>
  </si>
  <si>
    <t>процедура подтверждения личности и регистрации сведений о посетителях;</t>
  </si>
  <si>
    <t>процедура регистрации деталей визита;</t>
  </si>
  <si>
    <t>процедура разрешения доступа посетителя в лабораторию (в том числе проверка здоровья, чтобы определить, позволяет ли его/ее здоровье доступ в рабочие помещения);</t>
  </si>
  <si>
    <t>Все ли сотрудники прошли подготовку, требующуюся для выполнения их задач?</t>
  </si>
  <si>
    <t>Оцениваются ли постоянно потребности в обучении при оценках компетенций и служебной аттестации?</t>
  </si>
  <si>
    <t>Получают ли сотрудники требующееся им обучение?</t>
  </si>
  <si>
    <t>Есть ли у лаборатории программа продолжения образования?</t>
  </si>
  <si>
    <t>Имеется ли бюджет, предназначенный для программы продолжения образования?</t>
  </si>
  <si>
    <t>Включена ли программа продолжения образования в качестве отдельного раздела в годовой план по качеству?</t>
  </si>
  <si>
    <t>Проверяется ли способность всех сотрудников правильно выполнять исследования путем организации того, что все они проводят исследования проб внешней оценки качества и анализируют результаты?</t>
  </si>
  <si>
    <t>Прошел ли подходящий сотрудник лаборатории обучение анализу видов и последствий отказов?</t>
  </si>
  <si>
    <t>Был ли сертификат об обучении анализу видов и последствий отказов добавлен в личное дело сотрудника, прошедшего соответствующее обучение?</t>
  </si>
  <si>
    <t>¿Se protege al personal contra la sobrecarga de trabajo?</t>
  </si>
  <si>
    <t>¿Se dispone en el laboratorio de un procedimiento normalizado para la contratación de nuevo personal permanente o temporal y para la recepción de visitantes?</t>
  </si>
  <si>
    <t>¿Se ha documentado correctamente el procedimiento para la contratación de nuevo personal permanente o temporal y para la recepción de visitantes?</t>
  </si>
  <si>
    <t>¿Incluye el procedimiento para la contratación de nuevo personal permanente o temporal los siguientes aspectos?</t>
  </si>
  <si>
    <t>Para el personal permanente y temporal:</t>
  </si>
  <si>
    <t>Criterios que deben cumplir todos los candidatos</t>
  </si>
  <si>
    <t>Procedimiento de definición de criterios específicos para la vacante.</t>
  </si>
  <si>
    <t>Procedimiento de redacción y publicación de la vacante.</t>
  </si>
  <si>
    <t>Procedimiento de selección de los candidatos adecuados en función de sus cartas de solicitud.</t>
  </si>
  <si>
    <t>Procedimiento de invitación a los candidatos y organización de las entrevistas de trabajo.</t>
  </si>
  <si>
    <t>Procedimiento de selección de los candidatos adecuados en función de las entrevistas de trabajo.</t>
  </si>
  <si>
    <t>Procedimiento de contratación del candidato adecuado, incluidos los siguientes pasos:</t>
  </si>
  <si>
    <t>Definición del salario.</t>
  </si>
  <si>
    <t>Redacción de la descripción del puesto de trabajo personal.</t>
  </si>
  <si>
    <t>Adaptación de la matriz de autorización.</t>
  </si>
  <si>
    <t>Creación del archivo para un miembro del personal.</t>
  </si>
  <si>
    <t>Garantizar que el nuevo miembro del personal reciba la inducción adecuada de acuerdo con el POE de inducción de nuevo personal.</t>
  </si>
  <si>
    <t>Facilitar la formación correspondiente al nuevo miembro del personal (por ejemplo, formación en gestión de la calidad para garantizar que el nuevo miembro del personal comprenda el sistema de gestión de la calidad y trabaje de acuerdo con sus requisitos).</t>
  </si>
  <si>
    <t>Para los visitantes:</t>
  </si>
  <si>
    <t>Procedimiento de identificación y registro de los datos del visitante.</t>
  </si>
  <si>
    <t>Procedimiento de registro de los datos de la visita.</t>
  </si>
  <si>
    <t>Procedimiento para permitir el acceso al laboratorio al nuevo miembro del personal (incluida una revisión médica para determinar si la salud del miembro del personal no le impide acceder a las zonas de análisis).</t>
  </si>
  <si>
    <t>¿Están debidamente formados todos los miembros del personal para llevar a cabo sus tareas?</t>
  </si>
  <si>
    <t>¿Se analizan adecuadamente las necesidades de formación en las evaluaciones de la competencia y las valoraciones de rendimiento?</t>
  </si>
  <si>
    <t>¿Se satisfacen de forma coherente las necesidades de formación?</t>
  </si>
  <si>
    <t>¿Se dispone de un programa de formación continua en el laboratorio?</t>
  </si>
  <si>
    <t>¿Hay presupuesto disponible para el programa de formación continua?</t>
  </si>
  <si>
    <t>¿Está incluido el programa de formación continua en el plan de calidad anual?</t>
  </si>
  <si>
    <t>¿Se evalúa la capacidad de todos los miembros del personal técnico para realizar los análisis correctamente encargándoles la ejecución de análisis de muestras de evaluación externa de la calidad y valorando los resultados obtenidos?</t>
  </si>
  <si>
    <t>¿Ha recibido un miembro del personal del laboratorio la formación adecuada en análisis modal de fallos y efectos</t>
  </si>
  <si>
    <t>¿Se ha actualizado el archivo del miembro del personal del miembro que ha completado esa formación en análisis modal de fallos y efectos?</t>
  </si>
  <si>
    <t>PERS4.2</t>
  </si>
  <si>
    <t>PERS4.3</t>
  </si>
  <si>
    <t>PERS4.4</t>
  </si>
  <si>
    <t>PERS4.5</t>
  </si>
  <si>
    <t>PERS4.6</t>
  </si>
  <si>
    <t>PERS4.7</t>
  </si>
  <si>
    <t>PERS4.8</t>
  </si>
  <si>
    <t>PERS4.9</t>
  </si>
  <si>
    <t>PERS4.10</t>
  </si>
  <si>
    <t>PERS4.11</t>
  </si>
  <si>
    <t>PERS4.12</t>
  </si>
  <si>
    <t>PERS4.13</t>
  </si>
  <si>
    <t>Have all pieces of equipment that have a direct influence on the outcome of examinations been validated?</t>
  </si>
  <si>
    <t>Are all findings of validations (both validation of examination methods and validation of equipment) documented in validation reports?</t>
  </si>
  <si>
    <t>Is there an standardized procedure in place assuring that the laboratory determines and corrects the negative influence of defective equipment on laboratory testing?</t>
  </si>
  <si>
    <t>Is the procedure for determining and correcting the negative influence of defective equipment documented in an SOP?</t>
  </si>
  <si>
    <t>Toutes les unités d'équipement qui ont une incidence directe sur les résultats des examens ont-elles été validées ?</t>
  </si>
  <si>
    <t>Toutes les observations faites lors des validations (qu'il s'agisse d'une validation de méthodes d'examen ou d'une validation d'équipement) sont-elles consignées dans des rapports de validation ?</t>
  </si>
  <si>
    <t>Une procédure standardisée est-elle en place pour garantir que le laboratoire détermine et corrige l'effet négatif d'un équipement défectueux sur les examens du laboratoire ?</t>
  </si>
  <si>
    <t>La procédure destinée à déterminer et à corriger l'effet négatif d'un équipement défectueux est-elle consignée dans une POS ?</t>
  </si>
  <si>
    <t>Была ли проведена валидация всего оборудования, имеющего важное значение для результатов исследований?</t>
  </si>
  <si>
    <t>Задокументированы ли результаты валидации (как методов исследований, так и оборудования) в отчетах валидации?</t>
  </si>
  <si>
    <t>Есть ли в лаборатории стандартизированная процедура, обеспечивающая определение негативного влияния неисправного оборудования на результаты исследований и исправление данной ситуации?</t>
  </si>
  <si>
    <t>Задокументирована ли в виде СОП процедура определения негативного влияния неисправного оборудования и исправления данной ситуации?</t>
  </si>
  <si>
    <t>¿Se han validado todas las partes de los equipos que tengan una influencia directa sobre los resultados de los análisis?</t>
  </si>
  <si>
    <t>¿Se documentan todas las conclusiones de las validaciones (tanto de métodos de análisis como de equipos) en informes de validación?</t>
  </si>
  <si>
    <t>¿Se dispone de un procedimiento normalizado que garantice que el laboratorio determina y corrige la influencia negativa de los equipos defectuosos sobre las pruebas analíticas?</t>
  </si>
  <si>
    <t>¿Se documenta el procedimiento para determinar y corregir la influencia negativa de los equipos defectuosos en un POE?</t>
  </si>
  <si>
    <t>Has procedure for determining and correcting the negative influence of defective equipment routinely been performed in the past when equipment appeared to be defective?
Ask the interviewee to show an example.</t>
  </si>
  <si>
    <t>La procédure destinée à déterminer et à corriger l'effet négatif d'un équipement défectueux a-t-elle été utilisée systématiquement dans le passé quand un équipement s'est avéré être défectueux ?
Demander à la personne interrogée de donner un exemple.</t>
  </si>
  <si>
    <t>Стандартно ли в прошлом выполнялась процедура определения негативного влияния неисправного оборудования и исправления данной ситуации?
Попросите сотрудников проиллюстрировать примером.</t>
  </si>
  <si>
    <t>Si anteriormente se han detectado defectos en los equipos, ¿se ha llevado a cabo un procedimiento rutinario para determinar y corregir la influencia negativa de los equipos defectuosos?
Solicite a la persona entrevistada que le muestre un ejemplo de ello.</t>
  </si>
  <si>
    <t>EQUIP4.1</t>
  </si>
  <si>
    <t>EQUIP4.2</t>
  </si>
  <si>
    <t>EQUIP4.3</t>
  </si>
  <si>
    <t>EQUIP4.4</t>
  </si>
  <si>
    <t>EQUIP4.5</t>
  </si>
  <si>
    <t>Is there an SOP that covers all the more simple procedures for which it is too laborious/inefficient to make separate SOPs but that are critical for proper functioning of the laboratory?</t>
  </si>
  <si>
    <t>Is correct transportation of samples monitored on a continuous basis by the laboratory by checking of the transportation requirements in the SOP for Sample Collection are met?</t>
  </si>
  <si>
    <t>If problems arise in transportation of samples, does the laboratory investigate these problems to find the cause?</t>
  </si>
  <si>
    <t>If problems arise in transportation of samples, is a nonconformity form always completed?</t>
  </si>
  <si>
    <t>Are corrective and preventive actions undertaken to solve problems in sample transportation?</t>
  </si>
  <si>
    <t>Is the effect of the preventive/corrective actions to solve problems regarding sample transport evaluated to see if they worked?</t>
  </si>
  <si>
    <t>Does the laboratory monitor correct performance of all its processes using quality indicators?</t>
  </si>
  <si>
    <t>Is action undertaken upon detection of a sudden change in the value of a quality indictors to identify and solve the problem and prevent it from reoccurring?</t>
  </si>
  <si>
    <t>Have limits of acceptability been set for each quality indicator?</t>
  </si>
  <si>
    <t>Are actions undertaken to optimize the laboratory processes such that the limits of acceptability for each quality indicator aren’t exceeded any longer?</t>
  </si>
  <si>
    <t>Y a-t-il une POS couvrant l'ensemble des procédures très simples pour lesquelles il serait trop fastidieux/inefficace de rédiger des POS séparées mais qui sont critiques pour le bon fonctionnement du laboratoire ?</t>
  </si>
  <si>
    <t>Le transport des échantillons dans de bonnes conditions est-il suivi sur une base continue par le laboratoire en vérifiant si les spécifications en matière de transport formulées dans la POS relative à la collecte des échantillons sont respectées ?</t>
  </si>
  <si>
    <t>Si des problèmes liés au transport des échantillons se produisent, le laboratoire étudie-t-il ces problèmes pour en déterminer la cause ?</t>
  </si>
  <si>
    <t>Si des problèmes liés au transport des échantillons se produisent, un formulaire de non-conformité est-il systématiquement rempli ?</t>
  </si>
  <si>
    <t>Des mesures correctives et préventives sont-elles prises pour résoudre les problèmes liés au transport des échantillons ?</t>
  </si>
  <si>
    <t>L'effet des mesures préventives/correctives pour résoudre les problèmes liés au transport des échantillons est-il évalué pour vérifier leur efficacité ?</t>
  </si>
  <si>
    <t>Le laboratoire suit-il le bon déroulement de tous ses processus en utilisant des indicateurs de qualité ?</t>
  </si>
  <si>
    <t>Une action est-elle entreprise quand un changement soudain est observé dans la valeur d'un indicateur de qualité et le problème à l'origine du changement est-il résolu de façon à éviter qu'il se reproduise ?</t>
  </si>
  <si>
    <t>Des limites d'acceptabilité ont-elles été fixées pour chaque indicateur de qualité ?</t>
  </si>
  <si>
    <t>Des actions sont-elles entreprises pour optimiser les processus du laboratoire de façon que les limites d'acceptabilité pour chaque indicateur de qualité ne soient plus dépassées ?</t>
  </si>
  <si>
    <t>Есть ли в лаборатории СОП, в которую включены все более простые процедуры, для которых слишком трудоемко и неэффективно готовить отдельные СОП, но которые важны для нормального функционирования лаборатории?</t>
  </si>
  <si>
    <t>Отслеживает ли лаборатория на регулярной основе транспортировку проб, проверяя выполнение требований к транспортировке, приведенных в СОП «Взятие проб»?</t>
  </si>
  <si>
    <t>Если при транспортировке проб возникают проблемы, исследует ли лаборатория эти случаи, чтобы найти причину?</t>
  </si>
  <si>
    <t>Если при транспортировке проб возникают проблемы, всегда ли заполняют форму регистрации случаев несоответствия?</t>
  </si>
  <si>
    <t>Предпринимают ли корректирующие и предупреждающие действия для решения проблем при транспортировке проб?</t>
  </si>
  <si>
    <t>Оценивают ли эффект профилактических и корректирующих действий, направленных на решение проблем транспортировки проб, чтобы увидеть, решили ли они проблему?</t>
  </si>
  <si>
    <t>Отслеживает ли лаборатория протекание всех лабораторных процессов с использованием показателей качества?</t>
  </si>
  <si>
    <t>Предпринимают ли действия, если обнаруживается резкое изменение значения показателя, для выявления и решения проблемы и предотвращения ее повторения?</t>
  </si>
  <si>
    <t>Были ли установлены допустимые пределы для каждого показателя качества?</t>
  </si>
  <si>
    <t>Предпринимают ли действия для оптимизации лабораторных процессов, чтобы значения показателей качества не выходили из допустимых пределов?</t>
  </si>
  <si>
    <t>¿Se dispone de un POE que cubra todos los procedimientos demasiado simples como para elaborar un POE individual para cada uno de ellos pero fundamentales para el buen funcionamiento del laboratorio?</t>
  </si>
  <si>
    <t>¿Se realiza en el laboratorio un seguimiento continuo del correcto transporte de las muestras y se comprueba que se cumplan los requisitos de transporte establecidos en el POE de recogida de muestras?</t>
  </si>
  <si>
    <t>Si durante el transporte de muestras surgen problemas, ¿investiga el laboratorio esos problemas para encontrar las causas?</t>
  </si>
  <si>
    <t>Si durante el transporte de muestras surgen problemas, ¿se cumplimenta en todos los casos un formulario de no conformidad?</t>
  </si>
  <si>
    <t>¿Se llevan a cabo acciones correctivas y preventivas para solucionar los problemas de transporte de las muestras?</t>
  </si>
  <si>
    <t>¿Se evalúa el efecto de las acciones correctivas y preventivas para solucionar problemas relacionados con el transporte de muestras y se comprueba si esas acciones han funcionado?</t>
  </si>
  <si>
    <t>¿Realiza el laboratorio un seguimiento correcto del rendimiento de todos sus procesos usando indicadores de calidad?</t>
  </si>
  <si>
    <t>¿Se llevan a cabo las acciones pertinentes al detectar un cambio repentino en el valor de un indicador de calidad a fin de identificar y resolver el problema y evitar que vuelva a producirse?</t>
  </si>
  <si>
    <t>¿Se han establecido límites de aceptabilidad para cada indicador de calidad?</t>
  </si>
  <si>
    <t>¿Se llevan a cabo acciones para optimizar los procesos del laboratorio de modo que los límites de aceptabilidad de cada indicador de calidad no se vuelvan a exceder?</t>
  </si>
  <si>
    <t>PM4.1</t>
  </si>
  <si>
    <t>PM4.2</t>
  </si>
  <si>
    <t>PM4.3</t>
  </si>
  <si>
    <t>PM4.4</t>
  </si>
  <si>
    <t>PM4.5</t>
  </si>
  <si>
    <t>PM4.6</t>
  </si>
  <si>
    <t>PM4.7</t>
  </si>
  <si>
    <t>PM4.8</t>
  </si>
  <si>
    <t>PM4.9</t>
  </si>
  <si>
    <t>PM4.10</t>
  </si>
  <si>
    <t>Have specific staff members been authorized to communicate with clients so that proper communication and information provision to clients is ensured?</t>
  </si>
  <si>
    <t>Are specific laboratory staff members authorized to participate in clinical rounds?</t>
  </si>
  <si>
    <t>Do laboratory staff members participate in clinical rounds at least 4 times per year?</t>
  </si>
  <si>
    <t>Are meetings between laboratory staff and clinical staff held at least 4 times per year?</t>
  </si>
  <si>
    <t>Are minutes made of meetings between laboratory staff and clinical staff?</t>
  </si>
  <si>
    <t>If action points arise from a meeting between clinical staff and laboratory staff, is feedback given in the following meeting?</t>
  </si>
  <si>
    <t>Le laboratoire a-t-il autorisé des membres spécifiques du personnel à communiquer avec les clients afin d'assurer une communication appropriée et de fournir des informations aux clients ?</t>
  </si>
  <si>
    <t>Des membres spécifiques du personnel du laboratoire sont-ils autorisés à participer aux sessions cliniques ?</t>
  </si>
  <si>
    <t>Les membres du personnel du laboratoire participent-ils aux sessions cliniques au moins quatre fois par an ?</t>
  </si>
  <si>
    <t>Des réunions entre le personnel du laboratoire et le personnel clinique ont-elles lieu au moins quatre fois par an ?</t>
  </si>
  <si>
    <t>Des comptes rendus des réunions entre le personnel du laboratoire et le personnel clinique sont-ils rédigés ?</t>
  </si>
  <si>
    <t>Si des actions à mener sont définies lors d'une réunion entre le personnel clinique et le personnel du laboratoire, une rétro-information est-elle présentée à la réunion suivante ?</t>
  </si>
  <si>
    <t>Были ли специально выбранные сотрудники уполномочены на общение с клиентами, для того чтобы обеспечивать надлежащее взаимодействие с клиентами и предоставление им правильной информации?</t>
  </si>
  <si>
    <t>Были ли уполномочены определенные сотрудники лаборатории на участие во врачебных обходах?</t>
  </si>
  <si>
    <t>Участвуют ли сотрудники лаборатории во врачебных обхода по крайней мере 4 раза в год?</t>
  </si>
  <si>
    <t>Проводятся ли не реже 4 раз в год встречи сотрудников лаборатории и клинического персонала?</t>
  </si>
  <si>
    <t>Готовят ли протоколы встреч сотрудников лаборатории и клинического персонала?</t>
  </si>
  <si>
    <t>Если в результате встреч сотрудников лаборатории и клинического персонала возникает нужда в конкретных действиях, предоставляется ли информация о выполнении на следующей совместной встрече?</t>
  </si>
  <si>
    <t>¿Se ha autorizado a miembros específicos del personal para tratar con los clientes de forma que se garantice una adecuada comunicación e información a los clientes?</t>
  </si>
  <si>
    <t>¿Se ha autorizado a miembros específicos del personal del laboratorio para que participen en rondas clínicas?</t>
  </si>
  <si>
    <t>¿Participan los miembros del personal del laboratorio en rondas clínicas como mínimo 4 veces al año?</t>
  </si>
  <si>
    <t>¿Se organizan reuniones entre el personal del laboratorio y personal clínico como mínimo 4 veces al año?</t>
  </si>
  <si>
    <t>¿Se redactan actas de las reuniones entre el personal del laboratorio y personal clínico?</t>
  </si>
  <si>
    <t>Si las reuniones entre el personal del laboratorio y personal clínico conducen a la creación de puntos de acción, ¿se ofrece información sobre ello en la siguiente reunión?</t>
  </si>
  <si>
    <t>CF4.1</t>
  </si>
  <si>
    <t>CF4.2</t>
  </si>
  <si>
    <t>CF4.3</t>
  </si>
  <si>
    <t>CF4.4</t>
  </si>
  <si>
    <t>CF4.5</t>
  </si>
  <si>
    <t>CF4.6</t>
  </si>
  <si>
    <t>Has an external audit been performed to verify complete and correct implementation of the quality management system in compliance with ISO 15189 before the laboratory applies for accreditation?</t>
  </si>
  <si>
    <t>Are action plans made to solve/correct the nonconformities identified in the external mock audit with corrective actions and control steps and preventive actions when necessary and applicable?</t>
  </si>
  <si>
    <t>Is timely implementation of the action plans following the external mock audit monitored?</t>
  </si>
  <si>
    <t>Is the audit report of the external mock audit with the action plan archived when all action points have been completed?</t>
  </si>
  <si>
    <t>Un audit externe a-t-il été effectué pour vérifier si la mise en œuvre du système de gestion de la qualité était correcte et conforme à la norme ISO 15189 avant la demande d'accréditation du laboratoire ?</t>
  </si>
  <si>
    <t>Des plans d'action sont-ils établis pour éliminer/corriger les non-conformités identifiées lors de l'exercice d'audit externe en formulant des actions correctives, des étapes de contrôle et des actions préventives si nécessaire et s'il y a lieu ?</t>
  </si>
  <si>
    <t>Après l'exercice d'audit externe, la mise en œuvre des plans d'action, selon le calendrier fixé, fait-elle l'objet d'un suivi ?</t>
  </si>
  <si>
    <t>Le rapport de l'exercice d'audit externe ainsi que le plan d'action sont-ils archivés quand toutes les actions à mener ont été réalisées ?</t>
  </si>
  <si>
    <t>Был ли проведен внешний аудит лаборатории для проверки полного и правильного внедрения системы управления качеством в соответствии со стандартом ИСО 15189 до подачи заявки на аккредитацию?</t>
  </si>
  <si>
    <t>Были ли подготовлены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пробного внешнего аудита?</t>
  </si>
  <si>
    <t>Отслеживается ли своевременное выполнение планов действий, составленных на основе пробного внешнего аудита?</t>
  </si>
  <si>
    <t>Архивируется ли отчет по пробному внешнему аудиту вместе с планом действий, после того как все конкретные действия были выполнены?</t>
  </si>
  <si>
    <t>¿Se ha realizado una auditoría externa para verificar la correcta y completa implementación del sistema de gestión de la calidad según la norma ISO 15189 antes de que el laboratorio solicite la acreditación?</t>
  </si>
  <si>
    <t>¿Se han creado planes de acción para resolver/corregir las no conformidades identificadas en la auditoría externa simulada, con acciones correctivas, pasos de control y acciones preventivas cuando sea necesario y pertinente?</t>
  </si>
  <si>
    <t>¿Se ha realizado un seguimiento de la implementación puntual de los planes de acción elaborados a partir de la auditoría externa simulada?</t>
  </si>
  <si>
    <t>¿Se ha archivado el informe de la auditoría externa simulada con el plan de acción cuando todos los puntos de acción se hayan concluido?</t>
  </si>
  <si>
    <t>ASSESS4.1</t>
  </si>
  <si>
    <t>ASSESS4.2</t>
  </si>
  <si>
    <t>ASSESS4.3</t>
  </si>
  <si>
    <t>ASSESS4.4</t>
  </si>
  <si>
    <t>Does the laboratory have an SOP for Nonconformity Management that ensures that nonconformities are always solved/corrected in a standardized way with corrective and preventive actions and, if necessary and applicable, control steps?</t>
  </si>
  <si>
    <t>Does the laboratory have an SOP on Handling of Complaints?</t>
  </si>
  <si>
    <t>Are complaints handled in a standardized way?</t>
  </si>
  <si>
    <t>Are complainers informed about the solution that was developed based on their complaint?</t>
  </si>
  <si>
    <t>Has the laboratory procedures in place on how to act in specific emergency situations?</t>
  </si>
  <si>
    <t>Is firefighting equipment in place?</t>
  </si>
  <si>
    <t>Is an evacuation plan in place?</t>
  </si>
  <si>
    <t>Are evacuation routes indicated?</t>
  </si>
  <si>
    <t>Are there organizational emergency arrangements in place including a division of roles and responsibilities for specific emergency situations?</t>
  </si>
  <si>
    <t>Are procedures in place on how to handle in different emergency situations?</t>
  </si>
  <si>
    <t>Le laboratoire dispose-t-il d'une POS relative à la gestion des non-conformités qui garantit que celles-ci sont toujours éliminées/corrigées d'une manière standardisée par des actions correctives et préventives et, si nécessaire et applicable, des étapes de contrôle ?</t>
  </si>
  <si>
    <t>Le laboratoire dispose-t-il d'une POS pour le traitement des plaintes ?</t>
  </si>
  <si>
    <t>Les plaintes sont-elles traitées d'une manière standardisée ?</t>
  </si>
  <si>
    <t>Les personnes ayant émis les plaintes sont-elles informées de la solution élaborée sur la base de leur plainte ?</t>
  </si>
  <si>
    <t>Le laboratoire a-t-il mis des procédures en place pour savoir comment réagir dans des situations d'urgence spécifiques ?</t>
  </si>
  <si>
    <t>Un équipement de lutte contre l'incendie est-il en place ?</t>
  </si>
  <si>
    <t>Un plan d'évacuation est-il en place ?</t>
  </si>
  <si>
    <t>Les voies d'évacuation sont-elles indiquées ?</t>
  </si>
  <si>
    <t>Les dispositions organisationnelles applicables en situation d'urgence incluent-elles une répartition des rôles et des responsabilités pour des situations d'urgence spécifiques ?</t>
  </si>
  <si>
    <t>Des procédures sont-elles en place pour savoir comment agir dans différentes situations d'urgence ?</t>
  </si>
  <si>
    <t>Имеется ли в лаборатории СОП «Управление случаями несоответствия», которая обеспечивает стандартный способ разрешения или исправления​несоответствий путем выполнения корректирующих и предупреждающих действий и, если требуется и если возможно, то и контрольных шагов?</t>
  </si>
  <si>
    <t>Есть ли в лаборатории СОП «Рассмотрение жалоб»?</t>
  </si>
  <si>
    <t>Обрабатываются ли жалобы стандартизированным способом?</t>
  </si>
  <si>
    <t>Информируют ли подателей жалоб о том, какое решение было найдено в результате их жалобы?</t>
  </si>
  <si>
    <t>Установила ли лаборатория процедуры, описывающие, как действовать в определенных чрезвычайных ситуациях?</t>
  </si>
  <si>
    <t>Есть ли в лаборатории противопожарное оборудование?</t>
  </si>
  <si>
    <t>Есть ли в лаборатории план эвакуации?</t>
  </si>
  <si>
    <t>Есть ли в лаборатории указатели пути эвакуации?</t>
  </si>
  <si>
    <t>Есть ли в лаборатории организационные механизмы, включая разделение ролей и ответственности, для конкретных чрезвычайных ситуаций?</t>
  </si>
  <si>
    <t>Есть ли в лаборатории процедуры, описывающие, как действовать в различных чрезвычайных ситуациях?</t>
  </si>
  <si>
    <t>¿Se dispone en el laboratorio de un POE de gestión de las no conformidades que garantice que las no conformidades siempre se solucionen/corrijan de forma normalizada con acciones correctivas y preventivas y, si es necesario y aplicable, con pasos de control?</t>
  </si>
  <si>
    <t>¿Se dispone de un POE de gestión de reclamaciones en el laboratorio?</t>
  </si>
  <si>
    <t>¿Se gestionan las reclamaciones de forma normalizada?</t>
  </si>
  <si>
    <t>¿Se informa a las personas que presentaron las reclamaciones sobre las soluciones que se han elaborado para resolver sus reclamaciones?</t>
  </si>
  <si>
    <t>¿Se dispone en el laboratorio de procedimientos que establezcan cómo actuar en situaciones de emergencia específicas?</t>
  </si>
  <si>
    <t>¿Se dispone de equipos de protección contra incendios en el laboratorio?</t>
  </si>
  <si>
    <t>¿Se dispone de un plan de evacuación en el laboratorio?</t>
  </si>
  <si>
    <t>¿Están indicadas las rutas de evacuación?</t>
  </si>
  <si>
    <t>¿Se han definido disposiciones organizativas de emergencia, incluida una distribución de las funciones y responsabilidades para situaciones de emergencia específicas?</t>
  </si>
  <si>
    <t>¿Se dispone de procedimientos que establezcan cómo gestionar diferentes situaciones de emergencia?</t>
  </si>
  <si>
    <t>Gestión de casos de no conformidad</t>
  </si>
  <si>
    <t>Управление случаями несоответствия</t>
  </si>
  <si>
    <t>Gestion des problèmes</t>
  </si>
  <si>
    <t>Nonconforming Event Management</t>
  </si>
  <si>
    <t>CONFORM4.1</t>
  </si>
  <si>
    <t>CONFORM4.2</t>
  </si>
  <si>
    <t>CONFORM4.3</t>
  </si>
  <si>
    <t>CONFORM4.4</t>
  </si>
  <si>
    <t>CONFORM4.5</t>
  </si>
  <si>
    <t>CONFORM4.6</t>
  </si>
  <si>
    <t>CONFORM4.7</t>
  </si>
  <si>
    <t>CONFORM4.8</t>
  </si>
  <si>
    <t>CONFORM4.9</t>
  </si>
  <si>
    <t>CONFORM4.10</t>
  </si>
  <si>
    <t>Have failure mode and effect analyses been performed on all the procedures routinely performed in the laboratory to identify potential sources of nonconformity?</t>
  </si>
  <si>
    <t>Has the effectiveness of control steps and preventive/corrective actions implemented in the laboratory routine procedures following the Failure-Mode-Effect-Analysis been evaluated?</t>
  </si>
  <si>
    <t>When control steps and preventive/corrective actions of the Failure-Mode-Effect-Analysis appeared to be ineffective, have they been replaced by more feasible ones?</t>
  </si>
  <si>
    <t>Has the effectiveness and feasibility of the control steps and preventive/corrective actions that were optimized based on the first audit been evaluated in subsequent audits?</t>
  </si>
  <si>
    <t>Continual Improvement</t>
  </si>
  <si>
    <t>Amélioration continue</t>
  </si>
  <si>
    <t>Des analyses des modes de défaillance et de leurs effets ont-elles été effectuées sur toutes les procédures habituellement réalisées dans le laboratoire pour identifier les sources potentielles de non-conformités ?</t>
  </si>
  <si>
    <t>L'efficacité des étapes de contrôle et des actions préventives/correctives mises en œuvre dans les procédures habituelles du laboratoire après l'analyse des modes de défaillance et de leurs effets (AMDE) a-t-elle été évaluée ?</t>
  </si>
  <si>
    <t>Lorsque des étapes de contrôle et des actions préventives/correctives découlant de l'analyse des modes de défaillance et de leurs effets se sont avérés inefficaces, ont-elles été remplacées par d'autres mesures plus efficaces ?</t>
  </si>
  <si>
    <t>L'efficacité et la faisabilité des étapes de contrôle et des actions préventives/correctives qui ont été optimisées sur la base du premier audit ont-elles été évaluées dans les audits ultérieurs ?</t>
  </si>
  <si>
    <t>Был ли в лаборатории проведен анализ видов и последствий отказов для всех обычно выполняемых процедур, чтобы выявить потенциальные источники несоответствий?</t>
  </si>
  <si>
    <t>Была ли оценена результативность контрольных шагов и предупреждающих и корректирующих действий, выполненных после анализа видов и последствий отказов, в отношении обычных лабораторных процедур?</t>
  </si>
  <si>
    <t>Если контрольные шаги и предупреждающие и корректирующие действия, выполненные после анализа видов и последствий отказов оказались неэффективными, были ли они заменены на более практичные?</t>
  </si>
  <si>
    <t>Была ли оценена в последующих аудитах эффективность и осуществимость контрольных шагов и предупреждающих и корректирующих действий, которые были оптимизированы на основании первого аудита?</t>
  </si>
  <si>
    <t>¿Se han realizado análisis modales de fallos y efectos en todos los procedimientos rutinarios del laboratorio para identificar las posibles fuentes de no conformidades?</t>
  </si>
  <si>
    <t>¿Se ha evaluado la eficacia de las acciones preventivas/correctivas y los pasos de control que se han implementado en los procedimientos rutinarios del laboratorio a raíz del análisis modal de fallos y efectos realizado?</t>
  </si>
  <si>
    <t>Si las acciones preventivas/correctivas y los pasos de control del análisis modal de fallos y efectos parecen ser ineficaces, ¿se han sustituido por acciones más viables?</t>
  </si>
  <si>
    <t>¿Se ha evaluado en auditorías posteriores la eficacia y viabilidad de las acciones preventivas/correctivas y los pasos de control optimizados en función de la primera auditoría?</t>
  </si>
  <si>
    <t>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t>
  </si>
  <si>
    <t>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t>
  </si>
  <si>
    <t>Были ли выполнены предупреждающие действия, контрольные шаги и корректирующие действия, чтобы предотвратить и контролировать возникновение несоответствий?
Просмотрите отчеты анализа видов и последствий отказов и проверьте, были ли в действительности в достаточной степени предупреждены и контролированы разные виды отказов путем выполнения предупреждающих действий, контрольных шагов и корректирующих действий. То, насколько достаточная была степень, определяется соотношением, с одной стороны, предупреждающих и корректирующих действий и контрольных шагов, а с другой стороны, вероятностью видов отказов вместе с тяжестью их последствий.</t>
  </si>
  <si>
    <t>¿Se han implementado adecuadamente acciones preventivas, pasos de control y acciones correctivas para evitar y controlar posibles no conformidades?
Observe los informes de los análisis modales de fallos y efectos y compruebe si los modos de fallo se han evitado y controlado razonablemente mediante las acciones preventivas, pasos de control y acciones correctivas que se han implementado. En este contexto, “razonablemente” significa que la implementación de las acciones preventivas, pasos de control y acciones correctivas compensa la probabilidad de que se produzcan modos de fallo y la gravedad de las consecuencias.</t>
  </si>
  <si>
    <t>Mejora continua</t>
  </si>
  <si>
    <t>Постоянное улучшение</t>
  </si>
  <si>
    <t>CI4.1</t>
  </si>
  <si>
    <t>CI4.2</t>
  </si>
  <si>
    <t>CI4.3</t>
  </si>
  <si>
    <t>CI4.4</t>
  </si>
  <si>
    <t>CI4.5</t>
  </si>
  <si>
    <t>Presence of an up-to-date SOP on performing a management review</t>
  </si>
  <si>
    <t>PERS4.4a</t>
  </si>
  <si>
    <t>PERS4.4b</t>
  </si>
  <si>
    <t>PERS4.4c</t>
  </si>
  <si>
    <t>PERS4.4d</t>
  </si>
  <si>
    <t>PERS4.4e</t>
  </si>
  <si>
    <t>PERS4.4f</t>
  </si>
  <si>
    <t>PERS4.4g</t>
  </si>
  <si>
    <t>PERS4.4h</t>
  </si>
  <si>
    <t>PERS4.4i</t>
  </si>
  <si>
    <t>PERS4.4j</t>
  </si>
  <si>
    <t>PERS4.4k</t>
  </si>
  <si>
    <t>PERS4.4l</t>
  </si>
  <si>
    <t>PERS4.4m</t>
  </si>
  <si>
    <t>PERS4.4n</t>
  </si>
  <si>
    <t>PERS4.4o</t>
  </si>
  <si>
    <t>PERS4.4p</t>
  </si>
  <si>
    <t>PERS4.4q</t>
  </si>
  <si>
    <t>PERS4.4r</t>
  </si>
  <si>
    <t>2. Quality Year Plan with the needs for training of specific staff members</t>
  </si>
  <si>
    <t>3. Copies of certificates of trainings followed by staff members in their personnel files.</t>
  </si>
  <si>
    <t>Presence of:
1. Report/evidence on staff competency assessment/ performance appraisals, with potential gaps identified for the training of each staff member.</t>
  </si>
  <si>
    <t xml:space="preserve">Presence of:
1. Schedule for EQA testing with different technologist assigned to test the panel each time.
</t>
  </si>
  <si>
    <t>2. Report on weekly staff meeting explaining on the above schedule.</t>
  </si>
  <si>
    <t>3. Above schedule at a location that is visible to all staff members, such as a notice board.</t>
  </si>
  <si>
    <t>4. Evidence that the above schedule is implemented effectively.</t>
  </si>
  <si>
    <t xml:space="preserve">Presence of report on  verification each time a verification is performed (both verifications of examination methods and verifications of equipment) . </t>
  </si>
  <si>
    <t>Presence of record/ evidence 
on the implementation of the procedure for determining and correcting the negative influence of defective equipment on test results.</t>
  </si>
  <si>
    <t>2. Read and Understand List</t>
  </si>
  <si>
    <t>3. Report on staff meeting, explaining the important to determine the potential negative influence of defective equipment on laboratory testing.</t>
  </si>
  <si>
    <t>Presence of:
1. SOP for Equipment Repair, which includes the procedure for determining and correcting the negative influence of defective equipment on test results</t>
  </si>
  <si>
    <t xml:space="preserve">Presence of an SOP for General Activities which include:
• Internal communication: organization of meetings and drafting of minutes
• Monitoring of transportation of samples
• Cleaning of the containment laboratory
• Temperature monitoring
• Cleaning of refrigerators, freezers, incubators, etc.
</t>
  </si>
  <si>
    <t>Presence of an evidence for root cause analysis in case bad quality samples are received</t>
  </si>
  <si>
    <t xml:space="preserve">Presence of a record on the monitoring and evaluation of the effectiveness of the preventive/corrective actions to solve problems of sample transportation </t>
  </si>
  <si>
    <t>Presence of limits of acceptability for each quality indicator</t>
  </si>
  <si>
    <t>Presence of a minute of the meeting</t>
  </si>
  <si>
    <t>Presence of a minute of the meeting in folder Minutes behind a new tab titled Clinical Staff Meetings</t>
  </si>
  <si>
    <t xml:space="preserve">Presence of:
1. a checklist on the criteria for correct transportation of samples </t>
  </si>
  <si>
    <t>2.  a record on the continuously monitor the correct transportation of samples.</t>
  </si>
  <si>
    <t>2. a completed nonconformity form for any problem arise in transportation of samples</t>
  </si>
  <si>
    <r>
      <t xml:space="preserve">Presence of:
</t>
    </r>
    <r>
      <rPr>
        <sz val="10"/>
        <color rgb="FF00B050"/>
        <rFont val="Arial"/>
        <family val="2"/>
      </rPr>
      <t>1. a nonconformity form</t>
    </r>
  </si>
  <si>
    <t xml:space="preserve">2. a record/ report on the implementation of the corrective and preventive actions </t>
  </si>
  <si>
    <t>Presence of:
1. an action plans (if required) from the corrective and preventive actions indicated in the nonconformity form</t>
  </si>
  <si>
    <t xml:space="preserve">Presence of:
1. List of quality indicators. 
</t>
  </si>
  <si>
    <t>2. Record on the monitoring of the quality indicators on a monthly basis.</t>
  </si>
  <si>
    <t xml:space="preserve">2. a report/ evidence on the resolving of the nonconformity </t>
  </si>
  <si>
    <t>3. a preventive actions to prevent the same problem from reoccurring.</t>
  </si>
  <si>
    <t xml:space="preserve">Presence of: 
1. a completed nonconformity form (when there is a sudden change in the trends for a specific indicator) included the identified root cause   </t>
  </si>
  <si>
    <t>2. record/ evidence showing that the limits of acceptability for each indicator is improved overtime</t>
  </si>
  <si>
    <t>Presence of:
1. new limits of acceptability for each indicator, overtime (every quarter, or semester, or year) if needed</t>
  </si>
  <si>
    <t xml:space="preserve">2. a minute of weekly staff meeting regarding the Job Description of the selected staff members </t>
  </si>
  <si>
    <t>3. an updated Personal Job Description of the selected staff members</t>
  </si>
  <si>
    <t>Presence of:
1. at least two staff members to answer questions from clients of the laboratory</t>
  </si>
  <si>
    <t>2. a minute of the meeting</t>
  </si>
  <si>
    <t>Presence of 
1. a list of authorized staff to participate in clinical rounds with clinicians</t>
  </si>
  <si>
    <t>2. report/evidence on the execution of the action plans</t>
  </si>
  <si>
    <t>3. minute on the feedback about the execution to clinical staff in the next Clinical staff meeting.</t>
  </si>
  <si>
    <t>Presence of
1. action plans to solve all the action points arise from these meetings</t>
  </si>
  <si>
    <t>2. a nonconformity form.</t>
  </si>
  <si>
    <t>3. a Tally list form.</t>
  </si>
  <si>
    <t xml:space="preserve">Presence of:
1. an SOP for Nonconformity Management (include a filled Read and Understood). </t>
  </si>
  <si>
    <t xml:space="preserve">Presence of
1. an SOP on Handling of Complaints; included a complaint form and the Read and Understand List.
</t>
  </si>
  <si>
    <t>2. a minute of a weekly staff meeting that explain the procedure for handling complaints and why complaints need to be handled according to this procedure.</t>
  </si>
  <si>
    <t>Presence of:
1. an updated Authorization Matrix included the tasks and responsibilities described in the SOP on Handling of Complaint.</t>
  </si>
  <si>
    <t>2. a complete filled-out complaint form accordance to the SOP</t>
  </si>
  <si>
    <t>Presence of:
1. an evidence/record on the feedback to the complainer</t>
  </si>
  <si>
    <t>2. a complete filled-out the complaint form</t>
  </si>
  <si>
    <t>Presence of the SOP on how to act in specific emergency situations</t>
  </si>
  <si>
    <t xml:space="preserve">Presence of a firefighting equipment </t>
  </si>
  <si>
    <t>Presence of signage for evacuation route</t>
  </si>
  <si>
    <t>Presence of maintenance logsheet of each piece of equipment in the "Equipment Archive folder". And review frequently by lab manager.</t>
  </si>
  <si>
    <t>Presence of "Equipment Usage Logsheet" next to each piece of equipment, especially the analyzers, centrifuge.</t>
  </si>
  <si>
    <t>Presence of the maintenance logsheet placed in the "Equipment Archive folder". And review frequently by lab manager.</t>
  </si>
  <si>
    <t>1. Presence of Confidentiality Agreement Form for each staff with signature of each staff on it and kept in personnel files.</t>
  </si>
  <si>
    <t>Presence of Client Register, next to the telephone or on the wall, where is accessible to all staff</t>
  </si>
  <si>
    <t>Presence of an updated biological reference interval/diagnostic decision value and/or alert/critical interval values in
- the Laboratory Service Manual</t>
  </si>
  <si>
    <t xml:space="preserve">1. Sample Storage Areas is available with good condition.
</t>
  </si>
  <si>
    <t>1. Presence of Quarterly Report in its folder (including corrective action)</t>
  </si>
  <si>
    <t xml:space="preserve">1. Presence of Management Annual Review Report
</t>
  </si>
  <si>
    <t>Presence of TATs table in Quality Manual And in lab handbook</t>
  </si>
  <si>
    <t>the computerized system is scanned for viruses on a weekly basis by a proper, up to date virus scanner (evidence: paper copy of scan result or a checklist)</t>
  </si>
  <si>
    <t>Presence of:
1. a nonconformity form</t>
  </si>
  <si>
    <t>In this first step, you will set up the criteria you want to use to consider an activity as completed or not. For each item from WHO's checklist, you can provide as many completion checks as you need. When you are done, you can click the "Extract Criterias Checklist" in the General Settings Tab. This will populate your generic fill-in form for this phase. You can then procede to fill in this Fill-in Form in the next sheet.</t>
  </si>
  <si>
    <t>This Sheet displays the validation criterias you defined in the corresponding Criterias sheet. For each of the validation criteria, you can check if the criteria has been fullfilled or not, or if it is not applicable, or if it its fullfilment is in progress. You can check the completion status of this checklist by checking the orange progression bar on top of the sheet.</t>
  </si>
  <si>
    <t>Check</t>
  </si>
  <si>
    <t>In this sheet, you will be able to validate the completion of each item of  WHO's checklist. The score given is computed based on the completion of criterias for each item. You can check or not each item of the checklist, or indicate it is currently being implemented, or non pplicable for you facility</t>
  </si>
  <si>
    <t>XXX1</t>
  </si>
  <si>
    <t>Yes</t>
  </si>
  <si>
    <t>No</t>
  </si>
  <si>
    <t>Non Applicable</t>
  </si>
  <si>
    <t>In Progress</t>
  </si>
  <si>
    <t>XXX2</t>
  </si>
  <si>
    <t>XXX3</t>
  </si>
  <si>
    <t>XXX4</t>
  </si>
  <si>
    <t>STEP 1 :</t>
  </si>
  <si>
    <t>If want to add a language to the tool, please refer to the user guide to learn how to set a new traduction</t>
  </si>
  <si>
    <t>STEP 2 :</t>
  </si>
  <si>
    <t>Enter the date for which you want to enter a report</t>
  </si>
  <si>
    <t>You can enter the date with the format that makes the most sense for your usage. If you use the report compiler,  the same date format will be used</t>
  </si>
  <si>
    <t>STEP 3 :</t>
  </si>
  <si>
    <t>Set the Completion Criterias lists</t>
  </si>
  <si>
    <t>Please refer to the user guide to understand how the Completion Criterias lists work. You don't have to enter the lists for each report, and can use pre-set files with existing lists. Once you are done, click the button on the right</t>
  </si>
  <si>
    <t>STEP 4 :</t>
  </si>
  <si>
    <t>Update and Import the Equipment Register</t>
  </si>
  <si>
    <t>Templater for Equipment Register</t>
  </si>
  <si>
    <t>Make sure your register is up to date with all required information. You can directly import the information in the report, to populate the relevant fields</t>
  </si>
  <si>
    <t>TO DOS</t>
  </si>
  <si>
    <t>STEP 5 :</t>
  </si>
  <si>
    <t>Fill the Criteria Completion Checklist</t>
  </si>
  <si>
    <t>You will find relevant information on each sheet</t>
  </si>
  <si>
    <t>STEP 6 :</t>
  </si>
  <si>
    <t>Update the Checklist</t>
  </si>
  <si>
    <t>Welcome to the 
Laboratory Quality Stepwise Implementation Tool</t>
  </si>
  <si>
    <t>Here is a step by step guide to start using the data collection module. To learn more about the tool and how to use it, please refer to the user guide.</t>
  </si>
  <si>
    <t>Pick the language you want to use, using the following menu</t>
  </si>
  <si>
    <t>25/09/17</t>
  </si>
  <si>
    <t>តើបុគ្គលិកត្រូវបានណែនាំគ្រប់គ្រាន់ទៅលើរោគសញ្ញានៃការឆ្លងរោគដោយមេរោគបង្កជំងឺដែលមាននៅក្នុងមន្ទីរពិសោធន៍ដែរឬទេ?</t>
  </si>
  <si>
    <t>តើមន្ទីរពិសោធន៍បានសរសេរ​នីតិវិធី​អំពីរបៀបអនុវត្តន៍ ក្នុង​ករណី​មាន​ការ​បង្ក​ជំងឺ​សង្ស័យ​ពាក់ព័ន្ធ​នឹង​មន្ទីរពិសោធន៍ឬគ្រោះថ្នាក់ក្នុងមន្ទីរពិសោធន៍ ដែលបណ្ដាលអោយបុគ្គលិកងាយនឹងឆ្លងរោគ ដែរឬទេ?</t>
  </si>
  <si>
    <t>តើ​បាន​កំណត់​ក្រុម​ហានិភ័យ​សម្រាប់​បន្ទប់​មន្ទីរពិសោធន៍​នីមួយៗ​ ដែរឬទេ?</t>
  </si>
  <si>
    <t>តើ​មន្ទីរពិសោធន៍​បាន​ធ្វើការ​វាយតម្លៃ​លើ កន្លែង​និង​សុវត្ថិភាព​ ដែរ​ឬទេ?</t>
  </si>
  <si>
    <t>តើ​មាន​ផែនការ​​សកម្មភាព​ដើម្បី​អនុវត្ត​កែ​លម្អ​ ដោយ​ផ្អែក​លើ​ការ​រក​ឃើញ​ពី​ការ​វាយតម្លៃ​កន្លែង​និង​សុវត្ថិភាព​ ដែរឬទេ?</t>
  </si>
  <si>
    <t>តើ​ចំណុច​សកម្មភាព​ក្នុង​ផែនការ​សកម្មភាព​ដែល​បាន​មក​ពី​ការ​វាយ​តម្លៃកន្លែង​និង​សុវត្ថិភាព​ បានបង្កើតឡើង​តាម​វិធីសាស្រ្ត SMART ដែរ​ឬ​ទេ?</t>
  </si>
  <si>
    <t>តើ​ចំណុច​សកម្មភាព​ក្នុង​ផែនការ​សកម្មភាព​ដែល​បាន​មក​ពី​ការ​វាយ​តម្លៃ​កន្លែង​និង​សុវត្ថិភាព​ បានអនុវត្ត​ទាន់​ពេលឬ​មុន​ពេល​កំណត់ ដែរ​ឬ​ទេ?</t>
  </si>
  <si>
    <t>តើ​ចំណុច​សកម្មភាព​ដែល​ចេញ​ពី​ការ​វាយតម្លៃ​កន្លែង​និង​សុវត្ថិភាព​ បានអនុវត្ត​រួច​ហើយ​ ត្រូវបានចុះហត្ថលេខានិងកាលបរិច្ឆេទបញ្ជាក់ ដែរឬទេ?</t>
  </si>
  <si>
    <t>តើមន្ទីរពិសោធន៍មាននីតិវិធីសម្រាប់ដំណើរការបែងចែកនិងចោលកាកសំណល់តាមប្រភេទផ្សេងៗគ្នា ដែរឬទេ?</t>
  </si>
  <si>
    <t>តើមន្ទីរពិសោធន៍គោរពតាមនីតិវិធីសម្រាប់ដំណើរ​ការ​បែងចែក​និងចោលកាកសំណល់តាមប្រភេទផ្សេងៗគ្នាបានខ្ជាប់ខ្ជូន ដែរឬទេ?</t>
  </si>
  <si>
    <t>តើមានគោលការណ៍ណែនាំបច្ចុប្បន្នភាពស្តីពីសុវត្ថិភាពនៃការចោលកាក​សំណល់ ដែរឬទេ?</t>
  </si>
  <si>
    <t>តើ​បុគ្គលិក​មន្ទីរ​ពិសោធន៍​គោរពតាម​គោលការណ៍​ណែនាំស្តីពីការចោលសំណល់ប្រកបដោយសុវត្ថិភាព ដែរឬទេ?</t>
  </si>
  <si>
    <t>តើសំណល់ឆ្លងរោគដែលមានសក្តានុពលត្រូវបានរក្សាទុកដោយមានសុវត្ថិភាពមុនពេលដុតចោលក្នុងឡ ដែរ​ឬទេ?</t>
  </si>
  <si>
    <t>តើ​សម្ភារៈ​ឆ្លងរោគ​ដែលមាន​សក្តា​នុពល​ត្រូវ​បាន​ដុត​ចោល​ក្នុងឡ បាន​ត្រឹមត្រូវ​ ដែរឬទេ?</t>
  </si>
  <si>
    <t>តើ​សម្ភារៈ​មុតស្រួច​ត្រូវបានដុត​ចោល​ក្នុងឡ​ប្រកប​ដោយសុវត្ថិភាព​ និងគ្មានហានិភ័យនៃគ្រោះថ្នាក់មុត ដែរឬទេ?</t>
  </si>
  <si>
    <t>តើ​នៅ​ជុំវិញ​ឡ​ដុត​សំណល់​មាន​សំណល់​រាយប៉ាយ ដែរ​ឬទេ?</t>
  </si>
  <si>
    <t>តើសម្ភារៈកែវ​ឆ្លង​រោគ​ដែល​ត្រូវ​យក​មក​ប្រើប្រាស់​ឡើងវិញ​ត្រូវ​បាន​អូតូក្លាវត្រឹមត្រូវ ដែរឬទេ?</t>
  </si>
  <si>
    <t>តើ​បានបែងចែក​ធុងសំណល់​គីមីដាច់​ដោយ​ឡែកពីគ្នា​​ទៅ​តាម​​ប្រភេទផ្សេង​គ្នារបស់វា ដែរឬទេ?</t>
  </si>
  <si>
    <t>តើ​សំណល់​គីមី​ត្រូវ​បាន​ចាត់ចែង​ត្រឹមត្រូវ ដែរឬទេ?</t>
  </si>
  <si>
    <t>តើធុងសំណល់គ្រោះថ្នាក់​ជីវសាស្រ្តបានបែងចែកដាច់ដោយឡែក ចៀសវាងការច្រឡំគ្នាជាមួយនឹង​ធុងសំណល់ធម្មតា ដែរឬទេ?</t>
  </si>
  <si>
    <t>តើ​សំណល់​ធម្មតា​ត្រូវ​បាន​ចាត់ចែង​(ចោល)​ទៅ​តាម​​​​បទ​ប្បញ្ញត្តិ​ថ្នាក់​មូលដ្ឋាន​ ​ឬ​ថ្នាក់ជាតិ(បើមាន) ដែរឬទេ?</t>
  </si>
  <si>
    <t>តើ​មាន​សៀវភៅ​ជីវ​សុវត្ថិភាព​ដែល​មាន​បច្ចុប្បន្ន​ភាព​នៅក្នុងមន្ទីរពិសោធន៍ដែរឬទេ?</t>
  </si>
  <si>
    <t>តើ​សៀវភៅ​ជីវ​សុវត្ថិភាព​មាន​រចនាសម្ព័ន្ធ​សមស្រប​ជាមួយ​នឹង​តារាងបញ្ជី​មាតិកា សេចក្តីផ្ដើម និងដាក់​ចំណងជើងនៅទំព័រមួយ​យ៉ាងច្បាស់នូវពាក្យ​ថា​ "សៀវភៅជីវសុវត្ថិភាព" ដែរឬទេ?</t>
  </si>
  <si>
    <t>តើ​សៀវភៅ​ជីវ​សុវត្ថិភាព​មាន វិធានសុវត្ថិភាព​ទូទៅ សម្រាប់ធ្វើការនៅក្នុងមន្ទីរពិសោធន៍ជាមួយនឹងសំណាករបស់មនុស្ស ដែរឬទេ?</t>
  </si>
  <si>
    <t>តើ​សៀវភៅ​ជីវ​សុវត្ថិភាព​មាន​ នីតិវិធីបង្ការសុវត្ថិភាព ដែរឬទេ?</t>
  </si>
  <si>
    <t>តើសៀវភៅ​ជីវ​សុវត្ថិភាព​មាន​ នីតិវិធីសម្រាប់​ស្ថានភាព​​បន្ទាន់ ដែរឬទេ?</t>
  </si>
  <si>
    <t>តើជំពូក​នីមួយៗ​នៃសៀវភៅជីវសុវត្ថិភាពត្រូវបានចុះហត្ថលេខាដោយអ្នកសរសេរ អ្នកពិនិត្យមើល​ឡើង​វិញ និងអ្នកគ្រប់គ្រងមន្ទីរពិសោធន៍ ដែរឬទេ?</t>
  </si>
  <si>
    <t>តើសៀវភៅ​ជីវ​សុវត្ថិភាព​​បានដាក់នៅ​ទីតាំង​សមស្របដើម្បីបុគ្គលិកមានការងាយស្រួលយកមកអាន ដែរឬទេ?</t>
  </si>
  <si>
    <t>តើសៀវភៅជីវសុវត្ថិភាពត្រូវបានអាននិងចុះហត្ថលេខា​ដោយ​បុគ្គលិក​ទំាងអស់គ្នា ដែរឬទេ?</t>
  </si>
  <si>
    <t>តើមាននីតិវិធីប្រតិបត្តិស្តង់ដា​អំពីរបៀបសម្អាតអគារមន្ទីរពិសោធន៍ ដែរឬទេ?</t>
  </si>
  <si>
    <t>តើនីតិវិធីប្រត្តិបត្តិស្តង់ដាសម្អាតអគារមន្ទីរពិសោធន៍បានសរសេរអំពីផ្នែកមួយនៃគោលការណ៍ណែនំាជាក់លាក់សម្រាប់សម្អាតបន្ទប់មន្ទីរពិសោធន៍ ដែរឬទេ?</t>
  </si>
  <si>
    <t>តើមានកាលវិភាគសម្រាប់ការសម្អាត​ ដែរឬទេ?</t>
  </si>
  <si>
    <t>តើកាលវិភាគសម្អាតបង្ហាញអ្វីដែលគួរត្រូវបានសម្អាតដោយនរណាហើយនៅពេលណា ដែរឬទេ?</t>
  </si>
  <si>
    <t>តើមន្ទីរពិសោធន៏បានសម្អាតជាប្រចាំ ដែរឬទេ?</t>
  </si>
  <si>
    <t>តើមានប្រអប់បង្ការពេលកំពប់ (Spill kits) គ្រប់គ្រាន់ជាមួយនឹងសម្ភារៈគ្រប់ប្រដាប់ក្នុងប្រអប់ ដែរឬទេ?</t>
  </si>
  <si>
    <t>តើមាននីតិវិធីប្រត្តិបត្តិស្តង់ដាសម្រាប់ដោះស្រាយការកំពប់ទៅតាមប្រភេទផ្សេងគ្នា ដែរឬទេ?</t>
  </si>
  <si>
    <t>តើមានអ្នកសង្គ្រាះបឋមនៅក្នុងមន្ទីរពិសោធន៍ ដែរឬទេ?</t>
  </si>
  <si>
    <t>តើមានប្រអប់សង្គ្រោះបឋម (first aid kits) នៅទីតាំងដែលអាចងាយយកប្រើបាន ដែរឬទេ?</t>
  </si>
  <si>
    <t>តើការអនុវត្ដន៍នៃប្រព័ន្ធគ្រប់គ្រងគុណភាពត្រូវបានសម្របសម្រួលដោយក្រុមការងារគុណភាព (Quality Project Team) ដែរឬទេ?</t>
  </si>
  <si>
    <t>តើមន្ទីរពិសោធន៍មានបុគ្គលគោលម្នាក់ (Quality Focal Point) ដែលបុគ្គលិកអាចទៅស្វែងរកព័ត៌មានអំពីប្រព័ន្ធគ្រប់គ្រងគុណភាពបាន ដែរឬទេ?</t>
  </si>
  <si>
    <t>តើក្រុមការងារគុណភាព (Quality Project Team)បានប្រជុំជាប្រចាំ ដែរឬទេ?
មានកំណត់ហេតុប្រជុំបញ្ជាក់ពីការងារនេះ។</t>
  </si>
  <si>
    <t>តើក្រុមការងារគុណភាពបានដំណើរការត្រឹមត្រូវ ដែរឬទេ?
មើលក្នុងកំណត់ហេតុប្រជុំដើម្បីរកមើលការចង្អុលបង្ហាញពីមុខងារគុណភាពរបស់ក្រុមការងារនេះ មើលពីចំណុចសកម្មភាព ប្រសិនបើចំណុចសកម្មភាពទាំងនេះមិនសូវបានអនុវត្តទាន់ពេលឬមុនពេលកំណត់ទេ បង្ហាញថាដំណើការក្រុមការងារនេះមានបញ្ហាហើយ។ ក្នុងករណីនេះ ព្យាយាមរកមើលមូលហេតុក្នុងកំណត់ហេតុប្រជុំនិងសាកសួរសមាជិកក្រុមអំពីឫសគល់នៃបញ្ហានោះ ។</t>
  </si>
  <si>
    <t>តើមន្ទីរពិសោធន៍បានបង្កើតផែនការសកម្មភាព​​ជាមួយចំណុចសកម្មភាពSMART ដែរឬទេ?</t>
  </si>
  <si>
    <t xml:space="preserve">តើផែនការសកម្មភាពទាំងអស់បានរក្សាទុករួមគ្នានៅក្នុងក្រូណូមួយ ដោយមានរចនាសម្ព័ន្ធសមរម្យ ដែរឬទេ?  (ឧ. ផែនការសកម្មភាពដែលបានបញ្ចប់ហើយដាក់នៅពីក្រោយ ហើយផែនការសកម្មភាពដែលមិនទាន់បានបញ្ចប់ដាក់នៅខាងមុខ រៀបតាមកាលបរិច្ឆេទ​ ។ល។) </t>
  </si>
  <si>
    <t>តើការបញ្ចប់ចំណុចសកម្មភាពនិងផែនការសកម្មភាពត្រូវបានត្រួតពិនិត្យជាប្រចាំខែ ហើយបើចាំបាច់បានតាមដានបន្ត ដែរឬទេ?
ឧ. តើអ្នកឃើញមានចំណុចសកម្មភាពណាខ្លះដែលមិនទាន់បានធ្វើ ហួសកាលកំណត់របស់វា ដែរឬទេ?</t>
  </si>
  <si>
    <t>តើការប្រជុំ​បុគ្គលិក​បាន​ធ្វើឡើងជាទៀងទាត់ (ប្រចាំសប្តាហ៍) ដែរឬទេ?</t>
  </si>
  <si>
    <t>តើបានធ្វើកំណត់ហេតុសម្រាប់ការប្រជុំបុគ្គលិកប្រចាំសប្តាហ៍ ដែរឬទេ?</t>
  </si>
  <si>
    <t>​​ តើកំណត់ហេតុប្រជុំបុគ្គលិកប្រចាំសប្តាហ៍បានសរសេរអំពីសេចក្ដីសង្ខេបនៃការពិភាក្សា ចំណុចសកម្មភាពSMART និងរបៀបវារៈសម្រាប់សប្តាហ៍បន្ទាប់ទៀត ដែរឬទេ?</t>
  </si>
  <si>
    <t>តើកំណត់ហេតុប្រជុំបុគ្គលិកប្រចាំសប្តាហ៍បានរក្សាទុកមានរបៀបរៀបរយ ដែរឬទេ?</t>
  </si>
  <si>
    <t>តើ​មន្រ្តី​ជីវ​សុវត្ថិភាព​ត្រូវបានតែងតាំង ដែរឬទេ?</t>
  </si>
  <si>
    <t>តើមាន​ការ​ពិពណ៌នា​ភារកិច្ចនិងការទទួលខុសត្រូវ​របស់​មន្រ្តី​ជីវ​សុវត្ថិភាព ដែរឬទេ?</t>
  </si>
  <si>
    <t>តើ​បុគ្គលិក​ទាំងអស់​ដឹង​ថា​នរណា​គឺជាមន្រ្តីជីវសុវត្ថិភាព ដែរឬទេ?</t>
  </si>
  <si>
    <t>តើ​បុគ្គលិក​ទាំងអស់​បាន​ដឹង​ពីមុខងារ​របស់​មន្រ្តី​ជីវ​សុវត្ថិភាព ដែរឬទេ?</t>
  </si>
  <si>
    <t>តើមន្រ្តី​ឧបករណ៍​បរិក្ខារត្រូវ​បានតែងតាំង ដែរឬទេ?</t>
  </si>
  <si>
    <t>តើមន្រ្តីបរិក្ខាត្រូវបានបណ្តុះបណ្តាលនៅក្នុងការក្រិតខ្នាតនិងការថែទាំបច្ចេកទេសនៃបរិក្ខា ដែរឬទេ (បើចាំបាច់)?</t>
  </si>
  <si>
    <t>តើសមាជិកបុគ្គលិកមន្ទីរពិសោធន៍ទាំងអស់ដឹងថាអ្នកណាគឺជាមន្រ្តីស្តុក ដែរឬទេ?</t>
  </si>
  <si>
    <t>តើតារាងរចនាសម្ព័ន្ធដែលបង្ហាញទីតាំងនៃមន្ទីរពិសោធន៍នៅក្នុងរចនាសម្ព័ន្ធធំបានចុះហត្ថលេខានិងចុះកាលបរិច្ឆេទដោយការគ្រប់គ្រងនៃអង្គភាពធំនោះ ដែរឬទេ?</t>
  </si>
  <si>
    <t>តើមន្ទីរពិសោធន៍មានតារាងអង្គការលេខបង្ហាញអំពីមុខងារទាំងអស់នៅក្នុងមន្ទីរពិសោធន៍ ដែរឬទេ?</t>
  </si>
  <si>
    <t>តើតារាងអង្គការលេខបង្ហាញពីមុខងារទំាងអស់ក្នុងមន្ទីរពិសោធន៍បានចុះហត្ថលេខានិងកាលបរិច្ឆេទដោយប្រធានមន្ទីរពិសោធន៍ ដែរឬទេ?</t>
  </si>
  <si>
    <t>តើតារាងអង្គការលេខត្រូវបានរក្សាទុកនៅក្នុងក្រូណូ (Folder) ដែលបុគ្គលិកមន្ទីរពិសោធន៍ទាំងអស់អាចមើលបាន ដែរឬទេ?</t>
  </si>
  <si>
    <t>តើមានការប្តេជ្ញាចិត្តរបស់បុគ្គលិកមន្ទីរពិសោធន៍ក្នុងការអនុវត្តប្រព័ន្ធគ្រប់គ្រងគុណភាព ដែរឬទេ?
សម្ភាសសមាជិកបុគ្គលិកទំាងអស់ដើម្បីរកឱ្យឃើញប្រសិនបើកិច្ចប្រជុំមួយត្រូវបានធ្វើឡើងហើយប្រសិនបើនេះជាការជោគជ័យ។</t>
  </si>
  <si>
    <t>តើបុគ្គលិកទាំងអស់បានចូលរួមក្នុងវគ្គសិក្សាដំបូងក្នុងការគ្រប់គ្រងគុណភាពសម្រាប់មន្ទីរពិសោធន៍វេជ្ជសាស្រ្ត ដែរឬទេ?</t>
  </si>
  <si>
    <t>តើវិញ្ញាបនបត្រថ្នាក់ដំបូងនៅក្នុងការគ្រប់គ្រងគុណភាពត្រូវបានរក្សាទុកនៅក្នុងក្រូណូឯកសារផ្ទាល់ខ្លួនរបស់បុគ្គលិក ដែរឬទេ?</t>
  </si>
  <si>
    <t>តើមន្រ្តីជីវសុវត្ថិភាពបានទទួលការបណ្តុះបណ្តាលពីជីវសុវត្ថិភាពមន្ទីរពិសោធន៍ ដែរឬទេ?</t>
  </si>
  <si>
    <t>តើវិញ្ញាបនបត្រនៃវគ្គបណ្តុះបណ្តាលពីជីវសុវត្ថិភាពមន្ទីរពិសោធន៍នៃមន្រ្តីជីវសុវត្ថិភាពត្រូវបានរក្សាទុកក្នុងក្រូណូ ដែលមានឈ្មោះថា "ឯកសារផ្ទាល់ខ្លួនបុគ្គលិក" ដែរឬទេ?</t>
  </si>
  <si>
    <t>តើមន្ទីរពិសោធន៍មាន Authorization Matrix បង្ហាញពីតួនាទីនិមួយៗនៅក្នុងមន្ទីរពិសោធន៍ស្តីពីការទទួលខុសត្រូវនិងភារកិច្ច ដែរឬទេ?</t>
  </si>
  <si>
    <t>តើAuthorization Matrix ត្រូវបានចុះហត្ថលេខានិងចុះកាលបរិច្ឆេទដោយប្រធានមន្ទីរពិសោធន៍ ដែរឬទេ?</t>
  </si>
  <si>
    <t>តើបុគ្គលិកទំាងអស់អាចមើលAuthorization Matrix បាន ដែររទេ?</t>
  </si>
  <si>
    <t>តើសមាជិកបុគ្គលិកទំាងអស់ស្គាល់Authorization Matrix ជាអ្វី ដែរឬទេ?</t>
  </si>
  <si>
    <t>តើសមាជិកបុគ្គលិកអាចរកAuthorization Matrix ឃើញ ដែររទេ?</t>
  </si>
  <si>
    <t>តើមន្ទីរពិសោធន៍មានពិពណ៌នាការងារសម្រាប់តួនាទីនិមួយៗនៅក្នុងមន្ទីរពិសោធន៍ ដែរឬទេ?</t>
  </si>
  <si>
    <t>តើការពិពណ៌នាការងារសម្រាប់តួនាទីនិមួយៗនៅក្នុងមន្ទីរពិសោធន៍ ផ្ដល់នូវការបញ្ចាក់ច្បាស់លាស់អំពី ភារកិច្ច ការទទួលខុសត្រូវ និងសិទ្ធអំណាចនៃតួនាទីនិមួយៗ ដែរឬទេ?</t>
  </si>
  <si>
    <t>តើការពិពណ៌នាការងាររបស់បុគ្គលិកម្នាក់ៗត្រូវបានធ្វើឡើងសម្រាប់បុគ្គលិកទាំងអស់ ដែរឬទេ?</t>
  </si>
  <si>
    <t>តើតារាងពិព៌ណនាការងាររបស់បុគ្គលិកម្នាក់ៗត្រូវបានរក្សាទុកតាមលំដាប់លំដោយនៅក្នុងក្រូណូឯកសារផ្ទាល់ខ្លួនបុគ្គលិក ដែរឬទេ?</t>
  </si>
  <si>
    <t>តើបុគ្គលិកទាំងអស់ត្រូវបានបណ្តុះបណ្តាលគ្រប់គ្រាន់លើនីតិវិធីដែលពួកគាត់ត្រូវធ្វើ ដែរឬទេ?
សួរបុគ្គលិកអំពីនីតិវិធីដែលពួកគាត់កំពុងធ្វើហើយផ្ទៀងផ្ទាត់ជាមួយនឹងឯកសារផ្ទាល់ខ្លួនរបស់ពួកគាត់។</t>
  </si>
  <si>
    <t>តើក្រូណូឯកសារផ្ទាល់ខ្លួនរបស់បុគ្គលិកមានបច្ចុប្បន្នភាព ដែរឬទេ? (ឧ. វិញ្ញាបនប័ត្រនិងសញ្ញាប័ត្រទាំងអស់បានប្រមូលពីបុគ្គលិកទាំងអស់និងបានរក្សាទុកនៅក្នុងឯកសារផ្ទាល់ខ្លួនរបស់បុគ្គលិក)</t>
  </si>
  <si>
    <t>តើបញ្ជីសារពើភ័ណ្ឌបរិក្ខារមានព័ត៌មានលម្អិតដូចខាងក្រោមសម្រាប់បរិក្ខានិមួយៗ ដែរឬទេ? (សូមគូសសញ្ញាធីក)</t>
  </si>
  <si>
    <t>បុគ្គលសម្រាប់ទាក់ទងនិងពត៌មានលំអិតរបស់ក្រុមហ៊ុនផលិត</t>
  </si>
  <si>
    <t>បុគ្គលសម្រាប់ទាក់ទងនិងពត៌មានលំអិតរបស់អ្នកផ្តល់សេវា</t>
  </si>
  <si>
    <t xml:space="preserve">កាលបរិច្ឆេទដាក់ប្រើប្រាស់ </t>
  </si>
  <si>
    <t>តើបរិក្ខារសំខាន់ៗដំណើរការ ដែរទេ?</t>
  </si>
  <si>
    <t>តើមន្ទីរពិសោធន៍បានកំណត់តម្រូវការគ្រឿងបន្លាស់ចំាបាច់សម្រាប់បរិក្ខារ ដែរឬទេ?</t>
  </si>
  <si>
    <t>តើមាននីតិវិធីប្រត្តិបត្តិស្តង់ដារសម្រាប់បរិក្ខារទាំងអស់ ដែរឬទេ?</t>
  </si>
  <si>
    <t>តើនីតិវិធីប្រត្តិបត្តិស្តង់ដារបរិក្ខារត្រូវបានសរសេរដោយអនុលោមតាមនីតិវិធីពណ៌នាក្នុងនីតិវិធីមេ ( Master SOP) ដែរឬទេ?</t>
  </si>
  <si>
    <t>តើនីតិវិធីប្រត្តិបត្តិស្តង់ដារបរិក្ខារត្រូវបានរក្សាទុកនៅទីតាំងសមស្របមួយ (នៅជិតបរិក្ខារ) ដែលបុគ្គលិកទាំងអស់អាចយកមើលបាន ដែរទេ?</t>
  </si>
  <si>
    <t>តើសមាជិកបុគ្គលិកទំាងអស់បានអាននីតិវិធីប្រត្តិបត្តិស្តង់ដារ ដែលពាក់ព័ន្ធនឹងពួកគេ ដែរឬទេ?</t>
  </si>
  <si>
    <t>តើសម្ភារ:ទាំងអស់មាននៅក្នុងស្តុកមន្ទីរពិសោធន៍ត្រូវបានកត់ត្រាក្នុងបញ្ជីស្តុក ដែរឬទេ?
ពិនិត្យមើលសម្ភារ:ពីរឬបីមុខនៅក្នុងស្តុកថាតើសាលាកប័ត្រឃ្លាំងមានបច្ចុប្បន្នភាព ដែរឬទេ។</t>
  </si>
  <si>
    <t>តើបុគ្គលិកដឹងពីនីតិវិធីត្រឹមត្រូវក្នុងការយកសម្ភារៈ/ប្រតិករពីស្តុក ដែរឬទេ?
យកគំរូដោយសួរបុគ្គលិកខ្លះៗ</t>
  </si>
  <si>
    <t>តើមន្ទីរពិសោធន៍មានប័ណ្ណស្នើសុំវិភាគដែលមានព័ត៌មានលម្អិតដូចខាងក្រោមនេះ ដែរឬទេ?</t>
  </si>
  <si>
    <t>ប្រភេទនៃវត្ថុវិភាគ</t>
  </si>
  <si>
    <t>កាលបរិច្ឆេទ ពេលវេលានិងកន្លែងប្រមូលវត្ថុវិភាគ</t>
  </si>
  <si>
    <t>កាលបរិច្ឆេទនិងពេលវេលាទទួលវត្ថុវិភាគនៅមន្ទីរពិសោធន៍</t>
  </si>
  <si>
    <t>តើប័ណ្ណស្នើសុំតេស្តមន្ទីរពិសោធន៍ច្បាស់ ដែរឬទេ?</t>
  </si>
  <si>
    <t>តើប័ណ្ណស្នើសុំតេស្តមន្ទីរពិសោធន៍ផ្តល់នូវការណែនាំច្បាស់លាស់លើរបៀបបំពេញ ដែរឬទេ?</t>
  </si>
  <si>
    <t>តើមន្ទីរពិសោធន៍បានកំណត់និងធ្វើបញ្ជីតេស្តទាំងអស់ដើម្បីកំណត់ថានីតិវិធីប្រត្តិបត្តិស្តង់ដារណាត្រូវសរសេរ ដែរឬទេ?</t>
  </si>
  <si>
    <t>តើមាននីតិវិធីប្រត្តិបត្តិស្តង់ដារសម្រាប់ធ្វើតេស្តជាប្រចាំទាំងអស់នៅមន្ទីរពិសោធន៍ ដែរឬទេ?</t>
  </si>
  <si>
    <t>តើនីតិវិធីប្រត្តិបត្តិស្តង់ដារទាំងអស់ត្រូវបានសរសេរយោងទៅតាមនីតិវិធីដែលបានពណ៌នាក្នុងនីតិវិធីប្រត្តិបត្តស្តង់ដារមេ (Master SOP) ដែរឬទេ?</t>
  </si>
  <si>
    <t>តើនីតិវិធីប្រត្តិបត្តិស្តង់ដារទាំងអស់មានរចនាសម្ព័ន្ធដូចគ្នា ទៅតាមនីតិវិធីប្រត្តិបត្តស្តង់ដារមេ (Master SOP)  ដែរឬទេ?</t>
  </si>
  <si>
    <t>តើមន្ទីរពិសោធន៍មាននីតិវិធីប្រត្តិបត្តិស្តង់ដារមេ ដែលពន្យល់អំពីរបៀបសរសេរនីតិវិធីប្រត្តិបត្តិស្តង់ដារ ដែរឬទេ?</t>
  </si>
  <si>
    <t>តើ នីតិវិធីប្រត្តិបត្តិស្តង់ដារមេ មានផ្នែកផ្សេងគ្នាលើរបៀបសរសេរនីតិវិធីប្រត្តិបត្តិស្តង់ដារធ្វើតេស្ត, នីតិវិធីប្រត្តិបត្តិស្តង់ដារបរិក្ខារ និងនីតិវិធីប្រត្តិបត្តិវិធីសារ ដែរឬទេ?</t>
  </si>
  <si>
    <t>តើការវាយតំលៃដើមគ្រារបស់មន្ទីរពិសោធន៍ ត្រូវបានធ្វើឡើងដើម្បីទទួលបានព័ត៌មានស្តីពីកន្លែងធាតុមួយចំនួនរបស់ប្រព័ន្ធគ្រប់គ្រងគុណភាពអាចមាននៅនឹងកន្លែងហើយដំណើការរួចទៅហើយ ឬកន្លែងដែលមានចន្លោះប្រហោងត្រូវបានដោះស្រាយ  ដែរឬទេ?</t>
  </si>
  <si>
    <t>តើការចូលមន្ទីរពិសោធន៍ត្រូវបានគ្រប់គ្រងប្រឆាំងនឹងមនុស្សដែលគ្មានការអនុញ្ញាត ដែរឬទេ?</t>
  </si>
  <si>
    <t>តើប្រព័ន្ធត្រួតពិនិត្យការចូលមន្ទីរពិសោធន៍ពីការចូលគ្មានការអនុញ្ញាត​ អាចត្រូវបានលើកលែងនៅក្នុងករណីបន្ទាន់ណាមួយ ដូចជាអគ្គីភ័យជាដើម ដែរឬទេ?</t>
  </si>
  <si>
    <t>តើកន្លែងយកវត្ថុវិភាគបានបំបែកចេញពីបន្ទប់មន្ទីរពិសោធន៍ ដែរឬទេ?</t>
  </si>
  <si>
    <t>តើបន្ទប់រៀបចំវត្ថុវិភាគបំបែកចេញពីបន្ទប់ដែលជាកន្លែងធ្វើ PCR ដែរឬទេ?</t>
  </si>
  <si>
    <t>តើបន្ទប់មន្ទីរពិសោធន៍ដែលនីតិវិធីមិនស្របគ្នាត្រូវបានបំបែកចេញពីគ្នា ដែរឬទេ?</t>
  </si>
  <si>
    <t>តើបន្ទប់លាងសម្អាតសម្ភារៈកែវនិងឧបករណ៍មន្ទីរពិសោធន៍ផ្សេងៗទៀតត្រូវបានបំបែកចេញពីបន្ទប់មន្ទីរពិសោធន៍ ដែរឬទេ?</t>
  </si>
  <si>
    <t>តើបន្ទប់ទាំងអស់បានរចនានិងបំពាក់គ្រឿងសង្ហារឹមនៅក្នុងវិធីសមស្របមួយដែលជួយឱ្យលំហូរការងារដំណើរការទៅទិសតែមួយនិងការពារចលនាមិនចាំបាច់របស់មនុស្សពាសពេញបន្ទប់ ដែរឬទេ?</t>
  </si>
  <si>
    <t>តើការិយាល័យត្រូវបានបំបែកចេញពីបន្ទប់មន្ទីរពិសោធន៍ ដែរឬទេ?</t>
  </si>
  <si>
    <t>តើមានកន្លែងមួយសម្រាប់សម្រាក / អាហារថ្ងៃត្រង់ ដែរឬទេ?</t>
  </si>
  <si>
    <t>តើការទំនាក់ទំនងទៅខាងក្រៅបន្ទប់មន្ទីរពិសោធន៍អាចធ្វើទៅបានដោយគ្មានការចាកចេញពីបន្ទប់ ដែរឬទេ?</t>
  </si>
  <si>
    <t>តើលេខអាសន្នអាចរកបាននៅក្បែរទូរស័ព្ទនិងអាចមើលឃើញយ៉ាងច្បាស់ ដែរឬទេ?</t>
  </si>
  <si>
    <t>តើបានហាមឃាត់ការប្រើប្រាស់ទូរស័ព្ទដៃនៅខាងក្នុងបន្ទប់មន្ទីរពិសោធន៍ទាំងអស់ ដែរឬទេ?</t>
  </si>
  <si>
    <t>តើការចែកចាយអគ្គិសនីត្រូវបានធានាតាមរយៈដំណើរការម៉ាស៊ីនភ្លើង និង/ឬ ប្រព័ន្ធ ផ្គត់ផ្គង់ថាមពលមិនឱ្យដាច់ (UPS) នៅក្នុងករណីនៃការដាច់ភ្លើង ដែរឬទេ?</t>
  </si>
  <si>
    <t>តើបរិក្ខាសំខាន់/ដ៏ចាំបាច់ ត្រូវបានភ្ជាប់ទៅនឹងម៉ាស៊ីនភ្លើង ដែរឬទេ?</t>
  </si>
  <si>
    <t>តើបានដាក់ការចង្អុលបង្ហាញនៅក្នុងបន្ទប់ដែលពាក់ព័ន្ធសម្រាប់ការតាមដានលំហូរខ្យល់និងការពារមេរោគបង្កជំងឺត្រូវបានបក់បញ្ច្រាសទៅរកបុគ្គលិកកំពុងធ្វើការនៅក្នុងមន្ទីរពិសោធន៍ ដែរឬទេ។</t>
  </si>
  <si>
    <t>តើសម្ភារៈគ្រោះថ្នាក់ទាំងអស់នៅក្នុងមន្ទីរពិសោធន៍ត្រូវបានចុះបញ្ជីរ ដែរឬទេ?
យកគំរូមួយដោយកំណត់សមា្ភរៈប្រកបដោយគ្រោះថ្នាក់មួយចំនួនហើយរកពួកគេនៅក្នុងបញ្ជីនេះ។</t>
  </si>
  <si>
    <t>តើមានបច្ចុបន្បភាពបញ្ជីសម្ភារៈគ្រោះថ្នាក់ ដែរឬទេ?
យកគំរូដោយប្រៀបធៀបចំនួនសមា្ភរៈច្រើនដូចបានកត់សម្គាល់ឃើញក្ន្ងងបញ្ជីនិងការពិត។</t>
  </si>
  <si>
    <t>តើមានសន្លឹកMSDSសម្រាប់សម្ភារៈប្រកបដោយគ្រោះថ្នាក់ទាំងអស់នៅក្នុងមន្ទីរពិសោធន៍ ដែរឬទេ?
យកគំរូហើយពិនិត្យមើល។</t>
  </si>
  <si>
    <t>តើប៉ារ៉ាម៉ែត្របរិស្ថាន និង បរិក្ខាសំខាន់ៗត្រូវបានកំណត់អត្តសញ្ញាណ ដែរឬទេ?</t>
  </si>
  <si>
    <t>តើប៉ារ៉ាម៉ែត្របរិស្ថាន និង បរិក្ខាសំខាន់ៗទាំងអស់ត្រូវបានត្រួតពិនិត្យគ្រប់គ្រាន់ ដែរឬទេ?</t>
  </si>
  <si>
    <t>តើសន្លឹកកំណត់ហេតុប៉ារ៉ាម៉ែត្រគ្រោះថ្នាក់ទាំងអស់ត្រូវបានបំពេញហើយមានបច្ចុបន្បភាព ដែរឬទេ?</t>
  </si>
  <si>
    <t>តើសន្លឹកកំណត់ហេតុប៉ារ៉ាម៉ែត្រសំខាន់ៗទាំងអស់ត្រូវបានដាក់នៅទីតាំងសមស្រប ដែរឬទេ?</t>
  </si>
  <si>
    <t>តើមន្រ្តីគុណភាពត្រូវបានតែងតាំង ដែរឬទេ?</t>
  </si>
  <si>
    <t>តើតួនាទីនៃមន្រ្តីគុណភាពអាចមើលឃើញនៅកន្លែងត្រឹមត្រូវក្នុងតារាងអង្គកាលេខ ដែរឬទេ?</t>
  </si>
  <si>
    <t>តើមន្ទីរពិសោធន៍មានពិពណ៌នាការងារសម្រាប់តួនាទីនៃមន្រ្តីគុណភាព ដែរឬទេ?</t>
  </si>
  <si>
    <t>តើតួនាទីនៃមន្រ្តីគុណភាពត្រូវបានរួមបញ្ចូលនៅក្នុងតារាង Authorization Matrix ដែរឬទេ?</t>
  </si>
  <si>
    <t>តើមន្រ្តីគុណភាពនិងប្រធានមន្ទីរពិសោធន៏មានបើកកិច្ចប្រជុំទ្វេភាគីជាទៀងទាត់ដើម្បីពិភាក្សាអំពីកិច្ចដំណើរការ ដែរឬទេ?
សាកសួរមន្រ្តីគុណភាព។</t>
  </si>
  <si>
    <t>ប្រសិនបើបុគ្គលិកត្រូវបានតែងតាំងជាមន្រ្តីគុណភាព, អតីតតំណែងរបស់គាត់ត្រូវបានបំពេញដោយបុគ្គលិកថ្មី / មួយផ្សេងទៀត ដែរឬទេ ប្រសិនបើចាំបាច់?</t>
  </si>
  <si>
    <t>តើប្រធានមន្ទីរពិសោធន៍ត្រូវបានបណ្តុះបណ្តាលអំពីគោលការណ៍នៃការផ្លាស់ប្តូរការគ្រប់គ្រង ដែរឬទេ?</t>
  </si>
  <si>
    <t>តើមន្ទីរពិសោធន៍មានបច្ចុបន្បភាពកាលវិភាគការងារ ដែរឬទេ?</t>
  </si>
  <si>
    <t xml:space="preserve"> តើកាលវិភាគការងារប្រចាំថ្ងៃត្រូវបានដាក់នៅទីតាំងដែលបុគ្គលិកទាំងអស់អាចមើលឃើញ ដែរឬទេ?</t>
  </si>
  <si>
    <t>តើបុគ្គលិកទាំងអស់គ្នាដឹងពីកន្លែងដែលត្រូវរកឃើញកាលវិភាគការងារប្រចាំ ថ្ងៃដែរឬទេ?
យកគំរូមួយដោយសួរសំណួរនេះទៅបុគ្គលិកមួយចំនួន។</t>
  </si>
  <si>
    <t>តើមន្ទីរពិសោធន៍បានកំណត់អត្តសញ្ញាណដោយស្របច្បាប់ ដែរឬទេ?</t>
  </si>
  <si>
    <t>តើមន្ទីរពិសោធន៍និងស្ថានភាពរបស់វាបានទទួលស្គាល់ដោយអាជ្ញាធរសមស្រប ដែរឬទេ?</t>
  </si>
  <si>
    <t>តើតារាងអង្គការលេខមានបច្ចុប្បន្នភាព ដែរឬទេ?</t>
  </si>
  <si>
    <t>តើតារាងអង្គការលេខត្រូវបានចុះហត្ថលេខានិងចុះកាលបរិច្ឆេទដោយអ្នកគ្រប់គ្រងសមរម្យ ដែរឬទេ?</t>
  </si>
  <si>
    <t>តើនីតិវិធីប្រត្តិបត្តិស្តង់ដារសម្រាប់ការវាយតំលៃសមត្ថភាពបុគ្គលិកត្រូវបានបង្កើតទ្បើង ដែរឬទេ?</t>
  </si>
  <si>
    <t>តើនីតិវិធីប្រត្តិបត្តិស្តង់ដារនេះមានទម្រង់មួយឬច្រើនប្រើសម្រាប់កត់ត្រាគំហើញអំពីការវាយតម្លៃនេះ ដែរឬទេ?</t>
  </si>
  <si>
    <t>តើការវាយតម្លៃសមត្ថភាពត្រូវបានធ្វើទ្បើងរៀងរាល់ឆ្នាំសម្រាប់បុគ្គលិកនិមួយ ដែរៗទេ?</t>
  </si>
  <si>
    <t>តើមានរបាយការណ៍សម្រាប់រាល់ការវាយតម្លៃសមត្ថភាពបុគ្គលិកនិមួយៗ ដែរឬទេ?</t>
  </si>
  <si>
    <t>តើក្នុងរបាយការណ៍វាយតម្លៃសមត្ថភាពបុគ្គលិកបានរៀបរាប់អំពីចំនុចដែលត្រូវកែលម្អនិងយុទ្ធសាស្ត្រកែលម្អ ដែរឬទេ?</t>
  </si>
  <si>
    <t>តើរបាយការណ៍នៃការវាយតម្លៃសមត្ថភាពត្រូវបានរក្សាទុកនៅក្នុងឯកសារបុគ្គលិក ដែរឬទេ?</t>
  </si>
  <si>
    <t>ក្នុងអំឡុងពេលការវាយតម្លៃសមត្ថភាព បើរកឃើញថាបុគ្គលិកត្រូវ​បណ្តុះបណ្តាល​បន្ថែម តើបុគ្គលិកត្រូវបានបញ្ជូនទៅបណ្តុះបណ្តាលឱ្យបានសមស្រប ដែរឬទេ?</t>
  </si>
  <si>
    <t>តើប្រធានមន្ទីរពិសោធន៍ត្រូវបានវាយតម្លៃសមត្ថភាពរៀងរាល់ឆ្នាំ ដែរឬទេ?</t>
  </si>
  <si>
    <t>តើមន្ទីរពិសោធន៍មានកម្មវិធីណែនាំនានាដល់បុគ្គលិកចូលថ្មី ដែរឬទេ?</t>
  </si>
  <si>
    <t>តើនីតិវិធីនៃឯកសារណែនាំកម្មវិធីដល់បុគ្គលិកចូលថ្មីត្រូវបានចងក្រងជានីតិវិធីប្រត្តិបត្តិស្តង់ដារ ដែរឬទេ?</t>
  </si>
  <si>
    <t>តើនីតិវិធីប្រតិបត្តិស្តង់ដារសម្រាប់ណែនាំការងារដល់បុគ្គលិកចូលថ្មី មានបញ្ចូលបញ្ជីផ្ទៀងផ្ទាត់សម្រាប់អនុវត្តន៍កម្មវិធីនេះ ដែរឬទេ?</t>
  </si>
  <si>
    <t>តើបញ្ជីផ្ទៀងផ្ទាត់ដែលបានបំពេញរួចនេះត្រូវបានរក្សាទុកនៅទីតាំងសមស្រប (ឧទាហរណ៍នៅក្នុងឯកសារផ្ទាល់ខ្លួនរបស់បុគ្គលិកថ្មី) ដែរឬទេ?</t>
  </si>
  <si>
    <t>តើបុគ្គលិកទាំងអស់ត្រូវបានវាយតម្លែលើការបំពេញការងារយ៉ាងហោចណាស់ម្តងក្នុងរយៈពេលពីរឆ្នាំ ដែរឬទេ?</t>
  </si>
  <si>
    <t xml:space="preserve">តើបានពិភាក្សាអំពីគំហើញនៃការវាយតម្លៃការងារជាមួយបុគ្គលិកដើម្បីស្វែងរកមូលហេតុចំបង និងរកវិធីសាស្រ្តល្អដើម្បីលុបបំបាត់បញ្ហាទំាងនេះនិងបង្កើនការកែលម្អ ដែរឬទេ?
</t>
  </si>
  <si>
    <t xml:space="preserve">តើគំហើញនៃការវាយតម្លៃការងារត្រូវបានកត់ត្រាទុក ដែលរួមទាំងការកំណត់នូវមូលហេតុចំបងដែលបណ្ដាលឱ្យមានការអនុវត្តមិនល្អនិងវិធីសាស្រ្តដែលបានជ្រើសរើសដើម្បីលុបបំបាត់បញ្ហាទាំងនេះ និងបង្កើនការកែលម្អ ដែរឬទេ?
</t>
  </si>
  <si>
    <t>តើបុគ្គលិកនិមួយៗមានឯកសារផ្ទាល់ខ្លួន ដែរឬទេ?</t>
  </si>
  <si>
    <t>តើកំណត់ត្រាទាំងអស់ដែលបានពិពណ៌នានៅក្នុង ISO 15189:2012 អត្ថបទ 5.1.9 (ISO​15189:2007 5.1.2) បានបង្ហាញនៅក្នុងឯកសារផ្ទាល់ខ្លួនបុគ្គលិកនិមួយៗ ដែរឬទេ?</t>
  </si>
  <si>
    <t>តើរចនាសម្ព័ន្ធឯកសារផ្ទាល់ខ្លួនបុគ្គលិកមានរបៀបរៀបរយ ដែរឬទេ?</t>
  </si>
  <si>
    <t>តើក្រូណូឯកសារផ្ទាល់ខ្លួនបុគ្គលិកត្រូវបានរក្សាទុកនៅក្នុងទូចាក់សោមួយដែលមានតែប្រធានមន្ទីរពិសោធន៍និងស្មៀនទេទើបអាចចូលទៅដំណើរការបាន ដែរឬទេ?</t>
  </si>
  <si>
    <t>តើមន្ទីរពិសោធន៍មាននីតិវិធីប្រតិបត្តិស្តង់ដារសម្រាប់លទ្ធកម្មនិងការទទួលបរិក្ខារថ្មី ដែរឬទេ?</t>
  </si>
  <si>
    <t>តើមន្ទីរពិសោធន៍មាននីតិវិធីជាលក្ខណៈស្តង់ដារ និងបានរៀបចំឯកសារសម្រាប់ការទទួលយកឬបដិសេធន៍ឧបករណ៍បរិក្ខាជំនួយ ដែរឬទេ?</t>
  </si>
  <si>
    <t>តើនីតិវិធីប្រត្តិបត្តិស្តង់ដារសម្រាប់ផ្តល់និងទទួលឧបករណ៍បរិក្ខាដែលបានរក្សាទុកនៅទីតាំងសមស្របមួយដែលបុគ្គលិកទាំងអស់អាចចូលដំណើរការបាន ដែរឬទេ?</t>
  </si>
  <si>
    <t>តើនីតិវិធីប្រត្តិបត្តិស្តង់ដារសម្រាប់ការផ្តល់និងការទទួលយកឧបករណ៍បរិក្ខាត្រូវបានពិនិត្យនិងផ្ទៀងផ្ទាត់ដោយសមាជិកបុគ្គលិកដទៃទៀត  ដែរឬទេ?</t>
  </si>
  <si>
    <t>តើនីតិវិធីប្រត្តិបត្តិស្តង់ដាសម្រាប់ការផ្តល់និងការទទួលយកឧបករណ៍បរិក្ខាត្រូវបានអនុញ្ញាតដោយអ្នកគ្រប់គ្រងមន្ទីរពិសោធន៍ ដែរឬទេ?</t>
  </si>
  <si>
    <t>តើបុគ្គលិកបច្ចេកទេសនិងគ្រប់គ្រងទាំងអស់ដឹងថាមាននីតិវិធីប្រត្តិបត្តិស្តង់ដានេះ ហើយតើពួកគេដឹងថានៅពេលណាដែលត្រូវប្រើវា ដែរឬទេ?</t>
  </si>
  <si>
    <t>តើឧបករណ៍បរិក្ខារក្នុងមន្ទីរពិសោធន៍ទាំងអស់ត្រូវបានដាក់ស្លាក ដែរឬទេ?</t>
  </si>
  <si>
    <t>តើស្លាកបរិក្ខារួមមានទិន្នន័យដូចខាងក្រោមដែរឬទេ?</t>
  </si>
  <si>
    <t>លេខកូដបរិក្ខា</t>
  </si>
  <si>
    <t>កាលបរិច្ឆេទនៃការចូលសឺវីស / ក្រិតខ្នាតចុងក្រោយ</t>
  </si>
  <si>
    <t>បរិច្ឆេទនៃកាចូលសឹវីស / ក្រិតខ្នាតលើក្រោយ</t>
  </si>
  <si>
    <t>តើស្លាកបរិក្ខាទំាងអស់នេះធន់ទៅនឹងវត្ថុរាវសារធាតុគីមី ពន្លឺនិងកត្តាផ្សេងៗរៀងរាល់ថ្ងៃដែលបណ្តាលអោយស្លាក សឹក និងរហែកបាន ដែរឬទេ?</t>
  </si>
  <si>
    <t>តើបានចងក្រងជាឯកសារសម្រាប់អ្នកទទួលខុសត្រូវនៃបរិក្ខានិមួយៗនិងអ្នកដែលត្រូវបានអនុញ្ញាតឱ្យប្រើប្រាស់ឧបករណ៍បរិក្ខា ដែរឬទេ?</t>
  </si>
  <si>
    <t>តើបុគ្គលិកដែលទទួលខុសត្រូវបរិក្ខាដឹងពីការទទួលខុសត្រូវរបស់ពួកគេ ដែរឬទេ?
យកគំរូមួយដោយសួរបែបនេះទៅបុគ្គលិកម្នាក់។</t>
  </si>
  <si>
    <t>តើបុគ្គលិកដែលបានផ្តល់សិទ្ធិឱ្យប្រើប្រាស់ឧបករណ៍បរិក្ខារ បានណែនាំនិងបណ្តុះបណ្តាលត្រឹមត្រូវ ដែរឬទេ?</t>
  </si>
  <si>
    <t>តើមន្ទីរពិសោធន៍មានសន្លឹកកំណត់ហេតុថែទំាសម្រាប់ឧបករណ៍បរិក្ខាដែលបង្ហាញការថែទាំអ្វីត្រូវបានធ្វើ នៅពេលណានៃបរិក្ខាណា ដែឬទេ?</t>
  </si>
  <si>
    <t>តើមន្ទីរពិសោធន៍ប្រើប្រាស់សន្លឹកកំណត់ហេតុដើម្បីកត់ត្រាការប្រើប្រាស់បំណែកជាក់លាក់នៃឧបករណ៍បរិក្ខាដែលជាកន្លែងចាំបាច់ ដែរឬទេ?</t>
  </si>
  <si>
    <t>តើបុគ្គលិកដឹងអំពីរបៀបនិងពេលបំពេញសន្លឹកកំណត់ហេតុប្រើប្រាស់ /សៀវភៅកំណត់ហេតុសម្រាប់ដុំឧបករណ៍បរិក្ខា ដែរឬទេ?</t>
  </si>
  <si>
    <t>តើសន្លឹកកំណត់ហេតុប្រើប្រាស់ (Usage Log Sheet) ត្រូវបានគេដាក់នៅជិតឧបករណ៍បរិក្ខារដែលពួកគេបានបង្កើតឡើង ដែរឬទេ?</t>
  </si>
  <si>
    <t>តើសន្លឹកកំណត់ហេតុថែទំាបរិក្ខាត្រូវបានរក្សាទុកប្រកបដោយសណ្ដាប់ធ្នាប់នៅក្នុងកន្លែងទុកបរិក្ខា ដែរឬទេ?</t>
  </si>
  <si>
    <t>តើមន្ទីរពិសោធន៍មានកន្លែងទុកឯកសារបរិក្ខាមួយដែលមានឯកសារទាំងអស់និងកំណត់ត្រាដែលចាំបាច់សម្រាប់ដុំនៃបរិក្ខាដូចបានរាយក្នុង ISO 15189:2007 អត្ថបទ 5.3.4 ឬ ISO 15189:2012 អត្ថបទ 5.3.1.7 ដែរឬទេ?</t>
  </si>
  <si>
    <t>តើមន្ទីរពិសោធន៍មាននីតិវិធីដែលពិពណ៌នាដូចខាងក្រោម ដែរឬទេ?</t>
  </si>
  <si>
    <t>សកម្មភាពដែលត្រូវអនុវត្តពេលដែលបរិក្ខារថ្មីដាក់ចូលនៅក្នុងមន្ទីរពិសោធន៍</t>
  </si>
  <si>
    <t>វិធានការចំាបាច់ដើម្បីធានាឱ្យមានការថែទាំនិងការក្រិតខ្នាតឧបករណ៍បរិក្ខារ</t>
  </si>
  <si>
    <t>ធានាថាមាននីតិវិធីប្រត្តិបត្តិស្តង់ដាសម្រាប់ការថែទាំនិងការប្រើប្រាស់ឧបករណ៍បរិក្ខារ</t>
  </si>
  <si>
    <t>តើបានប្រើប្រាស់Bench Aidsសម្រាប់បំណែកផ្សេងគ្នានៃឧបករណ៍បរិក្ខា ដែរឬទេ?</t>
  </si>
  <si>
    <t>តើ Bench Aids ទាំងនេះអនុលោមតាមនីតិវិធីប្រត្តិបត្តិស្តង់ដា សម្រាប់ឧបករណ៍បរិក្ខារ ដែរឬទេ?</t>
  </si>
  <si>
    <t>តើវិធីសាស្រ្តនៃការថែទាំនិងការក្រិតខ្នាតឧបករណ៍បរិក្ខារបានរៀបចំជាឯកសារ ដែរឬទេ?</t>
  </si>
  <si>
    <t>តើថវិកាដែលត្រូវការសម្រាប់ការថែទាំនិងការក្រិតខ្នាតឧបករណ៍បរិក្ខារ បានគណនានិងបានចងក្រងជាឯកសារ ដែរឬទេ?</t>
  </si>
  <si>
    <t>តើបានកំណត់ថវិកាសម្រាប់ការថែទាំប្រចាំឆ្នាំនិងក្រិតខ្នាតឧបករណ៍បរិក្ខា ដែរឬទេ?</t>
  </si>
  <si>
    <t>តើបានកំណត់ថវិកាសម្រាប់បណ្តុះបណ្តាលបុគ្គលិកផ្ទៃក្នុងសម្រាប់ការថែទាំនិងក្រិតខ្នាតបរិក្ខារ?</t>
  </si>
  <si>
    <t>តើមានកម្មវិធីថែទាំបង្ការនៅនឹងកន្លែងសម្រាប់ឧបករណ៍បរិក្ខារទាំងអស់ ដែរឬទេ?</t>
  </si>
  <si>
    <t>តើមន្ទីរពិសោធន៍ប្រតិបត្តិតាមកម្មវិធីនេះ ដែរឬទេ?
ប្រៀបធៀបការកត់ត្រាថែទំាសម្រាប់ផ្នែកមួយនៃឧបករណ៍បរិក្ខាពីឯកសារឧបករណ៍បរិក្ខាជាមួយកាលបរិច្ឆេទថែទាំនេះត្រូវបានគ្រោងទុកនៅក្នុងកាវិភាគថែទំាបរិក្ខា។</t>
  </si>
  <si>
    <t>តើនីតិវិធីសម្រាប់ធានាការថែទាំឧបករណ៍បរិក្ខារស្តង់ដារនៅក្នុងនីតិវិធីប្រត្តិបត្តិស្តង់ដា ដែរឬទេ?</t>
  </si>
  <si>
    <t>តើមន្ទីរពិសោធន៍មាននីតិវិធីប្រត្តិបត្តិស្តង់ដារសម្រាប់ជួសជុលបរិក្ខា ដែលរួមមាននីតិវិធីច្បាស់លាស់មួយសម្រាប់ការសម្អាតមេរោគ និង ដាក់ផ្លាកបរិក្ខាច្បាស់ៗថា "ខូច" ដែរ​ឬទេ?</t>
  </si>
  <si>
    <t>តើមន្ទីរពិសោធន៍មាននីតិវិធីប្រត្តិបត្តិស្តង់ដាពន្យល់អំពីនីតិវិធីដែលត្រូវអនុវត្តតាមដើម្បីធានាការធ្វើអោយមានសុពលភាពនៃដំណើរការគ្រប់គ្រាន់របស់ឧបករណ៍បរិក្ខា នៅពេលដែលវាត្រូវបានយកត្រឡប់ចូលទៅក្នុងសេវាវិញបន្ទាប់ពីការជួសជុល ដែរឬទេ?</t>
  </si>
  <si>
    <t>តើមន្ទីរពិសោធន៍មានសេចក្តីសង្ខេបទូទៅស្តីពីសម្ភារៈទាំងអស់នៅក្នុងស្តុក ដែរឬទេ?</t>
  </si>
  <si>
    <t>តើមន្ទីរពិសោធន៍ដែលបានរៀបចំយ៉ាងជាក់លាក់បញ្ជាក់គន្លឹះសម្រាប់សម្ភារៈនិមួយៗនៅក្នុងស្តុក ដែរឬទេ?</t>
  </si>
  <si>
    <t>តើមន្ទីរពិសោធន៍ដែលមានសៀវភៅបញ្ជីគ្រប់គ្រងសារពើភ័ណ្ឌដែលមានព័ត៌មានលម្អិតដូចខាងក្រោមនេះ ដែរឬទេ?</t>
  </si>
  <si>
    <t>ឈ្មោះនៃសម្ភារៈទាំងអស់នៅក្នុងស្តុក</t>
  </si>
  <si>
    <t>ចំនួននៃសម្ភារៈនីមួយបច្ចុប្បន្នក្នុងស្តុក</t>
  </si>
  <si>
    <t>ចំនួនប្រើមធ្យមក្នុងមួយថ្ងៃនៃសម្ភារៈ</t>
  </si>
  <si>
    <t>កម្រិតស្តុកអប្បបរមានៃសម្ភារៈនីមួយៗសម្រាប់ការស្នើសុំថ្មីត្រូវបានធ្វើ</t>
  </si>
  <si>
    <t>សម្ភារៈនីមួយៗចំនួនមធ្យមនៃថ្ងៃមុនពេលការបញ្ជាទិញមកដល់មន្ទីរពិសោធន៍</t>
  </si>
  <si>
    <t>ពត៌មានលំអិតអំពីអ្នកផ្គត់ផ្គង់នៃសម្ភារៈនីមួយ</t>
  </si>
  <si>
    <t>ការបញ្ជាក់លម្អិតនៃសម្ភារៈនីមួយ</t>
  </si>
  <si>
    <t>តើបញ្ជីត្រួតពិនិត្យសារពើភ័ណ្ឌបានរក្សាទុកមានបច្ចុបន្បភាព ដោយរាប់សម្ភារៈនៅក្នុងស្តុកនិងការប្រៀបធៀបជាមួយនឹងចំនួននៃសម្ភារៈបង្ហាញនៅក្នុងបញ្ជីនេះ ដែរឬទ?</t>
  </si>
  <si>
    <t>តើមន្ទីរពិសោធន៍អនុវត្តការធ្វើតេស្តជាប្រចាំលើផលិតផលដែលទើបនឹងប្រគល់ថ្មី មុនពេលដាក់ឲ្យប្រើប្រាស់ក្នុងសេវាកម្ម ដែរឬទេ?
សួររកភស្តុតាង។</t>
  </si>
  <si>
    <t>តើមន្ទីរពិសោធន៍មានឯកសារស្តីពីនីតិវិធីលើការជ្រើសរើស, ការស្នើសុំ, ការធ្វើតេស្តទទួលយក និងការរក្សាទុកនៃប្រតិកនិងសម្ភារៈថ្មី ដែឬទេ?</t>
  </si>
  <si>
    <t>តើមន្ទីរពិសោធន៍មានឯកសារស្តីពីនីតិវិធីថែទំាស្តុកនិងប្រព័ន្ធសារពើភ័ណ្ឌ ដែរឬទេ?</t>
  </si>
  <si>
    <t>តើសម្ភារៈផ្គត់ផ្គង់ទាំងអស់ត្រូវបានរក្សាទុកនៅក្រោមលក្ខខណ្ឌត្រឹមត្រូវនៅក្នុងមន្ទីរពិសោធន៍ដែរឬទេ?</t>
  </si>
  <si>
    <t>តើកំណត់ត្រានៃការផ្គត់ផ្គង់ត្រូវបានរក្សាទុកជាមួយព័ត៌មានលម្អិតដូចខាងក្រោម ដែរឬទេ?  [គូសសញ្ញាធីក]</t>
  </si>
  <si>
    <t>ឈ្មោះអ្នកផ្គត់ផ្គង់</t>
  </si>
  <si>
    <t>កាលបរិច្ឆេទការរៀបចំឬការទទួល</t>
  </si>
  <si>
    <t>ថាតើលក្ខខ័ណ្ឌទទួលយក បានឆ្លើយតប ឬក៏អត់ និងសកម្មភាពតាមដានណាមួយទេ</t>
  </si>
  <si>
    <t>កាលបរិច្ឆេទការបើកប្រើ (ត្រូវបំពេញនៅពេលបើកលើកដំបូង)</t>
  </si>
  <si>
    <t>កាលបរិច្ឆេទផុតកំណត់ (ជាញឹកញាប់អាចត្រូវបានរកឃើញនៅលើអ៊ិនធើណិប្រសិនបើមិនអាចមើលឃើញនៅលើកញ្ចប់សម្ភារៈ)</t>
  </si>
  <si>
    <t>ការព្រមានពីសុវត្ថិភាពដែលអាចធ្វើបាន (ហានិភ័យ (R) និងសុវត្ថិភាព (S) លេខកាត់សេចក្តី) ប្រសិនបើមិនបានចង្អុលបង្ហាញរួចហើយនៅលើកញ្ចប់ផ្គត់ផ្គង់</t>
  </si>
  <si>
    <t>តើសម្ភារៈទាំងអស់បានរក្សាទុកលើធ្នើត្រឹមត្រូវចៀសវាងការធ្លាក់ឬទទួលរងការខូចខាតដោយកត្តាផ្សេងៗ ដែរឬទេ?</t>
  </si>
  <si>
    <t>នៅក្នុងតំបន់ដែលជាកន្លែងដែលរញ្ជួយដីគឺជាហានិភ័យពិតប្រាកដ: សម្ភារៈទំាងអស់ត្រូវរក្សាទុកនៅក្នុងរបៀបដែលពួកគេមិនអាចត្រូវបានខូចខាតដោយសារការរញ្ជួយដី ដែរឬទេ?</t>
  </si>
  <si>
    <t>តើសម្ភារៈទាំងអស់ត្រូវបានរក្សាទុកទៅតាម​​ប្រព័ន្ធចូលមុនចេញមុន (FIFO) ដែរឬទេ?</t>
  </si>
  <si>
    <t>តើគ្រប់កន្លែងរក្សាទុកទាំងអស់អនុវត្តតាមតម្រូវការសុវត្ថិភាពដែលទាក់ទងទៅនឹងការរក្សាទុកប្រភេទសម្ភារៈទាំងនោះ ដែរឬទេ?</t>
  </si>
  <si>
    <t>តើកន្លែងរក្សាទុកទំាងអស់ការពារសម្ភារៈពីឥទ្ធិពលពីខាងក្រៅដូចជាសំណើម ពន្លឺ សត្វល្អិត​ ដែរឬទេ?</t>
  </si>
  <si>
    <t>តើកន្លែងរក្សាទុកសម្ភារៈទាំងអស់អាចចាក់សោបានដើម្បីការពារការចូលដែលគ្មានការអនុញ្ញាត ដែរឬទេ?</t>
  </si>
  <si>
    <t>តើគ្រប់កន្លែងរក្សាទុកសម្ភារៈបានដាក់ស្លាកសញ្ញាគ្រោះថ្នាក់ដែលទាក់ទងទៅនឹងប្រភេទសម្ភារៈទាំងនោះ ដែរឬទេ?</t>
  </si>
  <si>
    <t>តើបញ្ជីប្រយោគ R- និង S- បានផ្តល់នៅគ្រប់កន្លែងរក្សាទុកសម្ភារៈនិមួយៗដែលជាកន្លែងពាក់ព័ន្ធ ដែរឬទេ?</t>
  </si>
  <si>
    <t>តើបុគ្គលិកដឹងថាអ្វីទៅជាប្រយោគ R- និង S- ហើយនិងរបៀបស្វែងរកវា ដែរឬទេ?
បញ្ជាក់ដោយ សួរបុគ្គលិកមួយចំនួនអំពីវា</t>
  </si>
  <si>
    <t>តើមន្ទីរពិសោធន៍បានបង្កើតលក្ខខ័ណ្ឌទទួលយកឬបដិសេធវត្ថុវិភាគច្បាស់លាស់និងជាក់លាក់សម្រាប់វត្ថុវិភាគគ្រប់ប្រភេទដែលត្រូវធ្វើតេស្តក្នុងមន្ទីរពិសោធន៍, ដោយទុកចន្លោះបំពេញសម្រាប់ការបកស្រាយ ដែរឬទេ?</t>
  </si>
  <si>
    <t>តើមន្ទីរពិសោធន៍មាននីតិវិធីប្រត្តិបត្តិស្តង់ដាសម្រាប់ការស្រង់វត្ថុវិភាគដើម្បីធានាបាននូវការស្រង់វត្ថុវិភាគបានគុណភាពល្អសម្រាប់ការធ្វើតេស្តនិមួយៗ និងការពារសុវត្ថិភាពទាំងអ្នកប្រមូលសំណាកនិងអ្នកជំងឺ ព្រមទាំងរក្សាការសម្ងាត់ដល់អ្នកជំងឺ  ដែរឬទេ?</t>
  </si>
  <si>
    <t>តើនីតិវិធីប្រត្តិបត្តិស្តង់ដាសម្រាប់ការស្រង់វត្ថុវិភាគមានធាតុដូចខាងក្រោមនេះ ដែរឬទេ? [សូមគូសសញ្ញាធីក]</t>
  </si>
  <si>
    <t>មុនស្រង់វត្ថុវិភាគ</t>
  </si>
  <si>
    <t>សេចក្តីណែនាំសម្រាប់ការកំណត់អត្តសញ្ញាណនៃអ្នកជំងឺ</t>
  </si>
  <si>
    <t>សេចក្តីណែនាំដើម្បីផ្ទៀងផ្ទាត់ថាអ្នកជំងឺបានជួបតម្រូវការពិនិត្យ (ឧ. ការផ្ទៀងផ្ទាត់ថាអ្នកជម្ងឺដឹងខ្លួនថា គឺជាតម្រូវការធ្វើតេស្តមន្ទីរពិសោធន៍)</t>
  </si>
  <si>
    <t>សេចក្តីណែនាំសម្រាប់ការពារសុវត្ថិភាពអ្នកជំងឺ</t>
  </si>
  <si>
    <t>សេចក្តីណែនាំសម្រាប់ការពារសុវត្ថិភាពបុគ្គលិកមន្ទីរពិសោធន៍</t>
  </si>
  <si>
    <t>សេចក្តីណែនាំសម្រាប់ការការពារភាពឯកជនរបស់អ្នកជម្ងឺ</t>
  </si>
  <si>
    <t>សេចក្តីណែនាំសម្រាប់ការប្រព្រឹត្តត្រឹមត្រូវចំពោះអ្នកជំងឺ (ដោយគោរព, មិត្តភាពនិងសុភាពរាបសារ)</t>
  </si>
  <si>
    <t>សេចក្តីណែនាំសម្រាប់ការផ្តល់ព័ត៌មានដល់អ្នកជំងឺ (តើនឹងមានអ្វីកើតឡើង ពេលណាដែលអ្នកជំងឺទទួលបានលទ្ធផល និងនៅកន្លែងដែលអ្នកជំងឺអាចទទួលបានលទ្ធផល)</t>
  </si>
  <si>
    <t>សេចក្តីណែនាំសម្រាប់ការរៀបចំអ្នកជំងឺ (មានដូចជាការផ្តល់ព៌តមានដល់អ្នកជំងឺពីការស្រង់វត្ថុវិភាគ និងការធ្វើតេស្តមន្ទីរពិសោធន៍)</t>
  </si>
  <si>
    <t>គោលការណ៏ណែនាំសម្រាប់ការបំពេញលើប័ណ្ណស្នើសុំ ដែលមានដូចជាអត្តសញ្ញាណអ្នកស្រង់វត្ថុវិភាគ និងអ្នកជំងឺ</t>
  </si>
  <si>
    <t>ការស្រង់វត្ថុវិភាគ</t>
  </si>
  <si>
    <t>សេចក្តីណែនាំសម្រាប់ការស្រង់វត្ថុវិភាគត្រឹមត្រូវ រួមទាំងឯកសារយោងស្តីពីលក្ខខណ្ឌទទួលយកបាននៃសំណាកដើម្បីធានាបាននូវការស្រង់សំណាកមានគុណភាពល្អ</t>
  </si>
  <si>
    <t>ក្រោយការស្រង់វត្ថុវិភាគ</t>
  </si>
  <si>
    <t>នីតិវិធីនៃការបឹតស្លាកសម្គាល់វត្ថុវិភាគ</t>
  </si>
  <si>
    <t>តម្រូវការសម្រាប់ការវេចខ្ជប់វត្ថុវិភាគត្រឹមត្រូវនិងមានសុវត្ថិភាព</t>
  </si>
  <si>
    <t>សេចក្តីណែនាំស្តីពីការដឹកជញ្ជូនសំណាក (រួមបញ្ចូលទាំងពេលវេលានិងសីតុណ្ហភាព) និងលក្ខខណ្ឌការរក្សាទុកត្រឹមត្រូវប្រសិនបើសំណាកមិនត្រូវបានដឹកជញ្ជូនដោយផ្ទាល់បន្ទាប់ពីការស្រង់</t>
  </si>
  <si>
    <t>សេចក្តីណែនាំសម្រាប់ការចោលប្រកបដោយសុវត្ថិភាពចំពោះសមា្ភរៈដែលបានប្រើរួចសម្រាប់ការស្រង់វត្ថុវិភាគ</t>
  </si>
  <si>
    <t>តើមន្ទីរពិសោធន៍មាននីតិវិធីប្រត្តិបត្តិស្តង់ដាសម្រាប់ការទទួលនិងរៀបចំវត្ថុវិភាគ ដែរឬទេ?</t>
  </si>
  <si>
    <t>តើនីតិវិធីប្រត្តិបត្តិស្តង់ដាសម្រាប់ការទទួលនិងនិងរៀបចំវត្ថុវិភាគមានរៀបរាប់ពីនិតិវិធីដូចខាងក្រោម ដែរឬទេ?</t>
  </si>
  <si>
    <t>ពិនិត្យមើលភាពត្រឹមត្រូវរបស់សំណាកនិងសម្រេចចិត្តថាតើត្រូវទទួលយក ឬ បដិសេធសំណាកនោះ</t>
  </si>
  <si>
    <t>កត់ត្រាសំណាកវិភាគចូលបញ្ជីមន្ទីរពិសោធន៍</t>
  </si>
  <si>
    <t>ដាក់ស្លាកសម្គាល់លើវត្ថុវិភាគ</t>
  </si>
  <si>
    <t>ដំណើការវត្ថុវិភាគ</t>
  </si>
  <si>
    <t>នីតិវិធីសម្រាប់ដំណើរការបន្ទាន់វត្ថុវិភាគ</t>
  </si>
  <si>
    <t>នីតិវិធីសម្រាប់ដោះស្រាយជាមួយនឹងសំណើសុំដោយមាត់</t>
  </si>
  <si>
    <t>ពិនិត្យមើលឡើងវិញជាទៀងទាត់នៃតម្រូវការចំណុះសំណាក</t>
  </si>
  <si>
    <t>តើមន្ទីរពិសោធន៍បានអនុញ្ញាតឱ្យបុគ្គលិកពិនិត្យសំណើឡើងវិញនិងការសម្រេចចិត្តថាការវិភាគណាមួយត្រូវធ្វើ ដែរឬទេ?</t>
  </si>
  <si>
    <t>តើបុគ្គលិកទាំងអស់ដែលពាក់ព័ន្ធបានអាននីតិវិធីប្រត្តិបត្តិស្តង់ដា សម្រាប់ទទួលនិងដំណើរវត្ថុវិភាគ ដែរឬទេ?</t>
  </si>
  <si>
    <t>តើមន្ទីរពិសោធន៍ប្រើសៀវភៅបញ្ជីទទួលសំណាក ដែរឬទេ?</t>
  </si>
  <si>
    <t>តើសៀវភៅបញ្ជីទទួលវត្ថុវិភាគមានចន្លោះសម្រាប់បំពេញពត៌មានដូចខាងក្រោមនេះ ដែរឬទេ</t>
  </si>
  <si>
    <t>ឈ្មោះអ្នកជម្ងឺ​និងលេខសម្គាល់</t>
  </si>
  <si>
    <t>ពត៌មានលំអិតនៃអ្នកស្នើសុំ</t>
  </si>
  <si>
    <t>កាលបរិច្ឆេទនៃការប្រមូលសំណាក</t>
  </si>
  <si>
    <t>កាលបរិច្ឆេទនៃការទទួលសំណាក</t>
  </si>
  <si>
    <t>កាលបរិច្ឆេទព្រមទទួលយកសំណាក</t>
  </si>
  <si>
    <t>តេស្តស្នើសុំវិភាគ</t>
  </si>
  <si>
    <t>លទ្ធផលនៃការវិភាគនិងឈ្មោះអ្នកបច្ចេកទេសមន្ទីរពិសោធន៍ដែលវិភាគ</t>
  </si>
  <si>
    <t>កាលបរិច្ឆេទនៃការរាយការណ៍</t>
  </si>
  <si>
    <t>ហត្ថលេខានិងឈ្មោះអ្នកផ្ញើរបាយការណ៍</t>
  </si>
  <si>
    <t>តើនីតិវិធីប្រត្តិបត្តិស្តង់ដាសម្រាប់ទទួលនិងដំណើការវត្ថុវិភាគ មានភ្ជាប់បន្ថែមនូវទម្រង់បដិសេធវត្ថុវិភាគ ដែរឬទេ?</t>
  </si>
  <si>
    <t>តើសំណុំបែបបទបដិសេធសំណាករួមមានធាតុដូចខាងក្រោមនេះ ដែរឬទេ?</t>
  </si>
  <si>
    <t>ការកំណត់អត្តសញ្ញាណនៃអ្នកជំងឺ</t>
  </si>
  <si>
    <t>ការកំណត់អត្តសញ្ញាណរបស់អ្នកប្រមូលសំណាក</t>
  </si>
  <si>
    <t>ការកំណត់អត្តសញ្ញាណរបស់គ្រូរពេទ្យ (ប្រសិនបើខុសពីអ្នកប្រមូលសំណាក)</t>
  </si>
  <si>
    <t>ការកំណត់អត្តសញ្ញាណនៃសំណាក</t>
  </si>
  <si>
    <t>ហេតុផលសម្រាប់ការបដិសេធសំណាក</t>
  </si>
  <si>
    <t>សកម្មភាពដែលនឹងត្រូវបាននាំយកទៅ (តើអ្នកស្នើសំណាកត្រូវផ្ញើសំណាកថ្មីទេ? តើអ្នកប្រមូលសំណាកត្រូវការផ្លាស់ប្តូរនីតិវិធី ដែរឬទេ?)</t>
  </si>
  <si>
    <t>តើច្បាប់ចម្លងនៃទម្រង់បដិសេធដែលបានបំពេញរួចត្រូវបានរក្សាទុកនៅក្នុងមន្ទីរពិសោធន៍ ដែរឬទេ?</t>
  </si>
  <si>
    <t>តើមន្ទីរពិសោធន៍បានធ្វើគំនូសតាងលំហូរនៃនិតិវិធីទាំងអស់ដែលកំពុងអនុវត្តជាប្រចាំនៅក្នុងមន្ទីរពិសោធន៍ ដែរឬទេ?</t>
  </si>
  <si>
    <t>តើមន្ទីរពិសោធន៍បានបង្កើតការត្រួតពិនិត្យគុណភាពដើម្បីការពារគុណភាពនៃដំណើរការជំហាននិមួយៗនៅក្នុងនីតិវិធីនិមួយៗ ដែរឬទេ?</t>
  </si>
  <si>
    <t>តើលទ្ធផលត្រួតពិនិត្យគុណភាពខាងក្នុងបានកត់ត្រាទុកក្នុងបញ្ជី ដែរឬទេ?</t>
  </si>
  <si>
    <t>តើពីធីការត្រួតពិនិត្យគុណភាពខាងក្នុងរួមបញ្ចូលនៅក្នុងនីតិវិធីប្រត្តិបត្តិស្តង់ដាពាក់ព័ន្ធទាំងអស់ ដែរឬទេ?</t>
  </si>
  <si>
    <t>តើមន្ទីរពិសោធន៍មាននីតិវិធីប្រត្តិបត្តិមួយសម្រាប់ត្រួតពិនិត្យគុណភាពខាងក្នុង ដែលមាន:</t>
  </si>
  <si>
    <t>ការពន្យល់ពីគោលគំនិតនៃការត្រួតពិនិត្យគុណភាពខាងក្នុង</t>
  </si>
  <si>
    <t>នីតិវិធីទូទៅសម្រាប់ដំណើរការជាមួយការត្រួតពិនិត្យគុណភាពខាងក្នុង</t>
  </si>
  <si>
    <t>នីតិវិធីសម្រាប់ការបង្កើតសមា្ភរៈត្រួតពិនិត្យគុណភាពខាងក្នុង</t>
  </si>
  <si>
    <t>នីតិវិធីសម្រាប់ការពិនិត្យឡើងវិញតាមកាលកំណត់នៃការត្រួតពិនិត្យគុណភាពខាងក្នុង</t>
  </si>
  <si>
    <t>នីតិវិធីដើម្បីធ្វើការតាមដាននៅពេលដែលការត្រួតពិនិត្យគុណភាពខាងក្នុងបរាជ័យ</t>
  </si>
  <si>
    <t>តើមន្ទីរពិសោធន៍ត្រួតពិនិត្យលទ្ធផលនៃការត្រួតពិនិត្យគុណភាពខាងក្នុង និងធ្វើសកម្មភាពនៅលើការត្រួតពិនិត្យគុណភាពបរាជ័យ ដែរឬទេ?</t>
  </si>
  <si>
    <t>តើលទ្ធផលការត្រួតពិនិត្យគុណភាពខាងក្នុងត្រូវបានត្រួតពិនិត្យជាបន្តបន្ទាប់ឬទេ?</t>
  </si>
  <si>
    <t>តើមន្ទីរពិសោធន៍ដោះស្រាយភាពបរាជ័យនៃការត្រួតពិនិត្យគុណភាពខាងក្នុង ឬលទ្ធផលងាកចេញពីតម្លៃកំណត់ បានឆាប់រហ័សតាមដែលអាចធ្វើទៅបាន ដែរឬទេ?</t>
  </si>
  <si>
    <t>តើការរាយការណ៍ពីលទ្ធផលត្រូវបានផ្អាកនៅពេលការត្រួតពិនិត្យគុណភាពខាងក្នុងងាកចេញឬបរាជ័យ ដែរឬទេ?</t>
  </si>
  <si>
    <t xml:space="preserve">តើមន្ទីរពិសោធន៍បានបង្កើតបញ្ជីនីតិវិធីប្រត្តិបត្តិស្តង់ដាទាំងអស់សម្រាប់ដំណើរការឬលំហូរការងារទាំងមូលក្នុងមន្ទីរពិសោធន៍ ដែរឬទេ? </t>
  </si>
  <si>
    <t>តើនិតិវិធីបានអនុវត្តជាប្រចំាទាំងអស់នៅក្នុងមន្ទីរពិសោធន៍ស្តង់ដាក្នុងនីតិវិធីប្រត្តិបត្តិស្តង់ដា ដែរឬទេ?
យកគំរូមួយដោយស្នើសុំនីតិវិធីប្រត្តិបត្តិស្តង់ដាជាច្រើនដែលបានបង្ហាញនៅក្នុងគំនូសតាងលំហូរហើយពិនិត្យមើលកំណត់ហេតុត្រួតពិនិត្យឯកសាររបស់មន្ទីរពិសោធន៍។</t>
  </si>
  <si>
    <t>តើនីតិវិធីប្រត្តិបត្តិស្តង់ដាទំាងអស់ ស្របតាមនីតិវិធីប្រត្តិបត្តិស្តង់ដាមេ (Master SOP) ដែលមានគ្រប់មាតិការទាំងអស់ដូចជាការត្រួតពិនិត្យគុណភាព,​ សុវត្ថិភាព, ភារកិច្ច, សិទ្ធិអំណាចនិងការទទួលខុសត្រូវ, សេចក្តីយោង, ឧបសម្ព័ន្ធ ដែរឬទេ?</t>
  </si>
  <si>
    <t>តើមន្ទីរពិសោធន៍មានរបាយការណ៍លទ្ធផលដែលទ្រង់ទ្រាយរបស់វាមិនប្រែប្រួល ដែរឬទេ?</t>
  </si>
  <si>
    <t>តើរបាយការណ៍លទ្ធផលមានយ៉ាងហោចណាស់ធាតុដូចខាងក្រោមនេះ ដែរឬទេ: [គូសសញ្ញាធីក]</t>
  </si>
  <si>
    <t>ឈ្មោះរបស់មន្ទីរពិសោធន៍</t>
  </si>
  <si>
    <t>ពត៌មានលំអិតផ្ទាល់ខ្លួនរបស់អ្នកជំងឺរួមទាំងពត៌មានគ្លីនិកដូចដែលបានទទួលដោយមន្ទីរពិសោធន៍ពីអ្នកស្នើសុំ</t>
  </si>
  <si>
    <t>សេចក្តីលម្អិតពីអ្នកស្នើសុំ</t>
  </si>
  <si>
    <t>បញ្ជីតេស្តវិភាគដែលបានធ្វើ</t>
  </si>
  <si>
    <t>កាលបរិច្ឆេទនៃការស្រង់វត្ថុវិភាគ</t>
  </si>
  <si>
    <t>ប្រភេទវត្ថុវិភាគ</t>
  </si>
  <si>
    <t>មតិយោបល់លើគុណភាពនៃវត្ថុវិភាគ (អាចគ្រប់គ្រាន់សម្រាប់ការវិភាគឬមិនគ្រប់គ្រាន់ដែលអាចមានឥទ្ធិពលទៅលើភាព«អាចជឿជាក់បាននៃលទ្ធផល)</t>
  </si>
  <si>
    <t>លទ្ធផលការវិភាគតេស្ត</t>
  </si>
  <si>
    <t>តម្លៃចន្លោះយោងជីវសាស្រ្ត / ការសម្រេចចិត្តរួមទាំង "ប្រុងប្រយ័ត្ន / គ្រោះថ្នាក់" ចន្លោះសម្រាប់ធ្វើការពិនិត្យទាំងអស់ដោយមានការបកស្រាយមតិយោបល់លើលទ្ធផលប្រសិនបើអនុវត្តបាន។</t>
  </si>
  <si>
    <t>ពត៌មានលំអិតរបស់បុគ្គលិកមន្ទីរពិសោធន៍ពិនិត្យឡើងវិញនូវលទ្ធផលនិងការអនុញ្ញាតិសម្រាប់ការបញ្ចេញរបាយការណ៍នេះ</t>
  </si>
  <si>
    <t>កាលបរិច្ឆេទនិងពេលវេលានៃការចេញលទ្ធផល</t>
  </si>
  <si>
    <t>តើទម្រង់នៃរបាយការណ៍លទ្ធផលត្រូវបានពិភាក្សាជាមួយអតិថិជនទូទៅ​របស់​មន្ទីរពិសោធន៍ក្នុងអំឡុងពេលការបង្កើតដែរឬទេ?</t>
  </si>
  <si>
    <t>តើមាននីតិវិធីមួយដែលធានាថាមានការផ្ទៀងផ្ទាត់នៃក្រដាសលទ្ធផលបានត្រឹមត្រូវ ដែរឬទេ?</t>
  </si>
  <si>
    <t>តើមាននីតិវិធីមួយសម្រាប់អនុញ្ញាតបញ្ចេញររបាយការណ៍លទ្ធផល ប៉ុន្តែលុះត្រាតែការពិនិត្យឡើងវិញនៃលទ្ធផលត្រូវបានអនុវត្ត ហើយការចម្លងលទ្ធផលបានត្រឹមត្រូវ ព័ត៌មានសំខាន់ផ្សេងទៀតសម្រាប់របាយការណ៍នេះត្រូវបានគេបញ្ជាក់អះអាង  ដែរឬទេ?</t>
  </si>
  <si>
    <t>តើមន្ទីរពិសោធន៍មាននីតិវិធីដើម្បីធានាបាននូវការជូនដំណឹងជាបន្ទាន់ទៅអ្នកស្នើសុំក្នុងករណីដែលលទ្ធផលនៅក្នុងចន្លោះគ្រោះថ្នាក់ ដែរឬទេ?</t>
  </si>
  <si>
    <t>តើមន្ទីរពិសោធន៍កត់ត្រាហេតុការណ៍កើតឡើងពេលដែលលទ្ធផលនៅក្នុងចន្លោះគ្រោះថ្នាក់ហើយអ្នកស្នើសុំត្រូវបានជូនដំណឹងដោយផ្ទាល់ (សម្រាប់គោលបំណងផ្ទៀងផ្ទាត់) ដែរឬទេ?</t>
  </si>
  <si>
    <t>តើមន្ទីរពិសោធន៍ប្រើវិធីសាស្រ្តមួយសម្រាប់ការផ្ញើរបាយការណ៍លទ្ធផលទៅអ្នកស្នើសុំជាមួយហានិភ័យតិចបំផុតក្នុងការបាត់បង់របាយការណ៍ ដែរឬទេ?</t>
  </si>
  <si>
    <t>តើមន្ទីរពិសោធន៍ប្រើវិធីសាស្រ្តមួយសម្រាប់ការផ្ញើរបាយការណ៍លទ្ធផលទៅអ្នកស្នើសុំដែលធានាថារបាយការណ៍ត្រូវបានបញ្ជូនឱ្យបានឆាប់តាមដែលអាចធ្វើបាន ដែរឬទេ?</t>
  </si>
  <si>
    <t>តើទិន្នន័យអ្នកជំងឺ (ដូចជាប័ណ្ណស្នើសុំ,​ ទំរង់ការងារ,បញ្ជី, ច្បាប់ចម្លងនៃរបាយការណ៍លទ្ធផល, របាយការណ៍លទ្ធផលបានកែលម្អ, ទម្រង់ជូនដំណឹងបន្ទាន់ជាដើម) បានរក្សាទុកយ៉ាងមានសុវត្ថិភាពចៀសវាង​​ការចូលដែលគ្មានការអនុញ្ញាត ដែរឬទេ?</t>
  </si>
  <si>
    <t>តើទិន្នន័យអ្នកជំងឺ (ដូចជាប័ណ្ណស្នើសុំ,​ ទំរង់ការងារ,បញ្ជី, ច្បាប់ចម្លងនៃរបាយការណ៍លទ្ធផល, របាយការណ៍លទ្ធផលបានកែលម្អ, ទម្រង់ជូនដំណឹងបន្ទាន់ជាដើម) ត្រូវបានរក្សាទុកនៅក្នុងវិធីសមស្របមួយដែលងាយស្រួលយកទិន្នន័យបានរហ័ស ដែរឬទេ?</t>
  </si>
  <si>
    <t>តើមន្ទីរពិសោធន៍មាននីតិវិធីប្រត្តិបត្តិស្តង់ដាសម្រាប់ កត់ត្រា រាយការណ៍ និងរក្សាទុកលទ្ធផល មានរៀបរាប់ពីនីតិវិធីដូចខាងក្រោម ដែរឬទេ?</t>
  </si>
  <si>
    <t>ការកត់ត្រាលទ្ធផល</t>
  </si>
  <si>
    <t>ការពិនិត្យមើលឡើងវិញ និងការអនុញ្ញាតិបញ្ចេញលទ្ធផល</t>
  </si>
  <si>
    <t>នីតិវិធីធម្មតាសម្រាប់រាយការណ៍លទ្ធផល</t>
  </si>
  <si>
    <t>ការរាយការណ៍លទ្ធផលភ្លាមៗចំពោះវត្ថុវិភាគបន្ទាន់</t>
  </si>
  <si>
    <t>ការរាយការណ៍លទ្ធផលភ្លាមៗចំពោះ លទ្ធផលនៅក្នុងចន្លោះគ្រោះថ្នាក់</t>
  </si>
  <si>
    <t>ការជូនដំណឹងគ្រូពេទ្យប្រសិនបើរយៈពេលក្នុងការវិភាគលើសពេលកំណត់</t>
  </si>
  <si>
    <t>រាយការណ៍តាមរយៈទូរស័ព្ទឬមធ្យោបាយអេឡិចត្រូនិផ្សេងទៀត</t>
  </si>
  <si>
    <t>រាយការណ៍លទ្ធផលវត្ថុវិភាគដែលគុណភាពរបស់វាមិនគ្រប់គ្រាន់ ប៉ុន្តែវានៅតែបានធ្វើតេស្ត</t>
  </si>
  <si>
    <t>ការកែប្រែរបាយការណ៍លទ្ធផល</t>
  </si>
  <si>
    <t>ការរក្សាទុកដាក់លទ្ធផល</t>
  </si>
  <si>
    <t>តើទម្រង់ការក្នុងនីតិវិធីអនុវត្តន៍ស្តង់ដាសម្រាប់កត់ត្រា, រាយការណ៍ និងរក្សាទុកលទ្ធផល បានអនុវត្តជាទម្លាប់ និងត្រឹមត្រូវ ដែររឺទេ?</t>
  </si>
  <si>
    <t>តើបុគ្គលិកដែលជាប់ពាក់ព័ន្ធទាំងអស់ក្នុងការកត់ត្រា រាយការណ៍ និងរក្សាទុកលទ្ធផល​ បានដឹងពីមាតិការបស់ SOP សម្រាប់កត់ត្រា រាយការណ៍ និងរក្សាទុកលទ្ធផល ដែរឬទេ?</t>
  </si>
  <si>
    <t>តើមន្ទីរពិសោធន៍អាចរកតម្រុយរបស់បុគ្គលិកដែលចុះហត្ថលេខាលើឯកសារដោយផ្អែកលើហត្ថលេខាឬឈ្មោះ បានដែរឬទេ?</t>
  </si>
  <si>
    <t>តើបុគ្គលិកមន្ទីរពិសោធន៍ទាំងអស់បានចុះហត្ថលេខាលើកិច្ចព្រមព្រៀងក្នុងការរក្សាការសម្ងាត់ ដែរឬទេ?</t>
  </si>
  <si>
    <t>ប្រសិនបើមន្ទីរពិសោធន៍រក្សាទុកពត៌មានក្នុងកុំព្យូទ័រ តើមានធ្វើការថតចម្លងព៌តមានទុក(backups) ប្រចាំសប្តាហ៍ទេ?</t>
  </si>
  <si>
    <t>តើព័ត៌មានថតចំលងទុករបស់ប្រព័ន្ធកុំព្យូទ័រ​បានរក្សាទុកនៅក្នុងអគារមានសោនិងកូនសោមួយផ្សេងទៀតជាជាងដាក់ក្នុងអគារមន្ទីរពិសោធន៍ដែលជាកន្លែងប្រព័ន្ធកុំព្យូទ័រតាំងនៅដែរឬទេ?</t>
  </si>
  <si>
    <t>តើមន្ទីរពិសោធន៍មានទិដ្ឋភាពសង្ខេបទូទៅនៃពេលវេលាដែលប្រភេទនិមួយៗរបស់កំណត់ត្រាគួររក្សាទុកឬទេ?</t>
  </si>
  <si>
    <t>តើមន្ទីរពិសោធន៍មានទិដ្ឋភាពសង្ខេបទូទៅនៃទីកន្លែងដែលប្រភេទនិមួយៗរបស់កំណត់ត្រាគួររក្សាទុកឬទេ?</t>
  </si>
  <si>
    <t>តើ SOPs នានា អាចរកបាននៅទីតាំងសមស្រប ដែលយ៉ាងហោចណាស់ក៏:</t>
  </si>
  <si>
    <t>នៅក្បែរកន្លែងដែលនីតិវិធី ដែល SOP ត្រូវបានបំពេញការងារជាប្រចាំ</t>
  </si>
  <si>
    <t>នៅក្នុងកន្លែងការិយាល័យ</t>
  </si>
  <si>
    <t>នៅកន្លែងទុកឯកសារគុណភាព</t>
  </si>
  <si>
    <t>តើភាពមិនសមហេតុផលនិងកំហុសដែលបានរកឃើញក្នុងឯកសារបានត្រូវកត់ត្រានៅក្នុងទម្រង់កែតម្រូវឯកសារ (Document Revision Form) ដែរឬទេ?</t>
  </si>
  <si>
    <t>តើបុគ្គលិកដឹងពីកន្លែងរបស់ទម្រង់កែតម្រូវឯកសារដែរឬទេ?</t>
  </si>
  <si>
    <t>តើបុគ្គលិកដឹងអំពី គោលបំណងនិងរបៀបប្រើ ទម្រង់កែតម្រូវឯកសារ ដែរឬទេ?</t>
  </si>
  <si>
    <t>តើបញ្ជីគ្រប់គ្រងឯកសារបានបង្ហាញថាឯកសារមានគុណភាពទាំងអស់នៃមន្ទីរពិសោធន៍ មានពត៌មានលម្អិតយ៉ាងហោចណាស់ដូចខាងក្រោមនេះទេ</t>
  </si>
  <si>
    <t>លេខកូដឯកសារ</t>
  </si>
  <si>
    <t>ចំណងជើងឯកសារ</t>
  </si>
  <si>
    <t>ឈ្មោះនៃអ្នកនិពន្ធ</t>
  </si>
  <si>
    <t>ឈ្មោះនៃអ្នកពិនិត្យមើលឡើងវិញ</t>
  </si>
  <si>
    <t>ឈ្មោះរបស់អ្នកអនុញ្ញាតិឱ្យ</t>
  </si>
  <si>
    <t>លេខកំណែបច្ចុប្បន្ន</t>
  </si>
  <si>
    <t>កាលបរិច្ឆេទចេញផ្សាយប្រើប្រាស់</t>
  </si>
  <si>
    <t>កាលបរិច្ឆេទត្រូវពិនិត្យឡើងវិញលើកក្រោយ</t>
  </si>
  <si>
    <t>បញ្ជីចែកចាយ</t>
  </si>
  <si>
    <t>ចំណងជើងនៃកំណែមុន</t>
  </si>
  <si>
    <t>ឈ្មោះរបស់អ្នកនិពន្ធនៃកំណែមុន</t>
  </si>
  <si>
    <t>ឈ្មោះអ្នកពិនិត្យទ្បើងវិញនៃកំណែមុន</t>
  </si>
  <si>
    <t>ឈ្មោះរបស់អ្នកអនុញ្ញាតិឱ្យនៃកំណែមុន</t>
  </si>
  <si>
    <t>កាលបរិច្ឆេទចេញផ្សាយប្រើប្រាស់កំណែមុន</t>
  </si>
  <si>
    <t>កាលបរិច្ឆេទកំណែមុននោះត្រូវបានជំនួស</t>
  </si>
  <si>
    <t>តើឯកសារដែលមានគុណភាពនិមួយៗ (SOP, សៀវភៅណែនាំគុណភាព,សៀវភៅណែនាំជីវសុវត្ថិភាព) មានទំព័រមុខដែលមានពត៌មានដូចខាងក្រោម ដែរឬទេ: [សូមគូសសញ្ញាធីក]</t>
  </si>
  <si>
    <t>កាលបរិច្ឆេទចេញផ្សាយឱ្យប្រើប្រាស់</t>
  </si>
  <si>
    <t>ការពិពណ៌នាអំពីការផ្លាស់ប្តូប្រៀបធៀបទៅកំណែមុន</t>
  </si>
  <si>
    <t>តើមន្ទីរពិសោធន៍មានប្រព័ន្ធគ្រប់គ្រងឯកសារមួយដែលធានាថាឯកសារដែលមានគុណភាពរបស់វាទាំងអស់នឹងត្រូវបានត្រួតពិនិត្យឡើងវិញនិងនៅពេលដែលចាំបាច់ត្រូវបានកែតម្រូវពេលប្រចាំឆ្នាំ (ឬបន្ទាប់ពីកាលកំណត់នៃប្រព័ន្ធគ្រប់គ្រងគុណភាពឆមាសរបស់ខ្លួន) ជាមូលដ្ឋាន ដែរឬទេ?</t>
  </si>
  <si>
    <t>តើ Bench Aids ដែលបានប្រើនៅក្នុងមន្ទីរពិសោធន៍ផ្អែកលើកំណែបច្ចុប្បន្ននៃ SOP ដែរឬទេ?</t>
  </si>
  <si>
    <t>តើឯកសារគុណភាពទាំងអស់ដែលកំពុងប្រើបានពិនិត្យឡើងវិញយ៉ាងហោចណាស់ដោយអ្នកពិនិត្យមើលឡើងវិញម្នាក់ឬទេ?</t>
  </si>
  <si>
    <t>តើឯកសារគុណភាពទាំងអស់ដែលប្រើនៅក្នុងមន្ទីរពិសោធន៍ត្រូវបានអនុញ្ញាតិឱ្យចេញផ្សាយដើម្បីប្រើប្រាស់ ដែរឬទេ?</t>
  </si>
  <si>
    <t>តើឯកសារគុណភាពទាំងអស់ត្រូវប្រើនៅក្នុងមន្ទីរពិសោធន៍ជាកំណែបច្ចុប្បន្ន ដែរឬទេ?</t>
  </si>
  <si>
    <t>តើសំណៅឯកសារគុណភាពនានាដែលត្រូវបានជំនួសហើយរក្សាទុកនៅកន្លែងតំកល់ឯកសារ បានដាក់ផ្លាកសម្គាល់ច្បាស់ថា​ "បានជំនួស (Replaced)" ជាមួយនឹងកាលបរិច្ឆេទជំនួសលើវា ដែរឬទេ?</t>
  </si>
  <si>
    <t>តើឯកសារយោងទាំងអស់សម្រាប់ឯកសារផ្សេង សម្រាប់ទីតាំង និង សម្រាប់បរិក្ខារ គឺត្រឹមត្រូវ ដែរឬទេ?</t>
  </si>
  <si>
    <t>តើមន្ទីរពិសោធន៍មានកន្លែងរក្សាផ្ទុកឯកសារដែលអាចផ្ទុកឯកសារបច្ចុប្បន្ននិងឯកសារដែលបានជំនួសទាំងអស់សម្រាប់រយៈពេលប្រាំឆ្នាំ ដែរឬទេ?</t>
  </si>
  <si>
    <t>តើនីតិវិធីទាំងអស់ដែលទាក់ទងទៅនឹងប្រព័ន្ធគ្រប់គ្រងឯកសារបានធ្វើឱ្យមានស្ដង់ដានៅក្នុង SOP ដែរឬទេ?</t>
  </si>
  <si>
    <t>តើបុគ្គលិកដឹងអំពីអ្វីដែលពួកគាត់ត្រូវធ្វើនៅពេលដែលរកឃើញកំហុស​ឆ្គង​នៅ​ក្នុង​ឯកសារ ដែរឬទេ?
យកគំរូមួយដោយសួរបុគ្គលិកមួយចំនួន។</t>
  </si>
  <si>
    <t>តើSOPs សម្រាប់ការប្រើប្រាស់បរិក្ខារពេញលក្ខណៈ ដែរឬទេ? ឧ. វាមានបញ្ចូលនីតិវិធីមួយចំនួន ដូចជាការក្រិត ការថែទាំបង្ការ និងថែរក្សាត្រឹមត្រូវជាដើម</t>
  </si>
  <si>
    <t>តើមន្ទីរពិសោធន៍មានសៀវភៅចុះបញ្ជីអតិថិជនមន្ទីរពិសោធន៍ ដែឬទេ?</t>
  </si>
  <si>
    <t>តើតម្លៃជីវសាស្រ្តយោងដែលត្រឹមត្រូវ និងតម្លៃប្រុងប្រយ័ត្នឬតម្លៃចន្លោះគ្រោះថ្នាក់សម្រាប់ការវិភាគតេស្ត មានបញ្ចូលនៅក្នុងរបាយការណ៍លទ្ធផលតេស្តមន្ទីរពិសោធន៍ ដែរឬទេ?</t>
  </si>
  <si>
    <t>តើភាពត្រឹមត្រូវនៃតម្លៃជីវសាស្រ្តយោងឬតម្លៃសម្រាប់ការសម្រេចចិត្តធ្វើរោគវិនិច្ឆ័យ និងតម្លៃប្រុងប្រយ័ត្នឬតម្លៃគ្រោះថ្នាក់បានផ្ទៀងផ្ទាត់ទៀងទាត់សម្រាប់ការវិភាគទាំងអស់ក្នុងមន្ទីរពិសោធន៍ ដែរឬទេ?</t>
  </si>
  <si>
    <t>ប្រសិនបើវិធីសាស្រ្តនៃការវិភាគត្រូវបានផ្លាស់ប្តូរ, តើមន្ទីរពិសោធន៍មានផ្ទៀងផ្ទាត់ថាតើ តម្លៃជីវសាស្រ្តយោងឬតម្លៃសម្រាប់ការសម្រេចចិត្តធ្វើរោគវិនិច្ឆ័យ និងតម្លៃប្រុងប្រយ័ត្នឬតម្លៃគ្រោះថ្នាក់នៅតែត្រឹមត្រូវសម្រាប់ការវិភាគនោះ ដែរឬទេ?</t>
  </si>
  <si>
    <t>តើមន្ទីរពិសោធន៍មានសៀវភៅសេវាកម្មមួយដែលមានដូចការរៀបរាប់ដូចខាងក្រោមនេះ ដែរឬទេ</t>
  </si>
  <si>
    <t>ការពិពណ៌នាអំពីតេស្តទាំងឡាយដែលអាចធ្វើបាននៅមន្ទីរពិសោធន៍រួមទាំងពត៌មានពីអ្វីដែលស្ថានភាពគ្លីនិកតម្រូវឱ្យមានការធ្វើតេស្តនេះ។</t>
  </si>
  <si>
    <t>ប្រភេទវត្ថុវិភាគដែលត្រូវនឹងតេស្តវិភាគ, បរិមាណវត្ថុវិភាគត្រូវការនិងបើអាចធ្វើបាន ត្រូវដាក់ពេលវេលាស្រង់វត្ថុវិភាគដែរ</t>
  </si>
  <si>
    <t>វិធីសាស្ត្រស្រង់វត្ថុវិភាគ</t>
  </si>
  <si>
    <t>ការកំណត់អត្តសញ្ញាណនៃអ្នកជំងឺនិងផ្ទៀងផ្ទាត់ថាអ្នកជម្ងឺបានបំពេញគ្រប់តម្រូវការមុនការពិនិត្យ-(ឧ. សម្រាប់ការវិភាគខ្លះអ្នកជំងឺត្រូវមិនស្រវឹង; អ្នកស្រង់វត្ថុវិភាគត្រូវមើលថាអ្នកជម្ងឺពិតជាមិនស្រវឹងពិតប្រាកដមែន) ។</t>
  </si>
  <si>
    <t>របៀបរៀបចំអ្នកជំងឺ</t>
  </si>
  <si>
    <t>របៀបចុះលេខសម្គាល់អ្នកជំងឺ</t>
  </si>
  <si>
    <t>ប្រភេទវត្ថុដាក់វត្ថុវិភាគ (ទីបឬកំប៉ុង) ដែលត្រូវគ្នានឹងវត្ថុវិភាគ</t>
  </si>
  <si>
    <t>របៀបនិងលក្ខខ័ណ្ឌអ្វីខ្លះដែលត្រូវវេចខ្ចប់និងបញ្ជូនទៅមន្ទីរពិសោធន៍ដែលរួមមាន:</t>
  </si>
  <si>
    <t>ពេលវេលាដែល​​សំណាកត្រូវបានផ្ញើទៅមន្ទីរពិសោធន៍</t>
  </si>
  <si>
    <t>ចន្លោះសីតុណ្ហភាពសម្រាប់ការដឹកជញ្ជូនទៅមន្ទីរពិសោធន៍</t>
  </si>
  <si>
    <t>វិធីសាស្រ្តនៃការវេចខ្ចប់វត្ថុដាក់សំណាកដើម្បីការពារការលេចធ្លាយ</t>
  </si>
  <si>
    <t>ប្រសិនបើអាចអនុវត្តបាន ទាមទារអោយមានការយល់ព្រមរបស់អ្នកជំងឺ</t>
  </si>
  <si>
    <t>នីតិវិធីសម្រាប់ការស្នើសុំធ្វើតេស្តមន្ទីរពិសោធន៍រួមបញ្ចូលទាំងរបៀបបំពេញប័ណ្ណស្នើសុំ</t>
  </si>
  <si>
    <t>នីតិវិធីសម្រាប់ការស្នើសុំធ្វើតេស្តមន្ទីរពិសោធន៍បន្ទាន់</t>
  </si>
  <si>
    <t>រយពេលបំពេញការងារ(Turnaroud Time)ធម្មតាសម្រាប់ការធ្វើតេស្តនិមួយៗ</t>
  </si>
  <si>
    <t>តម្លៃជីវសាស្រ្តយោង ហើយបើអាចធ្វើបានបញ្ជាក់ពីតម្លៃគ្រោះថ្នាក់ឬតម្លៃប្រយ័ត្នសម្រាប់តេស្តជាក់លាក់មួយចំនួន</t>
  </si>
  <si>
    <t>បញ្ជីកត្តាទាំងឡាយដែលបានដឹងថាប៉ះពាល់ដល់លទ្ធផលវិភាគតេស្តនិមួយៗ</t>
  </si>
  <si>
    <t>វិធីសាស្រ្តរាយការណ៍ជាប្រចាំ</t>
  </si>
  <si>
    <t>សេចក្តីណែនាំអំពីការបកស្រាយរបាយការណ៍លទ្ធផល។</t>
  </si>
  <si>
    <t>នីតិវិធីសម្រាប់ការផ្តល់លទ្ធផលបន្ទាន់</t>
  </si>
  <si>
    <t>ការស្នើសុំធ្វើតេស្តបន្ថែមទៀតរួមទាំងពេលវេលាដែលអាចធ្វើទៅបាន</t>
  </si>
  <si>
    <t>គោលនយោបាយរបស់មន្ទីរពិសោធន៍លើការការពារពត៌មានរបស់អ្នកជំងឺ</t>
  </si>
  <si>
    <t>នីតិវិធីបណ្តឹងមន្ទីរពិសោធន៍របស់ (មិនទាន់មាននៅដំណាក់កាលទី ២ នេះទេ តែវានឹងត្រូវបង្កើតនៅដំណាក់កាលទី ៤)</t>
  </si>
  <si>
    <t>តើសៀវភៅសេវាកម្មមន្ទីរពិសោធន៍បានផ្ញើទៅកាន់អតិថិជនទាំងអស់របស់មន្ទីរពិសោធន៍ ដែរឬទេ?</t>
  </si>
  <si>
    <t>ពេលដែលមានការកែប្រែថ្មីចំពោះសៀវភៅសេវាកម្មមន្ទីរពិសោធន៍ តើកំណែថ្មីនោះត្រូវបានបោះពុម្ពនិងផ្ញើទៅកាន់អតិថិជនរបស់មន្ទីរពិសោធន៍ដោយផ្ទាល់ជាមួយកំនត់ចំណាំថាកំណែមុនត្រូវមោឃៈនិងត្រូវកំទេចចោល ដែរឬទេ?</t>
  </si>
  <si>
    <t>តើតម្លៃជីវសាស្រ្តយោងឬតម្លៃសម្រាប់ធ្វើការសម្រេចចិត្តដែលត្រឹមត្រូវ និងតម្លៃប្រុងប្រយ័ត្នឬតម្លៃចន្លោះគ្រោះថ្នាក់ដែលត្រឹមត្រូវ សម្រាប់ការវិភាគតេស្តទំាងអស់ក្នុងមន្ទីរពិសោធន៍ មាននៅក្នុងសៀវភៅសេវាកម្មមន្ទីរពិសោធន៍ ដែរឬទេ?</t>
  </si>
  <si>
    <t>ប្រសិនបើតម្លៃជីវសាស្រ្តយោងឬតម្លៃសម្រាប់សម្រេចធ្វើរោគវិនិច្ឆ័យ និងតម្លៃប្រុងប្រយ័ត្នឬតម្លៃចន្លោះគ្រោះថ្នាក់ ក្លាយជាមិនត្រឹមត្រូវបន្ទាប់ពីផ្លាស់ប្តូរវិធីសាស្រ្តវិភាគតេស្ត ។ តើតម្លៃនេះបានកែសម្រួលដោយផ្ទាល់ ទាំងនៅក្នុងសៀវភៅសេវាកម្មមន្ទីរពិសោធន៍ និងទម្រង់របាយការណ៍លទ្ធផល ដែរឬទេ? ហើយតើកំណែថ្មីនៃសៀវភៅសេវាកម្មនេះបានផ្ញើទៅអតិថិជនរបស់មន្ទីរពិសោធន៍ដោយផ្ទាល់ ដែរឬទេ?</t>
  </si>
  <si>
    <t>តើមន្ទីរពិសោធន៍ដែលចូលរួមក្នុងការធ្វើតេស្តជំនាញ ឬ គម្រោងការប្រៀបធៀបសមត្ថភាពរវាងមន្ទីរពិសោធន៍និងមន្ទីរពិសោធន៍សម្រាប់គ្រប់ការវិភាគតេស្តទាំងអស់ដែរឬទេ?</t>
  </si>
  <si>
    <t>ប្រសិនបើការចូលរួមក្នុងគ្រោងការណ៍ការធ្វើតេស្តជំនាញ ឬការចាត់តាំងការប្រៀបធៀបរវាងមន្ទីរពិសោធន៍និងមន្ទីរពិសោធន៍សម្រាប់តេស្តជាក់លាក់ណាមួយមិនអាចធ្វើទៅបាន។ តើមន្ទីរពិសោធន៍មានប្រព័ន្ធត្រួតពិនិត្យឡើងវិញ ឬការធ្វើតេស្តឡើងវិញដើម្បីប្រៀបធៀបលទ្ធផលទាំងនោះ ដែរឬទេ?</t>
  </si>
  <si>
    <t xml:space="preserve">ប្រសិនបើលទ្ធផលនៃការធ្វើតេស្តជំនាញ ឬការប្រៀបធៀបរវាងមន្ទីរពិសោធន៍និងមន្ទីរពិសោធន៍ត្រូវបានងាកចេញ ឬមិនត្រឹមត្រូវ ។ តើមន្ទីរពិសោធន៍មានធ្វើការវិភាគមួយដើម្បីរកមូលហេតុនៃបញ្ហាឬទេ ហើយតើមានធ្វើការអនុវត្តវិធានការកែតម្រូវ ត្រួតពិនិត្យ និងប្រសិនបើអាច​ទៅរួច មានវិធានការបង្ការឬទេ?
</t>
  </si>
  <si>
    <t>តើមន្ទីរពិសោធន៍មាន SOP សម្រាប់ចូលរួមគ្រោងការណ៍ការធ្វើតេស្តសមត្ថភាពជំនាញ និង/ឬ គ្រោងការណ៍ការប្រៀបធៀបរវាងមន្ទីរពិសោធន៍និងមន្ទីរពិសោធន៍ដែរឬទេ?</t>
  </si>
  <si>
    <t>ប្រសិនបើមន្ទីរពិសោធន៍ជាអ្នករៀបចំគ្រោងការណ៏ប្រៀបធៀបរវាងមន្ទីរពិសោធន៍និងមន្ទីរពិសោធន៍,​ តើនីតិវិធីអនុវត្តន៍ស្តង់ដា(SOP) សម្រាប់ការវាយតម្លៃគុណភាពខាងក្រៅមាននិតិវិធីសម្រាប់ការរៀបចំនេះឬទេ?</t>
  </si>
  <si>
    <t>ក្នុងករណីដែលគ្មានតេស្តជំនាញ ឬការប្រៀបធៀបរវាងមន្ទីរពិសោធន៍និងមន្ទីរពិសោធន៍ ហើយប្រសិនបើមន្ទីរពិសោធន៍ធ្វើការត្រួតពិនិត្យឡើងវិញ ឬធ្វើតេស្តទ្បើងវិញនូវសំណាកសម្រាប់តេស្តជាក់លាក់ណាមួយ ។ តើ SOP សម្រាប់វាយតម្លៃគុណភាពពីខាងក្រៅមាននិតិវិធីសម្រាប់ការរៀបចំនេះដែរឬទេ?</t>
  </si>
  <si>
    <t>តើការទទួលបានការសង្គ្រោះបឋមត្រូវបានធានានៅមន្ទីរពិសោធន៍ ដែរឬទេ?</t>
  </si>
  <si>
    <t>តើនៅមន្ទីរពិសោធន៍ដែលចាំបាច់ត្រូវមានអ្នកសង្គ្រោះបឋម តើមានបុគ្គលិកគ្រប់គ្រាន់ត្រូវបានតែងតាំងជាអ្នកសង្គ្រោះបឋមដូចជាត្រុវប្រាកដថាយ៉ាងហោចណាស់ថាមានម្នាក់ត្រូវមានវត្តមានជានិច្ច ដែរឬទេ?</t>
  </si>
  <si>
    <t>តើការបណ្ដុះបណ្ដាលសម្រាប់អ្នកសង្គ្រោះបឋមមានបច្ចុប្បន្នភាព ដែរឬទេ?</t>
  </si>
  <si>
    <t>តើសៀវភៅជីវសុវត្ថិភាពបានសរសេរពន្យល់អំពីភារកិច្ចនិងការទទួលខុសត្រូវរបស់អ្នកសង្គ្រោះបឋម ដែរឬទេ?</t>
  </si>
  <si>
    <t>តើបុគ្គលិកមន្ទីរពិសោធន៍បានដឹងថាអ្នកណាខ្លះជាអ្នកសង្គ្រោះបឋម ដែរឬទេ?</t>
  </si>
  <si>
    <t>តើបទពិពណ៌នាការងារផ្ទាល់ខ្លួនរបស់អ្នកសង្គ្រោះបឋមបានត្រូវបានកែប្រែដើម្បីឆ្លុះបញ្ចាំងពីការអនុញ្ញាតក្នុងតួនាទីពួកគាត់ជាអ្នកសង្គ្រោះបឋម ដែរឬទេ?</t>
  </si>
  <si>
    <t>តើមន្ទីរពិសោធន៍ជីវសុវត្ថិភាពកម្រិត៣ ត្រូវបានបំពាក់ដោយប្រព័ន្ធសម្ពាធអវិជ្ជមាន ដែរឬទេ?</t>
  </si>
  <si>
    <t>តើសម្ពាធរបស់ជីវសុវត្ថិភាពកម្រិត ៣ ត្រូវបានពិនិត្យតាមដានមើលនិងកត់ត្រា ដែរឬទេ?</t>
  </si>
  <si>
    <t>តើប្រព័ន្ធសម្ពាធអវិជ្ជមានបានតភ្ជាប់ចរន្តទៅនឹងការផ្គត់ផ្គង់អគ្គីសនីបំរុងទុក ដើម្បីធានាបានថាវាមានដំណើរការទោះជាដាច់ចរន្តអគ្គីសនី ដែរឬទេ?</t>
  </si>
  <si>
    <t>តើប្រព័ន្ធសម្ពាធអវិជ្ជមានបានដាក់បញ្ចូលក្នុងកម្មវិធីការថែទាំបង្ការរបស់មន្ទីរពិសោធន៍ ដែរឬទេ?</t>
  </si>
  <si>
    <t>តើដំណើរការចូលទៅក្នុងមន្ទីរពិសោធន៍ជីវសុវត្ថិភាពកម្រិត​៣ ត្រុវបានត្រួតពិនិត្យដើម្បីការពារការចូលដោយគ្មានការអនុញ្ញាតិ ដែរឬទេ?</t>
  </si>
  <si>
    <t>តើមានកន្លែងស្រង់វត្ថុវិភាគនៅដាច់ដោយឡែកពីសកម្មភាពមន្ទីរពិសោធន៍ ដែរឬទេ?</t>
  </si>
  <si>
    <t>តើអ្នកជំងឺនៅកន្លែងរង់ចាំនិងកន្លែងស្រង់វត្ថុវិភាគត្រូវបានការពារមិនឱ្យត្រូវទឹកភ្លៀងនិងកម្ដៅថ្ងៃ ដែរឬទេ?</t>
  </si>
  <si>
    <t>តើកន្លែងស្រង់វត្ថុវិភាគអ្នកជំងឺបានរក្សាការពារឯកជនភាពរបស់អ្នកជំងឺ ដែរឬទេ?</t>
  </si>
  <si>
    <t>តើមានកៅអីគ្រប់គ្រាន់នៅកន្លែងរង់ចាំនិងកន្លែងស្រង់វត្ថុវិភាគសម្រាប់អ្នកជំងឺទាំងអស់អាចអង្គុយបាន ដែរឬទេ?</t>
  </si>
  <si>
    <t>តើកន្លែងរង់ចាំនិងកន្លែងស្រង់វត្ថុវិភាគអាចអោយអ្នកជំងឺជាជនពិការចូលបាន ដែរឬទេ?</t>
  </si>
  <si>
    <t>តើសំណាកបានទុកក្រោមលក្ខខ័ណ្ឌសមស្របដោយបានការពារពីការចូលដោយគ្មានការអនុញ្ញាត និងយកវិញបានដោយងាយៗ ដែរឬទេ?</t>
  </si>
  <si>
    <t>តើប្រតិករនិងសម្ភារៈប្រើប្រាស់ទំាងអស់បានរក្សាទុកក្រោមលក្ខខ័ណ្ឌត្រឹមត្រូវដោយការពារពីការចូលដោលគ្មានការអនុញ្ញាតនិងការយកបានយ៉ាងងាយស្រួល ដែរឬទេ?</t>
  </si>
  <si>
    <t>តើឧបករណ៍បរិក្ខារបានរក្សាទុកដាក់ក្រោមលក្ខខ័ណ្ឌសមស្របការពារពីការប្រើប្រាស់ដោយគ្មានការអនុញ្ញាត ដែរឬទេ?</t>
  </si>
  <si>
    <t>តើឧបករណ៍បរិក្ខារខូចមិនដំណើរការមានឆ្លងរោគនិងបានរក្សាទុកនៅខាងក្រៅមន្ទីរពិសោធន៍បានការពារមិនឱ្យមានការប្រើប្រាស់ ដែរឬទេ?</t>
  </si>
  <si>
    <t>តើឯកសារនិងកំណត់ត្រាត្រូវបានរក្សាទុកក្រោមលក្ខខ័ណ្ឌសមស្រប ដោយបានការពារពីអគ្គីភ័យ សត្វល្អិត សំណើម និងធាតុបង្កគ្រោះថ្នាក់ផ្សេងៗ ដែរឬទេ?</t>
  </si>
  <si>
    <t>តើឯកសារនិងកំណត់ត្រាត្រូវបានការពារពីការចូលដែលគ្មានការអនុញ្ញាតិ ដែរឬទេ?</t>
  </si>
  <si>
    <t>តើឯកសារនិងកំណត់ត្រាត្រូវបានរក្សាទុកនៅកន្លែងដែលមានរបៀបមួយដែលបង្ហាញថាងាយស្រួលយកមកប្រើប្រាស់ ដែរឬទេ?</t>
  </si>
  <si>
    <t>តើកាលវិភាគសម្រាប់ការរក្សាទុកប្រភេទផ្សេងគ្នានៃសមា្ភរៈទាំងឡាយមានដាក់បញ្ចូលនូវថិរវេលាសម្រាប់ការរក្សាទុកសំណាកឬវត្ថុវិភាគនិងឡាមដែរឬទេ?</t>
  </si>
  <si>
    <t>តើកាលវិភាគសម្រាប់ការរក្សាទុកសម្ភារៈប្រភេទផ្សេងៗគ្នានៃសមា្ភរៈមានដាក់នូវឯកសារដូចខាងក្រោម ដែរឬទេ:</t>
  </si>
  <si>
    <t>នីតិវិធីអនុវត្តស្តង់ដា(SOPs)ដែលបានជំនួស</t>
  </si>
  <si>
    <t>សន្លឹកតារាងកិច្ចការដែលបានបំពេញរួច</t>
  </si>
  <si>
    <t>សន្លឹកតារាងកំណត់ត្រាដែលបានបំពេញរួច</t>
  </si>
  <si>
    <t>ប័ណ្ណឬទម្រង់ស្នើសុំដែលបានបំពេញរួច</t>
  </si>
  <si>
    <t xml:space="preserve">របាយការណ៍របស់អ្នកជំងឺ </t>
  </si>
  <si>
    <t>សៀវភៅបញ្ជីលទ្ធផល</t>
  </si>
  <si>
    <t>កិច្ចសន្យាទាំងអស់របស់មន្ទីរពិសោធន៍ជាមួយភាគីខាងក្រៅ</t>
  </si>
  <si>
    <t>ទិន្នន័យបុគ្គលិក</t>
  </si>
  <si>
    <t>តើមន្ទីរពិសោធន៍មានទស្សនៈវិស័យច្បាស់លាស់ ដែរឬទេ?</t>
  </si>
  <si>
    <t>តើទស្សនៈវិស័យមន្ទីរពិសោធន៍ត្រូវបានចងក្រងជាឯកសារ និងរក្សាទុក ដែរឬទេ?</t>
  </si>
  <si>
    <t>តើមន្ទីរពិសោធន៍មានបេសកកម្មមួយច្បាស់លាស់ ដែរឬទេ?</t>
  </si>
  <si>
    <t>តើបេសកកម្មរបស់មន្ទីរពិសោធន៍នេះត្រូវបានចងក្រងជាឯកសារនិងរក្សាទុក ដែរឬទេ?</t>
  </si>
  <si>
    <t>តើមន្ទីរពិសោធន៍មានគោលដៅរយៈពេលវែង ដែរឬទេ?</t>
  </si>
  <si>
    <t>តើគោលដៅរយៈពេលវែងនៃមន្ទីរពិសោធន៍បានគ្របដណ្តប់សកម្មភាពស្នូលទាំងអស់ ដែរឬទេ?</t>
  </si>
  <si>
    <t>តើគោលដៅរយៈពេលវែងនឹងនាំមន្ទីរពិសោធន៍ឆ្ពោះទៅរកភាពប្រសើរឡើង ដែរឬទេ?</t>
  </si>
  <si>
    <t>តើគោលដៅរយៈពេលវែងនៃមន្ទីរពិសោធន៍បានចងក្រងជាឯកសារនិងរក្សាទុក ដែរឬទេ?</t>
  </si>
  <si>
    <t>តើមន្ទីរពិសោធន៍មានគោលនយោបាយគុណភាពទេ?</t>
  </si>
  <si>
    <t>តើគោលនយោបាយគុណភាពបានពិពណ៌នាពីវិសាលភាពនៃសេវាកម្មមន្ទីរពិសោធន៍ដែរច្បាស់លាស់ឬទេ?</t>
  </si>
  <si>
    <t>តើគោលនយោបាយគុណភាពបានពិពណ៌នាច្បាស់លាស់ពីគោលដៅទាំងឡាយរយៈពេលវែងនិងអ្វីដែលមន្ទីរពិសោធន៍នឹងធ្វើអោយសម្រេចបាននូវគោលដៅទាំងនេះទេ?</t>
  </si>
  <si>
    <t>តើគោលនយោបាយគុណភាពមានសេចក្តីថ្លែងការណ៍នៃការប្តេជ្ញាចិត្តរបស់គណៈគ្រប់គ្រងដើម្បីអនុវត្តនិងរក្សាប្រព័ន្ធគ្រប់គ្រងគុណភាព?</t>
  </si>
  <si>
    <t>តើគោលនយោបាយគុណភាពមានសេចក្តីថ្លែងការណ៍នៃការប្តេជ្ញាចិត្តរបស់មន្ទីរពិសោធន៍ដើម្បីផ្តល់នូវការអនុវត្តវិជ្ជាជីវៈដ៏ល្អ ការពិនិត្យវិភាគប្រកបដោយគុណភាព ក្នុងការអនុលោមតាមប្រព័ន្ធគ្រប់គ្រងគុណភាព ដោយប្រកាន់ខ្ជាប់ទៅនឹង ISO 15189 ឬទេ?</t>
  </si>
  <si>
    <t>តើគោលនយោបាយគុណភាពមានការតម្រូវអោយបុគ្គលិកទាំងអស់នៃមន្ទីរពិសោធន៍ត្រូវតែជិតស្និទ្ធិនឹងគោលនយោបាយនិងនីតិវិធីទាំងឡាយរបស់មន្ទីរពិសោធន៍និងអនុវត្តវាឬទេ?</t>
  </si>
  <si>
    <t>បុគ្គលិកដឹងថាមានគោលនយោបាយគុណភាពឬទេ?
យកគំរូមួយដោយសាកសួរសមាជិកបុគ្គលិកខ្លះៗ។</t>
  </si>
  <si>
    <t>តើបុគ្គលិកមាភាពស្និទ្ធស្នាលជាមួយនឹងមាតិការបស់គោលនយោបាយគុណភាពដែរឬទេ?
យកគំរូមួយដោយសាកសួរសមាជិកបុគ្គលិកខ្លះៗ។</t>
  </si>
  <si>
    <t>តើបុគ្គលិកទាំងអស់បានអានគោលនយោបាយគុណភាពទេ?
ស្នើសុំការបញ្ជាក់ដូចជា ទម្រង់បានអាននិងយល់ និងសំភាសន៍សមាជិកបុគ្គលិកអំពីមាតិកានៃគោលនយោបាយគុណភាព។</t>
  </si>
  <si>
    <t>តើមន្ទីរពិសោធន៍មានវិធានការដើម្បីការពារការអាក់ខានផ្តល់សេវាដោយសារតែការខូចបរិក្ខាចាស់ដែរឬទេ?</t>
  </si>
  <si>
    <t>តើការទិញបរិក្ខាថ្មីបាននាំយកទៅពិចារណាក្នុងការធ្វើថវិកាមន្ទីរពិសោធន៍សម្រាប់ឆ្នាំក្រោយទេ?</t>
  </si>
  <si>
    <t>តើការចំណាយលើការថែទាំ (រួមទាំងការជួសជុល) បាននាំយកទៅពិចារណានៅក្នុងការរៀបចំថវិកាមន្ទីរពិសោធន៍ទេ?</t>
  </si>
  <si>
    <t>តើមន្ទីរពិសោធន៍បានបង្កើតគោលដៅសម្រាប់ឆ្នាំខាងមុខមុនពេលរៀបចំសេចក្តីព្រាងផែនការគុណភាពឆ្នាំទេ?</t>
  </si>
  <si>
    <t>តើមន្ទីរពិសោធន៍បានរៀបគម្រោងសកម្មភាពតាមរយៈផែនការគុណភាពប្រចាំឆ្នាំដែរឬទេ?</t>
  </si>
  <si>
    <t>តើផែនការគុណភាពប្រចាំឆ្នាំពេញលេញដោយបានរៀបរាប់គ្រប់ទិដ្ឋភាពនៃ​ប្រព័ន្ធគ្រប់គ្រងគុណភាព ដែរឬទេ?</t>
  </si>
  <si>
    <t>តើផែនការគុណភាពប្រចាំឆ្នាំបង្កើតឡើងដោយមានការចូលរួមពីមន្ត្រីគុណភាព ដែរឬទេ?
សាកសួរមន្រ្តីគុណភាពនិងសមាជិកក្រុមគុណភាពដើម្បីបញ្ជាក់។</t>
  </si>
  <si>
    <t>តើផែនការគុណភាពប្រចាំឆ្នាំបានរក្សាទុកត្រឹមត្រូវនិងងាយស្រួលរកយកមកប្រើប្រាស់ ដែរឬទេ?</t>
  </si>
  <si>
    <t>តើថ្នាក់គ្រប់គ្រងបានចុះហត្ថលេខានិងកាលបរិច្ឆេទលើផែនការគុណភាពប្រចាំឆ្នាំ ដែរឬទេ?</t>
  </si>
  <si>
    <t>តើផែនការគុណភាពប្រចាំឆ្នាំបានសម្រាយឱ្យទៅជាផែនការសក​ម្មភាពសម្រាប់អនុវត្ត ដែរឬទេ?</t>
  </si>
  <si>
    <t>តើផែនការសក​ម្មភាពដែលបង្កើតចេញពីផែនការគុណភាពប្រចាំឆ្នាំបានចុះហត្ថលេខានិងកាលបរិច្ឆេទអនុម័តដោយប្រធានផ្នែកមន្ទីរពិសោធន៍ ដែរឬទេ?</t>
  </si>
  <si>
    <t>តើបុគ្គលិកបានដឹងអំពីផែនការគុណភាពប្រចាំឆ្នាំ ដែរឬទេ?
សាកសួរបញ្ជាក់ពីបុគ្គលិកខ្លះៗឱ្យពន្យល់អំពីអ្វីទៅជាផែនការគុណភាពប្រចាំឆ្នាំ</t>
  </si>
  <si>
    <t>តើបុគ្គលិកបានដឹងអំពីចំនុចសកម្មភាពដែលបានចាត់តាំងឱ្យអនុវត្ត ដែរឬទេ?
សាកសួរបញ្ជាក់ពីបុគ្គលិកឱ្យពន្យល់អំពីចំនុចសកម្មភាពដែលបានចាត់តាំងអោយពួកគាត់</t>
  </si>
  <si>
    <t>តើប្រព័ន្ធគ្រប់គ្រងគុណភាពបានរៀបចំជាឯកសារក្នុងសៀវភៅស្តីពីការគ្រប់គ្រងគុណភាពមន្ទីរពិសោធន៍ដែរឬទេ? វារៀបរាប់អំពីពត៌មាននៃធាតុទាំងដប់ពីរនៃប្រព័ន្ធគ្រប់គ្រងគុណភាពមន្ទីរពិសោធន៍ដែលត្រូវប្រតិបត្តិនៅមន្ទីរពិសោធន៍។</t>
  </si>
  <si>
    <t>តើសៀវភៅស្តីពីការគ្រប់គ្រងគុណភាពមន្ទីរពិសោធន៍ ជាផ្នែកមួយនៃប្រព័ន្ធគ្រប់គ្រងឯកសារ ដែរឬទេ?</t>
  </si>
  <si>
    <t>តើបុគ្គលិកទាំងអស់បានអានសៀវភៅស្តីពីការគ្រប់គ្រងគុណភាពមន្ទីរពិសោធន៍ ដែរឬទេ?</t>
  </si>
  <si>
    <t>តើការអនុវត្តន៍ឬប្រតិបត្តិនានាក្នុងប្រព័ន្ធគ្រប់គ្រងគុណភាពមន្ទីរពិសោធន៍ បានកត់ត្រាក្នុងរបាយការណ៍ត្រីមាស ដែរឬទេ?</t>
  </si>
  <si>
    <t>តើមុខងារនៃប្រព័ន្ធគ្រប់គ្រងគុណភាពបានត្រួតពិត្យមើលជារៀងរាល់ឆ្នាំដោយថ្នាក់គ្រប់គ្រងមន្ទីរពិសោធន៍ ដែរឬទេ?</t>
  </si>
  <si>
    <t>តើរបាយការណ៍អំពីការពិនិត្យមើលឡើងវិញលើការគ្រប់គ្រងបានរៀបរៀង ដែរឬទេ?</t>
  </si>
  <si>
    <t>តើរបាយការណ៍អំពីការពិនិត្យមើលឡើងវិញលើការគ្រប់គ្រងមានចំនុចសកម្មភាពដែលត្រូវអនុវត្ត ដែរឬទេ?</t>
  </si>
  <si>
    <t>តើលទ្ធផលនៃការពិនិត្យមើលឡើងវិញលើការគ្រប់គ្រង បានបង្ហាញដល់បុគ្គលិកទាំងអស់ ដែរឬទេ?
ពិនិត្យ​មើល​កំណត់ត្រា​ការ​ប្រជុំ</t>
  </si>
  <si>
    <t>តើរបាយការណ៍ការពិនិត្យមើលឡើងវិញលើការគ្រប់គ្រង បានរក្សាទុកត្រឹមត្រូវនិងតាមលំដាប់លំដោយ ដែរឬទេ?</t>
  </si>
  <si>
    <t>តើផែនការគុណភាពប្រចាំឆ្នាំមានចំណុចសកម្មភាពដែលបានពីការពិនិត្យមើលឡើងវិញលើការគ្រប់គ្រង ដែរឬទេ?</t>
  </si>
  <si>
    <t>តើផែនការគុណភាពប្រចាំឆ្នាំបានយកមកគិតសម្រាប់មន្ទីរពិសោធន៍ដូចជា គោលនយោបាយគុណភាព គោលដៅរយៈពេលវែង គុណតម្លៃស្នូល បេសកកម្មនិងទស្សនៈវិស័យ ដែរឬទេ?</t>
  </si>
  <si>
    <t>តើផែនការសកម្មភាពបានបង្កើតឡើងដោយផ្អែកលើចំណុចសកម្មភាពត្រូវអនុវត្តបង្ហាញក្នុងផែនការគុណភាពប្រចាំឆ្នាំ ដែរឬទេ?</t>
  </si>
  <si>
    <t>តើផែនការគុណភាពប្រចាំឆ្នាំនិងផែនការសកម្មភាពថ្មីបានពន្យល់បង្ហាញដល់បុគ្គលិកមន្ទីរពិសោធ៍ ដែរឬទេ?
ពិនិត្យមើលកំណត់​ត្រា​ការ​​ប្រជុំនោះ</t>
  </si>
  <si>
    <t>តើបានបង្កើតនីតិវិធីប្រតិបត្តិស្តង់ដាមួយសម្រាប់គ្រប់សកម្មភាពទាំងអស់នៃវដ្តគោលនយោបាយដូចជាការរៀបចំពង្រាងផែនការគុណភាពប្រចាំឆ្នាំ ការពិនិត្យតាមដានលើការអនុវត្តន៍ប្រព័ន្ធគ្រប់គ្រងគុណភាព ពង្រាងរបាយការណ៍ប្រចាំត្រីមាស និងការពិនិត្យមើលឡើងវិញលើការគ្រប់គ្រង ដែរឬទេ?</t>
  </si>
  <si>
    <t>តើមន្ទីរពិសោធន៍បានស៊ើបអង្កេតមើលអំពីសក្តានុពលនៃទំនាស់ផលប្រយោជន៍រវាងបុគ្គលិកមន្ទីរពិសោធន៍ ដែរឬទេ?</t>
  </si>
  <si>
    <t>ប្រសិនបើមានទំនាស់ផលប្រយោជន៍រវាងបុគ្គលិកមន្ទីរពិសោធន៍ តើបានដោះស្រាយនិងកត់ត្រាឬរៀបចំឯកសារ ដែរឬទេ?</t>
  </si>
  <si>
    <t>តើមន្ទីរពិសោធន៍មានតារាងបុគ្គលិកដែលបង្ហាញអំពីការជំនួសគ្នាទៅវិញទៅមក ដែរឬទេ?</t>
  </si>
  <si>
    <t>តើមន្ទីរពិសោធន៍មានបុគ្គលិកជំនួយឬជំនួសសម្រាប់បុគ្គលិកម្នាក់ៗ ដែរឬទេ?</t>
  </si>
  <si>
    <t>តើបានវាយតម្លៃសមត្ថភាពបុគ្គលិកជំនួយឬជំនួសលើកិច្ចការដែលត្រូវបំពេញពេលដែលបុគ្គលិកម្នាក់អវត្តមាន ដែរឬទេ?</t>
  </si>
  <si>
    <t>តើបុគ្គលិកមន្ទីរពិសោធន៍បានដឹងថាមានតារាងបុគ្គលិកដែលបង្ហាញអំពីការជំនួសគ្នាទៅវិញទៅមកនិងគោលបំណងរបស់វា ដែរឬទេ?
សម្ភាសន៍បុគ្គលិកខ្លះៗដើម្បីបញ្ជាក់ថាពួកគាត់បានដឹងឬអត់</t>
  </si>
  <si>
    <t>តើមន្ទីរពិសោធន៍មានការវិភាគអំពីហិរញ្ញវត្ថុជាទៀងទាត់ដើម្បីប៉ាន់ប្រមាណលើចំណូលធៀបនឹងចំណាយនៅឆ្នាំបន្ទាប់ ដែរឬទេ?</t>
  </si>
  <si>
    <t>តើមន្ទីរពិសោធន៍របស់អ្នកមាននិតិវិធីប្រតិបត្តិស្តង់ដាក្នុងការជ្រើសរើសនិងវាយតម្លៃអ្នកផ្គត់ផ្គង់ ដែររឺទេ?</t>
  </si>
  <si>
    <t>តើមន្ទីរពិសោធន៍បានជ្រើសរើសអ្នកផ្គត់ផ្គង់តាមនីតិវិធីដែលបានចែងក្នុងឯកសារ ដែរឬទេ?</t>
  </si>
  <si>
    <t>តើមន្ទីរពិសោធន៍បានបង្កើតកិច្ចសន្យាក្នុងការទទួលយកសេវាកម្មមន្ទីរពិសោធន៍តាមនីតិវិធីជាលក្ខណៈស្តង់ដា ដែរឬទេ?</t>
  </si>
  <si>
    <t>តើមន្ទីរពិសោធន៍បានវាយតម្លៃលើកិច្ចសន្យាលើការទទួលយកការផ្តល់សេវាកម្មដោយអ្នកផ្គត់ផ្គង់ តាមនីតិវិធីជាលក្ខណៈស្តង់ដា ដែររឺទេ?</t>
  </si>
  <si>
    <t>ប្រសិនបើកិច្ចសន្យាត្រូវបានធ្វើវិសោធនកម្ម ឬ ផ្លាស់ប្តូរ តើមន្ទីរពិសោធន៍បានធ្វើកំណត់ត្រា ឬ កំណត់ហេតុពន្យល់អំពីវិសោធនកម្ម ឬ ផ្លាស់ប្តូរថាហេតុអ្វីបានជាត្រូវបានផ្លាស់ប្ដូរឬវិសោធនកម្ម ដែរឬទេ?</t>
  </si>
  <si>
    <t>តើមន្ទីរពិសោធន៍បានបង្កើតនីតិវិធីសម្រាប់ការជ្រើសមន្ទីរពិសោធន៍បង្អែកដែររឺទេ? ប្រសិនបើមន្ទីរពិសោធន៍មិនមិនមានកំនត់សំណាកសម្រាប់ផ្ញើរទៅមន្ទីរពិសោធន៍ផ្សេងទៀត: តើមានសេចក្តីថ្លែងការណ៍ដែលបានរួមបញ្ចូលនៅក្នុងសៀវភៅគុណភាពដែលពន្យល់ថាគ្មានសំណាកត្រូវបានបញ្ជូនទៅមន្ទីពិសោធន៍ផ្សេងទៀតទេ?</t>
  </si>
  <si>
    <t>តើមន្ទីរពិសោធន៍បានបង្កើតនីតិវិធីសម្រាប់ការត្រួតពិនិត្យមន្ទីរពិសោធន៍បង្អែកជាទៀងទាត់ដែររឺទេ?</t>
  </si>
  <si>
    <t>តើមានក្រូណូដែលមានឯកសារការណាត់ជួបគ្នារវាងមន្ទីរពិសោធន៍បង្អែកនិងការត្រួតពិនិត្យទិន្នន័យដែររឺទេ?</t>
  </si>
  <si>
    <t>តើមានក្រូណូដែលមានកំណត់ត្រានៃសំណាកបានបញ្ជូនទៅមន្ទីពិសោធន៍បង្អែក, រួមបញ្ចូលទាំងលទ្ធផលដែររឺទេ?</t>
  </si>
  <si>
    <t>តើនៅក្នុងមន្ទីរពិសោធន៍មានកំណត់អតិបរមា TAT ដែលបានអនុញ្ញាតចំពោះការធ្វើតេស្តនីមួយៗដែររឺទេ?</t>
  </si>
  <si>
    <t>តើតារាងដែលមានកំណត់អតិបរមា TAT ដែលបានអនុញ្ញាតចំពោះការធ្វើតេស្តនីមួយៗ បានដាក់បញ្ចូលនៅក្នុងសៀវភៅគុណភាពនៃមន្ទីរពិសោធន៍ដែររឺទេ?</t>
  </si>
  <si>
    <t>តើតារាងដែលមានកំណត់អតិបរមា TAT ដែលបានអនុញ្ញាតចំពោះការធ្វើតេស្តនីមួយៗ បានដាក់បញ្ចូលនៅក្នុង SOP on Reporting and Archiving of Results ដែររឺទេ?</t>
  </si>
  <si>
    <t>តើ SOP on Reporting and Archiving of Results មានរួមបញ្ចូលទាំងនីតិវិធីដែលអ្នកស្នើរត្រូវបានគេជូនដំណឹងជាបន្ទាន់ក្នុងករណីដែល TAT សម្រាប់ការធ្វើតេស្តត្រូវបានហួស ហើយវាអាចនឹងប៉ះពាល់ដល់ការថែទាំអ្នកជំងឺនេះដែររឺទេ?</t>
  </si>
  <si>
    <t>តើសមាជិកបុគ្គលិកបានដឹងពីនីតិវិធីដែលអ្នកស្នើរត្រូវបានគេជូនដំណឹងជាបន្ទាន់ក្នុងករណីដែល TAT សម្រាប់ការធ្វើតេស្តត្រូវបានហួស ហើយវាអាចនឹងប៉ះពាល់ដល់ការថែទាំអ្នកជំងឺនេះដែររឺទេ?</t>
  </si>
  <si>
    <t>តើ TAT បានត្រួតពិនិត្យមើលនៅលើមូលដ្ឋានជាបន្តសម្រាប់ការធ្វើតេស្តនីមួយៗដែររឺទេ?</t>
  </si>
  <si>
    <t>តើលទ្ធផលនៃការវាយតម្លៃ TAT បានរួមបញ្ចូលនៅក្នុងរបាយការណ៍ប្រចាំត្រីមាសដែររឺទេ?</t>
  </si>
  <si>
    <t>តើវិធានការកែប្រែនិងការបង្ការត្រូវបានអនុវត្តនៅក្នុងការប៉ុនប៉ងដើម្បីកាត់បន្ថយភាគរយនៃការលើស TAT អោយបានអប្បបរមាដែររឺទេ?</t>
  </si>
  <si>
    <t>នៅពេលដែលគេឃើញភាគរយនៃសំណាកលើសពីពេលវេលា TAT មានការកើនឡើងមួយរំពេច តើមានការវិភាគមួយត្រូវបានអនុវត្តដើម្បីកំណត់ពីមូលហេតុនិងអនុវត្តសកម្មភាពកែប្រែ និង បង្ការដែររឺទេ?</t>
  </si>
  <si>
    <t>តើសកម្មភាពកែប្រែនិងការបង្ការដើម្បីកាត់បន្ថយ ឬ ទប់ទល់នឹងការកើនឡើងនៃការលើសពេលវេលា TAT ដែលបានកំណត់ក្នុងការវាយតម្លៃ TAT នេះ មានប្រសិទ្ធភាពដែររឺទេ?</t>
  </si>
  <si>
    <t>តើមន្ទីរពិសោធន៍មាននីតិវិធីជាស្តង់ដារក្នុងការធ្វើអោយមានសុពលភាពនៃវិធីសាស្រ្តការធ្វើតេស្ត និង បរិក្ខា នៅក្នុង SOP ដែររឺទេ?</t>
  </si>
  <si>
    <t>តើមន្ទីរពិសោធន៍បានធ្វើឱ្យមានសុពលភាពគ្រប់វិធីសាស្រ្តវិភាគតេស្តទាំងអស់នៅក្នុងមន្ទីរពិសោធន៍ ដែរឬទេ?
រកមើលភស្តុតាងដោយសួររករបាយការណ៍សុពលភាព</t>
  </si>
  <si>
    <t>នៅពេលដែលមន្ទីរពិសោធន៍បានកំណត់តម្រូវការកែប្រែវិធីសាស្ត្រវិភាគបានតាមរយៈ Verification លើប្រតិករនិងឧបករណ៍បរិក្ខារ តើមន្ទីរពិសោធន៍បានធ្វើការកែប្រែ(ដូចជាការកែសម្រួល SOP ទៅតាមវិធីសាស្ត្រ) ដែរឬទេ?</t>
  </si>
  <si>
    <t>តើមន្ទីរពិសោធន៍មានទីកន្លែង(បណ្ណសារដ្ឋាន)សម្រាប់រក្សាទុកកំណត់ត្រា ដែលបានសាងសង់ឡើងត្រឹមត្រូវងាយក្នុងការរកពត៌មានបានឆាប់រហ័ស ដែរឬទេ?</t>
  </si>
  <si>
    <t>តើកន្លែងរក្សាទុកកំណត់និងឯកសារមន្ទីរពិសោធន៍អាចចាក់សោរបាន ដែរឬទេ?</t>
  </si>
  <si>
    <t>តើកន្លែងទុកដាក់កំណត់ត្រានិងឯកសារ(បណ្ណសារដ្ឋាន) បានការពាពីឥទ្ធិពលអាក្រក់ដូចជាសំណើម ពន្លឺនិងកម្ដៅថ្ងៃ សត្វល្អិត ភ្លើង ​ដែរឬទេ?</t>
  </si>
  <si>
    <t>តើការចេញចូលទៅកាន់កន្លែងទុកដាក់ឯកសារនិងកំណត់ត្រាត្រូវបានគ្រប់គ្រង ដែរឬទេ?</t>
  </si>
  <si>
    <t>តើប្រព័ន្ធកុំព្យូទ័រត្រូវបានការពារត្រឹមត្រូវដោយប្រព័ន្ធការពារកម្មវិធីកុំព្យូទ័រ ដែរឬទេ?</t>
  </si>
  <si>
    <t>តើប្រព័ន្ធកុំព្យូទ័របានស្កែនមេរោគជាប្រចាំសប្តាហ៍ដោយត្រឹមត្រូវដោយកម្មវិធីស្កែនមេរោគមានបច្ចុប្បន្នភាព ដែរឬទេ?</t>
  </si>
  <si>
    <t>តើមន្ទីរពិសោធន៍បានផ្ដល់សិទ្ធិឱ្យបុគ្គលិកជាក់លាក់ចំពោះពត៌មាននិងទិន្នន័យអេឡិចត្រូនិចរបស់មន្ទីរពិសោធន៍ដូចខាងក្រោម ដែរឬទេ៖
1. អាចចូលមើលពត៌មាននិងទិន្នន័យបាន ។
2. អាចចូលមើលផងនិងបញ្ចូលបន្ថែមផង ។
3. អាចចូលមើលផង បញ្ចូលបន្ថែមផង និងអាចកែប្រែបានផងដែរ ។
ហើយតើ Authorization matrix បានកែសម្រួលទៅតាមសកម្មភាពបានបង្ហាញខាងលើដែរឬទេ?</t>
  </si>
  <si>
    <t>តើមន្ទីរពិសោធន៍បានកែសម្រួលបទពិពណ៌នាការងារផ្ទាល់ខ្លួនបុគ្កលិកទៅតាមការអនុញ្ញាតឲ្យចូលដំណើរការប្រព័ន្ធព៌តមានមន្ទីរពិសោធន៍ ដែរឬទេ?</t>
  </si>
  <si>
    <t xml:space="preserve">តើមន្ទីរពិសោធន៍មានផែនការបម្រុងទុកជាមុនដើម្បីអនុវត្តក្នុងករណីប្រព័ន្ធពត៌មានកុំព្យូទ័រមានបញ្ហាដើម្បីធានាបានថាប្រព័ន្ធពត៌មានមន្ទីរពិសោធន៍នៅតែដំណើរការគ្រប់ពេលវេលា ដែរឬទេ? </t>
  </si>
  <si>
    <t>តើមន្ទីរពិសោធន៍មាននិតិវិធីប្រតិបត្តិស្តង់ដាសម្រាប់ការគ្រប់គ្រងពត៌មាននៅក្នុងមន្ទីរពិសោធន៍ ដែរឬទេ?</t>
  </si>
  <si>
    <t>តើនីតិវិធីប្រតិបត្តិស្តង់ដាអំពីការគ្រប់គ្រងពត៌មានមន្ទីរពិសោធន៍មាននីតិវិធីដូចខាងក្រោមនេះ ដែរឬទេ?</t>
  </si>
  <si>
    <t>តើការស្ទង់មតិការពេញចិត្តរបស់អតិថិជនត្រូវបានធ្វើឡើងពីរដងក្នុងមួយឆ្នំាឫទេ?</t>
  </si>
  <si>
    <t>តើមន្ទីរពិសោធន៍បានធ្វើពង្រាងរបាយការណ៍អំពីការស្ទង់មតិការពេញចិត្តរបស់អតិថិជនដែលបង្ហាញអំពីការរកឃើញនិងការកំណត់នូវចំនុចកែលម្អឲ្យប្រសើរ ដែរឬទេ?</t>
  </si>
  <si>
    <t>តើមន្ទីរពិសោធន៍មានពង្រាងផែនការសកម្មភាព SMART ដើម្បីអនុវត្តចំនុចកែលម្អដែលបានកំណត់ចេញពីការស្ទង់មតិការពេញចិត្តរបស់អតិថិជន ដែរឬទេ?</t>
  </si>
  <si>
    <t>តើមន្ទីរពិសោធន៍មាននីតិវិធីស្តង់ដារមួយសម្រាប់ការចូលទៅក្នុងកិច្ចសន្យាសម្រាប់ការផ្តល់សេវាមួយ?</t>
  </si>
  <si>
    <t>តើមន្ទីរពិសោធន៍រក្សាកំណត់ហេតុនៃកិច្ចប្រជុំដែលពិភាក្សាអំពីមាតិកានៃកិច្ចសន្យាសម្រាប់ការផ្តល់សេវាបានដែរឬទេ?</t>
  </si>
  <si>
    <t>តើមានចំនួននៃសមាជិកបុគ្គលិកគ្រប់គ្រាន់បានតែងតាំងជាសវនករផ្ទៃក្នុង ដែរឬទេ?</t>
  </si>
  <si>
    <t>តើមន្រ្តីគុណភាពត្រូវមានតែងតំាជាសវនករផ្ទៃក្នុងឫទេ?</t>
  </si>
  <si>
    <t>តើសវនករផ្ទៃក្នុងត្រូវបានបណ្តុះបណ្តាលឱ្យបានសមស្របនិងបានបញ្ជាក់​ (Certifies)?</t>
  </si>
  <si>
    <t>តើមានបច្ចុប្បន្នភាពការពិពរណ៍ការងារសម្រាប់មុខតំណែងសវនករផ្ទៃក្នុងឫទេ?</t>
  </si>
  <si>
    <t>តើមានការពិពរណ៍នាកាងារផ្ទាល់ខ្លួនរបស់សមាជិកបុគ្គលិកដែលបានតែងតំាជាសវនករផ្ទៃក្នុងត្រួវបានកែតម្រូវទៅតាមភារកិច្ចនិងការទទួលខុសត្រូវសម្រាប់តំណែងសវនករផ្ទៃក្នងរបស់ពួកគេឫនៅ?</t>
  </si>
  <si>
    <t>តើAuthorization Matrixបានរួមបញ្ចូលមុខងារនិងភារកិច្ចទទួលខុសត្រូវដែកទាកទងនិងតំណែងសវនករផ្ទែក្នុងទេ?</t>
  </si>
  <si>
    <t>តើបុគ្គលិកត្រូវបានជូនដំណឺងគ្រប់គ្រាន់អំពើសវនកម្មផ្ទៃក្នុង,មូលហេតុអ្វីត្រូវធ្វើវា,ហើយនរណាជាសវនករផ្ទៃក្នុង?</t>
  </si>
  <si>
    <t>តើជាទូទៅសវនកម្មផ្ទៃក្នុងត្រូវបានគ្រោងទុកប្រចាំឆ្នំាឫទេហើយផែនការធ្វើសវនកម្មនេះត្រូវបានទាកទងបុគ្គលិកមន្ទីរពិសោធន៍ទំាងអស់ដែលពាក់ពន្ធ័ឫទេ?</t>
  </si>
  <si>
    <t>តើសវនកម្មផ្ទៃក្នុងត្រូវបានអនុវត្តន៍បែបនេះក្នុងកម្មវិធីប្រពន្ធ័គ្រប់គ្រងគុណភាពពេញលេញហើយគ្រប់ផ្នែកទំាងអស់ត្រូវបានធ្វើសវនកម្មរៀងរាល់១២ខែ?</t>
  </si>
  <si>
    <t>តើការសង្កេតត្រូវបានបង្កើតកំឡុងពេលការធ្វើសវនកម្មផ្ទៃក្នុងហើយត្រូវបានរាយការណ៍ថាមានភាពមិនប្រសើរទាំងឡាយកំណត់និងពិន្ទុបា​នដាក់យោងតាមភាពធ្ងន់ធ្ងរនេះ?</t>
  </si>
  <si>
    <t>តើរបាយការណ៍សវនកម្មដែលបានដាក់ជូនទៅប្រធានមន្ទីរពិសោធន៍សម្រាប់បកប្រែទៅក្នុងផែនការសកម្មភាព SMARTដើម្បីប្រាកដថាការកែតម្រូវ / ការដោះស្រាយនៃមិនប្រសើរទាំងឡាយបានកត់សម្គាល់?</t>
  </si>
  <si>
    <t>តើបានធ្វើផែនការសកម្មភាពដើម្បីដោះស្រាយ / កែតម្រូវភាពមិនប្រសើរទាំងឡាយដែលបានកំណត់ក្នុងសវនកម្មផ្ទៃក្នុងជាមួយសកម្មភាពកែប្រែ,ជំហានត្រូតពិនិត្យនិងសកម្មភាពបង្ការនៅពេលចាំបាច់និងអាចអនុវត្តបាន?</t>
  </si>
  <si>
    <t>តើការអនុវត្តន៍ផែការសកម្មភាពទាន់ពេលជាមួយសវនកម្មផ្ទៃក្នុងត្រូវបានត្រួតពិនិត្យ?</t>
  </si>
  <si>
    <t>តើរបាយការណ៍សវនកម្មផ្ទៃជាមួយនឹងផែនការសកម្មភាពរក្សាទុកនៅពេលដែលសកម្មភាពទាំងអស់ត្រូវបានបញ្ចប់?</t>
  </si>
  <si>
    <t>តើមាននីតិវិធីសម្រាប់ការរៀបចំផែនការ,ការធ្វើហើយនឹងដំណីរការសវនកម្មផ្ទៃក្នុងស្តង់ដារក្នុងSOPឫទេ?</t>
  </si>
  <si>
    <t>តើនីតិវិធីប្រតិបត្តិស្តង់ដាសម្រាប់ការអនុវត្តការត្រួតពិនិត្យមើលការគ្រប់គ្រងមានបច្ចុប្បន្នភាពដែរឬទេ?</t>
  </si>
  <si>
    <t>តើបុគ្គលិកត្រូវបានការពារពីបន្ទុកការងារលើសកម្រិត ដែរឬទេ?</t>
  </si>
  <si>
    <t>តើមន្ទីរពិសោធន៍មាននីតិវិធីប្រតិបត្តិស្តង់ដាសម្រាប់​ជួល​បុគ្គលិក​អចិន្ត្រៃយ៍​និងបណ្ដោះអាសន្នថ្មីៗ និងមានភ្ញៀវ ដែរឬទេ?</t>
  </si>
  <si>
    <t>តើនីតិវិធីសម្រាប់ជួលបុគ្គលបុគ្គលិកអចិន្ត្រៃយ៍និងបណ្ដោះអាសន្ននិងមានភ្ញៀវ បានចងក្រងជាឯកសារយ៉ាងត្រឹមត្រូវ ដែរឬទេ?</t>
  </si>
  <si>
    <t>តើនីតិវិធីសម្រាប់ជួលបុគ្គលិកអចិន្រ្តៃយ៍និងបណ្តោះអាសន្នថ្មីមានគ្រប់ផ្នែកដូចខាងក្រោមនេះ</t>
  </si>
  <si>
    <t>ទាក់ទងនឹងបុគ្គលិកអចិន្រ្តៃយ៍និងបណ្តោះអាសន្ន</t>
  </si>
  <si>
    <t>លក្ខណៈវិនិច្ឆ័យដែលអ្នកដាក់ពាក្យទាំងអស់ត្រូវតែគោរព</t>
  </si>
  <si>
    <t>នីតិវិធីសម្រាប់កំណត់លក្ខណៈវិនិច្ឆ័យជាក់លាក់សម្រាប់កន្លែងទំនេរ</t>
  </si>
  <si>
    <t>នីតិវិធីនៃការព្រាងនិងការបោះពុម្ពផ្សាយប៉ុស្តិ៍តួនាទីទំនេរ</t>
  </si>
  <si>
    <t>នីតិវិធីនៃការជ្រើសរើសបេក្ខជនសមស្របដោយផ្អែកលើលិខិតស្នើរសុំ</t>
  </si>
  <si>
    <t>នីតិវិធីនៃការអញ្ជើញអ្នកដាក់ពាក្យសុំនិងរៀបចំការសំភាសន៍</t>
  </si>
  <si>
    <t>នីតិវិធីនៃការជ្រើសរើសបេក្ខជនដោយផ្អែកលើការសំភាសន៍</t>
  </si>
  <si>
    <t>នីតិវិធីនៃការជ្រើសរើសបេក្ខជនសមស្របរួមត្រូវមាន:</t>
  </si>
  <si>
    <t>ការកំណត់ប្រាក់ខែ</t>
  </si>
  <si>
    <t>ការសរសេរការពិពណ៌នាការងារផ្ទាល់ខ្លួន</t>
  </si>
  <si>
    <t>កែប្រែតារាងបែងចែកភារកិច្ច</t>
  </si>
  <si>
    <t>បង្កើតឯកសារបុគ្គលិកផ្ទាល់ខ្លួន</t>
  </si>
  <si>
    <t>ធានាថាសមាជិកបុគ្គលិកត្រូវបានជម្រុញឱ្យបានត្រឹមត្រូវតាម SOP សម្រាប់ការណែនាំបុគ្គលិកថ្មី</t>
  </si>
  <si>
    <t>ផ្តល់ការបណ្តុះបណ្តាលដល់បុគ្គលិកថ្មី (ឧទាហរណ៍បណ្តុះបណ្តាលលើការគ្រប់គ្រងគុណភាពដើម្បីធានាថាបុគ្គលិកធ្វើការយល់ដឹងនិងធ្វើការតាមរយៈប្រព័ន្ធគ្រប់គ្រងគុណភាព) ។</t>
  </si>
  <si>
    <t>ទាក់ទងនឹងភ្ញៀវ:</t>
  </si>
  <si>
    <t>នីតិវិធីនៃការកំណត់អត្តសញ្ញាណនិងការកត់ត្រាពត៌មានលំអិតរបស់ភ្ញៀវ</t>
  </si>
  <si>
    <t>នីតិវិធីនៃការកត់ត្រាលម្អិតនៃដំណើរទស្សនកិច្ចនេះ</t>
  </si>
  <si>
    <t>នីតិវិធីនៃការអនុញ្ញាតអោយបុគ្គលិកចូលមន្ទីរពិសោធន៍ (រួម​ទាំង​ពិនិត្យ​​សុខភាពដើម្បីកំណត់ថាតើសុខភាពរបស់ភ្ញៀវអនុញ្ញាតឱ្យចូលកន្លែងវិភាគតេស្ត ដែរឬទេ) ។</t>
  </si>
  <si>
    <t>តើបុគ្គលិកទាំងអស់ត្រូវបានទទួលការបណ្ដុះបណ្ដាលសមរម្យចំពោះភារកិច្ចដែលបានអនុវត្ត ដែរឬទេ?</t>
  </si>
  <si>
    <t>តើតម្រូវការអប់រំត្រូវបានវាយតម្លៃជាប់លាប់ក្នុងការវាយតម្លៃសមត្ថភាពនិងការវាយតម្លៃការអនុវត្តដែរឬទេ?</t>
  </si>
  <si>
    <t>តើតម្រូវការការបណ្ដុះបណ្ដាលបានបំពេញដោយហ្មត់ចត់ ដែរឬទេ?</t>
  </si>
  <si>
    <t>តើមន្ទីរពិសោធន៍មានកម្មវិធីអប់រំបន្ត ដែរឬទេ?</t>
  </si>
  <si>
    <t>តើមានថវិការសម្រាប់កម្មវិធីអប់រំបន្ត ដែរឬទេ?</t>
  </si>
  <si>
    <t>តើកម្មវិធីអប់រំប​ន្តបានដាក់បញ្ចូលជាធាតុមួយនៅក្នុងផែនការប្រចាំឆ្នាំ ដែរឬទេ?</t>
  </si>
  <si>
    <t>តើបានសង្កេតមើលសមត្ថភាពបុគ្គលិកបច្ចេកទេសទាំងអស់ក្នុងការវិភាគតេស្តដោយត្រឹមត្រូវ ដោយអនុញ្ញាតឱ្យពួកគេវិភាគសំណាកវាយតម្លៃគុណភាពខាងក្រៅនិងការវាយតំលៃលទ្ធផល ដែរឬទេ?</t>
  </si>
  <si>
    <t>តើបុគ្គលិកមន្ទីរពិសោធន៍បានបណ្ដុះបណ្ដាលសមរម្យដើម្បីអនុវត្តការវិភាគ failure-mode-effect-analyses ដែរឬទេ?</t>
  </si>
  <si>
    <t>តើឯកសារផ្ទាល់ខ្លួនសម្រាប់បុគ្គលិកដែលបានចូលរួមបណ្ដុះបណ្ដាលវគ្គ failure-mode-effect-analyses បានធ្វើបច្ចុប្បន្នភាពបន្ទាប់ពីចប់វគ្គ ដែរឬទេ?</t>
  </si>
  <si>
    <t>តើឧបករណ៍បរិក្ខារដែលមានឥទ្ធិពលផ្ទាល់ទៅលទ្ធផលនៃការវិភាគតេស្តបានធ្វើអោយមានសុពលភាព ដែលឬទេ?</t>
  </si>
  <si>
    <t>តើការរកឃើញនៃការធ្វើសុពលភាព (ទាំងលើវិធីសាស្ត្រវិភាគតេស្តនិងឧបករណ៍បរិក្ខារ) បានរៀបចំជារបាយការណ៍សុពលភាព ដែរឬទេ?</t>
  </si>
  <si>
    <t>តើមាននីតិវិធីប្រតិបត្តិស្តង់ដាមួយដើម្បីធានាបានថា មន្ទីរពិសោធន៍កំណត់និងកែតម្រូវឥទ្ធិពលអវិជ្ជមានដោយសារឧបករណ៍បរិក្ខារវិភាគតេស្តមានកំហុស ដែរឬទេ?</t>
  </si>
  <si>
    <t>តើនីតិវិធីសម្រាប់កំណត់និងកែតម្រូវឥទ្ធិពលអវិជ្ជមានដោយសារឧបករណ៍បរិក្ខារមានកំហុសបានរៀបចំចងក្រងជាឯកសារនៅក្នុងនីតិវិធីប្រតិបត្តិស្តង់ដាមួយ ដែរឬទេ?</t>
  </si>
  <si>
    <t>កន្លងមកនៅពេលដែលឧបករណ៍បរិក្ខារប្រើប្រាស់ជាប្រចាំមានកំហុស តើមន្ទីរពិសោធន៍បានអនុវត្តនីតិវិធីសម្រាប់ការកំណត់និងកែតម្រូវឥទ្ធិពលអវិជ្ជមានដោយសារកំហុសរបស់ឧបករណ៍បរិក្ខារនោះដែរឬទេ?សាកសួរអោយបង្ហាញអំពីឧទាហរណ៍</t>
  </si>
  <si>
    <t>តើមន្ទីរពិសោធន៍មាននីតិវិធីប្រតិបត្តិស្តង់ដាមួយដែលគ្របដណ្ដប់គ្រប់នីតិវិធីសាមញ្ញៗដែលវាពិបាកឬមិនចាំបាច់អោយយើងត្រូវសរសេរនីតិវិធីប្រតិបត្តិស្តង់ដាដាច់ដោយឡែកពីគ្នា ដែរឬទេ ហើយនីតិវិធីទាំងនោះវាសំខាន់ចំពោះដំណើរការត្រឹមត្រូវរបស់មន្ទីរពិសោធន៍?</t>
  </si>
  <si>
    <t>តើមន្ទីរពិសោធន៍បានត្រួតពិនិត្យតាមដានមើលជាប្រចាំលើការដឹកជញ្ជូនវត្ថុវិភាគយ៉ាងត្រឹមត្រូវ ដោយឆែកមើលតាមលក្ខខ័ណ្ឌតម្រូវក្នុងនីតិវិធីប្រតិបត្តិស្តង់ដាសម្រាប់ការស្រង់វត្ថុវិភាគ (Sample Collection) ដែរឬទេ?</t>
  </si>
  <si>
    <t>ប្រសិនបើមានបញ្ហាកើតឡើងនៅក្នុងការដឹកជញ្ជូនសំណាក តើមន្ទីរពិសោធន៍ធ្វើការស៊ើបអង្កេតបញ្ហាទាំងនេះដើម្បីស្វែងរកមូលហេតុ ដែរឬទេ?</t>
  </si>
  <si>
    <t>ប្រសិនបើមានបញ្ហាកើតឡើងនៅក្នុងការដឹកជញ្ជូនសំណាក​ តើបានបំពេញទម្រង់ nonconformity ជាទៀងទាត់ ដែរឬទេ?</t>
  </si>
  <si>
    <t>តើសកម្មភាពកែតម្រូវ និង សកម្មភាពបង្ការបានអនុវត្តដើម្បីដោះស្រាយបញ្ហាក្នុងការដឹកជញ្ជូនសំណាក ដែរឬទេ?</t>
  </si>
  <si>
    <t>តើមន្ទីរពិសោធន៍បានធ្វើការវាយតម្លៃប្រសិទ្ធិភាពក្នុងការកែតម្រូវនិងបង្ការក្នុងការដោះស្រាយបញ្ហាលើការដឹកជញ្ជូនសំណាក ដែរឬទេ?</t>
  </si>
  <si>
    <t>តើមន្ទីរពិសោធន៍ត្រួតពិនិត្យដំណើរការអនុវត្តរបស់ខ្លួនបានត្រឹមត្រូវទាំងអស់ដោយប្រើសូចនករគុណភាព ដែរឬទេ?</t>
  </si>
  <si>
    <t>ពេលដែលមានការប្រែប្រួលភ្លាមៗចំពោះតម្លៃនៃសូចនករគុណភាព តើមន្ទីរពិសោធន៍បានធ្វើការកំណត់អត្តសញ្ញាណបញ្ហានិងបង្ការវាកុំឱ្យវាកើតឡើងវិញទៀត ដែរឬទេ?</t>
  </si>
  <si>
    <t>តើដែនកំណត់នៃភាពអាចទទួលយកបាន (limits of acceptability) បានកំណត់ឡើងសម្រាប់សូចនករគុណភាព(quality indicator)​ នីមួយៗដែរឬទេ?</t>
  </si>
  <si>
    <t>តើមានបានចាត់វិធានការដើម្បីធ្វើឱ្យដំណើរការមន្ទីរពិសោធន៍បានល្អប្រសើរដូចថា ដែនកំណត់នៃភាពអាចទទួលយកបានសម្រាប់សូចនករគុណភាពនីមួយៗ​គឺមិនត្រូវនៅក្រៅពីអ្វីដែលបានកំណត់ទេ?</t>
  </si>
  <si>
    <t>តើមានបុគ្គលិកជាក់លាក់បានចាត់តាំងសម្រាប់ការទាក់ទងទៅអតិថិជនដើម្បីធានាបាននូវទំនាក់ទំនងល្អនិងផ្ដល់ពត៌មានត្រឹមត្រូវ ដែរឬទេ?</t>
  </si>
  <si>
    <t>តើមានបុគ្គលិកជាក់លាក់បានចាត់តាំងសម្រាប់ការចូលរួមការប្រជុំវេជ្ជសាស្ត្រ (Clinical Rounds) ដែរឬទេ?</t>
  </si>
  <si>
    <t>តើបុគ្គលិកមន្ទីរពិសោធន៍ទាំងអស់បានចូលរួមការប្រជុំវេជ្ជសាស្ត្រ (Clinical Rounds)យ៉ាងហោចណាស់បានបួនដងក្នុងមួយឆ្នាំ ដែរឬទេ?</t>
  </si>
  <si>
    <t>តើការប្រជុំរវាងបុគ្គលិកមន្ទីរពិសោធន៍និងបុគ្គលិកមន្ទីរពេទ្យ(បុគ្គលិកថែទាំឬព្យាបាល) បានអនុវត្តយ៉ាងហោចណាស់បួនដងក្នុងមួយឆ្នាំ ដែរឬទេ?</t>
  </si>
  <si>
    <t>តើបានធ្វើកំណត់ហេតុកិច្ចប្រជុំរវាងបុគ្គលិកមន្ទីរពិសោធន៍និងបុគ្គលិកមន្ទីរពេទ្យ ដែរឬទេ?</t>
  </si>
  <si>
    <t>ប្រសិនបើមានចំនុចសកម្មភាពលេចឡើងពីកិច្ចប្រជុំរវាងបុគ្គលិកថែទំាឬព្យាបាលនិងបុគ្គលិកមន្ទីរពិសោធន៍ តើមានមតិឆ្លើយតបនៅកិច្ចប្រជុំបន្ទាប់ ដែរឬទេ?</t>
  </si>
  <si>
    <t>តើការវាយតម្លៃពីខាងក្រៅត្រូវបានអនុវត្តដើម្បីផ្ទៀងផ្ទាត់ការអនុវត្តចប់និងត្រឹមត្រូវលើប្រព័ន្ធគ្រប់គ្រងគុណភាពដោយអនុលោមតាម ISO 15189 មុនពេលមន្ទីរពិសោធន៍ដាក់ពាក្យសុំការទទួលស្គាល់គុណភាព ដែរឬទេ?</t>
  </si>
  <si>
    <t>តើផែនការសកម្មភាពត្រូវបានបង្កើតឡើងដើម្បីដោះស្រាយឬកែតម្រូវភាពមិនអនុលោមដែលបានរកឃើញពេលធ្វើសវនកម្មសាកល្បងខាងក្រៅជាមួយនឹងសកម្មភាពកែតម្រូវនិងជំហានត្រួតពិនិត្យនិងសកម្មភាពបង្ការពេលដែលចាំបាច់និងអាចធ្វើទៅបាន ដែរឬទេ?</t>
  </si>
  <si>
    <t>តើការអនុវត្តទាន់ពេលវេលានៃផែនការសកម្មភាពបន្ទាប់ពីសវនកម្មស្តីអំពីសវនកម្មខាងក្រៅត្រូវបានត្រួតពិនិត្យ ដែរឬទេ?</t>
  </si>
  <si>
    <t>តើរបាយការណ៍សវនកម្មនៃសវនកម្មសាកល្បងខាងក្រៅជាមួយផែនការសកម្មភាពដែលបានរក្សាទុកនៅពេលចំណុចសកម្មភាពទាំងអស់ត្រូវបានបញ្ចប់ ដែរឬទេ?</t>
  </si>
  <si>
    <t>តើមន្ទីរពិសោធន៍មាននីតិវិធីប្រតិបត្តិស្តង់ដាសម្រាប់ការគ្រប់គ្រងលើភាពមិនអនុលោម (Nonconformity Management) ដែលប្រាកដថាភាពមិនអនុលោម (nonconformities) ទាំងឡាយតែងតែត្រូវបានដោះស្រាយឬកែតម្រូវតានវិធីមួយដែលមានស្ដង់ដាជាមួយនិងសកម្មភាពកែតម្រូវនិងបង្ការនិងបើចាំបាច់ឬធ្វើបានមានទាំងដំណាក់កាលត្រូវត្រួតពិនិត្យផង ដែររឺទេ?</t>
  </si>
  <si>
    <t>តើ​មន្ទីរពិសោធន៍មាននីតិវិធីប្រតិបត្តិស្តង់ដាសម្រាប់ការដោះស្រាយនៃ​ការ​តវ៉ាបណ្តឹង ដែរឬទេ?</t>
  </si>
  <si>
    <t>តើបណ្តឹងត្រូវបានដោះស្រាយតាមវិធីស្តង់ដា ដែរឬទេ?</t>
  </si>
  <si>
    <t>តើអ្នកប្តឹងតវ៉ាត្រូវបានគេជូនដំណឹងអំពីដំណោះស្រាយដែលបាន​គេ​បង្កើតឡើងអាស្រ័យទៅពាក្យបណ្តឹងរបស់ពួកគេ ដែរឬទេ?</t>
  </si>
  <si>
    <t>តើមន្ទីរពិសោធន៍មាននិតិវិធីអំពីសកម្មភាពជាក់លាក់នៅក្នុងស្ថានភាពបន្ទាន់ ដែរឬទេ?</t>
  </si>
  <si>
    <t>តើមានឧបករណ៍ពន្លត់អគ្គិភ័យនៅនឹងកន្លែង ដែរឬទេ?</t>
  </si>
  <si>
    <t>តើមានគម្រោងការសម្រាប់ការជម្លៀសនៅនឹងកន្លែង ដែរឬទេ?</t>
  </si>
  <si>
    <t>តើផ្លូវសម្រាប់ការជម្លៀសចេញបានចង្អុលបង្ហាញ ដែរឬទេ?</t>
  </si>
  <si>
    <t>តើមានរបៀងនៃការរៀបចំសម្រាប់ស្ថានភាពបន្ទាន់ដោយរួមបញ្ចូលទាំងការបែងចែកតួនាទីនិងការទទួលខុសត្រូវសម្រាប់ ស្ថានភាពន្ទាន់ជាក់លាក់នានា ដែរឬទេ?</t>
  </si>
  <si>
    <t>តើមាននីតិវិធីនៅនឹងកន្លែងអំពីរបៀបដោះស្រាយស្ថានភាពបន្ទាន់ផ្សេងៗគ្នា ដែរឬទេ?</t>
  </si>
  <si>
    <t>តើ Have failure mode and effect analyses បានអនុវត្តចំពោះគ្រប់នីតិវិធីទូទៅទាំងអស់ក្នុងមន្ទីរពិសោធន៍ ដើម្បីកំណត់រកប្រភពសក្ដានុពលនៃភាពមិនអនុលោម ដែរឬទេ?</t>
  </si>
  <si>
    <t>មានវិធានការបង្ការវិធានការត្រួតពិនិត្យនិងសកម្មភាពកែតម្រូវត្រូវបានអនុវត្តត្រឹមត្រូវដើម្បីបង្ការនិងគ្រប់គ្រងភាពមិនត្រឹមត្រូវ?ពិនិត្យមើលរបាយការណ៍នៃការវិភាគប្រសិទ្ធិភាពភាពបរាជ័យនិងមើលថាតើរបៀបបរាជ័យត្រូវបានគេបង្ការនិងគ្រប់គ្រងបានដោយសកម្មភាពបង្ការវិធានការត្រួតពិនិត្យនិងសកម្មភាពកែតម្រូវក្នុងការអនុវត្ត។ ជាមួយនឹងការសមហេតុផលមានន័យថាការអនុវត្តសកម្មភាពបង្ការការគ្រប់គ្រងជំហាននិងសកម្មភាពកែតម្រូវទំងន់ឡើងទល់នឹងប្រូបាប៊ីលីតេនៃរបៀបបរាជ័យរួមជាមួយភាពធ្ងន់ធ្ងរនៃផលវិបាក។</t>
  </si>
  <si>
    <t>តើប្រសិទ្ធភាពនៃការជំហានត្រួតពិនិត្យនិងសកម្មភាពបង្ការនិងកែតម្រូវដែលបានអនុវត្តក្នុងនីតិវិធីទូទៅមន្ទីរពិសោធន៍តាម Failure-Mode-Effect-Analysis ត្រូវបានវាយតម្លៃ ដែរឬទេ?</t>
  </si>
  <si>
    <t>នៅពេលដែលជំហាននៃការត្រួតពិនិត្យនិងវិធានការបង្ការនិងកែតម្រូវនៃFailure-Mode-Effect-Analysis ហាក់ដូចជាគ្មានប្រសិទ្ធភាព តើពួកគេត្រូវបានជំនួសដោយសកម្មភាពដែលអាចធ្វើបានច្រើនជាងនេះ ដែរឬទេ?</t>
  </si>
  <si>
    <t>តើប្រសិទ្ធិភាពនិងលទ្ធភាពនៃជំហានត្រួតពិនិត្យនិងសកម្មភាពបង្ការឬកែតម្រូវដែលត្រូវបានធ្វើឱ្យប្រសើរឡើងដោយផ្អែកលើការធ្វើសវនកម្មលើកដំបូងត្រូវបានគេវាយតម្លៃនៅក្នុងសវនកម្មជាបន្តបន្ទាប់ទៀត ដែរឬទេ?</t>
  </si>
  <si>
    <t>បាទ/ចាស</t>
  </si>
  <si>
    <t>ទេ</t>
  </si>
  <si>
    <t>កំពុងបន្តដំណើរការ</t>
  </si>
  <si>
    <t>មិនអាចអនុវត្តបាន</t>
  </si>
  <si>
    <t>១.មានបញ្ជីមេរោគបង្កជំងឺដែលមន្ទីរពិសោធន៍ធ្វើការញឹកញាប់ជាមួយ និងរោគសញ្ញាជំងឺដែលបង្កឡើងដោយមេរោគទាំងនោះ។</t>
  </si>
  <si>
    <t>២. មានកំណត់ហេតុប្រជុំឬកំណត់ត្រាស្ដីពីការពិភាក្សាពន្យល់ពីរោគសញ្ញានៃជំងឺដែលបង្កឡើងដោយមេរោគដែលមានក្នុងបញ្ជី និងត្រុវធ្វើយ៉ាងណាពេលដែលមានរោគសញ្ញាទាំងនោះកើតឡើងលើបុគ្គលិក។</t>
  </si>
  <si>
    <t>៣. មានគោលនយោបាយដើម្បីឱ្យបុគ្គលិកបានទទួលការចាក់វ៉ាក់សាំង និងពិនិត្យសុខភាពជាប្រចាំដើម្បីរកមេរោគរបេង ។</t>
  </si>
  <si>
    <t>៤.​ មានលិខិតបញ្ជាក់ការចាក់វ៉ាក់សាំងការពារជំងឺរលាកថ្លើមប្រភេទបេ  ។</t>
  </si>
  <si>
    <t>១. មាននីតិវិធីប្រតិបត្តិស្តង់ដាសម្រាប់បុគ្គលិកត្រូវអនុវត្តពេលដែលពួកគាត់មានជំងឺដោយសារមេរោគក្នុងមន្ទីរពិសោធន៍ ដែលមានរួមទាំងឯកសារអំពី pre-exposure prophylaxis និង post-exposure prophylaxis។</t>
  </si>
  <si>
    <t>២. មានការដាក់បង្ហាញនូវតារាងលំហូរសកម្មភាពត្រូវអនុវត្ត នៅ​កន្លែង​ដែល​បុគ្គលិក​អាចមើល​ឃើញ​យ៉ាងងាយស្រួល។</t>
  </si>
  <si>
    <t>មានសញ្ញានៃក្រុមហានិភ័យនៅតាមបន្ទប់ពិសោធន៍នីមួយៗ</t>
  </si>
  <si>
    <t>១. មានគោលនយោបាយសវនកម្មផ្ទៃក្នុង (មាននៅក្នុងសៀវភៅណែនាំគុណភាព)</t>
  </si>
  <si>
    <t>២. មានកម្មវិធី/កាលវិភាគសវនកម្មផ្ទៃក្នុង (ប្រចាំត្រីមាស)</t>
  </si>
  <si>
    <t>៣. មានបញ្ជីផ្ទៀងផ្ទាត់ (Annex B of ISO 15190/ LQSI checklist)</t>
  </si>
  <si>
    <t>៤. មានអំពីកំណត់ហេតុអំពីការណែនាំបុគ្គលិកឱ្យយល់អំពីបញ្ជីផ្ទៀងផ្ទាត់</t>
  </si>
  <si>
    <t>៥. មានបញ្ជីបែងចែកតួនាទីនិងភារកិច្ចឱ្យបុគ្គលិកក្នុងការធ្វើសវនកម្មផ្ទៃក្នុង</t>
  </si>
  <si>
    <t>៦. ពិន្ទុនៃសវនកម្មផ្ទៃក្នុងដោយប្រើប្រាស់បញ្ជីផ្ទៀងផ្ទាត់ខាងលើ</t>
  </si>
  <si>
    <t>៧. មានសកម្មភាពកែតម្រូវ​ ។</t>
  </si>
  <si>
    <t>មានផែនការសកម្មភាពផ្អែកលើលទ្ធផលសវនកម្មផ្ទៃក្នុង</t>
  </si>
  <si>
    <t>មានផែនការសកម្មភាពដោយប្រើវិធីសាស្ត្រ SMART</t>
  </si>
  <si>
    <t>១. ភាគរយសម្រេចបានលើផែនការសកម្មភាព</t>
  </si>
  <si>
    <t>២. មានផែនការសកម្មភាពបន្ថែមសម្រាប់ជុំទីពីរ</t>
  </si>
  <si>
    <t>មានហត្ថលេខា និង​កាលបរិច្ឆេទរបស់ប្រធានមន្ទីរពិសោធន៍លើចំនុចសកម្មភាពនីមួយៗដែលបានបញ្ចប់</t>
  </si>
  <si>
    <t xml:space="preserve">មាន SOP សម្រាប់បែងចែកនិងចោលកាកសំណល់តាមប្រភេទផ្សេងៗក្នុងមន្ទីរពិសោធន៍ </t>
  </si>
  <si>
    <t>១. មានស្លាកសញ្ញាលើធុងសំរាម៖
​- សំណល់មិនឆ្លង
- សំណល់ឆ្លងរោគ និងមុតស្រួច
- សម្ភារៈកែវឆ្លងរោគដែលត្រូវប្រើឡើងវិញ
- សំណល់គីមី</t>
  </si>
  <si>
    <t xml:space="preserve">២. មានគំនូសតាងបែងចែកនិងចោលសំណល់ </t>
  </si>
  <si>
    <t>៣. បុគ្គលិកអាចពន្យល់ពីគំនូសតាងបែងចែកនិងចោលសំណល់</t>
  </si>
  <si>
    <t>ក្រសួងសុខាភិបាល?</t>
  </si>
  <si>
    <t>១. មានថង់សម្រាប់អូតូក្លាវ</t>
  </si>
  <si>
    <t>២. មានSOPសម្រាប់ប្រើប្រាស់អូតូក្លាវ</t>
  </si>
  <si>
    <t>៣. សំណល់ឆ្លងរោគរក្សាទុកក្នុងថង់អូតូក្លាវនៅទីកន្លែងមានសុវត្ថិភាព</t>
  </si>
  <si>
    <t>៤. សំណល់ឆ្លងរោគត្រូវបានអូតូក្លាវមុនចោលឬដុតក្នុងឡជានិច្ច</t>
  </si>
  <si>
    <t>១. មានឡដុតសំរាមហើយមានដំណើរការត្រឹមត្រូវ</t>
  </si>
  <si>
    <t>២. មានSOPសម្រាប់ដុតសំណល់ឆ្លងឱ្យបានត្រឹមត្រូវ</t>
  </si>
  <si>
    <t>៣. មានកំណត់ហេតុស្តីពីការបណ្តុះបណ្តាលបុគ្គលិកដែលត្រូវទទួលខុសត្រូវក្នុងការដុតសំណល់</t>
  </si>
  <si>
    <t>៤. មានហត្ថលេខារបស់បុគ្គលិកដែលត្រូវទទួលខុសត្រូវក្នុងការដុតសំណល់លើទម្រង់បានអាននិងបានយល់</t>
  </si>
  <si>
    <t>៥. សំណល់ឆ្លងរោគត្រូវបានដុតយ៉ាងត្រឹមត្រូវ</t>
  </si>
  <si>
    <t>១. រាល់សំណល់មុតស្រួចត្រូវបានរក្សាទុកក្នុងធុងសំណល់មុតស្រួចជានិច្ច</t>
  </si>
  <si>
    <t>២. ធុងសំណល់មុតស្រួចត្រូវបានអូតូក្លាវ</t>
  </si>
  <si>
    <t>៣. ធុងសំណល់មុតស្រួចត្រូវបានដុតក្នុងឡយ៉ាងត្រឹមត្រូវ</t>
  </si>
  <si>
    <t>១. កំណត់ហេតុប្រជុំ</t>
  </si>
  <si>
    <t>២. មិនមានសំណល់រាយប៉ាយជុំវិញឡដុតសំណល់</t>
  </si>
  <si>
    <t>៣. មាននីតិវិធីប្រតិបត្តិស្តង់ដា(SOP)ដែលបានបញ្ជាក់ថាមិនមានសំណល់រាយប៉ាយជុំវិញឡដុតសំណល់</t>
  </si>
  <si>
    <t>១. មានអូតូក្លាវអាចដំណើរការបាន</t>
  </si>
  <si>
    <t>២. ​មានធុងសំណល់សម្រាប់ដាក់សម្ភារៈកែវដែលឆ្លងមេរោគដែលត្រូវយកមកប្រើឡើងវិញ</t>
  </si>
  <si>
    <t>៣. សម្ភារៈកែវដែលឆ្លងមេរោគដែលត្រូវយកមកប្រើឡើងវិញបានអូតូក្លាវទៅតាមSOP</t>
  </si>
  <si>
    <t>១. មានធុងសំណល់គីមីជាមួយនឹងស្លាកសញ្ញាសម្គាល់ច្បាស់ៗលើធុងសំណល់គីមីនីមួយៗ</t>
  </si>
  <si>
    <t>២.​ មាននីតិវិធីប្រតិបត្តិស្តង់ដាសម្រាប់ការចោលសំណល់គីមី</t>
  </si>
  <si>
    <t>១. ប្រភេទផ្សេងៗនៃសំណល់គីមីត្រូវបានទុកក្នុងធុងសំណល់គីមីទៅតាមប្រភេទរបស់វា</t>
  </si>
  <si>
    <t>២.​ មានកន្លែងសម្រាប់កែច្នៃសំណល់គីមី</t>
  </si>
  <si>
    <t>មានធុងសំណល់ជីវសាស្ត្រ និងធុងសំណល់ធម្មតា ជាមួយនឹងស្លាកសញ្ញាច្បាស់ៗ</t>
  </si>
  <si>
    <t>១. មាន​នីតិវិធី​ប្រតិបត្តិស្តង់ដា​​សម្រាប់ការ​ចោលសម្រាមធម្មតាទៅតាមបទប្បញ្ញត្តិថ្នាក់​មូលដ្ឋាន​/​ថ្នាក់​ជាតិ</t>
  </si>
  <si>
    <t>២. មានទម្រង់បានអាននិងយល់ រួមទាំងហត្ថលេខារបស់បុគ្គលិក</t>
  </si>
  <si>
    <t>១. មានបញ្ជីរាយនាមនីតិវិធីសុវត្ថិភាពទាំងអស់ដែលចាំបាច់</t>
  </si>
  <si>
    <t>២. មានសៀវភៅណែនាំសុវត្ថិភាព</t>
  </si>
  <si>
    <t>៣. មានទម្រង់បានអាននិងយល់ រួមទាំងហត្ថលេខារបស់បុគ្គលិក</t>
  </si>
  <si>
    <t>មានសៀវភៅសុវត្ថិភាពជីវសាស្រ្តដែលមានរាល់ចំនុចចាំបាច់</t>
  </si>
  <si>
    <t>មានលក្ខខ័ណ្ឌសុវត្ថិភាពទូទៅសម្រាប់ធ្វើការនៅក្នុងមន្ទីរពិសោធន៍ជាមួយនឹងសំណាករបស់មនុស្សក្នុងសៀវភៅជីវសុវត្ថិភាព។</t>
  </si>
  <si>
    <t>មាននិតិវិធីបង្ការសុវត្ថិភាពក្នុងសៀវភៅជីវសុវត្ថិភាព។</t>
  </si>
  <si>
    <t>មាននីតិវិធីសម្រាប់ស្ថានភាពបន្ទាន់ក្នុងសៀវភៅជីវសុវត្ថិភាព។</t>
  </si>
  <si>
    <t>មានតារាងហត្ថលេខារបស់អ្នកសរសេរ អ្នកពិនិត្យឡើង វិញ និងប្រធានមន្ទីរពិសោធន៍នៅទំព័រមុខនៃរាល់នីតិវិធីនីមួយៗ។</t>
  </si>
  <si>
    <t>មានសៀវភៅជីវសុវត្ថិភាពនៅទីតាំងសមស្រប ដែលបុគ្គលិកទាំងអស់អាចរកមើលបានដោយងាយស្រួល</t>
  </si>
  <si>
    <t>មានទម្រង់បានអាននិងបានយល់និងហត្ថលេខាបុគ្គលិកលើទម្រង់នោះ។</t>
  </si>
  <si>
    <t>១. មានSOPអំពីរបៀបសម្អាតអគារមន្ទីរពិសោធន៍</t>
  </si>
  <si>
    <t>២. មានទម្រង់បានអាននិងបានយល់និងហត្ថលេខាបុគ្គលិកសម្រាប់នីតិវិធីប្រតិបត្តិស្តង់ដាស្ដីពីការសម្អាតអគារមន្ទីរពិសោធន៍។</t>
  </si>
  <si>
    <t>មានកាលវិភាគសម្រាប់ការសំអាតនៅលើជញ្ជាំងឬកន្លែងណាមួយ</t>
  </si>
  <si>
    <t xml:space="preserve">មាន Spill kits យ៉ាងហោចណាស់ឱ្យបានពីរ </t>
  </si>
  <si>
    <t>មានSOPសម្រាប់៖</t>
  </si>
  <si>
    <t>ការកំពប់សារធាតុឆ្លងរោគ (ក្រៅទូសុវត្ថិភាព)</t>
  </si>
  <si>
    <t>ការកំពប់សារធាតុឆ្លងរោគ (ក្នុងទូសុវត្ថិភាព)</t>
  </si>
  <si>
    <t>ការបែកទីបក្នុងប្រអប់បិទជិត (ប្រអប់សុវត្ថិភាព)</t>
  </si>
  <si>
    <t>ការកំពប់សារធាតុគីមី</t>
  </si>
  <si>
    <t>១. មានវគ្គបណ្តុះបណ្តាលលើការសង្រ្គោះបឋម</t>
  </si>
  <si>
    <t>២. លិខិតបញ្ជាក់ស្តីពីការបណ្តុះបណ្តាលលើវគ្គសង្រ្គោះបឋម</t>
  </si>
  <si>
    <t>មាន first aid kit(s) នៅទីតាំងដែលអាចងាយយកបាន</t>
  </si>
  <si>
    <t>១. មានលិខិតតែងតំាងសម្រាប់មន្រ្តីគុណភាព</t>
  </si>
  <si>
    <t>១. មានកំណត់ហេតុប្រជុំ</t>
  </si>
  <si>
    <t>មានផែនការសកម្មភាព​​ SMART</t>
  </si>
  <si>
    <t>មានក្រូណូផែនការសកម្មភាពមានរចនាសម្ព័ន្ធសមរម្យ ដែលក្នុងក្រូណូនេះចែកជាពីរផ្នែក (ផែនការសកម្មភាពដែលបានធ្វើរួចហើយរៀបដាក់ខាងក្រោយ និងសកម្មភាពដែលមិនទាន់ធ្វើហើយដាក់ខាងមុខ ដោយរៀបវាតាមលំដាប់លំដោយនៃកាលបរិច្ឆេទ)</t>
  </si>
  <si>
    <t>១. មានហត្ថលេខានិងកាលបរិច្ឆេទលើផែនការឬចំនុចសកម្មភាពណាដែលបានបញ្ចប់</t>
  </si>
  <si>
    <t>២. មានផែនការសកម្មភាពកែតម្រូវមួយទៀតចំពោះផែនការឬចំនុចសកម្មភាពណាដែលមិនទាន់បានបញ្ចប់ទាន់ពេល</t>
  </si>
  <si>
    <t>មានកាលវិភាគ និង​កំណត់ហេតុប្រជុំបុគ្គលិកប្រចាំសប្តាហ៍</t>
  </si>
  <si>
    <t>១. មានអ្នកកត់កំណត់ហេតុពេលប្រជុំ</t>
  </si>
  <si>
    <t>២. មានកំណត់ហេតុប្រជុំរបស់បុគ្គលិកជារៀងរាល់សប្តាហ៍</t>
  </si>
  <si>
    <t>មានកំណត់ហេតុប្រជុំរបស់បុគ្គលិកជារៀងរាល់សប្តាហ៍ដែលក្នុងនោះមានសេចក្តីសង្ខេបពីការពិភាក្សាក្នុងពេលប្រជុំ ចំនុចសកម្មភាពSMART និងបៀបវារៈ និងកាលបរិច្ឆេទសម្រាប់ការប្រជុំលើកក្រោយ</t>
  </si>
  <si>
    <t>មាន​ក្រូណូសម្រាប់ដាក់កំណត់ហេតុប្រជុំ​ហើយកំណត់ហេតុប្រជុំទាំងអស់ដាក់ទៅតាមកាលបរិច្ឆេទ</t>
  </si>
  <si>
    <t>មានមន្រ្តីជីវសុវត្ថិភាពនិងលិខិតបង្គាប់ការ</t>
  </si>
  <si>
    <t>មានតារាងពិពណ៌នាភារកិច្ចនិងការទទួលខុសត្រូវរបស់មន្រ្តីជីវសុវត្ថិភាព</t>
  </si>
  <si>
    <t>បុគ្គលិកទាំងអស់ដឹងថាអ្នកណាជាមន្រ្តីជីវសុវត្ថិភាព</t>
  </si>
  <si>
    <t>បុគ្គលិកទាំងអស់ដឹងពីមុខងាររបស់មន្រ្តីជីវសុវត្ថិភាព យ៉ាងហោចណាស់មុខងារសំខាន់ៗរបស់មន្រ្តីជីវសុវត្ថិភាព</t>
  </si>
  <si>
    <t>មានមន្រ្តីបរិក្ខារនិងតារាងពិពណ៌នាភារកិច្ចនិងការទទួលខុសត្រូវរបស់គាត់</t>
  </si>
  <si>
    <t>១. មន្ត្រីបរិក្ខារបានទទួលការបណ្តុះបណ្តាល</t>
  </si>
  <si>
    <t>មានការពិពណ៌នាការងារបុគ្គលិករបស់មន្ត្រីបរិក្ខារ</t>
  </si>
  <si>
    <t>មានមន្រ្តីស្តុកឬឃ្លាំង ជាមួយនឹងតារាងពិពណ៌នាភារកិច្ចនិងការទទួលខុសត្រូវរបស់គាត់</t>
  </si>
  <si>
    <t>បុគ្គលិកទាំងអស់ដឹងពីមុខងាររបស់មន្រ្តីស្តុក យ៉ាងហោចណាស់មុខងារសំខាន់ៗរបស់មន្រ្តីស្តុក</t>
  </si>
  <si>
    <t>បុគ្គលិកទាំងអស់ត្រូវបានប្រាប់អោយដឹងថាអ្នកណាជាមន្រ្តីស្តុក (មើលក្នុងកំណត់ត្រាឬកំណត់ហេតុប្រជុំ</t>
  </si>
  <si>
    <t>បុគ្គលិកទាំងអស់ដឹងពីភារកិច្ចនិងការទទួលខុសត្រូវរបស់មន្រ្តីស្តុក</t>
  </si>
  <si>
    <t>មាន​​តារាងរចនាសម្ព័ន្ធដែលបានបង្ហាញយ៉ាងច្បាស់ពីទីតំាងមន្ទីរពិសោធន៍ក្នុងមន្ទីរពេទ្យនៅក្នុងសៀវភៅគុណភាព</t>
  </si>
  <si>
    <t>មានតារាងរចនាសម្ព័ន្ធដែលបានបង្ហាញយ៉ាងច្បាស់ពីទីតំាងមន្ទីរពិសោធន៍ក្នុងមន្ទីរពេទ្យ ដែលមានចុះហត្ថលេខា និងកាលបរិច្ឆេទ របស់ប្រធានមន្ទីរពេទ្យ</t>
  </si>
  <si>
    <t>មានតារាងអង្គការលេខដែលមានបច្ចុប្បន្នភាពបង្ហាញអំពីមុខងារទាំងអស់នៅក្នុងមន្ទីរពិសោធន៍</t>
  </si>
  <si>
    <t>មានតារាងអង្គការលេខចុះហត្ថលេខាឬត្រានិងកាលបរិច្ឆេទដោយប្រធានមន្ទីរពិសោធន៍</t>
  </si>
  <si>
    <t>១. មានតារាងរចនាសម្ព័ន្ធនៅលើជញ្ជំាងមន្ទីរពិសោធន៏</t>
  </si>
  <si>
    <t>២.​ មានតារាងរចនាសម្ព័ន្ធនៅក្នុងសៀវភៅគុណភាព</t>
  </si>
  <si>
    <t>១.​ មានអត្ថបទសង្ខេប/បទបង្ហាញជាភាសាខ្មែរនូវ​សេចក្ដីផ្ដើមគុណភាពនិងការបោះពុម្ពដោយ​ Walters (2011)</t>
  </si>
  <si>
    <t>២.​ មានកំណត់ហេតុប្រជុំអំពីបទបង្ហាញខាងលើ (កំណត់ហេតុប្រជុំ)</t>
  </si>
  <si>
    <t>៣. មានលិខិតប្តេជ្ញាចិត្ត</t>
  </si>
  <si>
    <t>៤.​ មានលិខិតប្តេជ្ញាចិត្តក្នុងសៀវភៅគុណភាព</t>
  </si>
  <si>
    <t>មានលិខិតបញ្ជាក់ការបណ្តុះបណ្តាលក្នុងក្រូណូឯកសារផ្ទាល់ខ្លួនបុគ្គលិក</t>
  </si>
  <si>
    <t>១. មាន​ច្បាប់ចម្លងវិញ្ញាបនបត្រត្រូវបានទុកនៅក្នុងឯកសារផ្ទាល់ខ្លួនបុគ្គលិក</t>
  </si>
  <si>
    <t xml:space="preserve">១. មាន Authorization Matrix </t>
  </si>
  <si>
    <t>មានហត្ថលេខានិងកាលបរិច្ឆេទលើ Authorization Matrix ដោយប្រធានមន្ទីរពិសោធន៍</t>
  </si>
  <si>
    <t>មានAuthorization Matrix នៅក្នុងក្រូណូអង្គភាពមន្ទីរពិសោធន៍ (អាចនៅលើក្តារខៀនព័ត៌មាន?)</t>
  </si>
  <si>
    <t>បុគ្គលិកទាំងអស់បានដឹងនិងចុះហត្ថលេខាលើ Authorization Matrix (មានកំណត់ហេតុប្រជុំ)</t>
  </si>
  <si>
    <t>មានការពិពណ៌នាការងារសម្រាប់តួនាទីនិមួយៗដោយរួមមានភារកិច្ច ទំនួលខុសត្រូវ និងសិទ្ធិ នៅក្នុង Folder Organizationដូចជា៖
   ​ 1. Laboratory Manager
    2. Quality Officer
    3. Biosafety Officer
    4. Equipment Officer
    5. Laboratory Technologist
    6. Internal Auditor
    7. Secretariat
    8. Stock officer
    9. Occupational Health ...etc.</t>
  </si>
  <si>
    <t>១. មានតារាងពិពណ៌នាការងាររបស់បុគ្គលិកម្នាក់ៗរក្សាទុកក្នុងក្រូណូឯកសារផ្ទាល់ខ្លួនបុគ្គលិក</t>
  </si>
  <si>
    <t>មានតារាងពិព៌ណនាការងារទាំងអស់ (ពិពណ៌នាការងារលើតួនាទីនិងពិពណ៌នាការងាររបស់បុគ្គលិកម្នាក់ៗ)ដែលមានបច្ចុប្បន្នភាព</t>
  </si>
  <si>
    <t xml:space="preserve">តារាងពិព៌ណនាការងាររបស់បុគ្គលិកម្នាក់ៗបានរក្សាទុកតាមលំដាប់លំដោយនៅក្នុងក្រុណូឯកសារផ្ទាល់ខ្លួនបុគ្គលិក </t>
  </si>
  <si>
    <t>១. មានច្បាប់ចម្លងសញ្ញាប័ត្រ/វិញ្ញាបនប័ត្រ របស់បុគ្គលិកហើយទុកវាក្នុងឯកសារផ្ទាល់ខ្លួនបុគ្គលិក ។</t>
  </si>
  <si>
    <t>២. មានរបាយការណ៏ការវាយតម្លៃសមត្ថភាពបុគ្គលិកនិងផែនការសម្រាប់បណ្តុះបណ្តាលបន្ថែមដល់បុគ្គលិក (នឹងធ្វើនៅដំណាក់កាលទីពីរ)</t>
  </si>
  <si>
    <t>មានបញ្ជីសារពើភ័ណ្ឌសម្រាប់បរិក្ខារទាំងអស់</t>
  </si>
  <si>
    <t>១. មាន preventive maintenance log</t>
  </si>
  <si>
    <t>២. មានកិច្ចសន្យាជាមួយអ្នកផ្គត់ផ្គង់/ក្រុមហ៊ុនផលិតដើម្បីសេវាកម្មថែទាំជាទៀងទាត់</t>
  </si>
  <si>
    <t>៣. មាន equipment corrective action log</t>
  </si>
  <si>
    <t>១. មានបញ្ជីរាយមុខគ្រឿងបន្លាស់ចំាបាច់សម្រាប់បរិក្ខារ</t>
  </si>
  <si>
    <t>២. មានគ្រឿងបន្លាស់ចំាបាច់សម្រាប់បរិក្ខារ</t>
  </si>
  <si>
    <t>មាននីតិវិធីប្រតិបត្តិស្តង់ដាសម្រាប់បរិក្ខារចាំបាច់ទាំងអស់ដូចជា៖
- BSC
- Centrifuge
- Spectrophotometer
- Blood count analyzer
- Incubator
- Freezer
- ...etc.</t>
  </si>
  <si>
    <t>មាននីតិវិធីប្រតិបត្តិស្តង់ដាសំរាប់បរិក្ខារនៅទីតាំងជិតបរិក្ខារ  ដែលបុគ្គលិកទាំងអស់អាចចូលមើលបាន</t>
  </si>
  <si>
    <t>១. មានសលាកប័ត្រឃ្លាំងគ្រប់សម្ភារៈ/ប្រតិករក្នុង Folder "Stock Inventory Register"</t>
  </si>
  <si>
    <t>២. មានសលាកប័ត្រឃ្លាំងមានបច្ចុប្បន្នភាព</t>
  </si>
  <si>
    <t>៣. មានកំណត់ហេតុប្រជុំ</t>
  </si>
  <si>
    <t>ចំនួនក្នុងបញ្ជីស្តុកនិងចំនួនស្តុកជាក់ស្តែងស៊ីគ្នា</t>
  </si>
  <si>
    <t>១. មាននីតិវិធីក្នុងការយកសម្ភារៈ/ប្រតិករពីស្តុកមកប្រើ</t>
  </si>
  <si>
    <t>២. មានទម្រង់បានអាននិងបានយល់</t>
  </si>
  <si>
    <t>មានប័ណ្ណស្នើសុំវិភាគដែលមានព័ត៌មានលម្អិតទាំងអស់</t>
  </si>
  <si>
    <t>មានប័ណ្ណស្នើសុំវិភាគដែលបានបោះពុម្ពច្បាស់ៗ</t>
  </si>
  <si>
    <t>មានកំណត់ហេតុប្រជុំ</t>
  </si>
  <si>
    <t>១. មានតារាងធ្វើតេស្តទាំងអស់</t>
  </si>
  <si>
    <t>២. មាន SOPs សម្រាប់តេស្តទាំងអស់</t>
  </si>
  <si>
    <t>៣. មានទម្រង់បានអាននិងបានយល់</t>
  </si>
  <si>
    <t>១. មាននីតិវិធីប្រតិបត្តិស្តង់ដាមេសម្រាប់ការសរសេរនីតិវិធីប្រតិបត្តិស្តង់ដាផ្សេងទៀត (Master SOP)</t>
  </si>
  <si>
    <t>២. មានក្រូណូមួយដាក់ស្លាក " Procedure SOP" និងមាន SOP​ មេក្នុងនោះ</t>
  </si>
  <si>
    <t xml:space="preserve">មានបន្ទប់ដំណើរការ/តំបន់ដាច់ដោយឡែកពីគ្នា:
1. បន្ទប់ពិសោធន៍វិភាគទូទៅ(hem, bio, sero / Immuno)
</t>
  </si>
  <si>
    <t xml:space="preserve">2. បន្ទប់មីក្រូទស្សន៍របេង </t>
  </si>
  <si>
    <t>3. បន្ទប់បណ្តុះរបេង</t>
  </si>
  <si>
    <t>4. បន្ទប់ធ្វើតេស្តសិក្សារកភាពស៊ាំថ្នាំរបស់មេរោគរបេង</t>
  </si>
  <si>
    <t>5. បន្ទប់មីក្រូសាស្ត្រ</t>
  </si>
  <si>
    <t xml:space="preserve">6. បន្ទប់រៀបចំថ្នាលបណ្តុះ </t>
  </si>
  <si>
    <t>7. បន្ទប់អូតូក្លាវ​ និងគ្រឿងកញ្ចក់</t>
  </si>
  <si>
    <t>8. កន្លែងសម្រាប់ទុកសម្លៀកបំពាក់, របស់របរផ្ទាល់ខ្លួននិងឧបករណ៍ការពារផ្ទាល់ខ្លួន</t>
  </si>
  <si>
    <t>មានបន្ទប់លាងសំអាតសម្ភារៈកែវ /ឧបករណ៍មន្ទីរពិសោធន៏ដាច់ដោយទ្បែកពីបន្ទប់មន្ទីរពិសោធន៍។</t>
  </si>
  <si>
    <t>1. មានប្លង់កម្រាលប្រសិទ្ធភាពការងារនៅក្នុងFolder "Organization" (ដ្យាក្រាម spaghetti)</t>
  </si>
  <si>
    <t>2. មន្ទីរពិសោធន៏មានលំហូរការងារផ្ទាល់តែមួយ ។</t>
  </si>
  <si>
    <t>មានបន្ទប់ការិយាល័យដាច់ដោយឡែក​ពីបន្ទប់ពិសោធន៍។</t>
  </si>
  <si>
    <t>មានបន្ទប់មួយជាកន្លែងដែលបុគ្គលិកអាចសំរាក / អាហារថ្ងៃត្រង់ (មិនមែននៅក្នុងបន្ទប់មន្ទីរពិសោធន៍!) ។</t>
  </si>
  <si>
    <t>មានប្រព័ន្ធទូរស័ព្ទ / intercom នៅក្នុងបន្ទប់ដែលជាកន្លែងចាំបាច់ ។</t>
  </si>
  <si>
    <t>មានលេខទូរស័ព្ទអាសន្ន (ភ្លើង, ប៉ូលីស, ទ្បានពេទ្យ ។ល។)​ នៅលើជញ្ចំាងជិតប្រព័ន្ធទំនាក់ទំនង ។</t>
  </si>
  <si>
    <t>មានសញ្ញាបញ្ជាក់ថាទូរស័ព្ទដៃត្រូវបានហាមឃាត់នៅក្នុងបន្ទប់ពិសោធន៍។</t>
  </si>
  <si>
    <t>1. មានបញ្ជីបរិក្ខារដែលគួរត្រូវភ្ជាប់ទៅនឹងម៉ាស៊ីនភ្លើង។</t>
  </si>
  <si>
    <t>2. មានបញ្ជីបរិក្ខារដែលគួរតែភ្ជាប់ទៅនឹង UPS ។</t>
  </si>
  <si>
    <t>3. មានបញ្ជីបរិក្ខារដែលគួរតែភ្ជាប់ទៅជាមួយនិងvoltage regulator/stabilizer ។</t>
  </si>
  <si>
    <t>ឧបករណ៍បរិក្ខារចាំបាច់ទាំងអស់ត្រូវបានតភ្ជាប់ទៅម៉ាស៊ីនភ្លើង, UPS និង voltage stabilizer</t>
  </si>
  <si>
    <t>មានសូចនាករដែលមើលឃើញសម្រាប់ចរន្តខ្យល់ដោយផ្ទាល់នៅក្នុងបន្ទប់ពិសោធន៍ / ប៉ាយ៉ាស់ / BSC ដែលកន្លែងធ្វើការជាមួយមេរោគបង្កជំងឺតាមខ្យល់ ។</t>
  </si>
  <si>
    <t>មាន "បញ្ជីសម្ភារៈគ្រោះថ្នាក់" ។</t>
  </si>
  <si>
    <t>មានបច្ចុបន្បភាពបញ្ជីសម្ភារៈគ្រោះថ្នាក់</t>
  </si>
  <si>
    <t>1. មានfolder MSDS ជាមួយសន្លឹកMSDS</t>
  </si>
  <si>
    <t>2. មានកំណត់ហេតុប្រជុំ</t>
  </si>
  <si>
    <t>មានសន្លឹកតាមដាន, ដែលមានរួមបញ្ចូលទំាងចន្លោះពេលសំខាន់, សំរាប់:
◦សីតុណ្ហភាពទូបណ្តុះ</t>
  </si>
  <si>
    <t>◦សីតុណ្ហភាពទូទឹកកកនិងទូក្លាសេ</t>
  </si>
  <si>
    <t>◦សីតុណ្ហាភាពបរិយាកាស</t>
  </si>
  <si>
    <t>◦ភាពខុសគ្នាសម្ពាធបរិយាកាសរវាងមន្ទីរពិសោធន៏និងបរិយាកាសខាងក្រៅ (ក្នុងករណីដែលប្រព័ន្ធសម្ពាធអវិជ្ជមានគឺនៅនឹងងកន្លែង)</t>
  </si>
  <si>
    <t>◦ឧបករណ៏វាស់វែង។</t>
  </si>
  <si>
    <t xml:space="preserve"> 1. មានប៉ារ៉ាម៉ែត្រនិមួយៗដែលត្រូវតាមដាន (ប្រចាំថ្ងៃ/សប្តាហ៍/ប្រចាំខែ) ។</t>
  </si>
  <si>
    <t>2. មានអ្នកទទួលខុសត្រូវសម្រាប់ការតាមដានប៉ារ៉ាម៉ែត្រទាំងនោះ ។</t>
  </si>
  <si>
    <t>3. ប៉ារ៉ាម៉ែត្រទាំងនេះត្រូវពិនិត្យឡើងវិញនិងចុះហត្ថលេខាជារៀងរាល់ខែដោយប្រធានមន្ទីរពិសោធន៍ឬមន្ត្រីគុណភាព</t>
  </si>
  <si>
    <t>4. មានការកែតម្រូវនិងចងក្រងជាឯកសារទុក ។</t>
  </si>
  <si>
    <t>Logsheet និមួយៗត្រូវបានបំពេញទៅតាមតម្រូវការរបស់template</t>
  </si>
  <si>
    <t>1. មានlogsheetនៅលើជញ្ជំាងឬនៅជិតឬភ្ចាប់ជាមួយនឹងបរិក្ខារ</t>
  </si>
  <si>
    <t>2. មានfolder ដើម្បីរក្សាទុកlogsheet ចាស់ៗ</t>
  </si>
  <si>
    <t>មានលិខិតតែងតំាងមន្រ្តីគុណភាព</t>
  </si>
  <si>
    <t>មានអង្គការលេខមួយដែលមានមុខតំណែងមន្ត្រីគុណភាព</t>
  </si>
  <si>
    <t>មានពិពណ៌នាការងារសម្រាប់មន្ត្រីគុណភាព</t>
  </si>
  <si>
    <t>មានតួនាទីរបស់មន្ត្រីគុណភាពក្នុងអូតូរ៉ាយសេសិនម៉ាទ្រីស</t>
  </si>
  <si>
    <t>មានបុគ្គលិកផ្សេងទៀតទទួលខុសត្រូវតំណែងអតីតទីតាំងមន្រ្តីគុណភាពបើចាំបាច់។</t>
  </si>
  <si>
    <t>មានកាលវិភាគការងារធម្មតាប្រចំាថ្ងៃ</t>
  </si>
  <si>
    <t>1. កាលវិភាគការងារធម្មតាប្រចាំថ្ងៃ (Duty Roster)គីនៅទីតាំងមើលឃើញមួយដែលបុគ្គលិកទាំងអស់អាចចូលមើលបាន</t>
  </si>
  <si>
    <t>2. មានfolderរក្សាទុកduty rosterចាស់ៗ</t>
  </si>
  <si>
    <t>មានបច្ចុបន្បគំនូសតាងភាពអង្គការលេខ</t>
  </si>
  <si>
    <t>មានហត្ថលេខាថ្ងៃខែរបស់ប្រធានមន្ទីរពិសោធន៏លើគំនូសតាងបច្ចុបន្បភាពអង្គការលេខ</t>
  </si>
  <si>
    <t>មាននីតិវិធីប្រត្តិបត្តិស្តង់ដាសម្រាប់ការវាយតម្លៃសមត្ថភាពបុគ្គលិក ។</t>
  </si>
  <si>
    <t>បុគ្គលិកទំាងអស់ត្រូវបានវាយតម្លៃសមត្ថភាពហើយមានទម្រង់វាយតម្លៃឬChecklist</t>
  </si>
  <si>
    <t>មានរបាយការណ៏វាយតម្លៃសមត្ថភាពបុគ្គលិកនៅក្នុងក្រូណូឯកសារបុគ្គលិក</t>
  </si>
  <si>
    <t>មានសកម្មភាពកែតម្រូវនៅក្នុងរបាយការណ៍នៃការវាយតម្លៃសមត្ថភាព។</t>
  </si>
  <si>
    <t>មានបញ្ជីផ្ទៀងផ្ទាត់វាយតម្លៃសមត្ថភាពនិងរបាយការណ៍ក្នុងឯកសារបុគ្គលិក</t>
  </si>
  <si>
    <t>បុគ្គលិកត្រូវបានបណ្តុះបណ្តាលដោយយោងទៅតាមការរកឃើញពីការវាយតម្លៃសមត្ថភាព</t>
  </si>
  <si>
    <t>មានរបាយការណ៏នៃការវាយតម្លៃសមត្ថភាពប្រធានន្ទីរពិសោធន៍ ។</t>
  </si>
  <si>
    <t>មានកម្មវិធីកម្មវិធីកម្មវិធីណែនាំនានាដល់បុគ្គលិកចូលថ្មីក្នុងសៀវភៅគុណភាព</t>
  </si>
  <si>
    <t>មាននីតិវិធីប្រត្តិបត្តិស្តង់ដា(SOP)​សម្រាប់​​ណែនាំនានាដល់បុគ្គលិកចូលថ្មី ។</t>
  </si>
  <si>
    <t>រក្សាទុកបញ្ជីផ្ទៀងផ្ទាត់ណែនាំតម្រង់ទិសបុគ្គលិកថ្មីដែលបានបំពេញរួចនៅក្នុងឯកសារផ្ទាល់ខ្លួនរបស់បុគ្គលិកថ្មី</t>
  </si>
  <si>
    <t xml:space="preserve"> 1. មាននីតិវិធីប្រតិ្តបត្តិស្តង់ដាសម្រាប់ការវាយតម្លៃលើការបំពេញការងារ។</t>
  </si>
  <si>
    <t>2. ការវាយតម្លៃលើការបំពេញការងាររបស់បុគ្គលិកទាំងអស់ត្រូវបានធ្វើ។</t>
  </si>
  <si>
    <t>3. មានកំណត់ត្រាការរកឃើញពីការវាយតម្លៃការបំពេញការងាររបស់បុគ្គលិក</t>
  </si>
  <si>
    <t>4. មានរបាយការណ៍អំពីការវាយតម្លៃនេះនិងសេចក្ដីសន្និដ្ឋានអំពីការរកឃើញនានា។</t>
  </si>
  <si>
    <t>5. មានតម្រូវការបណ្តុះបណ្តាលដែលត្រូវបានរកឃើញនៅក្នុងរបាយការណ៍ ។</t>
  </si>
  <si>
    <t>6. មានរបាយការណ៍នៃការវាយតម្លៃការបំពេញការងារនៅក្នុងឯកសារផ្ទាល់ខ្លួនរបស់បុគ្គលិក ។</t>
  </si>
  <si>
    <t>1. មានកំណត់ហេតុការពិភាក្សាការរកឃើញនៃការវាយតម្លៃលើការងារជាមួយនឹងបុគ្គលិកដែលត្រូវបានវាយតម្លែ</t>
  </si>
  <si>
    <t>2. មានកំណត់ហេតុមូលហេតុឬសគល់</t>
  </si>
  <si>
    <t>មានបច្ចុបន្បភាពឯកសារផ្ទាល់ខ្លួនសម្រាប់បុគ្គលិកនិមួយៗ</t>
  </si>
  <si>
    <t>មានឯកសារផ្ទាល់ខ្លួនបុគ្គលិកដែលមានធាតុចាំបាច់ទាំងអស់</t>
  </si>
  <si>
    <t>ឯកសារផ្ទាល់ខ្លួនរបស់បុគ្គលិកត្រូវបានរៀបចំមានរបៀបរៀបរយ</t>
  </si>
  <si>
    <t>Folderឯកសារបុគ្គលិកត្រូវបានរក្សាទុកនៅក្នុងទូចាក់សោមួយដែលអាចចូលទៅដំណើរការបានតែប្រធានមន្ទីរពិសោធន៏​និងស្មៀន</t>
  </si>
  <si>
    <t>មាននីតិវិធីប្រតិបត្តិស្តង់ដាសម្រាប់លទ្ធកម្មនិងការទទួលបរិក្ខារថ្មី ដែលរួមបញ្ចូលលក្ខខ័ណ្ឌទទួលយកនិងការបដិសេធការផ្ដល់ជំនួយបរិក្ខារ</t>
  </si>
  <si>
    <t>នីតិវិធីប្រត្តិបត្តិស្តង់ដា (SOP) សម្រាប់លទ្ធកម្មនិងការទទួលបរិក្ខារត្រូវបានរក្សាទុកនៅកន្លែងសមស្របមួយដែលបុគ្គលិកទាំងអស់អាចចូលដំណើរការបាន</t>
  </si>
  <si>
    <t>មានហត្ថលេខានិងកាលបរិច្ឆេទរបស់បុគ្គលិកត្រួតពិនិត្យនិងផ្ទៀងផ្ទាត់លើនីតិវិធីប្រតិ្តបត្តិស្តង់ដា (SOP)សម្រាប់លទ្ធកម្មនិងការទទួលបរិក្ខារ ។</t>
  </si>
  <si>
    <t>មានហត្ថលេខានិងកាលបរិច្ឆេទរបស់ប្រធានមន្ទីរពិសោធន៏លើនីតិវិធីប្រត្តិបត្តិស្តង់ដា (SOP)លទ្ធកម្មនិងការទទួលបរិក្ខារ</t>
  </si>
  <si>
    <t>មានហត្ថលេខារបស់បុគ្គលិកទាំងអស់នៅលើទំរង់បានអាននិងយល់</t>
  </si>
  <si>
    <t xml:space="preserve">មានស្លាកបរិក្ខារទាំងអស់នៅក្នុងមន្ទីរពិសោធន៍ជាមួយនឹង: 
1. លេខកូដបរិក្ខារ </t>
  </si>
  <si>
    <t>  2. កាលបរិច្ឆេទនៃការចូលសឺវីសចុងក្រោយ / ការក្រិតខ្នាត​ (បន្តរាល់ពេលដែលបរិក្ខារនិមួយៗបានចូលសឺវីស) ។</t>
  </si>
  <si>
    <t>  3. កាលបរិច្ឆេទនៃការចូលសឺរីសលើក្រោយ / ការក្រិតខ្នាត (បន្តរាល់ពេលដែលបរិក្ខារនិមួយៗបានសឺវីស) ។</t>
  </si>
  <si>
    <t>ស្លាកបរិក្ខារត្រូវបានអ៊ុតដើម្បីទប់ទល់នឹងសារធាតុរាវ, សារធាតុគីមី, ពន្លឺ, និងកត្តាផ្សេងទៀតជារៀងរាល់ថ្ងៃដែលបណ្តាលឱ្យសឹកនិងការរហែកស្លាក</t>
  </si>
  <si>
    <t>មានបច្ចុបន្បភាពបញ្ជីបរិក្ខារ (មើលtemplateនៅលើគេហទំព័រ LQSI) ដែលមាន:
1. បុគ្គលដែលទទួលខុសត្រូវចំពោះបរិក្ខារ (ជាប្រធានផ្នែក, ឧទាហរណ៏)</t>
  </si>
  <si>
    <t>2. ចារឈ្មោះនៃអ្នកដែលបានអនុញ្ញាតឱ្យប្រើប្រាស់បរិក្ខារ</t>
  </si>
  <si>
    <t>មានរបាយការណ៍បណ្តុះបណ្តាលជាមួយនឹងរបៀបវារៈ សន្លឹកកំណត់ហេតុវត្តមាន ។</t>
  </si>
  <si>
    <t>មានសន្លឹកកំណត់ហេតុថែទំាបរិក្ខារនិមួយៗនៅក្នុង"folderរក្សាទុកឯកសារបរិក្ខារ"។</t>
  </si>
  <si>
    <t>មាន "សន្លឹកកំណត់ហេតុប្រើប្រាស់បរិក្ខារ " សម្រាប់បរិក្ខារនានា (ប្រើ LQSI template)</t>
  </si>
  <si>
    <t>មានកំណត់ហេតុប្រជុំបុគ្គលិក</t>
  </si>
  <si>
    <t>1. មានសន្លឹកកំណត់ហេតុប្រើប្រាស់នៅជិតបរិក្ខារ</t>
  </si>
  <si>
    <t>2. មានសន្លឹកកំណត់ហេតុបំពេញរួចហើយនៅក្នុង "folderរក្សាទុកឯកសារបរិក្ខារ" ។</t>
  </si>
  <si>
    <t>មានសន្លឹកកំណត់ហេតុថែទំានៅក្នុង "folderរក្សាទុកឯកសារបរិក្ខារ" ។</t>
  </si>
  <si>
    <t>មានfolderរក្សាទុកឯកសារបរិក្ខារដែលមាន:
1.ទំព័រអត្តសញ្ញាណ បរិក្ខារ (បញ្ជីនៃមាតិកា)</t>
  </si>
  <si>
    <t>2. បញ្ជីបរិក្ខារ</t>
  </si>
  <si>
    <t>3. សន្លឹកកំណត់ហេតុថែទាំ (ពីអ្នកផ្គត់ផ្គង់)</t>
  </si>
  <si>
    <t>4. ទម្រង់ការថែទាំ (ការថែទាំបង្ការ / ប្រចាំថ្ងៃ) / ទម្រង់ក្រិតខ្នាត</t>
  </si>
  <si>
    <t>5. សន្លឹកកំណត់ហេតុការប្រើប្រាស់ / សៀវភៅកំណត់ហេតុដែលបានបំពេញរួច</t>
  </si>
  <si>
    <t>6. សេចក្តីណែនាំរបស់ក្រុមហ៊ុនផលិត</t>
  </si>
  <si>
    <t>7. បញ្ជីឈ្មោះគ្រឿងបន្លាស់</t>
  </si>
  <si>
    <t>8. របាយការណ៍សុពលភាព (នឹងត្រូវបានបង្កើតក្នុងដំណាក់កាលទី 4)</t>
  </si>
  <si>
    <t>មាន Bench Aids ប្រើសម្រាប់បរិក្ខារនានាក្នុងការអនុលោមតាម SOPs សម្រាប់បរិក្ខារ</t>
  </si>
  <si>
    <t>មានឯកសារសម្រាប់ការថែទំាបរិក្ខារ (ប្រចាំ ថ្ងៃ/សប្តាហ៍/ប្រចាំខែ) និងក្រិតខ្នាតនៅក្នុងក្រូណូ "Equipment Archive folder" ។</t>
  </si>
  <si>
    <t>1. មានផែនការអំពីថវិកាជាមធ្យមសម្រាប់ការថែទាំនិងការក្រិតខ្នាតបរិក្ខារ ។</t>
  </si>
  <si>
    <t>2. មានផែនការអំពីថវិកាជាមធ្យមសម្រាប់ការបណ្តុះបណ្តាលបុគ្គលិកលើការថែទាំនិងការក្រិតខ្នាតបរិក្ខារនៅនឹងកន្លែង។</t>
  </si>
  <si>
    <t>គម្រោងថវិកាប្រចាំឆ្នាំសម្រាប់ការថែទាំបរិក្ខារនិងក្រិតខ្នាតដាក់ជូនទៅឱ្យរដ្ឋបាលមន្ទីរពេទ្យ</t>
  </si>
  <si>
    <t>មានគម្រោងថវិកាប្រចាំឆ្នាំសម្រាប់ការបណ្តុះបណ្តាលបុគ្គលិកលើការថែទាំនិងក្រិតខ្នាតបរិក្ខារនៅនឹងកន្លែងទៅរដ្ឋបាលមន្ទីរពេទ្យ</t>
  </si>
  <si>
    <t>1. មានគម្រោងថវិកាសម្រាប់ការថែទាំនិងការក្រិតខ្នាតបរិក្ខារទំាងអស់នៅក្នុងម.ពិ ។</t>
  </si>
  <si>
    <t>2. មានកាលវិភាគប្រចាំឆ្នាំសម្រាប់ការថែទាំនិងក្រិតខ្នាត យោងតាមផែនការ ។</t>
  </si>
  <si>
    <t>មានរបាយការណ៍ការថែទំានិងការក្រិតខ្នាតទៅតាមកាលវិភាគប្រចំាឆ្នំា</t>
  </si>
  <si>
    <t>មាននីតិវិធីប្រតិបត្តិស្តង់ដាដើម្បីធានាឱ្យមានការថែទាំនិងក្រិតខ្នាតបរិក្ខារ</t>
  </si>
  <si>
    <t>មាននីតិវិធីប្រតិ្តបត្តិស្តង់ដា(SOP)សម្រាប់ជួសជុលបរិក្ខារ, រួមទាំងនីតិវិធីច្បាស់លាស់សម្រាប់ការកំចាត់មេរោគនិងការដាក់ស្លាកបរិក្ខារច្បាស់ថា "ខូច"</t>
  </si>
  <si>
    <t>មាននីតិវិធីប្រតិ្តបតិ្តស្តង់ដា (SOP)ពន្យល់ពីនីតិវិធីដែលត្រូវអនុវត្តតាមសម្រាប់ធានាសុពលភាពនៃការប្រព្រឹត្តទៅសមរម្យនៃបរិក្ខារនៅពេលដែលវាត្រូវបានត្រឡប់ចូលទៅក្នុងសេវាវិញបន្ទាប់ពីការជួសជុល</t>
  </si>
  <si>
    <t>មានសៀវភៅត្រួតពិនិត្យបញ្ជីសារពើភ័ណ្ឌ</t>
  </si>
  <si>
    <t>មានបច្ចុបន្បភាពសៀវភៅត្រួតពិនិត្យបញ្ជីសារពើភ័ណ្ឌ</t>
  </si>
  <si>
    <t>មានfolder "បញ្ជីផ្ទៀងផ្ទាត់សម្ភារៈមកដល់ថ្មី" ជាមួយនឹងបញ្ជីផ្ទៀងផ្ទាត់ដែលបានបំពេញរួច</t>
  </si>
  <si>
    <t xml:space="preserve">មាន SOP សម្រាប់ការជ្រើសរើស, ការស្នើសុំ, ការធ្វើតេស្តដើម្បីអោយទទួលយកបាន, ការរក្សាទុកដាក់នៃប្រតិករនិងសម្ភារៈថ្មី, និងការថែរក្សាស្តុក ។ </t>
  </si>
  <si>
    <t>សម្ភារៈផ្គត់ផ្គង់ទាំងអស់ត្រូវបានរក្សាទុកនៅក្រោមលក្ខខណ្ឌត្រឹមត្រូវនៅក្នុងមន្ទីរពិសោធន៍</t>
  </si>
  <si>
    <t>សម្ភារៈផ្គត់ផ្គង់ទាំងអស់បានរក្សាទុកលើធ្នើយ៉ាងត្រឹមត្រូវចៀសវាងការធ្លាក់ឬទទួលរងការខូចខាតដោយកត្តាផ្សេងៗ</t>
  </si>
  <si>
    <t>សម្ភារៈផ្គត់ផ្គង់ទាំងអស់បានរក្សាទុកទៅតាម​​ប្រព័ន្ធចូលមុន-ចេញមុន (FIFO) និងប្រព័ន្ធហួសកាលបរិច្ឆេទប្រើប្រាស់មុន-ចេញមុន (FEFO)</t>
  </si>
  <si>
    <t>គ្រប់កន្លែងរក្សាទុកទាំងអស់អនុវត្តតាមតម្រូវការសុវត្ថិភាពដែលទាក់ទងទៅនឹងការរក្សាទុកប្រភេទសម្ភារៈទាំងនោះ</t>
  </si>
  <si>
    <t>សម្ភារៈផ្គត់ផ្គង់នៅកន្លែងរក្សាទុកត្រូវបានការពារពីឥទ្ធិពលពីខាងក្រៅដូចជាសំណើម ពន្លឺ សត្វល្អិត ជាដើម</t>
  </si>
  <si>
    <t xml:space="preserve">1. មានស្លាកសញ្ញាហាមឃាត់ការចូលនៅមុខកន្លែងរក្សាទុកសម្ភារៈ
</t>
  </si>
  <si>
    <t>2. ទ្វាកន្លែងរក្សាទុកសម្ភារៈបានចាក់សោគ្រប់ពេល</t>
  </si>
  <si>
    <t>មានស្លាកសញ្ញាគ្រោះថ្នាក់ដែលងាយស្រួលមើលនៅគ្រប់កន្លែងរក្សាទុកសម្ភារៈគ្រោះថ្នាក់</t>
  </si>
  <si>
    <t>មានបញ្ជីប្រយោគ R- និង S- មាននៅគ្រប់កន្លែងរក្សាទុកសម្ភារៈនីមួយៗដែលពាក់ព័ន្ធ</t>
  </si>
  <si>
    <t>កំនត់ហេតុប្រជុំស្ដីពីការពន្យល់បង្ហាញបុគ្គលិកស្តីពីប្រយោគ R- និង S-</t>
  </si>
  <si>
    <t>មានលក្ខខ័ណ្ឌទទួលយកឬបដិសេធវត្ថុវិភាគ</t>
  </si>
  <si>
    <t xml:space="preserve">មាន SOP សម្រាប់ការស្រង់វត្ថុវិភាគទាំងអស់ដែលអាចធ្វើតេស្តបានក្នុងមន្ទីរពិសោធន៍ </t>
  </si>
  <si>
    <t>មាន SOP សម្រាប់ការទទួលវត្ថុវិភាគនិងដំនើរការរបស់វា ។</t>
  </si>
  <si>
    <t xml:space="preserve">មានទម្រង់នូវទម្រង់បដិសេធវត្ថុវិភាគ ភ្ជាប់បន្ថែមជាមួយនឹង SOP សម្រាប់ទទួលវត្ថុវិភាគនិងដំនើរការរបស់វា </t>
  </si>
  <si>
    <t>1. មានក្រូណូសម្រាប់ដាក់ឯកសារបដិសេធវត្ថុវិភាគ ។</t>
  </si>
  <si>
    <t>2. ច្បាប់ចម្លងទម្រង់បដិសេធវត្ថុវិភាគបានរក្សារទុកក្នុងក្រូណូដែលបានបង្កើត ។</t>
  </si>
  <si>
    <t>មានគំនូសតាងលំហូរការងារសម្រាប់ផ្នែកនីមួយៗរបស់មន្ទីរពិសោធន៍ ។</t>
  </si>
  <si>
    <t>មានគំនូសតាងលំហូរការងារសម្រាប់ផ្នែកនីមួយៗរបស់មន្ទីរពិសោធន៍ រួមជាមួយនឹងការត្រួតពិនិត្យគុណភាព និងចំនុចដែលអាចបង្កឱ្យបរាជ័យបាន។</t>
  </si>
  <si>
    <t>មានសៀវភៅបញ្ជីត្រួតពិនិត្យគុណភាពខាងក្នុងសម្រាប់គ្រប់ផ្នែកក្នុងមន្ទីរពិសោធន៍ (ក្នុងនោះមាន Levy Jennings chart សម្រាប់តេស្តបរិមាណ)</t>
  </si>
  <si>
    <t>គ្រប់ SOPs ទាំងអស់ដែលពាក់ព័ន្ធក្នុងមន្ទីរពិសោធន៍មានបញ្ចូលពិធីសានៃការត្រួតពិនិត្យគុណភាពខាងក្នុង</t>
  </si>
  <si>
    <t>មាន SOP សម្រាប់ការត្រួតពិនិត្យគុណភាពខាងក្នុង ដែលរៀបរាប់យ៉ាងក្បោះក្បាយ</t>
  </si>
  <si>
    <t>មានក្រូណូរបាយការណ៍សម្រាប់ដាក់កំណត់ត្រាទម្រង់របាយការណ៍កំហុសឆ្គង</t>
  </si>
  <si>
    <t>1. មានកំនត់ហេតុប្រចាំថ្ងៃ ហត្ថលេខានិងកាលបរិច្ឆេទរបស់អ្នកទទួលខុសត្រូវលើ Levy Jenning Chart និងសៀវភៅបញ្ជីត្រួតពិនិត្យគុណភាពខាងក្នុង</t>
  </si>
  <si>
    <t>2. មានកំនត់ហេតុប្រចាំសប្តាហ៍ ហត្ថលេខា និងកាលបរិច្ឆេទរបស់មន្ត្រីគុណភាពឬប្រធានផ្នែកមន្ទីរពិសោធន៍លើLevy Jenning Chart និងសៀវភៅបញ្ជីត្រួតពិនិត្យគុណភាពខាងក្នុង</t>
  </si>
  <si>
    <t>មានទម្រង់របាយការណ៍កំហុសឆ្គងដែលបានបំពេញរួច</t>
  </si>
  <si>
    <t>មានទម្រង់របាយការណ៍កំហុសឆ្គងបានបំពេញថាលទ្ធផលតេស្តអ្នកជំងឺត្រូវផ្អាកឬបញ្ឈប់ពេលដែលការត្រួតពិនិត្យគុណភាពខាងក្នុងបរាជ័យ</t>
  </si>
  <si>
    <t>មានតារាងបញ្ជី SOPs ដែលចាំបាច់សម្រាប់ដំណើរការនីមួយៗនៃលំហូរការងារ</t>
  </si>
  <si>
    <t>មាន SOPs ទៅតាមតារាងបញ្ជី SOPs  សម្រាប់គ្រប់ដំណើរការនីមួយៗនៃលំហូរការងារ</t>
  </si>
  <si>
    <t>មានរបាយការណ៍លទ្ធផលដែលទ្រង់ទ្រាយរបស់វាមិនប្រែប្រួល (see camlis)</t>
  </si>
  <si>
    <t>CamLIS បានពិភាក្សាជាមួយអតិថិជនកំឡុងពេលនៃការបង្កើតទ្រង់ទ្រាយរបាយការណ៍លទ្ធផល</t>
  </si>
  <si>
    <t>មាន SOP សម្រាប់ការកត់ត្រា ការរាយការណ៍ និងរក្សាទុកលទ្ធផល</t>
  </si>
  <si>
    <t>មានទម្រង់ជូនដំណឹងលទ្ធផលបន្ទាន់នៅជិតកន្លែងដាក់ទូរស័ព្ទ</t>
  </si>
  <si>
    <t>មានទម្រង់ជូនដំណឹងលទ្ធផលបន្ទាន់ដែលបានបំពេញរួចក្នុងក្រូណូដែលត្រូវបានចាក់សោក្នុងទូ ។ (មើលវិធានការលេខ136)</t>
  </si>
  <si>
    <t>មានទូចាក់សោដែលគ្រប់កំណត់ត្រារបស់អ្នកជំងឺបានរក្សាទុកខាងក្នុងហើយមានតែបុគ្គលិកចាត់តាំងប៉ុណ្ណោះដែលអាចបើកបាន ។</t>
  </si>
  <si>
    <t>1. ទិន្នន័យរបស់អ្នកជំងឺបានរក្សាទុកក្រោមមធ្យោបាយដែលអាចទាញយកបានងាយស្រួលនិងរហ័ស ។</t>
  </si>
  <si>
    <t>2. តារាងបែងចែកភារកិច្ចនិងការទទួលខុសត្រូវ រួមទាំងបទពិពណ៌នាការងារផ្ទាល់ខ្លួនបុគ្គលិក បានបន្ថែមភារកិច្ចថែរក្សាទុកនិងអាចមើលទិន្នន័យអ្នកជំងឺ</t>
  </si>
  <si>
    <t>មានទម្រង់បានអាននិងបានយល់ជាមួយនឹងហត្ថលេខានិងឈ្មោះរបស់បុគ្គលិក បញ្ជាក់ថាបានអាននិងយល់ ។</t>
  </si>
  <si>
    <t>មានតារាងបញ្ជីឈ្មោះនិងហត្ថលេខាបុគ្គលិកទាំងអស់ក្នុងមន្ទីរពិសោធន៍</t>
  </si>
  <si>
    <t>មានទម្រង់ការព្រមព្រៀងក្នុងការរក្សាការសម្ងាត់ជាមួយនឹងហត្ថលេខាឯកភាពសម្រាប់បុគ្គលិកម្នាក់ៗ ដាក់នៅក្នុងឯកសារផ្ទាល់ខ្លួនបុគ្គលិក ។</t>
  </si>
  <si>
    <t>មន្ទីរពិសោធន៍មានពត៌មានដែលបានថតចម្លងពីប្រព័ន្ធកុំព្យូទ័រជារៀងរាល់សប្ដាហ៍</t>
  </si>
  <si>
    <t>មានកន្លែងរក្សាទុកពត៌មានត្រឹមត្រុវនិងរក្សាទុកពត៌មានមន្ទីរពិសោធន៍ដែលបានថតចម្លងទុករួចកន្លែងនោះហើយមានចាក់សោការពារ នៅអគារផ្សេងទៀតពីមន្ទីរពិសោធន៍ ។</t>
  </si>
  <si>
    <t>មានបញ្ជីរក្សារទុកឯកសារ "Document Retention List"</t>
  </si>
  <si>
    <t>1. មានទម្រង់កែតម្រូវឯកសារមិនទាន់បំពេញរួចនៅក្នុងក្រូណូដាក់ទម្រង់ឯកសារមន្ទីរពិសោធន៍នានា</t>
  </si>
  <si>
    <t>2. មានក្រូណូដាក់ទម្រង់កំណត់ត្រាកែតម្រូវឯកសារ ដែលបានបំពេញកន្លងមក។</t>
  </si>
  <si>
    <t>មានកំនត់ហេតុប្រជុំស្ដីពីការពន្យល់បង្ហាញបុគ្គលិកទាំងអស់ពីទម្រង់កែតម្រូវឯកសារ ។</t>
  </si>
  <si>
    <t>មានកាលវិភាគដើម្បីធ្វើការត្រួតពិនិត្យមើលឯកសារឡើងវិញ</t>
  </si>
  <si>
    <t>មាន Bench aids ដែលទាន់សម័យកាល</t>
  </si>
  <si>
    <t>គ្រប់ឯកសារគុណភាពទាំងអស់បានពិនិត្យមើលឡើងវិញដោយអ្នកពិនិត្យយ៉ាងតិចណាស់ម្នាក់</t>
  </si>
  <si>
    <t>គ្រប់​ឯកសារ​គុណភាព​ទាំងអស់​ដែល​កំពុង​ប្រើប្រាស់​ត្រូវ​បាន​អនុម័ត​ឱ្យ​ចេញ​ប្រើប្រាស់​។</t>
  </si>
  <si>
    <t>គ្រប់ឯកសារគុណភាពទាំងអស់ដែលកំពុងប្រើប្រាស់ជាឯកសារដែលមានលេខកំណែចុងក្រោយគេ</t>
  </si>
  <si>
    <t>ផ្លាកសម្គាល់ថា "បានជំនួស(Replaced)" លើឯកសារដែលមានលេខកំណែចាស់នៅកន្លែងតំកល់ឯកសារ</t>
  </si>
  <si>
    <t>ឯកសារយោងទាំងអស់សម្រាប់ឯកសារផ្សេង សម្រាប់ទីតាំង និង សម្រាប់បរិក្ខារ គឺត្រឹមត្រូវ</t>
  </si>
  <si>
    <t>មានកន្លែងឬបន្ទប់ឬទូសម្រាប់ទុកដាក់គ្រប់ឯកសារទាំងអស់ក្នុងកំឡុងពេលប្រាំឆ្នាំ ។</t>
  </si>
  <si>
    <t>មាន SOP សម្រាប់ការគ្រប់គ្រងឯកសារ ដែលមានគ្រប់នីតិវិធីលម្អិតទាំងអស់ក្នុងការគ្រប់គ្រងឯកសារ</t>
  </si>
  <si>
    <t>មានសៀវភៅបញ្ជីអតិថិជនមន្ទីរពិសោធន៍ នៅជិតកន្លែងដាក់ទុរស័ព្ទឬលើជញ្ជាំងងាយស្រួលដល់បុគ្គលិកងាយឃើញនិងយកមកប្រើបាន</t>
  </si>
  <si>
    <t>1. មានតម្លៃជីវសាស្ត្រយោងនិងតម្លៃគ្រោះថ្នាក់សម្រាប់ប្រជាជនកម្ពុជា</t>
  </si>
  <si>
    <t>2. របាយការណ៍មន្ទីរពិសោធន៍មានដាក់បញ្ចូលតម្លៃជីវសាស្ត្រយោងផងដែរ</t>
  </si>
  <si>
    <t>3. សៀវភៅសេវាកម្មមន្ទីរពិសោធន៍មានបញ្ជាក់តម្លៃជីវសាស្ត្រយោងនិងតម្លៃគ្រោះថ្នាក់</t>
  </si>
  <si>
    <t>មានតម្លៃជីវសាស្ត្រយោងដែលត្រឹមត្រូវជាប្រចាំ</t>
  </si>
  <si>
    <t>មានតម្លៃជីវសាស្ត្រយោងត្រឹមត្រូវ ផ្អែកលើម៉ាករបស់ប្រតិករ</t>
  </si>
  <si>
    <t>មានសៀវភៅណែនាំស្ដីពីសេវាកម្មមន្ទីរពិសោធន៍នៅគ្រប់ផ្នែកទាំងអស់របស់​មន្ទីរពេទ្យ</t>
  </si>
  <si>
    <t>មានសៀវភៅសេវាកម្មមន្ទីរពិសោធន៍ទាន់សម័យដោយផ្អែកលើ SOP សម្រាប់ការគ្រប់គ្រងឯកសារ</t>
  </si>
  <si>
    <t>មើលសូចនករនៃវិធានការលេខ 168</t>
  </si>
  <si>
    <t>មានតម្លៃយោងជីវសាស្រ្ត/តម្លៃសម្រេចធ្វើរោគវិនិច្ឆ័យ / និង / ឬការជូនដំណឹង /ចន្លោះតម្លៃគ្រោះថ្នាក់ដែលបច្ចុបន្បភាព នៅក្នុង៖
១. សៀវភៅសេវាកម្មមន្ទីរពិសោធន៍និង</t>
  </si>
  <si>
    <t>ទម្រង់របាយការណ៍លទ្ធផលមន្ទីរពិសោធន៍</t>
  </si>
  <si>
    <t>តាមផ្នែកទាំងអស់នៃមន្ទីរពេទ្យ</t>
  </si>
  <si>
    <t>មានលទ្ធផលតេស្ត PT</t>
  </si>
  <si>
    <t>មានកំនត់ត្រាស្តីពីការរកមូលហេតុនៃបញ្ហា សកម្មភាពកែតម្រូវ និងសកម្មភាពបង្ការ។</t>
  </si>
  <si>
    <t>មាន SOP សម្រាប់ការត្រួតពិនិត្យគុណភាពពីខាងក្រៅ</t>
  </si>
  <si>
    <t>1. មានកន្លែងស្រង់វត្ថុវិភាគ</t>
  </si>
  <si>
    <t>2. មានកន្លែងរង់ចំា</t>
  </si>
  <si>
    <t xml:space="preserve">កន្លែងស្រង់វត្ថុវិភាគនិងរង់ចំាអាចប្រើបានសម្រាប់មនុស្សពិការ </t>
  </si>
  <si>
    <t>1. មានកន្លែងរក្សាទុកវត្ថុវិភាគឬសំណាកដែលមានស្ថានភាពល្អ ។</t>
  </si>
  <si>
    <t>2. មានបញ្ជីសារពើភ័ណ្ឌសម្រាប់វត្ថុវិភាគឬសំណាក ។</t>
  </si>
  <si>
    <t>១. មានកន្លែងរក្សាទុកប្រតិករនិងសម្ភារៈផ្គត់ផ្គង់ដែលមានស្ថានភាពល្អ។</t>
  </si>
  <si>
    <t>2- មានសៀវភៅបញ្ជីសម្រាប់កន្លែងរក្សាទុកដែលមានបច្ចុប្បន្នភាព</t>
  </si>
  <si>
    <t>1. កន្លែងរក្សាទុកឧបករណ៍បរិក្ខារមានស្ថានភាពល្អ ។</t>
  </si>
  <si>
    <t>2. មានសៀវភៅបញ្ជីឧបករណ៍បរិក្ខារដែលមានបច្ចុប្បន្នភាពនៅកន្លែងរក្សាទុកវា ។</t>
  </si>
  <si>
    <t>គ្មានឧបករណ៍បរិក្ខារខូចនៅក្នុងមន្ទីរពិសោធន៍</t>
  </si>
  <si>
    <t>1. កន្លែងរក្សាទុកឯកសារនិងកំណត់ត្រាមានស្ថានភាពល្អ ។</t>
  </si>
  <si>
    <t>2- មានទូរក្សាទុកឯកសារធន់ទៅនឹងភ្លើង ។</t>
  </si>
  <si>
    <t>3- មានសៀវភៅបញ្ជីជាមួយប្រព័ន្ធលេខកូដ ។</t>
  </si>
  <si>
    <t>ទស្សនៈវិស័យនៃមន្ទីរពិសោធន៍អាចរកបាននៅក្នុង៖
1. ក្រូណូអង្គភាពមន្ទីរពិសោធ</t>
  </si>
  <si>
    <t>2. សៀវភៅគុណភាពមន្ទីរពិសោធន៍ ។</t>
  </si>
  <si>
    <t>3. នៅលើជញ្ជាំងឬផ្លូវចូលមន្ទីរពិសោធន័ ។</t>
  </si>
  <si>
    <t>មន្ទីរពិសោធន៍មានបេសកកម្មច្បាស់លាស់ ។</t>
  </si>
  <si>
    <t>មន្ទីរពិសោធន៍មានឯកសារស្ដីអំពីគោលដៅរយៈពេលវែង</t>
  </si>
  <si>
    <t>មានគោលនយោបាយគុណភាពជាមួយនឹងបញ្ជីបានអាននិងយល់ដែលបានចុះហត្ថលេខាដោយបុគ្គលិកទាំងអស់</t>
  </si>
  <si>
    <t>១. មានផែនការថវិកាប្រចាំឆ្នាំសម្រាប់ឧបករណ៍បរិក្ខារ</t>
  </si>
  <si>
    <t>២. នាយកមន្ទីរពេទ្យឬមន្ទីរសុខាភិបាលបានទទួលដំណឹង</t>
  </si>
  <si>
    <t>មានបញ្ជីគោលដៅសម្រាប់ឆ្នាំខាងមុខនេះនៅក្នុងក្រូណូអង្គភាពមន្ទីរពិសោធន៍បន្ទាប់គោលនយោបាយគុណភាព</t>
  </si>
  <si>
    <t>១. មានផែនការគុណភាពប្រចាំឆ្នាំសម្រាប់ឆ្នាំបន្ទាប់ ។</t>
  </si>
  <si>
    <t>២. មាននីតិវិធីប្រតិបត្តិស្តង់ដាសម្រាប់ការបង្កើតផែនការគុណភាពប្រចាំឆ្នាំ ។</t>
  </si>
  <si>
    <t>១. មានផែនការសកម្មភាព SMART ជាមួយនឹងហត្ថលេខាប្រធានផ្នែក ។</t>
  </si>
  <si>
    <t>២. បុគ្គលិកមានផែនការគុណភាពប្រចាំឆ្នាំនិងផែនការសកម្មភាពដែលបានចែកចាយដោយថ្នាក់គ្រប់គ្រង ។</t>
  </si>
  <si>
    <t>មានសៀវភៅស្ដីពីការគ្រប់គ្រងគុណភាពមន្ទីរពិសោធន៍។</t>
  </si>
  <si>
    <t>១. របាយការណ៍ប្រចាំត្រីមាស ដាក់ក្នុងក្រូណូរបស់វានៅកន្លែងមានសុវត្ថិភាព ។</t>
  </si>
  <si>
    <t>២. មាននីតិវិធីប្រតិបត្តិស្តង់ដាសម្រាប់ការបង្កើតរបាយការណ៍ប្រចាំត្រីមាស ។</t>
  </si>
  <si>
    <t>១. មានរបាយការណ៍ការត្រួតពិនិត្យមើលឡើងវិញប្រចាំឆ្នាំលើការគ្រប់គ្រង ។</t>
  </si>
  <si>
    <t>២. មានកំណត់ហេតុប្រជុំបុគ្គលិកស្ដីអំពីការបង្ហាញរបាយការណ៍ការពិនិត្យមើលឡើងវិញលើការគ្រប់គ្រង ។</t>
  </si>
  <si>
    <t>៣. មាននីតិវិធីប្រតិបត្តិស្តង់ដាសម្រាប់ការពិនិត្យឡើងវិញលើការគ្រប់គ្រង ។</t>
  </si>
  <si>
    <t>៤. មានរបាយការណ៍ការពិនិត្យមើលឡើងវិញលើការគ្រប់គ្រងក្នុងក្រូណូ "Management Reviews and Quality Year Plans" ។</t>
  </si>
  <si>
    <t>១. មានផែនការគុណភាពប្រចាំឆ្នាំថ្មីនៅក្នុងក្រូណូ "Management Reviews and Quality Year Plans" ។</t>
  </si>
  <si>
    <t>២. មានផែនការសកម្មភាពដែលមានគ្រប់ចំណុចសកម្មភាពដែលបានរៀបរាប់ក្នុងផែនការគុណភាពប្រចាំឆ្នាំ ។</t>
  </si>
  <si>
    <t>៣. មានកំណត់ហេតុប្រជុំបុគ្គលិកស្ដីពីការបង្ហាញផែនការគុណភាពប្រចាំឆ្នាំថ្មីទៅដល់បុគ្គលិកទាំងអស់ ។</t>
  </si>
  <si>
    <t>៤. មានរបាយការណ៍ការពិនិត្យតាមដានការប្រតិបត្តិផែនការសកម្មភាពទៅតាមពេលវលា។</t>
  </si>
  <si>
    <t>មាននីតិវិធីប្រតិបត្តិស្តង់ដាមួយសម្រាប់គ្រប់សកម្មភាពទាំងអស់នៃវដ្តគោលនយោបាយ។</t>
  </si>
  <si>
    <t>១. មានតារាងរាយនាមបុគ្គលិកដែលបង្ហាញអំពីការជំនួសគ្នាទៅវិញទៅមក នៅក្នុងក្រូណូ "អង្គភាពមន្ទីរពិសោធន៍" និង ច្បាប់ចម្លងដាក់នៅកន្លែងដែលបុគ្គលិកអាចមើលឃើញ ឬក្ដារខៀនពត៌មាន ។</t>
  </si>
  <si>
    <t>២. មានកំណត់ហេតុប្រជុំបុគ្គលិកបង្ហាញអំពីតារាងបុគ្គលិកជំនួសគ្នាទៅវិញទៅមក ។</t>
  </si>
  <si>
    <t>៣. មានរបាយការណ៍វាយតម្លៃសមត្ថភាពបុគ្គលិកជំនួសនៅពេលបុគ្គលិកម្នាក់ទៀតអវត្តមាន ។</t>
  </si>
  <si>
    <t>មាននិតិវិធីប្រតិបត្តិស្តង់ដាក្នុងការជ្រើសរើសនិងវាយតម្លៃអ្នកផ្គត់ផ្គង់ នៅក្នុងក្រូណូ "កិច្ចសន្យាទទួលសេវាកម្មមន្ទីរពិសោធន៍" ។</t>
  </si>
  <si>
    <t>មានបញ្ជីផ្ទៀងផ្ទាត់បានបំពេញរួចរាល់ក្នុងការជ្រើសរើសអ្នកផ្គត់ផ្គង់ដែលអាចឆ្លើយតបតាមតម្រូវការរបស់មន្ទីរពិសោធន៍។</t>
  </si>
  <si>
    <t>មានកិច្ចសន្យាលើសេវាកម្មដឹកជញ្ជូនបញ្ជាក់ថាវាជាការទទួលខុសត្រូវរបស់អ្នកផ្គត់ផ្គង់។</t>
  </si>
  <si>
    <t>មានបញ្ជីផ្ទៀងផ្ទាត់វាយតម្លៃលើកិច្ចសន្យាលើសេវាកម្មដឹកជញ្ជូន បានបំពេញរួច។</t>
  </si>
  <si>
    <t>មានកំណត់ត្រានិងកំណត់ហេតុអំពីមូលហេតុក្នុងការធ្វើវិសោធនកម្ម ឬ ផ្លាស់ប្តូរកិច្ចសន្យា</t>
  </si>
  <si>
    <t>មាននិតិវិធីប្រតិបត្តស្តង់ដារសម្រាប់ការជ្រើស និង ត្រួតពិនិត្យ មន្ទីរពិសោធន៍បង្អែកនៅក្នុងក្រូណូ "ទិន្នន័យមន្ទីរពិសោធន៍បង្អែក"</t>
  </si>
  <si>
    <t>មានក្រូណូ "ទិន្នន័យមន្ទីរពិសោធន៍បង្អែក" មួយដែលមានទិដ្ឋភាពទូទៅនៃមន្ទីរពិសោធន៍បង្អែក និង ការអនុវត្តដែលមានគុណភាពរបស់ខ្លួនគុណភាព (ដូចជាលទ្ធផលការធ្វើតេស្តវាស់ស្ទង់សមត្ថភាពនៃមន្ទីរពិសោធន៍បង្អែក), ម៉ោងផ្តល់សេវា, TAT, វិធីសាស្រ្តនៃការរាយការណ៍លទ្ធផល) ។</t>
  </si>
  <si>
    <t>មានក្រូណូមួយដែលមានចំណងជើង "លទ្ធផលមន្ទីរពិសោធន៍បង្អែក" ដែលរក្សាទុកកំណត់ត្រានៃសំណាកនិងលទ្ធផលវិភាគតេស្តដែលបានបញ្ជូនទៅមន្ទីរពិសោធន៍បង្អែក។</t>
  </si>
  <si>
    <t>មានតារាងកំណត់រយៈពេលវិភាគបានលទ្ធផល(TAT) សម្រាប់ការវិភាគតេស្តនីមួយៗក្នុងមន្ទីរពិសោធន៍។</t>
  </si>
  <si>
    <t>មានតារាងកំណត់រយៈពេលវិភាគបានលទ្ធផល(TAT)នៅក្នុងសៀវភៅគុណភាពនិងសៀវភៅសេវាកម្មមន្ទីរពិសោធន៍។</t>
  </si>
  <si>
    <t>១. នីតិវិធីប្រតិបត្តិស្តង់ដាការរាយការណ៍និងរក្សាទុកលទ្ធផល បានដាក់បញ្ចូល​ជាមួយនឹង​តារាងរយៈពេលវិភាគបានលទ្ធផល(TAT) និង​នីតិវិធីដែល​អ្នក​ស្នើវិភាគតេស្ត​ត្រូវ​បាន​ជូនដំណឹង​បន្ទាន់​ក្នុង​ករណី​ដែលរយៈពេលវិភាគតេស្តបានលទ្ធផល(TAT) លើសពេលឬយឺត។</t>
  </si>
  <si>
    <t>២. មានទម្រង់បានអាននិងយល់ដែលចុះហត្ថលេខាដោយបុគ្គលិក ​និងមាន​​កំណត់ហេតុប្រជុំ។</t>
  </si>
  <si>
    <t>មានតារាងរយៈពេលវិភាគបានលទ្ធផល(TATs)ប្រចាំត្រីមាសជាមួយនឹងភាគរយនៃការវិភាគសំណាកដែលលើសពីរយៈពេលកំណត់(គោលដៅគឺកាត់បន្ថយភាគរយនៃសំណាកដែលលើសពេលកំណត់អោយនៅ០%)។</t>
  </si>
  <si>
    <t xml:space="preserve">មានទិន្នន័យរយៈពេលវិភាគបានលទ្ធផល(TAT) ក្នុងរបាយការណ៍ប្រចាំត្រីមាស </t>
  </si>
  <si>
    <t>១. មានសកម្មភាពកែតម្រូវនិងបង្ការនៅក្នុងទម្រង់ផែនការសកម្មភាព។</t>
  </si>
  <si>
    <t>២. មានភស្តុតាងបញ្ជាក់ថាផែនការសកម្មភាពខាងលើត្រូវបានអនុវត្ត។</t>
  </si>
  <si>
    <t>មានភស្តុតាងបញ្ជាក់ក្នុងរបាយការណ៍ប្រចាំត្រីមាសដែលបង្ហាញថាសំណាកដែលវិភាគយឺតជាងរយៈពេលកំណត់ TAT បានថយចុះ។</t>
  </si>
  <si>
    <t>១. មានរបាយការណ៍សុពលភាពសម្រាប់​វិធីសាស្រ្តនៃការវិភាគ​នីមួយៗ​ ដែល​ទទួល​បាន​ពី​រោងចក្រផលិត ឬសៀវភៅ​ដែលបានបង្កើត ឬ​ទិនានុប្បវត្តិ ​ឬ​នៅក្នុងគោលការណ៍ណែនាំអន្តរជាតិ ជាតិ តំបន់។</t>
  </si>
  <si>
    <t>២. មាននីតិវិធីប្រតិបត្តិស្តង់ដា​សម្រាប់ការផ្ទៀងផ្ទាត់លើឧបករណ៍បរិក្ខារនិងឡូតិ៍ប្រតិករ។</t>
  </si>
  <si>
    <t>១. មានរបាយការណ៍សុពលភាព(Validation)​បានពីរោងចក្រផលិតឬពី​ក្រដាសណែនាំផលិតផល​គ្រប់តេស្តដែលវិភាគក្នុងមន្ទីរពិសោធន៍ ។</t>
  </si>
  <si>
    <t>២. មានរបាយការណ៍ការផ្ទៀងផ្ទាត់ប្រតិករឡូតិ៍ថ្មីឬប្រតិករម៉ាកថ្មី។</t>
  </si>
  <si>
    <t>៣. មានរបាយការណ៍ការផ្ទៀងផ្ទាត់ឧបករណ៍បរិក្ខារនីមួយៗក្នុងមន្ទីរពិសោធន៍ ។</t>
  </si>
  <si>
    <t>១. មានផែនការសកម្មភាព SMART ដើម្បីបង្កើតកន្លែងទុកដាក់ឯកសារនិងកំណត់ត្រាមន្ទីរពិសោធន៍។</t>
  </si>
  <si>
    <t>២. មានបុគ្គលិកឬតួនាទីដែលបានចាត់តាំងដើម្បីចូលនិង​កែប្រែកំណត់ត្រាបាននៅក្នុងតារាងបែងចែកភារកិច្ច(Authorization Matrix)។</t>
  </si>
  <si>
    <t>ឯកសារ និងកំណត់ត្រាទាំងអស់បានរក្សាទុកនិងចាក់សោរត្រឹមត្រូវ ។</t>
  </si>
  <si>
    <t>ឯកសារនិងកំណត់ត្រាទាំងអស់ត្រូវបានរៀបចំរក្សាទុកយ៉ាងត្រឹមត្រូវ ។</t>
  </si>
  <si>
    <t>ឯកសារ និងកំណត់ត្រាទាំងអស់ត្រូវបានគ្រប់គ្រងបានល្អ ។</t>
  </si>
  <si>
    <t>១. មានប្រព័ន្ធការពារកុំព្យូទ័រពីមេរោគអ៊ិនធើណិត</t>
  </si>
  <si>
    <t>២. មានកម្មវិធីស្កែនមេរោគល្អមួយបានតម្លើងក្នុងកុំព្យូទ័រ</t>
  </si>
  <si>
    <t>៣. មានឯកសារដែលមានពិធីការសម្រាប់ការធ្វើបច្ចុប្បន្នភាព(Update)និងដំណើរការស្កែនមេរោគ និងការចម្លងទុក(Backups)ប្រចាំសប្តាហ៍។</t>
  </si>
  <si>
    <t>ប្រព័ន្ធកុំព្យូទ័រត្រូវបានស្កែនមេរោគប្រចាំសប្ដាហ៍ដោយកម្មវិធីស្កែនមេរោគមានបច្ចុប្បន្នភាព។ (ភស្តុតាងដូចជាក្រដាសលទ្ធផលស្កែនមេរោគកុំព្យូទ័រ ឬ​បញ្ជីផ្ទៀងផ្ទាត់)</t>
  </si>
  <si>
    <t xml:space="preserve">១.មានតារាងបែងចែកភារកិច្ច (Authorization Matrix) ដែល​មាន​បច្ចុប្បន្នភាព​ និងបទ​ពិពណ៌នាការងារផ្ទាល់ខ្លួនបុគ្គលិកចំពោះអ្នកដែលមានសិទ្ធិដូចជា៖
 - អាចចូលមើលពត៌មាននិងទិន្នន័យបានតែប៉ុណ្ណោះ
 - អាចចូលមើលផងនិងបញ្ចូលបន្ថែមផង ។ 
 - អាចចូលមើលផង បញ្ចូលបន្ថែមផង និងអាចកែប្រែបានផងដែរ ។ </t>
  </si>
  <si>
    <t>២. មានប្រព័ន្ធកុំព្យួទ័រដែលបានកំណត់សិទ្ធិប្រើប្រាស់ត្រឹមត្រូវ ដោយមានលេខសម្ងាត់រៀងៗខ្លួន។</t>
  </si>
  <si>
    <t>៣. មានកំណត់ហេតុប្រជុំស្ដីពីវិធានថ្មីៗទាក់ទងនឹងដំណើរការពត៌មាន​មន្ទីរពិសោធន៍​ និង​ការផ្ដល់​សិទ្ធិតាមតួនាទី ចំពោះការគ្រប់គ្រងពត៌មានមន្ទីរពិសោធន៍</t>
  </si>
  <si>
    <t>មានផែនការបម្រុងទុកជាមុនដែលគួរអនុវត្តតាមក្នុងករណីដែលប្រព័ន្ធពត៌មាន​កុំព្យូទ័រ​មានបញ្ហា ដើម្បីធានាបានការចូលដំណើរការពត៌មានមន្ទីរពិសោធន៍បានគ្រប់ពេល ។</t>
  </si>
  <si>
    <t>មាន​នីតិវិធីប្រតិបត្តិស្តង់ដាសម្រាប់គ្រប់គ្រងពត៌មានមន្ទីរពិសោធន៍។</t>
  </si>
  <si>
    <t>មានលទ្ធផលនៃការស្ទង់មតិការពេញចិត្តរបស់អតិថិជន</t>
  </si>
  <si>
    <t>មានរបាយការណ៍ការស្ទង់មតិការពេញចិត្តរបស់អតិថិជនដែលបង្ហាញពីការរកឃើញនិងចំនុចកែលម្អជាចម្បងសម្រាប់កែលម្អ</t>
  </si>
  <si>
    <t>១. មានផែនការសកម្មភាព SMART ផ្អែកលើរបាយការស្ទង់មតិការពេញចិត្តរបស់អតិថិជន
២. ផែនការសកម្មភាពនេះត្រូវបានអនុវត្តនិងត្រួតពិនិត្យតាមដានទៀងទាត់</t>
  </si>
  <si>
    <t>មាននីតិវិធីប្រតិបត្តិស្តង់ដាសម្រាប់ការបង្កើត ការពិនិត្យ និងការវាយតម្លៃលើកិច្ចសន្យាការផ្តល់សេវាក្នុងក្រូណូដែលមានចំណងជើង "​កិច្ចសន្យាសម្រាប់ការផ្តល់សេវា"​</t>
  </si>
  <si>
    <t>មានកំណត់ហេតុប្រជុំដើម្បីពិភាក្សាអំពីមាតិកានៃកិច្ចសន្យាសម្រាប់ការផ្ដល់សេវាសេវាកម្ម</t>
  </si>
  <si>
    <t>១. មានតារាងបញ្ជី​សវនករ​ផ្ទៃក្នុង​ចាំបាច់នៅក្នុងមន្ទីរពិសោធន៍</t>
  </si>
  <si>
    <t>២. មន្រ្តីធានាគុណភាពក៏ជាសវនករផ្ទៃក្នុងម្នាក់ផងដែរ</t>
  </si>
  <si>
    <t>៣. មានច្បាប់ចម្លងលិខិតបញ្ជាក់ពីការបណ្ដុះបណ្ដាល​រក្សាទុកនៅក្នុង​ឯកសារ​ផ្ទាល់ខ្លួន​បុគ្គលិក​បន្ទាប់​ពី​បុគ្គលិកបានបញ្ចប់វគ្គសិក្សាស្តីពីសវនកម្មផ្ទៃក្នុង។</t>
  </si>
  <si>
    <t>៤. មាន​បទពិពណ៌នា​ការងារសម្រាប់តួនាទី​សវនករផ្ទៃក្នុង​ដែលរៀបរាប់​ពីភារកិច្ចនិងការ​ទទួលខុសត្រូវ​របស់​សវនករ​ផ្ទៃក្នុង​</t>
  </si>
  <si>
    <t>៥. មានបទពិពណ៌នាការងារផ្ទាល់ខ្លួន​សម្រាប់​បុគ្គលិក ដែលមានមុខតំណែងជាសវនករផ្ទៃក្នុង</t>
  </si>
  <si>
    <t>៦. មានតួនាទីសវនករផ្ទៃក្នុងដាក់នៅក្នុងតារាងបែងចែកភារកិច្ច (Authorization Matrix)។</t>
  </si>
  <si>
    <t>៧. មានកំណត់ហេតុប្រជុំបុគ្គលិកប្រចាំសប្តាហ៍ដែលរៀបរាប់អំពីគោលគំនិតនៃការធ្វើសវនកម្មផ្ទៃក្នុង។</t>
  </si>
  <si>
    <t>១. មានកាលវិភាគមួយដែលប្រព័ន្ធគ្រប់គ្រងគុណភាពទាំងមូលត្រូវបានធ្វើសវនកម្មក្នុងរយៈពេលមួយឆ្នំា(១២ខែ)</t>
  </si>
  <si>
    <t>២. មានផែនការដែលអាចធ្វើការឬអនុវត្តបាន</t>
  </si>
  <si>
    <t>៣. មានកំណត់ហេតុប្រជុំបុគ្គលិកប្រចំាសប្តាហ៍លើការពិភាក្សាពីការធ្វើផែនការ​</t>
  </si>
  <si>
    <t>១. មានរបាយការណ៍សវនកម្មផ្ទៃក្នុង</t>
  </si>
  <si>
    <t>២. របាយការណ៍សវនកម្មផ្ទៃក្នុងត្រូវបានដាក់ជូនទៅប្រធានមន្ទីរពិសោធន៍</t>
  </si>
  <si>
    <t>មានផែនការសកម្មភាព SMART មួយ ក្នុងកំឡុងពេលពីរសប្តាហ៍បន្ទាប់ពីទទួលបានរបាយការណ៍សវនកម្មផ្ទៃក្នុងដែលមានចំនុចសកម្មភាពសម្រាប់ការកែតម្រូវឬដោះស្រាយនៃភាពមិនអនុលោមទាំងអស់ដែលបានរកឃើញ។</t>
  </si>
  <si>
    <t>១. មានកំណត់ហេតុប្រជុំប្រចំាសប្តាហ៍របស់បុគ្គលិកដែលបានពិភាក្សាអំពីផែនការសកម្មភាព​និង​បាន​ជូន​ដំណឹង​ដល់​បុគ្គលិក​អំពី​ចំណុច​សកម្មភាពដែលបានចាត់តាំងអោយពួកគាត់ធ្វើយ៉ាងជាក់លាក់។</t>
  </si>
  <si>
    <t>២. មានហត្ថលេខារបស់បុគ្គលិកហើយនិងការបរិច្ឆេទផែនការសកម្មភាពបានបញ្ចប់។</t>
  </si>
  <si>
    <t>មានផែនការសកម្មភាពបញ្ចប់ជាមួយនឹងហត្ថលេខានិងកាលបរិច្ឆេទនៃប្រធានមន្ទីរពិសោធន៍​នៅក្នុងក្រូណូមួយ។</t>
  </si>
  <si>
    <t>១. មានរបាយការណ៍​ឬ​ភស្តុតាងស្តីពីការវាយតម្លៃសមត្ថភាពឬការវាយតម្លៃការងារបុគ្គលិក ជាមួយនឹងចំណុចខ្វះខាតដែលមានសក្ដានុពលសម្រាប់ការបណ្តុះបណ្តាលបុគ្គលិកនីមួយៗ។</t>
  </si>
  <si>
    <t>២. មានផែនការគុណភាពប្រចំាឆ្នាំជាមួយនឹងតម្រូវការសម្រាប់​ការបណ្តុះបណ្តាលដល់​បុគ្គលិកជាក់លាក់</t>
  </si>
  <si>
    <t>៣. មានច្បាប់ចម្លងវិញ្ញាបនបត្របណ្តុះបណ្តាលបុគ្គលិកនៅក្នុងឯកសារបុគ្គលិក</t>
  </si>
  <si>
    <t>១. មានកាលវិភាគសម្រាប់ការវិភាគតេស្តលើសំណាកនៃការត្រួតពិនិត្យគុណភាព​ពីខាងក្រៅ​(EQA)ដោយបុគ្គលិកចាត់តាំងផ្សេងៗគ្នា​ឱ្យ​អនុវត្តតាមពេលនិមួយៗ។</t>
  </si>
  <si>
    <t xml:space="preserve"> ២. មានរបាយការណ៍ស្តីពីកិច្ចប្រជុំបុគ្គលិកប្រចាំសប្តាហ៍បានពន្យល់នៅលើកាលវិភាគខាងលើ ។</t>
  </si>
  <si>
    <t>៣. កាលវិភាគខាងលើដាក់នៅទីតាំងមួយដែលបុគ្គលិកទំាងអស់អាចមើលឃើញដូចជានៅលើក្តារខៀនជូនដំណឹង។</t>
  </si>
  <si>
    <t>៤. មានភស្តុតាងបញ្ជាក់ថាកាលវិភាគ​ខាងលើនេះ​បាន​អនុវត្ត​ប្រកប​ដោយ​ប្រសិទ្ធភាព។</t>
  </si>
  <si>
    <t>មានរបាយការណ៍អំពីការផ្ទៀងផ្ទាត់រៀងរាល់ពេលដែលបានអនុវត្ត (ទាំងការផ្ទៀងផ្ទាត់លើវិធីសាស្ត្រវិភាគតេស្តនិងការផ្ទៀងផ្ទាត់លើឧបករណ៍បរិក្ខារ)។</t>
  </si>
  <si>
    <t>១. មាន​​នីតិវិធី​​ប្រតិបត្តិ​ស្តង់ដា​ការ​ជួសជុល​​​ឧបករណ៍​បរិក្ខារ​ដែល​មាន​សរសេរ​អំពី​នីតិវិធី​ដើម្បី​កំណត់​និង​កែតម្រូវ​ឥទ្ធិពល​អវិជ្ជមាន​នៃ​ឧបករណ៍​បរិក្ខារខូចឬមានកំហុសហើយ​ប៉ះពាល់ដល់លទ្ធផល​វិភាគ​តេស្ត ។</t>
  </si>
  <si>
    <t>២. មានបញ្ជីឬទម្រង់បានអាននិងយល់</t>
  </si>
  <si>
    <t>៣. មានរបាយការណ៍ស្តីពីកិច្ចប្រជុំបុគ្គលិក​ពន្យល់ពីសារៈសំខាន់ក្នុងការកំណត់ពីឥទ្ធិពលអវិជ្ជមានជាសក្តានុពលដោយសារឧបករណ៍បរិក្ខារមានកំហុសឆ្គងក្នុង​ការវិភាគតេស្តមន្ទីរពិសោធន៍។</t>
  </si>
  <si>
    <t>មានកំណត់ត្រាឬភស្តុតាងបញ្ជាក់ថាបានអនុវត្តនីតិវិធីសម្រាប់កំណត់និងកែតម្រូវឥទ្ធិពលអវិជ្ជមានដោយសារឧបករណ៍បរិក្ខារមានកំហុសឆ្គងដល់លទ្ធផលនៃការវិភាគតេស្ត ។</t>
  </si>
  <si>
    <t>មាននីតិវិធីប្រតិបត្តិស្តង់ដាមួយសម្រាប់សកម្មភាពទូទៅដែលរួមមានដូចជា៖
- ទំនាក់ទំនងផ្ទៃក្នុងដូចជាការរៀបចំការប្រជុំនិងពង្រាងកំណត់ហេតុ
- ការត្រួតពិនិត្យតាមដានមើលការដឹកជញ្ជូនសំណាក
- ការសំអាតបន្ទប់មន្ទីរពិសោធន៍
- ការត្រួតពិនិត្យតាមដានមើលសីតុណ្ហភាព
- ការសម្អាតទូទឹកកក ទូបង្កក ទូកំដៅ ។ល។</t>
  </si>
  <si>
    <t>១. មានបញ្ជីផ្ទៀងផ្ទាត់ទៅលើលក្ខណៈវិនិច្ឆ័យសម្រាប់ការដឹកជញ្ជូនសំណាកអោយបានត្រឹមត្រូវ។</t>
  </si>
  <si>
    <t>២. មានកំណត់ត្រាការត្រួតពិនិត្យមើលជាប្រចាំលើ​ការដឹកជញ្ជូនសំណាកអោយបានត្រឹមត្រូវ ។</t>
  </si>
  <si>
    <t>មានភស្តុតាងបញ្ជាក់ការវិភាគស្វែងរក​ឫសគល់នៃបញ្ហា ក្នុងករណីបានទទួលសំណាកដែលមានគុណភាពមិនល្អ ។</t>
  </si>
  <si>
    <t>១. មានទម្រង់សម្រាប់ភាពមិនអនុលោម (Nonconformity form)។</t>
  </si>
  <si>
    <t>២. មានទម្រង់ភាពមិនអនុលោមដែលបានបំពេញរួចសម្រាប់បញ្ហាណាមួយដែលកើតឡើងក្នុងការដឹកជញ្ជូនសំណាក។</t>
  </si>
  <si>
    <t>១. មានផែនការសកម្មភាព (ប្រសិនបើត្រុវការ) ចេញពីសកម្មភាពកែតម្រូវ និងបង្ការបានបង្ហាញនៅក្នុងទម្រង់ភាពមិនអនុលោម(Nonconformity)។</t>
  </si>
  <si>
    <t>២. មានកំណត់ត្រាឬរបាយការណ៍ស្តីពីការអនុវត្តន៍សកម្មភាពកែតម្រូវ និង សកម្មភាពបង្ការ។</t>
  </si>
  <si>
    <t>មានកំណត់ត្រាលើការត្រួតពិនិត្យតាមដាននិងវាយតម្លៃលើប្រសិទ្ធិភាពនៃសកម្មភាពកែតម្រូវឬបង្ការក្នុងការដោះស្រាយបញ្ហានៃការដឹកជញ្ជូនសំណាក។</t>
  </si>
  <si>
    <t>១. មានបញ្ជីសូចនករគុណភាព។</t>
  </si>
  <si>
    <t>២. មានកំណត់ត្រា​លើ​ការ​តាមដាន​ពិនិត្យ​មើល​សូចនាករ​គុណភាព​ជា​ទៀងទាត់​ប្រចាំខែ។</t>
  </si>
  <si>
    <t>១. មានទម្រង់កំណត់ត្រាភាពមិនអនុលោមដែលបានបំពេញរួចហើយសម្រាប់ការប្រែប្រួលខុសនៃតម្លៃសូចនករគុណភាព រួមទាំងឫសគល់នៃបញ្ហាដែលបានរកឃើញ ។</t>
  </si>
  <si>
    <t>២. មានរបាយការណ៍ឬភស្តុតាងបញ្ជាក់ថាបានដោះស្រាយភាពមិនអនុលោមចំពោះការប្រែប្រួលខុសនៃតម្លៃសូចនករគុណភាព ។</t>
  </si>
  <si>
    <t>៣. មានសកម្មភាពបង្ការនានាការពារការកកើតឡើងវិញម្ដងហើយម្ដងទៀត ។</t>
  </si>
  <si>
    <t>មានដែនកំណត់នៃភាពអាចទទួលយកបានសម្រាប់សូចនករគុណភាពនីមួយៗ</t>
  </si>
  <si>
    <t>១. មានដែនកំណត់ថ្មីសម្រាប់ភាពអាចទទួលយកបានចំពោះសូចនករនីមួយៗទៅតាមពេលវេលា(រៀងរាល់ត្រីមាស ឬ ឆមាស ឬ ឆ្នាំ) ប្រសិនបើចាំបាច់</t>
  </si>
  <si>
    <t>២. មានកំណត់ត្រា/ភ័ស្តុតាងបង្ហាញថាដែនកំណត់នៃភាពអាចទទួលយកបានសម្រាប់សូចនករនីមួយៗត្រូវបានកែលម្អទៅតាមពេលវេលា ។</t>
  </si>
  <si>
    <t>១. មានបុគ្គលិកសម្រាប់ឆ្លើយសំនួររបស់អតិថិជនយ៉ាងហោចណាស់ពីរនាក់ ។</t>
  </si>
  <si>
    <t>២. មានកំណត់ហេតុប្រជុំបុគ្គលិកប្រចាំសប្ដាហ៍អំពី​បទ​ពិពណ៌នា​ការងារ​របស់​បុគ្គលិក​ដែលបានជ្រើសរើសជាអ្នកឆ្លើយសំនួរអតិថិជន ។</t>
  </si>
  <si>
    <t>៣. មានបទពិពណ៌នាការងារផ្ទាល់ខ្លួនសម្រាប់បុគ្គលិកដែលបានជ្រើសរើសជាអ្នកឆ្លើយសំនួរអតិថិជន ។</t>
  </si>
  <si>
    <t>១. មានបញ្ជីបុគ្គលិកដែលចូលរួមការប្រជុំគ្លីនិក (Clinical Rounds) ជាមួយក្រុមគ្រូពេទ្យ ។</t>
  </si>
  <si>
    <t>២. មានកំណត់ហេតុស្ដីអំពីការប្រជុំ ។</t>
  </si>
  <si>
    <t>មានកំណត់ហេតុការប្រជុំគ្លីនិក(clinical round) ។</t>
  </si>
  <si>
    <t>មានកំណត់ហេតុប្រជុំប្រចាំត្រីមាសរវាងបុគ្គលិកមន្ទីរពេទ្យ(បុគ្គលិកគ្លីនិក)និងបុគ្គលិកមន្ទីរពិសោធន៍។</t>
  </si>
  <si>
    <t>មានកំណត់ហេតុកិច្ចប្រជុំគ្លីនិកនៅក្នុង​ក្រូណូដាក់កំណត់ហេតុប្រជុំ ដែលមាន​ខ័ណ្ឌចែកដាក់ស្លាកសម្គាល់ថ្មីមួយថា "កិច្ចប្រជុំបុគ្គលិកគ្លីនិក"។</t>
  </si>
  <si>
    <t>១. មានផែនការសកម្មភាពដើម្បីដោះស្រាយចំណុចសកម្មភាពទាំងអស់ដែលកើតចេញពីកិច្ចប្រជុំទាំងនេះ</t>
  </si>
  <si>
    <t>២. មានរបាយការណ៍ឬភស្តុតាងបញ្ជាក់ពីការប្រតិបត្តិផែនការសកម្មភាពនេះ</t>
  </si>
  <si>
    <t>៣. មានកំណត់ហេតុប្រជុំស្ដីពីព័ត៌មានត្រឡប់អំពីការប្រតិបត្តិជូនដល់បុគ្គលិកគ្លីនិកនៅកិច្ចប្រជុំគ្លីនិកលើកក្រោយ។</t>
  </si>
  <si>
    <t>១. មាននីតិវិធីប្រតិបត្តិស្តង់ដាការគ្រប់គ្រប់គ្រងភាពមិនអនុលោម (Nonconformity Management) (រួមបញ្ចូលទាំងទម្រង់បានអាននិងយល់)</t>
  </si>
  <si>
    <t xml:space="preserve">២. មានទម្រង់ភាពមិនអនុលោម (Nonconformity Form) </t>
  </si>
  <si>
    <t>៣. មាន Tally list form។</t>
  </si>
  <si>
    <t>១. មាននីតិវិធីប្រតិបត្តិស្តង់ដាសម្រាប់ដោះស្រាយបណ្តឹងតវ៉ា ហើយមានបញ្ជាក់ពីទម្រង់បណ្តឹងតវ៉ាសម្រាប់បំពេញ និងទម្រង់បានអាននិងយល់។</t>
  </si>
  <si>
    <t>២. មានកំណត់ហេតុប្រជុំបុគ្គលិក​ប្រចាំ​សប្តាហ៍​ដែល​ពន្យល់​ពី​នីតិវិធី​ដោះស្រាយ​បណ្តឹងតវ៉ានិង​ហេតុអ្វី​បាន​ជា​បណ្តឹងតវ៉ាចាំបាច់​ត្រូវ​ដោះស្រាយ​យោង​តាមនីតិវិធី​នេះ។</t>
  </si>
  <si>
    <t>១. មានតារាងបែងចែកភារកិច្ច (Authorization Matrix) ដែល​មាន​បច្ចុប្បន្ន​ភាព ដោយបានរួមបញ្ចូលភារកិច្ចនិងការទទួលខុសត្រូវបានរៀបរាប់នៅក្នុងនីតិវិធីប្រតិបត្តិស្តង់ដាការដោះស្រាយបណ្តឹងតវ៉ា។</t>
  </si>
  <si>
    <t>២. មានទម្រង់នៃពាក្យបណ្តឹងបានបំពេញរួចស្របទៅតាម​នីតិវិធីប្រតិបត្តិស្តង់ដា</t>
  </si>
  <si>
    <t>១. មានភស្តុតាងឬកំណត់ត្រានៃការឆ្លើយត្រឡប់ជូនទៅអ្នកប្តឹងតវ៉ាវិញ</t>
  </si>
  <si>
    <t>២. មានទម្រង់ពាក្យបណ្តឹងតវ៉ាដែលបានបំពេញរួច</t>
  </si>
  <si>
    <t>មាននីតិវិធីប្រតិបត្តិស្តង់ដាអំពីរបៀបនៃការធ្វើសកម្មភាពទៅតាមស្ថានភាពបន្ទាន់ជាក់លាក់</t>
  </si>
  <si>
    <t>មានឧបករណ៍បរិក្ខាពន្លត់អគ្គិភ័យ</t>
  </si>
  <si>
    <t>មានសញ្ញាបង្ហាញផ្លូវត្រូវជម្លៀសចេញ</t>
  </si>
  <si>
    <t>Number of Imported Indicators</t>
  </si>
  <si>
    <t>Wait for the counter to stop before you procede to the next step</t>
  </si>
  <si>
    <t>CL1.1</t>
  </si>
  <si>
    <t>CL1.2</t>
  </si>
  <si>
    <t>CL1.3</t>
  </si>
  <si>
    <t>CL1.4</t>
  </si>
  <si>
    <t>CL1.5</t>
  </si>
  <si>
    <t>CL1.6</t>
  </si>
  <si>
    <t>CL1.7</t>
  </si>
  <si>
    <t>CL1.8</t>
  </si>
  <si>
    <t>CL1.9</t>
  </si>
  <si>
    <t>CL1.10</t>
  </si>
  <si>
    <t>CL1.11</t>
  </si>
  <si>
    <t>CL1.12</t>
  </si>
  <si>
    <t>CL1.13</t>
  </si>
  <si>
    <t>CL1.14</t>
  </si>
  <si>
    <t>CL1.15</t>
  </si>
  <si>
    <t>CL1.16</t>
  </si>
  <si>
    <t>CL1.17</t>
  </si>
  <si>
    <t>CL1.18</t>
  </si>
  <si>
    <t>CL1.19</t>
  </si>
  <si>
    <t>CL1.20</t>
  </si>
  <si>
    <t>CL1.21</t>
  </si>
  <si>
    <t>CL1.22</t>
  </si>
  <si>
    <t>CL1.23</t>
  </si>
  <si>
    <t>CL1.24</t>
  </si>
  <si>
    <t>CL1.25</t>
  </si>
  <si>
    <t>CL1.26</t>
  </si>
  <si>
    <t>CL1.27</t>
  </si>
  <si>
    <t>CL1.28</t>
  </si>
  <si>
    <t>CL1.29</t>
  </si>
  <si>
    <t>CL1.30</t>
  </si>
  <si>
    <t>CL1.31</t>
  </si>
  <si>
    <t>CL1.32</t>
  </si>
  <si>
    <t>CL1.33</t>
  </si>
  <si>
    <t>CL1.34</t>
  </si>
  <si>
    <t>CL1.35</t>
  </si>
  <si>
    <t>CL1.36</t>
  </si>
  <si>
    <t>CL1.37</t>
  </si>
  <si>
    <t>CL1.38</t>
  </si>
  <si>
    <t>CL1.39</t>
  </si>
  <si>
    <t>CL1.40</t>
  </si>
  <si>
    <t>CL1.41</t>
  </si>
  <si>
    <t>CL1.42</t>
  </si>
  <si>
    <t>CL1.43</t>
  </si>
  <si>
    <t>CL1.44</t>
  </si>
  <si>
    <t>CL1.45</t>
  </si>
  <si>
    <t>CL1.46</t>
  </si>
  <si>
    <t>CL1.47</t>
  </si>
  <si>
    <t>CL1.48</t>
  </si>
  <si>
    <t>CL1.49</t>
  </si>
  <si>
    <t>CL1.50</t>
  </si>
  <si>
    <t>CL1.51</t>
  </si>
  <si>
    <t>CL1.52</t>
  </si>
  <si>
    <t>CL1.53</t>
  </si>
  <si>
    <t>CL1.54</t>
  </si>
  <si>
    <t>CL1.55</t>
  </si>
  <si>
    <t>CL1.56</t>
  </si>
  <si>
    <t>CL1.57</t>
  </si>
  <si>
    <t>CL1.58</t>
  </si>
  <si>
    <t>CL1.59</t>
  </si>
  <si>
    <t>CL1.60</t>
  </si>
  <si>
    <t>CL1.61</t>
  </si>
  <si>
    <t>CL1.62</t>
  </si>
  <si>
    <t>CL1.63</t>
  </si>
  <si>
    <t>CL1.64</t>
  </si>
  <si>
    <t>CL1.65</t>
  </si>
  <si>
    <t>CL1.66</t>
  </si>
  <si>
    <t>CL1.67</t>
  </si>
  <si>
    <t>CL1.68</t>
  </si>
  <si>
    <t>CL1.69</t>
  </si>
  <si>
    <t>CL1.70</t>
  </si>
  <si>
    <t>CL1.71</t>
  </si>
  <si>
    <t>CL1.72</t>
  </si>
  <si>
    <t>CL1.73</t>
  </si>
  <si>
    <t>CL1.74</t>
  </si>
  <si>
    <t>CL1.75</t>
  </si>
  <si>
    <t>CL1.76</t>
  </si>
  <si>
    <t>CL1.77</t>
  </si>
  <si>
    <t>CL1.78</t>
  </si>
  <si>
    <t>CL1.79</t>
  </si>
  <si>
    <t>CL1.80</t>
  </si>
  <si>
    <t>CL1.81</t>
  </si>
  <si>
    <t>CL1.82</t>
  </si>
  <si>
    <t>CL1.83</t>
  </si>
  <si>
    <t>CL1.84</t>
  </si>
  <si>
    <t>CL1.85</t>
  </si>
  <si>
    <t>CL1.86</t>
  </si>
  <si>
    <t>CL1.87</t>
  </si>
  <si>
    <t>CL1.88</t>
  </si>
  <si>
    <t>CL1.89</t>
  </si>
  <si>
    <t>CL1.90</t>
  </si>
  <si>
    <t>CL1.91</t>
  </si>
  <si>
    <t>CL1.92</t>
  </si>
  <si>
    <t>CL1.93</t>
  </si>
  <si>
    <t>CL1.94</t>
  </si>
  <si>
    <t>CL1.95</t>
  </si>
  <si>
    <t>CL1.96</t>
  </si>
  <si>
    <t>CL1.97</t>
  </si>
  <si>
    <t>CL1.98</t>
  </si>
  <si>
    <t>CL1.99</t>
  </si>
  <si>
    <t>CL1.100</t>
  </si>
  <si>
    <t>CL1.101</t>
  </si>
  <si>
    <t>CL1.102</t>
  </si>
  <si>
    <t>CL1.103</t>
  </si>
  <si>
    <t>CL1.104</t>
  </si>
  <si>
    <t>CL1.105</t>
  </si>
  <si>
    <t>CL1.106</t>
  </si>
  <si>
    <t>CL1.107</t>
  </si>
  <si>
    <t>CL1.108</t>
  </si>
  <si>
    <t>CL1.109</t>
  </si>
  <si>
    <t>CL1.110</t>
  </si>
  <si>
    <t>CL1.111</t>
  </si>
  <si>
    <t>CL1.112</t>
  </si>
  <si>
    <t>CL1.113</t>
  </si>
  <si>
    <t>CL1.114</t>
  </si>
  <si>
    <t>CL1.115</t>
  </si>
  <si>
    <t>CL1.116</t>
  </si>
  <si>
    <t>CL1.117</t>
  </si>
  <si>
    <t>CL1.118</t>
  </si>
  <si>
    <t>CL1.119</t>
  </si>
  <si>
    <t>CL1.120</t>
  </si>
  <si>
    <t>CL1.121</t>
  </si>
  <si>
    <t>CL1.122</t>
  </si>
  <si>
    <t>CL1.123</t>
  </si>
  <si>
    <t>CL1.124</t>
  </si>
  <si>
    <t>CL1.125</t>
  </si>
  <si>
    <t>CL1.126</t>
  </si>
  <si>
    <t>CL1.127</t>
  </si>
  <si>
    <t>CL1.128</t>
  </si>
  <si>
    <t>CL1.129</t>
  </si>
  <si>
    <t>CL1.130</t>
  </si>
  <si>
    <t>CL1.131</t>
  </si>
  <si>
    <t>CL1.132</t>
  </si>
  <si>
    <t>CL1.133</t>
  </si>
  <si>
    <t>CL1.134</t>
  </si>
  <si>
    <t>CL1.135</t>
  </si>
  <si>
    <t>CL1.136</t>
  </si>
  <si>
    <t>CL1.137</t>
  </si>
  <si>
    <t>CL1.138</t>
  </si>
  <si>
    <t>CL1.139</t>
  </si>
  <si>
    <t>CL1.140</t>
  </si>
  <si>
    <t>CL1.141</t>
  </si>
  <si>
    <t>CL1.142</t>
  </si>
  <si>
    <t>CL1.143</t>
  </si>
  <si>
    <t>CL1.144</t>
  </si>
  <si>
    <t>CL1.145</t>
  </si>
  <si>
    <t>CL1.146</t>
  </si>
  <si>
    <t>CL1.147</t>
  </si>
  <si>
    <t>CL1.148</t>
  </si>
  <si>
    <t>CL1.149</t>
  </si>
  <si>
    <t>CL1.150</t>
  </si>
  <si>
    <t>CL1.151</t>
  </si>
  <si>
    <t>CL1.152</t>
  </si>
  <si>
    <t>CL1.153</t>
  </si>
  <si>
    <t>CL1.154</t>
  </si>
  <si>
    <t>CL1.155</t>
  </si>
  <si>
    <t>CL1.156</t>
  </si>
  <si>
    <t>CL1.157</t>
  </si>
  <si>
    <t>CL1.158</t>
  </si>
  <si>
    <t>CL1.159</t>
  </si>
  <si>
    <t>CL1.160</t>
  </si>
  <si>
    <t>CL1.161</t>
  </si>
  <si>
    <t>CL1.162</t>
  </si>
  <si>
    <t>CL1.163</t>
  </si>
  <si>
    <t>CL1.164</t>
  </si>
  <si>
    <t>CL1.165</t>
  </si>
  <si>
    <t>CL1.166</t>
  </si>
  <si>
    <t>CL1.167</t>
  </si>
  <si>
    <t>CL1.168</t>
  </si>
  <si>
    <t>CL1.169</t>
  </si>
  <si>
    <t>CL1.170</t>
  </si>
  <si>
    <t>CL1.171</t>
  </si>
  <si>
    <t>CL1.172</t>
  </si>
  <si>
    <t>CL1.173</t>
  </si>
  <si>
    <t>CL1.174</t>
  </si>
  <si>
    <t>CL1.175</t>
  </si>
  <si>
    <t>CL1.176</t>
  </si>
  <si>
    <t>CL1.177</t>
  </si>
  <si>
    <t>CL1.178</t>
  </si>
  <si>
    <t>CL1.179</t>
  </si>
  <si>
    <t>CL1.180</t>
  </si>
  <si>
    <t>CL1.181</t>
  </si>
  <si>
    <t>CL1.182</t>
  </si>
  <si>
    <t>CL1.183</t>
  </si>
  <si>
    <t>CL1.184</t>
  </si>
  <si>
    <t>CL1.185</t>
  </si>
  <si>
    <t>CL1.186</t>
  </si>
  <si>
    <t>CL1.187</t>
  </si>
  <si>
    <t>CL1.188</t>
  </si>
  <si>
    <t>CL1.189</t>
  </si>
  <si>
    <t>CL1.190</t>
  </si>
  <si>
    <t>CL1.191</t>
  </si>
  <si>
    <t>CL1.192</t>
  </si>
  <si>
    <t>CL1.193</t>
  </si>
  <si>
    <t>CL1.194</t>
  </si>
  <si>
    <t>CL1.195</t>
  </si>
  <si>
    <t>CL1.196</t>
  </si>
  <si>
    <t>CL1.197</t>
  </si>
  <si>
    <t>CL1.198</t>
  </si>
  <si>
    <t>CL1.199</t>
  </si>
  <si>
    <t>CL1.200</t>
  </si>
  <si>
    <t>CL1.201</t>
  </si>
  <si>
    <t>CL1.202</t>
  </si>
  <si>
    <t>CL1.203</t>
  </si>
  <si>
    <t>CL1.204</t>
  </si>
  <si>
    <t>CL1.205</t>
  </si>
  <si>
    <t>CL1.206</t>
  </si>
  <si>
    <t>CL1.207</t>
  </si>
  <si>
    <t>CL1.208</t>
  </si>
  <si>
    <t>CL1.209</t>
  </si>
  <si>
    <t>CL1.210</t>
  </si>
  <si>
    <t>CL1.211</t>
  </si>
  <si>
    <t>CL1.212</t>
  </si>
  <si>
    <t>CL1.213</t>
  </si>
  <si>
    <t>CL1.214</t>
  </si>
  <si>
    <t>CL1.215</t>
  </si>
  <si>
    <t>CL1.216</t>
  </si>
  <si>
    <t>CL1.217</t>
  </si>
  <si>
    <t>CL1.218</t>
  </si>
  <si>
    <t>CL1.219</t>
  </si>
  <si>
    <t>CL1.220</t>
  </si>
  <si>
    <t>CL1.221</t>
  </si>
  <si>
    <t>CL1.222</t>
  </si>
  <si>
    <t>CL1.223</t>
  </si>
  <si>
    <t>CL1.224</t>
  </si>
  <si>
    <t>CL1.225</t>
  </si>
  <si>
    <t>CL1.226</t>
  </si>
  <si>
    <t>CL1.227</t>
  </si>
  <si>
    <t>CL1.228</t>
  </si>
  <si>
    <t>CL1.229</t>
  </si>
  <si>
    <t>CL1.230</t>
  </si>
  <si>
    <t>CL1.231</t>
  </si>
  <si>
    <t>CL1.232</t>
  </si>
  <si>
    <t>CL1.233</t>
  </si>
  <si>
    <t>CL1.234</t>
  </si>
  <si>
    <t>CL1.235</t>
  </si>
  <si>
    <t>CL1.236</t>
  </si>
  <si>
    <t>CL1.237</t>
  </si>
  <si>
    <t>CL1.238</t>
  </si>
  <si>
    <t>CL1.239</t>
  </si>
  <si>
    <t>CL1.240</t>
  </si>
  <si>
    <t>CL1.241</t>
  </si>
  <si>
    <t>CL1.242</t>
  </si>
  <si>
    <t>CL1.243</t>
  </si>
  <si>
    <t>CL1.244</t>
  </si>
  <si>
    <t>CL1.245</t>
  </si>
  <si>
    <t>CL1.246</t>
  </si>
  <si>
    <t>CL1.247</t>
  </si>
  <si>
    <t>CL1.248</t>
  </si>
  <si>
    <t>CL1.249</t>
  </si>
  <si>
    <t>CL1.250</t>
  </si>
  <si>
    <t>CL1.251</t>
  </si>
  <si>
    <t>CL1.252</t>
  </si>
  <si>
    <t>CL1.253</t>
  </si>
  <si>
    <t>CL1.254</t>
  </si>
  <si>
    <t>CL1.255</t>
  </si>
  <si>
    <t>CL1.256</t>
  </si>
  <si>
    <t>CL1.257</t>
  </si>
  <si>
    <t>CL1.258</t>
  </si>
  <si>
    <t>CL1.259</t>
  </si>
  <si>
    <t>CL1.260</t>
  </si>
  <si>
    <t>CL1.261</t>
  </si>
  <si>
    <t>CL1.262</t>
  </si>
  <si>
    <t>CL1.263</t>
  </si>
  <si>
    <t>CL1.264</t>
  </si>
  <si>
    <t>CL1.265</t>
  </si>
  <si>
    <t>CL1.266</t>
  </si>
  <si>
    <t>CL1.267</t>
  </si>
  <si>
    <t>CL1.268</t>
  </si>
  <si>
    <t>CL1.269</t>
  </si>
  <si>
    <t>CL1.270</t>
  </si>
  <si>
    <t>CL1.271</t>
  </si>
  <si>
    <t>CL1.272</t>
  </si>
  <si>
    <t>CL1.273</t>
  </si>
  <si>
    <t>CL1.274</t>
  </si>
  <si>
    <t>CL1.275</t>
  </si>
  <si>
    <t>CL1.276</t>
  </si>
  <si>
    <t>CL1.277</t>
  </si>
  <si>
    <t>CL1.278</t>
  </si>
  <si>
    <t>CL1.279</t>
  </si>
  <si>
    <t>CL1.280</t>
  </si>
  <si>
    <t>CL1.281</t>
  </si>
  <si>
    <t>CL1.282</t>
  </si>
  <si>
    <t>CL1.283</t>
  </si>
  <si>
    <t>CL1.284</t>
  </si>
  <si>
    <t>CL1.285</t>
  </si>
  <si>
    <t>CL1.286</t>
  </si>
  <si>
    <t>CL1.287</t>
  </si>
  <si>
    <t>CL1.288</t>
  </si>
  <si>
    <t>CL1.289</t>
  </si>
  <si>
    <t>CL1.290</t>
  </si>
  <si>
    <t>CL1.291</t>
  </si>
  <si>
    <t>CL1.292</t>
  </si>
  <si>
    <t>CL1.293</t>
  </si>
  <si>
    <t>CL1.294</t>
  </si>
  <si>
    <t>CL1.295</t>
  </si>
  <si>
    <t>CL1.296</t>
  </si>
  <si>
    <t>CL1.297</t>
  </si>
  <si>
    <t>CL1.298</t>
  </si>
  <si>
    <t>CL1.299</t>
  </si>
  <si>
    <t>CL1.300</t>
  </si>
  <si>
    <t>CL1.301</t>
  </si>
  <si>
    <t>CL1.302</t>
  </si>
  <si>
    <t>CL1.303</t>
  </si>
  <si>
    <t>CL1.304</t>
  </si>
  <si>
    <t>CL1.305</t>
  </si>
  <si>
    <t>CL1.306</t>
  </si>
  <si>
    <t>CL1.307</t>
  </si>
  <si>
    <t>CL1.308</t>
  </si>
  <si>
    <t>CL1.309</t>
  </si>
  <si>
    <t>CL1.310</t>
  </si>
  <si>
    <t>CL1.311</t>
  </si>
  <si>
    <t>CL1.312</t>
  </si>
  <si>
    <t>CL1.313</t>
  </si>
  <si>
    <t>CL1.314</t>
  </si>
  <si>
    <t>CL1.315</t>
  </si>
  <si>
    <t>CL1.316</t>
  </si>
  <si>
    <t>CL1.317</t>
  </si>
  <si>
    <t>CL1.318</t>
  </si>
  <si>
    <t>CL1.319</t>
  </si>
  <si>
    <t>CL1.320</t>
  </si>
  <si>
    <t>CL1.321</t>
  </si>
  <si>
    <t>CL1.322</t>
  </si>
  <si>
    <t>CL1.323</t>
  </si>
  <si>
    <t>CL1.324</t>
  </si>
  <si>
    <t>CL1.325</t>
  </si>
  <si>
    <t>CL1.326</t>
  </si>
  <si>
    <t>CL1.327</t>
  </si>
  <si>
    <t>CL1.328</t>
  </si>
  <si>
    <t>CL1.329</t>
  </si>
  <si>
    <t>CL1.330</t>
  </si>
  <si>
    <t>CL1.331</t>
  </si>
  <si>
    <t>CL1.332</t>
  </si>
  <si>
    <t>CL1.333</t>
  </si>
  <si>
    <t>CL1.334</t>
  </si>
  <si>
    <t>CL1.335</t>
  </si>
  <si>
    <t>CL1.336</t>
  </si>
  <si>
    <t>CL1.337</t>
  </si>
  <si>
    <t>CL1.338</t>
  </si>
  <si>
    <t>CL1.339</t>
  </si>
  <si>
    <t>CL1.340</t>
  </si>
  <si>
    <t>CL1.341</t>
  </si>
  <si>
    <t>CL1.342</t>
  </si>
  <si>
    <t>CL1.343</t>
  </si>
  <si>
    <t>CL1.344</t>
  </si>
  <si>
    <t>CL1.345</t>
  </si>
  <si>
    <t>CL1.346</t>
  </si>
  <si>
    <t>CL1.347</t>
  </si>
  <si>
    <t>CL1.348</t>
  </si>
  <si>
    <t>CL1.349</t>
  </si>
  <si>
    <t>CL1.350</t>
  </si>
  <si>
    <t>CL1.351</t>
  </si>
  <si>
    <t>CL1.352</t>
  </si>
  <si>
    <t>CL1.353</t>
  </si>
  <si>
    <t>CL1.354</t>
  </si>
  <si>
    <t>CL1.355</t>
  </si>
  <si>
    <t>CL1.356</t>
  </si>
  <si>
    <t>CL1.357</t>
  </si>
  <si>
    <t>CL1.358</t>
  </si>
  <si>
    <t>CL1.359</t>
  </si>
  <si>
    <t>CL1.360</t>
  </si>
  <si>
    <t>CL1.361</t>
  </si>
  <si>
    <t>CL1.362</t>
  </si>
  <si>
    <t>CL1.363</t>
  </si>
  <si>
    <t>CL1.364</t>
  </si>
  <si>
    <t>CL1.365</t>
  </si>
  <si>
    <t>CL1.366</t>
  </si>
  <si>
    <t>CL1.367</t>
  </si>
  <si>
    <t>CL1.368</t>
  </si>
  <si>
    <t>CL1.369</t>
  </si>
  <si>
    <t>CL1.370</t>
  </si>
  <si>
    <t>CL1.371</t>
  </si>
  <si>
    <t>CL1.372</t>
  </si>
  <si>
    <t>CL1.373</t>
  </si>
  <si>
    <t>CL1.374</t>
  </si>
  <si>
    <t>CL1.375</t>
  </si>
  <si>
    <t>CL1.376</t>
  </si>
  <si>
    <t>CL1.377</t>
  </si>
  <si>
    <t>CL1.378</t>
  </si>
  <si>
    <t>CL1.379</t>
  </si>
  <si>
    <t>CL1.380</t>
  </si>
  <si>
    <t>CL1.381</t>
  </si>
  <si>
    <t>CL1.382</t>
  </si>
  <si>
    <t>CL1.383</t>
  </si>
  <si>
    <t>CL1.384</t>
  </si>
  <si>
    <t>CL1.385</t>
  </si>
  <si>
    <t>CL1.386</t>
  </si>
  <si>
    <t>CL1.387</t>
  </si>
  <si>
    <t>CL1.388</t>
  </si>
  <si>
    <t>CL1.389</t>
  </si>
  <si>
    <t>CL1.390</t>
  </si>
  <si>
    <t>CL1.391</t>
  </si>
  <si>
    <t>CL1.392</t>
  </si>
  <si>
    <t>CL1.393</t>
  </si>
  <si>
    <t>CL1.394</t>
  </si>
  <si>
    <t>CL1.395</t>
  </si>
  <si>
    <t>CL1.396</t>
  </si>
  <si>
    <t>CL1.397</t>
  </si>
  <si>
    <t>CL1.398</t>
  </si>
  <si>
    <t>CL1.399</t>
  </si>
  <si>
    <t>CL1.400</t>
  </si>
  <si>
    <t>CL1.401</t>
  </si>
  <si>
    <t>CL1.402</t>
  </si>
  <si>
    <t>CL1.403</t>
  </si>
  <si>
    <t>CL1.404</t>
  </si>
  <si>
    <t>CL1.405</t>
  </si>
  <si>
    <t>CL1.406</t>
  </si>
  <si>
    <t>CL1.407</t>
  </si>
  <si>
    <t>CL1.408</t>
  </si>
  <si>
    <t>CL1.409</t>
  </si>
  <si>
    <t>CL1.410</t>
  </si>
  <si>
    <t>CL1.411</t>
  </si>
  <si>
    <t>CL1.412</t>
  </si>
  <si>
    <t>CL1.413</t>
  </si>
  <si>
    <t>CL1.414</t>
  </si>
  <si>
    <t>CL1.415</t>
  </si>
  <si>
    <t>CL1.416</t>
  </si>
  <si>
    <t>CL1.417</t>
  </si>
  <si>
    <t>CL1.418</t>
  </si>
  <si>
    <t>CL1.419</t>
  </si>
  <si>
    <t>CL1.420</t>
  </si>
  <si>
    <t>CL1.421</t>
  </si>
  <si>
    <t>CL1.422</t>
  </si>
  <si>
    <t>CL1.423</t>
  </si>
  <si>
    <t>CL1.424</t>
  </si>
  <si>
    <t>CL1.425</t>
  </si>
  <si>
    <t>CL1.426</t>
  </si>
  <si>
    <t>CL1.427</t>
  </si>
  <si>
    <t>CL1.428</t>
  </si>
  <si>
    <t>CL1.429</t>
  </si>
  <si>
    <t>CL1.430</t>
  </si>
  <si>
    <t>CL1.431</t>
  </si>
  <si>
    <t>CL1.432</t>
  </si>
  <si>
    <t>CL1.433</t>
  </si>
  <si>
    <t>CL1.434</t>
  </si>
  <si>
    <t>CL1.435</t>
  </si>
  <si>
    <t>CL1.436</t>
  </si>
  <si>
    <t>CL1.437</t>
  </si>
  <si>
    <t>CL1.438</t>
  </si>
  <si>
    <t>CL1.439</t>
  </si>
  <si>
    <t>CL1.440</t>
  </si>
  <si>
    <t>CL1.441</t>
  </si>
  <si>
    <t>CL1.442</t>
  </si>
  <si>
    <t>CL1.443</t>
  </si>
  <si>
    <t>CL1.444</t>
  </si>
  <si>
    <t>CL1.445</t>
  </si>
  <si>
    <t>CL1.446</t>
  </si>
  <si>
    <t>CL1.447</t>
  </si>
  <si>
    <t>CL1.448</t>
  </si>
  <si>
    <t>CL1.449</t>
  </si>
  <si>
    <t>CL1.450</t>
  </si>
  <si>
    <t>CL1.451</t>
  </si>
  <si>
    <t>CL1.452</t>
  </si>
  <si>
    <t>CL1.453</t>
  </si>
  <si>
    <t>CL1.454</t>
  </si>
  <si>
    <t>CL1.455</t>
  </si>
  <si>
    <t>CL1.456</t>
  </si>
  <si>
    <t>CL1.457</t>
  </si>
  <si>
    <t>CL1.458</t>
  </si>
  <si>
    <t>CL1.459</t>
  </si>
  <si>
    <t>CL1.460</t>
  </si>
  <si>
    <t>CL1.461</t>
  </si>
  <si>
    <t>CL1.462</t>
  </si>
  <si>
    <t>CL1.463</t>
  </si>
  <si>
    <t>CL1.464</t>
  </si>
  <si>
    <t>CL1.465</t>
  </si>
  <si>
    <t>CL1.466</t>
  </si>
  <si>
    <t>CL1.467</t>
  </si>
  <si>
    <t>CL1.468</t>
  </si>
  <si>
    <t>CL1.469</t>
  </si>
  <si>
    <t>CL1.470</t>
  </si>
  <si>
    <t>CL1.471</t>
  </si>
  <si>
    <t>CL1.472</t>
  </si>
  <si>
    <t>CL1.473</t>
  </si>
  <si>
    <t>CL1.474</t>
  </si>
  <si>
    <t>CL1.475</t>
  </si>
  <si>
    <t>CL1.476</t>
  </si>
  <si>
    <t>CL1.477</t>
  </si>
  <si>
    <t>CL1.478</t>
  </si>
  <si>
    <t>CL1.479</t>
  </si>
  <si>
    <t>CL1.480</t>
  </si>
  <si>
    <t>CL1.481</t>
  </si>
  <si>
    <t>CL1.482</t>
  </si>
  <si>
    <t>CL1.483</t>
  </si>
  <si>
    <t>CL1.484</t>
  </si>
  <si>
    <t>CL1.485</t>
  </si>
  <si>
    <t>CL1.486</t>
  </si>
  <si>
    <t>CL1.487</t>
  </si>
  <si>
    <t>CL1.488</t>
  </si>
  <si>
    <t>CL1.489</t>
  </si>
  <si>
    <t>CL1.490</t>
  </si>
  <si>
    <t>CL1.491</t>
  </si>
  <si>
    <t>CL1.492</t>
  </si>
  <si>
    <t>CL1.493</t>
  </si>
  <si>
    <t>CL1.494</t>
  </si>
  <si>
    <t>CL1.495</t>
  </si>
  <si>
    <t>CL1.496</t>
  </si>
  <si>
    <t>CL1.497</t>
  </si>
  <si>
    <t>CL1.498</t>
  </si>
  <si>
    <t>CL1.499</t>
  </si>
  <si>
    <t>CL1.500</t>
  </si>
  <si>
    <t>CL1.501</t>
  </si>
  <si>
    <t>CL1.502</t>
  </si>
  <si>
    <t>CL1.503</t>
  </si>
  <si>
    <t>CL1.504</t>
  </si>
  <si>
    <t>CL1.505</t>
  </si>
  <si>
    <t>CL1.506</t>
  </si>
  <si>
    <t>CL1.507</t>
  </si>
  <si>
    <t>CL1.508</t>
  </si>
  <si>
    <t>CL1.509</t>
  </si>
  <si>
    <t>CL1.510</t>
  </si>
  <si>
    <t>CL1.511</t>
  </si>
  <si>
    <t>CL1.512</t>
  </si>
  <si>
    <t>CL1.513</t>
  </si>
  <si>
    <t>CL1.514</t>
  </si>
  <si>
    <t>CL1.515</t>
  </si>
  <si>
    <t>CL1.516</t>
  </si>
  <si>
    <t>CL1.517</t>
  </si>
  <si>
    <t>CL1.518</t>
  </si>
  <si>
    <t>CL1.519</t>
  </si>
  <si>
    <t>CL1.520</t>
  </si>
  <si>
    <t>CL1.521</t>
  </si>
  <si>
    <t>CL1.522</t>
  </si>
  <si>
    <t>CL1.523</t>
  </si>
  <si>
    <t>CL1.524</t>
  </si>
  <si>
    <t>CL1.525</t>
  </si>
  <si>
    <t>CL1.526</t>
  </si>
  <si>
    <t>CL1.527</t>
  </si>
  <si>
    <t>CL1.528</t>
  </si>
  <si>
    <t>CL1.529</t>
  </si>
  <si>
    <t>CL1.530</t>
  </si>
  <si>
    <t>CL1.531</t>
  </si>
  <si>
    <t>CL1.532</t>
  </si>
  <si>
    <t>CL1.533</t>
  </si>
  <si>
    <t>CL1.534</t>
  </si>
  <si>
    <t>CL1.535</t>
  </si>
  <si>
    <t>CL1.536</t>
  </si>
  <si>
    <t>CL1.537</t>
  </si>
  <si>
    <t>CL1.538</t>
  </si>
  <si>
    <t>CL1.539</t>
  </si>
  <si>
    <t>CL1.540</t>
  </si>
  <si>
    <t>CL1.541</t>
  </si>
  <si>
    <t>CL1.542</t>
  </si>
  <si>
    <t>CL1.543</t>
  </si>
  <si>
    <t>CL1.544</t>
  </si>
  <si>
    <t>CL1.545</t>
  </si>
  <si>
    <t>CL1.546</t>
  </si>
  <si>
    <t>CL1.547</t>
  </si>
  <si>
    <t>CL1.548</t>
  </si>
  <si>
    <t>CL1.549</t>
  </si>
  <si>
    <t>CL1.550</t>
  </si>
  <si>
    <t>CL1.551</t>
  </si>
  <si>
    <t>CL1.552</t>
  </si>
  <si>
    <t>CL1.553</t>
  </si>
  <si>
    <t>CL1.554</t>
  </si>
  <si>
    <t>CL1.555</t>
  </si>
  <si>
    <t>CL1.556</t>
  </si>
  <si>
    <t>CL1.557</t>
  </si>
  <si>
    <t>CL1.558</t>
  </si>
  <si>
    <t>CL1.559</t>
  </si>
  <si>
    <t>CL1.560</t>
  </si>
  <si>
    <t>CL1.561</t>
  </si>
  <si>
    <t>CL1.562</t>
  </si>
  <si>
    <t>CL1.563</t>
  </si>
  <si>
    <t>CL1.564</t>
  </si>
  <si>
    <t>CL1.565</t>
  </si>
  <si>
    <t>CL1.566</t>
  </si>
  <si>
    <t>CL1.567</t>
  </si>
  <si>
    <t>CL1.568</t>
  </si>
  <si>
    <t>CL1.569</t>
  </si>
  <si>
    <t>CL1.570</t>
  </si>
  <si>
    <t>CL1.571</t>
  </si>
  <si>
    <t>CL1.572</t>
  </si>
  <si>
    <t>CL1.573</t>
  </si>
  <si>
    <t>CL1.574</t>
  </si>
  <si>
    <t>CL1.575</t>
  </si>
  <si>
    <t>CL1.576</t>
  </si>
  <si>
    <t>CL1.577</t>
  </si>
  <si>
    <t>CL1.578</t>
  </si>
  <si>
    <t>CL1.579</t>
  </si>
  <si>
    <t>CL1.580</t>
  </si>
  <si>
    <t>CL1.581</t>
  </si>
  <si>
    <t>CL1.582</t>
  </si>
  <si>
    <t>CL1.583</t>
  </si>
  <si>
    <t>CL1.584</t>
  </si>
  <si>
    <t>CL1.585</t>
  </si>
  <si>
    <t>CL1.586</t>
  </si>
  <si>
    <t>CL1.587</t>
  </si>
  <si>
    <t>CL1.588</t>
  </si>
  <si>
    <t>CL1.589</t>
  </si>
  <si>
    <t>CL1.590</t>
  </si>
  <si>
    <t>CL1.591</t>
  </si>
  <si>
    <t>CL1.592</t>
  </si>
  <si>
    <t>CL1.593</t>
  </si>
  <si>
    <t>CL1.594</t>
  </si>
  <si>
    <t>CL1.595</t>
  </si>
  <si>
    <t>CL1.596</t>
  </si>
  <si>
    <t>CL1.597</t>
  </si>
  <si>
    <t>CL1.598</t>
  </si>
  <si>
    <t>CL1.599</t>
  </si>
  <si>
    <t>CL1.600</t>
  </si>
  <si>
    <t>CL1.601</t>
  </si>
  <si>
    <t>CL1.602</t>
  </si>
  <si>
    <t>CL1.603</t>
  </si>
  <si>
    <t>CL1.604</t>
  </si>
  <si>
    <t>CL1.605</t>
  </si>
  <si>
    <t>CL1.606</t>
  </si>
  <si>
    <t>CL1.607</t>
  </si>
  <si>
    <t>CL1.608</t>
  </si>
  <si>
    <t>CL1.609</t>
  </si>
  <si>
    <t>CL1.610</t>
  </si>
  <si>
    <t>CL1.611</t>
  </si>
  <si>
    <t>CL1.612</t>
  </si>
  <si>
    <t>CL1.613</t>
  </si>
  <si>
    <t>CL1.614</t>
  </si>
  <si>
    <t>CL1.615</t>
  </si>
  <si>
    <t>CL1.616</t>
  </si>
  <si>
    <t>CL1.617</t>
  </si>
  <si>
    <t>CL1.618</t>
  </si>
  <si>
    <t>CL1.619</t>
  </si>
  <si>
    <t>CL1.620</t>
  </si>
  <si>
    <t>CL1.621</t>
  </si>
  <si>
    <t>CL1.622</t>
  </si>
  <si>
    <t>CL1.623</t>
  </si>
  <si>
    <t>CL1.624</t>
  </si>
  <si>
    <t>CL1.625</t>
  </si>
  <si>
    <t>CL1.626</t>
  </si>
  <si>
    <t>CL1.627</t>
  </si>
  <si>
    <t>CL1.628</t>
  </si>
  <si>
    <t>CL1.629</t>
  </si>
  <si>
    <t>CL1.630</t>
  </si>
  <si>
    <t>CL1.631</t>
  </si>
  <si>
    <t>CL1.632</t>
  </si>
  <si>
    <t>CL1.633</t>
  </si>
  <si>
    <t>CL1.634</t>
  </si>
  <si>
    <t>CL1.635</t>
  </si>
  <si>
    <t>CL1.636</t>
  </si>
  <si>
    <t>CL1.637</t>
  </si>
  <si>
    <t>CL1.638</t>
  </si>
  <si>
    <t>CL1.639</t>
  </si>
  <si>
    <t>CL1.640</t>
  </si>
  <si>
    <t>CL1.641</t>
  </si>
  <si>
    <t>CL1.642</t>
  </si>
  <si>
    <t>CL1.643</t>
  </si>
  <si>
    <t>CL1.644</t>
  </si>
  <si>
    <t>CL1.645</t>
  </si>
  <si>
    <t>CL1.646</t>
  </si>
  <si>
    <t>CL1.647</t>
  </si>
  <si>
    <t>CL1.648</t>
  </si>
  <si>
    <t>CL1.649</t>
  </si>
  <si>
    <t>CL1.650</t>
  </si>
  <si>
    <t>CL1.651</t>
  </si>
  <si>
    <t>CL1.652</t>
  </si>
  <si>
    <t>CL1.653</t>
  </si>
  <si>
    <t>CL1.654</t>
  </si>
  <si>
    <t>CL1.655</t>
  </si>
  <si>
    <t>CL1.656</t>
  </si>
  <si>
    <t>CL1.657</t>
  </si>
  <si>
    <t>CL1.658</t>
  </si>
  <si>
    <t>CL1.659</t>
  </si>
  <si>
    <t>CL1.660</t>
  </si>
  <si>
    <t>CL1.661</t>
  </si>
  <si>
    <t>CL1.662</t>
  </si>
  <si>
    <t>CL1.663</t>
  </si>
  <si>
    <t>CL1.664</t>
  </si>
  <si>
    <t>CL1.665</t>
  </si>
  <si>
    <t>CL1.666</t>
  </si>
  <si>
    <t>CL1.667</t>
  </si>
  <si>
    <t>CL1.668</t>
  </si>
  <si>
    <t>CL1.669</t>
  </si>
  <si>
    <t>CL1.670</t>
  </si>
  <si>
    <t>CL1.671</t>
  </si>
  <si>
    <t>CL1.672</t>
  </si>
  <si>
    <t>CL1.673</t>
  </si>
  <si>
    <t>CL1.674</t>
  </si>
  <si>
    <t>CL1.675</t>
  </si>
  <si>
    <t>CL1.676</t>
  </si>
  <si>
    <t>CL1.677</t>
  </si>
  <si>
    <t>CL1.678</t>
  </si>
  <si>
    <t>CL1.679</t>
  </si>
  <si>
    <t>CL1.680</t>
  </si>
  <si>
    <t>CL1.681</t>
  </si>
  <si>
    <t>CL1.682</t>
  </si>
  <si>
    <t>CL1.683</t>
  </si>
  <si>
    <t>CL1.684</t>
  </si>
  <si>
    <t>CL1.685</t>
  </si>
  <si>
    <t>CL1.686</t>
  </si>
  <si>
    <t>CL1.687</t>
  </si>
  <si>
    <t>CL1.688</t>
  </si>
  <si>
    <t>CL1.689</t>
  </si>
  <si>
    <t>CL1.690</t>
  </si>
  <si>
    <t>CL1.691</t>
  </si>
  <si>
    <t>CL1.692</t>
  </si>
  <si>
    <t>CL1.693</t>
  </si>
  <si>
    <t>CL1.694</t>
  </si>
  <si>
    <t>CL1.695</t>
  </si>
  <si>
    <t>CL1.696</t>
  </si>
  <si>
    <t>CL1.697</t>
  </si>
  <si>
    <t>CL1.698</t>
  </si>
  <si>
    <t>CL1.699</t>
  </si>
  <si>
    <t>CL1.700</t>
  </si>
  <si>
    <t>CL1.701</t>
  </si>
  <si>
    <t>CL1.702</t>
  </si>
  <si>
    <t>CL1.703</t>
  </si>
  <si>
    <t>CL1.704</t>
  </si>
  <si>
    <t>CL1.705</t>
  </si>
  <si>
    <t>CL1.706</t>
  </si>
  <si>
    <t>CL1.707</t>
  </si>
  <si>
    <t>CL1.708</t>
  </si>
  <si>
    <t>CL1.709</t>
  </si>
  <si>
    <t>CL1.710</t>
  </si>
  <si>
    <t>CL1.711</t>
  </si>
  <si>
    <t>CL1.712</t>
  </si>
  <si>
    <t>CL1.713</t>
  </si>
  <si>
    <t>CL1.714</t>
  </si>
  <si>
    <t>CL1.715</t>
  </si>
  <si>
    <t>CL1.716</t>
  </si>
  <si>
    <t>CL1.717</t>
  </si>
  <si>
    <t>CL1.718</t>
  </si>
  <si>
    <t>CL1.719</t>
  </si>
  <si>
    <t>CL1.720</t>
  </si>
  <si>
    <t>CL1.721</t>
  </si>
  <si>
    <t>CL1.722</t>
  </si>
  <si>
    <t>CL1.723</t>
  </si>
  <si>
    <t>CL1.724</t>
  </si>
  <si>
    <t>CL1.725</t>
  </si>
  <si>
    <t>CL1.726</t>
  </si>
  <si>
    <t>CL1.727</t>
  </si>
  <si>
    <t>CL1.728</t>
  </si>
  <si>
    <t>CL1.729</t>
  </si>
  <si>
    <t>CL1.730</t>
  </si>
  <si>
    <t>CL1.731</t>
  </si>
  <si>
    <t>CL1.732</t>
  </si>
  <si>
    <t>CL1.733</t>
  </si>
  <si>
    <t>CL1.734</t>
  </si>
  <si>
    <t>CL1.735</t>
  </si>
  <si>
    <t>CL1.736</t>
  </si>
  <si>
    <t>CL1.737</t>
  </si>
  <si>
    <t>CL1.738</t>
  </si>
  <si>
    <t>CL1.739</t>
  </si>
  <si>
    <t>CL1.740</t>
  </si>
  <si>
    <t>CL1.741</t>
  </si>
  <si>
    <t>CL1.742</t>
  </si>
  <si>
    <t>CL1.743</t>
  </si>
  <si>
    <t>CL1.744</t>
  </si>
  <si>
    <t>CL1.745</t>
  </si>
  <si>
    <t>CL1.746</t>
  </si>
  <si>
    <t>CL1.747</t>
  </si>
  <si>
    <t>CL1.748</t>
  </si>
  <si>
    <t>CL1.749</t>
  </si>
  <si>
    <t>CL1.750</t>
  </si>
  <si>
    <t>CL1.751</t>
  </si>
  <si>
    <t>CL1.752</t>
  </si>
  <si>
    <t>CL1.753</t>
  </si>
  <si>
    <t>CL1.754</t>
  </si>
  <si>
    <t>CL1.755</t>
  </si>
  <si>
    <t>CL1.756</t>
  </si>
  <si>
    <t>CL1.757</t>
  </si>
  <si>
    <t>CL1.758</t>
  </si>
  <si>
    <t>CL1.759</t>
  </si>
  <si>
    <t>CL1.760</t>
  </si>
  <si>
    <t>CL1.761</t>
  </si>
  <si>
    <t>CL1.762</t>
  </si>
  <si>
    <t>CL1.763</t>
  </si>
  <si>
    <t>CL1.764</t>
  </si>
  <si>
    <t>CL1.765</t>
  </si>
  <si>
    <t>CL1.766</t>
  </si>
  <si>
    <t>CL1.767</t>
  </si>
  <si>
    <t>CL1.768</t>
  </si>
  <si>
    <t>CL1.769</t>
  </si>
  <si>
    <t>CL1.770</t>
  </si>
  <si>
    <t>CL1.771</t>
  </si>
  <si>
    <t>CL1.772</t>
  </si>
  <si>
    <t>CL1.773</t>
  </si>
  <si>
    <t>CL1.774</t>
  </si>
  <si>
    <t>CL1.775</t>
  </si>
  <si>
    <t>CL1.776</t>
  </si>
  <si>
    <t>CL1.777</t>
  </si>
  <si>
    <t>CL1.778</t>
  </si>
  <si>
    <t>CL1.779</t>
  </si>
  <si>
    <t>CL1.780</t>
  </si>
  <si>
    <t>CL1.781</t>
  </si>
  <si>
    <t>CL1.782</t>
  </si>
  <si>
    <t>CL1.783</t>
  </si>
  <si>
    <t>CL1.784</t>
  </si>
  <si>
    <t>CL1.785</t>
  </si>
  <si>
    <t>CL1.786</t>
  </si>
  <si>
    <t>CL1.787</t>
  </si>
  <si>
    <t>CL1.788</t>
  </si>
  <si>
    <t>CL1.789</t>
  </si>
  <si>
    <t>CL1.790</t>
  </si>
  <si>
    <t>CL1.791</t>
  </si>
  <si>
    <t>CL1.792</t>
  </si>
  <si>
    <t>CL1.793</t>
  </si>
  <si>
    <t>CL1.794</t>
  </si>
  <si>
    <t>CL1.795</t>
  </si>
  <si>
    <t>CL1.796</t>
  </si>
  <si>
    <t>CL1.797</t>
  </si>
  <si>
    <t>CL1.798</t>
  </si>
  <si>
    <t>CL1.799</t>
  </si>
  <si>
    <t>CL1.800</t>
  </si>
  <si>
    <t>CL1.801</t>
  </si>
  <si>
    <t>CL1.802</t>
  </si>
  <si>
    <t>CL1.803</t>
  </si>
  <si>
    <t>CL1.804</t>
  </si>
  <si>
    <t>CL1.805</t>
  </si>
  <si>
    <t>CL1.806</t>
  </si>
  <si>
    <t>CL1.807</t>
  </si>
  <si>
    <t>CL1.808</t>
  </si>
  <si>
    <t>CL1.809</t>
  </si>
  <si>
    <t>CL1.810</t>
  </si>
  <si>
    <t>CL1.811</t>
  </si>
  <si>
    <t>CL1.812</t>
  </si>
  <si>
    <t>CL1.813</t>
  </si>
  <si>
    <t>CL1.814</t>
  </si>
  <si>
    <t>CL1.815</t>
  </si>
  <si>
    <t>CL1.816</t>
  </si>
  <si>
    <t>CL1.817</t>
  </si>
  <si>
    <t>CL1.818</t>
  </si>
  <si>
    <t>CL1.819</t>
  </si>
  <si>
    <t>CL1.820</t>
  </si>
  <si>
    <t>CL1.821</t>
  </si>
  <si>
    <t>CL1.822</t>
  </si>
  <si>
    <t>CL1.823</t>
  </si>
  <si>
    <t>CL1.824</t>
  </si>
  <si>
    <t>CL1.825</t>
  </si>
  <si>
    <t>CL1.826</t>
  </si>
  <si>
    <t>CL1.827</t>
  </si>
  <si>
    <t>CL1.828</t>
  </si>
  <si>
    <t>CL1.829</t>
  </si>
  <si>
    <t>CL1.830</t>
  </si>
  <si>
    <t>CL1.831</t>
  </si>
  <si>
    <t>CL1.832</t>
  </si>
  <si>
    <t>CL1.833</t>
  </si>
  <si>
    <t>CL1.834</t>
  </si>
  <si>
    <t>CL1.835</t>
  </si>
  <si>
    <t>CL1.836</t>
  </si>
  <si>
    <t>CL1.837</t>
  </si>
  <si>
    <t>CL1.838</t>
  </si>
  <si>
    <t>CL1.839</t>
  </si>
  <si>
    <t>CL1.840</t>
  </si>
  <si>
    <t>CL1.841</t>
  </si>
  <si>
    <t>CL1.842</t>
  </si>
  <si>
    <t>CL1.843</t>
  </si>
  <si>
    <t>CL1.844</t>
  </si>
  <si>
    <t>CL1.845</t>
  </si>
  <si>
    <t>CL1.846</t>
  </si>
  <si>
    <t>CL1.847</t>
  </si>
  <si>
    <t>CL1.848</t>
  </si>
  <si>
    <t>CL1.849</t>
  </si>
  <si>
    <t>CL1.850</t>
  </si>
  <si>
    <t>CL1.851</t>
  </si>
  <si>
    <t>CL1.852</t>
  </si>
  <si>
    <t>CL1.853</t>
  </si>
  <si>
    <t>CL1.854</t>
  </si>
  <si>
    <t>CL1.855</t>
  </si>
  <si>
    <t>CL1.856</t>
  </si>
  <si>
    <t>CL1.857</t>
  </si>
  <si>
    <t>CL1.858</t>
  </si>
  <si>
    <t>CL1.859</t>
  </si>
  <si>
    <t>CL1.860</t>
  </si>
  <si>
    <t>CL1.861</t>
  </si>
  <si>
    <t>CL1.862</t>
  </si>
  <si>
    <t>CL1.863</t>
  </si>
  <si>
    <t>CL1.864</t>
  </si>
  <si>
    <t>CL1.865</t>
  </si>
  <si>
    <t>CL1.866</t>
  </si>
  <si>
    <t>CL1.867</t>
  </si>
  <si>
    <t>CL1.868</t>
  </si>
  <si>
    <t>CL1.869</t>
  </si>
  <si>
    <t>CL1.870</t>
  </si>
  <si>
    <t>CL1.871</t>
  </si>
  <si>
    <t>CL1.872</t>
  </si>
  <si>
    <t>CL1.873</t>
  </si>
  <si>
    <t>CL1.874</t>
  </si>
  <si>
    <t>CL1.875</t>
  </si>
  <si>
    <t>CL1.876</t>
  </si>
  <si>
    <t>CL1.877</t>
  </si>
  <si>
    <t>CL1.878</t>
  </si>
  <si>
    <t>CL1.879</t>
  </si>
  <si>
    <t>CL1.880</t>
  </si>
  <si>
    <t>CL1.881</t>
  </si>
  <si>
    <t>CL1.882</t>
  </si>
  <si>
    <t>CL1.883</t>
  </si>
  <si>
    <t>CL1.884</t>
  </si>
  <si>
    <t>CL1.885</t>
  </si>
  <si>
    <t>CL1.886</t>
  </si>
  <si>
    <t>CL1.887</t>
  </si>
  <si>
    <t>CL1.888</t>
  </si>
  <si>
    <t>CL1.889</t>
  </si>
  <si>
    <t>CL1.890</t>
  </si>
  <si>
    <t>CL1.891</t>
  </si>
  <si>
    <t>CL1.892</t>
  </si>
  <si>
    <t>CL1.893</t>
  </si>
  <si>
    <t>CL1.894</t>
  </si>
  <si>
    <t>CL1.895</t>
  </si>
  <si>
    <t>CL1.896</t>
  </si>
  <si>
    <t>CL1.897</t>
  </si>
  <si>
    <t>CL1.898</t>
  </si>
  <si>
    <t>CL1.899</t>
  </si>
  <si>
    <t>CL1.900</t>
  </si>
  <si>
    <t>CL1.901</t>
  </si>
  <si>
    <t>CL1.902</t>
  </si>
  <si>
    <t>CL1.903</t>
  </si>
  <si>
    <t>CL1.904</t>
  </si>
  <si>
    <t>CL1.905</t>
  </si>
  <si>
    <t>CL1.906</t>
  </si>
  <si>
    <t>CL1.907</t>
  </si>
  <si>
    <t>CL1.908</t>
  </si>
  <si>
    <t>CL1.909</t>
  </si>
  <si>
    <t>CL1.910</t>
  </si>
  <si>
    <t>CL1.911</t>
  </si>
  <si>
    <t>CL1.912</t>
  </si>
  <si>
    <t>CL1.913</t>
  </si>
  <si>
    <t>CL1.914</t>
  </si>
  <si>
    <t>CL1.915</t>
  </si>
  <si>
    <t>CL1.916</t>
  </si>
  <si>
    <t>CL1.917</t>
  </si>
  <si>
    <t>CL1.918</t>
  </si>
  <si>
    <t>CL1.919</t>
  </si>
  <si>
    <t>CL1.920</t>
  </si>
  <si>
    <t>CL1.921</t>
  </si>
  <si>
    <t>CL1.922</t>
  </si>
  <si>
    <t>CL1.923</t>
  </si>
  <si>
    <t>CL1.924</t>
  </si>
  <si>
    <t>CL1.925</t>
  </si>
  <si>
    <t>CL1.926</t>
  </si>
  <si>
    <t>CL1.927</t>
  </si>
  <si>
    <t>CL1.928</t>
  </si>
  <si>
    <t>CL1.929</t>
  </si>
  <si>
    <t>CL1.930</t>
  </si>
  <si>
    <t>CL1.931</t>
  </si>
  <si>
    <t>CL1.932</t>
  </si>
  <si>
    <t>CL1.933</t>
  </si>
  <si>
    <t>CL1.934</t>
  </si>
  <si>
    <t>CL1.935</t>
  </si>
  <si>
    <t>CL1.936</t>
  </si>
  <si>
    <t>CL1.937</t>
  </si>
  <si>
    <t>CL1.938</t>
  </si>
  <si>
    <t>CL1.939</t>
  </si>
  <si>
    <t>CL1.940</t>
  </si>
  <si>
    <t>CL1.941</t>
  </si>
  <si>
    <t>CL1.942</t>
  </si>
  <si>
    <t>CL1.943</t>
  </si>
  <si>
    <t>CL1.944</t>
  </si>
  <si>
    <t>CL1.945</t>
  </si>
  <si>
    <t>CL1.946</t>
  </si>
  <si>
    <t>CL1.947</t>
  </si>
  <si>
    <t>CL1.948</t>
  </si>
  <si>
    <t>CL1.949</t>
  </si>
  <si>
    <t>CL1.950</t>
  </si>
  <si>
    <t>CL1.951</t>
  </si>
  <si>
    <t>CL1.952</t>
  </si>
  <si>
    <t>CL1.953</t>
  </si>
  <si>
    <t>CL1.954</t>
  </si>
  <si>
    <t>CL1.955</t>
  </si>
  <si>
    <t>CL1.956</t>
  </si>
  <si>
    <t>CL1.957</t>
  </si>
  <si>
    <t>CL1.958</t>
  </si>
  <si>
    <t>CL1.959</t>
  </si>
  <si>
    <t>CL1.960</t>
  </si>
  <si>
    <t>CL1.961</t>
  </si>
  <si>
    <t>CL1.962</t>
  </si>
  <si>
    <t>CL1.963</t>
  </si>
  <si>
    <t>CL1.964</t>
  </si>
  <si>
    <t>CL1.965</t>
  </si>
  <si>
    <t>CL1.966</t>
  </si>
  <si>
    <t>CL1.967</t>
  </si>
  <si>
    <t>CL1.968</t>
  </si>
  <si>
    <t>CL1.969</t>
  </si>
  <si>
    <t>CL1.970</t>
  </si>
  <si>
    <t>CL1.971</t>
  </si>
  <si>
    <t>CL1.972</t>
  </si>
  <si>
    <t>CL1.973</t>
  </si>
  <si>
    <t>CL1.974</t>
  </si>
  <si>
    <t>CL1.975</t>
  </si>
  <si>
    <t>CL1.976</t>
  </si>
  <si>
    <t>CL1.977</t>
  </si>
  <si>
    <t>CL1.978</t>
  </si>
  <si>
    <t>CL1.979</t>
  </si>
  <si>
    <t>CL1.980</t>
  </si>
  <si>
    <t>CL1.981</t>
  </si>
  <si>
    <t>CL1.982</t>
  </si>
  <si>
    <t>CL1.983</t>
  </si>
  <si>
    <t>CL1.984</t>
  </si>
  <si>
    <t>CL1.985</t>
  </si>
  <si>
    <t>CL1.986</t>
  </si>
  <si>
    <t>CL1.987</t>
  </si>
  <si>
    <t>CL1.988</t>
  </si>
  <si>
    <t>CL1.989</t>
  </si>
  <si>
    <t>CL1.990</t>
  </si>
  <si>
    <t>CL1.991</t>
  </si>
  <si>
    <t>CL1.992</t>
  </si>
  <si>
    <t>CL1.993</t>
  </si>
  <si>
    <t>CL1.994</t>
  </si>
  <si>
    <t>CL1.995</t>
  </si>
  <si>
    <t>CL1.996</t>
  </si>
  <si>
    <t>Code</t>
  </si>
  <si>
    <t>CL Code</t>
  </si>
  <si>
    <t>Language</t>
  </si>
  <si>
    <t>CL2.1</t>
  </si>
  <si>
    <t>CL2.2</t>
  </si>
  <si>
    <t>CL2.3</t>
  </si>
  <si>
    <t>CL2.4</t>
  </si>
  <si>
    <t>CL2.5</t>
  </si>
  <si>
    <t>CL2.6</t>
  </si>
  <si>
    <t>CL2.7</t>
  </si>
  <si>
    <t>CL2.8</t>
  </si>
  <si>
    <t>CL2.9</t>
  </si>
  <si>
    <t>CL2.10</t>
  </si>
  <si>
    <t>CL2.11</t>
  </si>
  <si>
    <t>CL2.12</t>
  </si>
  <si>
    <t>CL2.13</t>
  </si>
  <si>
    <t>CL2.14</t>
  </si>
  <si>
    <t>CL2.15</t>
  </si>
  <si>
    <t>CL2.16</t>
  </si>
  <si>
    <t>CL2.17</t>
  </si>
  <si>
    <t>CL2.18</t>
  </si>
  <si>
    <t>CL2.19</t>
  </si>
  <si>
    <t>CL2.20</t>
  </si>
  <si>
    <t>CL2.21</t>
  </si>
  <si>
    <t>CL2.22</t>
  </si>
  <si>
    <t>CL2.23</t>
  </si>
  <si>
    <t>CL2.24</t>
  </si>
  <si>
    <t>CL2.25</t>
  </si>
  <si>
    <t>CL2.26</t>
  </si>
  <si>
    <t>CL2.27</t>
  </si>
  <si>
    <t>CL2.28</t>
  </si>
  <si>
    <t>CL2.29</t>
  </si>
  <si>
    <t>CL2.30</t>
  </si>
  <si>
    <t>CL2.31</t>
  </si>
  <si>
    <t>CL2.32</t>
  </si>
  <si>
    <t>CL2.33</t>
  </si>
  <si>
    <t>CL2.34</t>
  </si>
  <si>
    <t>CL2.35</t>
  </si>
  <si>
    <t>CL2.36</t>
  </si>
  <si>
    <t>CL2.37</t>
  </si>
  <si>
    <t>CL2.38</t>
  </si>
  <si>
    <t>CL2.39</t>
  </si>
  <si>
    <t>CL2.40</t>
  </si>
  <si>
    <t>CL2.41</t>
  </si>
  <si>
    <t>CL2.42</t>
  </si>
  <si>
    <t>CL2.43</t>
  </si>
  <si>
    <t>CL2.44</t>
  </si>
  <si>
    <t>CL2.45</t>
  </si>
  <si>
    <t>CL2.46</t>
  </si>
  <si>
    <t>CL2.47</t>
  </si>
  <si>
    <t>CL2.48</t>
  </si>
  <si>
    <t>CL2.49</t>
  </si>
  <si>
    <t>CL2.50</t>
  </si>
  <si>
    <t>CL2.51</t>
  </si>
  <si>
    <t>CL2.52</t>
  </si>
  <si>
    <t>CL2.53</t>
  </si>
  <si>
    <t>CL2.54</t>
  </si>
  <si>
    <t>CL2.55</t>
  </si>
  <si>
    <t>CL2.56</t>
  </si>
  <si>
    <t>CL2.57</t>
  </si>
  <si>
    <t>CL2.58</t>
  </si>
  <si>
    <t>CL2.59</t>
  </si>
  <si>
    <t>CL2.60</t>
  </si>
  <si>
    <t>CL2.61</t>
  </si>
  <si>
    <t>CL2.62</t>
  </si>
  <si>
    <t>CL2.63</t>
  </si>
  <si>
    <t>CL2.64</t>
  </si>
  <si>
    <t>CL2.65</t>
  </si>
  <si>
    <t>CL2.66</t>
  </si>
  <si>
    <t>CL2.67</t>
  </si>
  <si>
    <t>CL2.68</t>
  </si>
  <si>
    <t>CL2.69</t>
  </si>
  <si>
    <t>CL2.70</t>
  </si>
  <si>
    <t>CL2.71</t>
  </si>
  <si>
    <t>CL2.72</t>
  </si>
  <si>
    <t>CL2.73</t>
  </si>
  <si>
    <t>CL2.74</t>
  </si>
  <si>
    <t>CL2.75</t>
  </si>
  <si>
    <t>CL2.76</t>
  </si>
  <si>
    <t>CL2.77</t>
  </si>
  <si>
    <t>CL2.78</t>
  </si>
  <si>
    <t>CL2.79</t>
  </si>
  <si>
    <t>CL2.80</t>
  </si>
  <si>
    <t>CL2.81</t>
  </si>
  <si>
    <t>CL2.82</t>
  </si>
  <si>
    <t>CL2.83</t>
  </si>
  <si>
    <t>CL2.84</t>
  </si>
  <si>
    <t>CL2.85</t>
  </si>
  <si>
    <t>CL2.86</t>
  </si>
  <si>
    <t>CL2.87</t>
  </si>
  <si>
    <t>CL2.88</t>
  </si>
  <si>
    <t>CL2.89</t>
  </si>
  <si>
    <t>CL2.90</t>
  </si>
  <si>
    <t>CL2.91</t>
  </si>
  <si>
    <t>CL2.92</t>
  </si>
  <si>
    <t>CL2.93</t>
  </si>
  <si>
    <t>CL2.94</t>
  </si>
  <si>
    <t>CL2.95</t>
  </si>
  <si>
    <t>CL2.96</t>
  </si>
  <si>
    <t>CL2.97</t>
  </si>
  <si>
    <t>CL2.98</t>
  </si>
  <si>
    <t>CL2.99</t>
  </si>
  <si>
    <t>CL2.100</t>
  </si>
  <si>
    <t>CL2.101</t>
  </si>
  <si>
    <t>CL2.102</t>
  </si>
  <si>
    <t>CL2.103</t>
  </si>
  <si>
    <t>CL2.104</t>
  </si>
  <si>
    <t>CL2.105</t>
  </si>
  <si>
    <t>CL2.106</t>
  </si>
  <si>
    <t>CL2.107</t>
  </si>
  <si>
    <t>CL2.108</t>
  </si>
  <si>
    <t>CL2.109</t>
  </si>
  <si>
    <t>CL2.110</t>
  </si>
  <si>
    <t>CL2.111</t>
  </si>
  <si>
    <t>CL2.112</t>
  </si>
  <si>
    <t>CL2.113</t>
  </si>
  <si>
    <t>CL2.114</t>
  </si>
  <si>
    <t>CL2.115</t>
  </si>
  <si>
    <t>CL2.116</t>
  </si>
  <si>
    <t>CL2.117</t>
  </si>
  <si>
    <t>CL2.118</t>
  </si>
  <si>
    <t>CL2.119</t>
  </si>
  <si>
    <t>CL2.120</t>
  </si>
  <si>
    <t>CL2.121</t>
  </si>
  <si>
    <t>CL2.122</t>
  </si>
  <si>
    <t>CL2.123</t>
  </si>
  <si>
    <t>CL2.124</t>
  </si>
  <si>
    <t>CL2.125</t>
  </si>
  <si>
    <t>CL2.126</t>
  </si>
  <si>
    <t>CL2.127</t>
  </si>
  <si>
    <t>CL2.128</t>
  </si>
  <si>
    <t>CL2.129</t>
  </si>
  <si>
    <t>CL2.130</t>
  </si>
  <si>
    <t>CL2.131</t>
  </si>
  <si>
    <t>CL2.132</t>
  </si>
  <si>
    <t>CL2.133</t>
  </si>
  <si>
    <t>CL2.134</t>
  </si>
  <si>
    <t>CL2.135</t>
  </si>
  <si>
    <t>CL2.136</t>
  </si>
  <si>
    <t>CL2.137</t>
  </si>
  <si>
    <t>CL2.138</t>
  </si>
  <si>
    <t>CL2.139</t>
  </si>
  <si>
    <t>CL2.140</t>
  </si>
  <si>
    <t>CL2.141</t>
  </si>
  <si>
    <t>CL2.142</t>
  </si>
  <si>
    <t>CL2.143</t>
  </si>
  <si>
    <t>CL2.144</t>
  </si>
  <si>
    <t>CL2.145</t>
  </si>
  <si>
    <t>CL2.146</t>
  </si>
  <si>
    <t>CL2.147</t>
  </si>
  <si>
    <t>CL2.148</t>
  </si>
  <si>
    <t>CL2.149</t>
  </si>
  <si>
    <t>CL2.150</t>
  </si>
  <si>
    <t>CL2.151</t>
  </si>
  <si>
    <t>CL2.152</t>
  </si>
  <si>
    <t>CL2.153</t>
  </si>
  <si>
    <t>CL2.154</t>
  </si>
  <si>
    <t>CL2.155</t>
  </si>
  <si>
    <t>CL2.156</t>
  </si>
  <si>
    <t>CL2.157</t>
  </si>
  <si>
    <t>CL2.158</t>
  </si>
  <si>
    <t>CL2.159</t>
  </si>
  <si>
    <t>CL2.160</t>
  </si>
  <si>
    <t>CL2.161</t>
  </si>
  <si>
    <t>CL2.162</t>
  </si>
  <si>
    <t>CL2.163</t>
  </si>
  <si>
    <t>CL2.164</t>
  </si>
  <si>
    <t>CL2.165</t>
  </si>
  <si>
    <t>CL2.166</t>
  </si>
  <si>
    <t>CL2.167</t>
  </si>
  <si>
    <t>CL2.168</t>
  </si>
  <si>
    <t>CL2.169</t>
  </si>
  <si>
    <t>CL2.170</t>
  </si>
  <si>
    <t>CL2.171</t>
  </si>
  <si>
    <t>CL2.172</t>
  </si>
  <si>
    <t>CL2.173</t>
  </si>
  <si>
    <t>CL2.174</t>
  </si>
  <si>
    <t>CL2.175</t>
  </si>
  <si>
    <t>CL2.176</t>
  </si>
  <si>
    <t>CL2.177</t>
  </si>
  <si>
    <t>CL2.178</t>
  </si>
  <si>
    <t>CL2.179</t>
  </si>
  <si>
    <t>CL2.180</t>
  </si>
  <si>
    <t>CL2.181</t>
  </si>
  <si>
    <t>CL2.182</t>
  </si>
  <si>
    <t>CL2.183</t>
  </si>
  <si>
    <t>CL2.184</t>
  </si>
  <si>
    <t>CL2.185</t>
  </si>
  <si>
    <t>CL2.186</t>
  </si>
  <si>
    <t>CL3.1</t>
  </si>
  <si>
    <t>CL3.2</t>
  </si>
  <si>
    <t>CL3.3</t>
  </si>
  <si>
    <t>CL3.4</t>
  </si>
  <si>
    <t>CL3.5</t>
  </si>
  <si>
    <t>CL3.6</t>
  </si>
  <si>
    <t>CL3.7</t>
  </si>
  <si>
    <t>CL3.8</t>
  </si>
  <si>
    <t>CL3.9</t>
  </si>
  <si>
    <t>CL3.10</t>
  </si>
  <si>
    <t>CL3.11</t>
  </si>
  <si>
    <t>CL3.12</t>
  </si>
  <si>
    <t>CL3.13</t>
  </si>
  <si>
    <t>CL3.14</t>
  </si>
  <si>
    <t>CL3.15</t>
  </si>
  <si>
    <t>CL3.16</t>
  </si>
  <si>
    <t>CL3.17</t>
  </si>
  <si>
    <t>CL3.18</t>
  </si>
  <si>
    <t>CL3.19</t>
  </si>
  <si>
    <t>CL3.20</t>
  </si>
  <si>
    <t>CL3.21</t>
  </si>
  <si>
    <t>CL3.22</t>
  </si>
  <si>
    <t>CL3.23</t>
  </si>
  <si>
    <t>CL3.24</t>
  </si>
  <si>
    <t>CL3.25</t>
  </si>
  <si>
    <t>CL3.26</t>
  </si>
  <si>
    <t>CL3.27</t>
  </si>
  <si>
    <t>CL3.28</t>
  </si>
  <si>
    <t>CL3.29</t>
  </si>
  <si>
    <t>CL3.30</t>
  </si>
  <si>
    <t>CL3.31</t>
  </si>
  <si>
    <t>CL3.32</t>
  </si>
  <si>
    <t>CL3.33</t>
  </si>
  <si>
    <t>CL3.34</t>
  </si>
  <si>
    <t>CL3.35</t>
  </si>
  <si>
    <t>CL3.36</t>
  </si>
  <si>
    <t>CL3.37</t>
  </si>
  <si>
    <t>CL3.38</t>
  </si>
  <si>
    <t>CL3.39</t>
  </si>
  <si>
    <t>CL3.40</t>
  </si>
  <si>
    <t>CL3.41</t>
  </si>
  <si>
    <t>CL3.42</t>
  </si>
  <si>
    <t>CL3.43</t>
  </si>
  <si>
    <t>CL3.44</t>
  </si>
  <si>
    <t>CL3.45</t>
  </si>
  <si>
    <t>CL3.46</t>
  </si>
  <si>
    <t>CL3.47</t>
  </si>
  <si>
    <t>CL3.48</t>
  </si>
  <si>
    <t>CL3.49</t>
  </si>
  <si>
    <t>CL3.50</t>
  </si>
  <si>
    <t>CL3.51</t>
  </si>
  <si>
    <t>CL3.52</t>
  </si>
  <si>
    <t>CL3.53</t>
  </si>
  <si>
    <t>CL3.54</t>
  </si>
  <si>
    <t>CL3.55</t>
  </si>
  <si>
    <t>CL3.56</t>
  </si>
  <si>
    <t>CL3.57</t>
  </si>
  <si>
    <t>CL3.58</t>
  </si>
  <si>
    <t>CL3.59</t>
  </si>
  <si>
    <t>CL3.60</t>
  </si>
  <si>
    <t>CL3.61</t>
  </si>
  <si>
    <t>CL3.62</t>
  </si>
  <si>
    <t>CL3.63</t>
  </si>
  <si>
    <t>CL3.64</t>
  </si>
  <si>
    <t>CL3.65</t>
  </si>
  <si>
    <t>CL3.66</t>
  </si>
  <si>
    <t>CL3.67</t>
  </si>
  <si>
    <t>CL3.68</t>
  </si>
  <si>
    <t>CL3.69</t>
  </si>
  <si>
    <t>CL3.70</t>
  </si>
  <si>
    <t>CL3.71</t>
  </si>
  <si>
    <t>CL3.72</t>
  </si>
  <si>
    <t>CL3.73</t>
  </si>
  <si>
    <t>CL3.74</t>
  </si>
  <si>
    <t>CL3.75</t>
  </si>
  <si>
    <t>CL3.76</t>
  </si>
  <si>
    <t>CL3.77</t>
  </si>
  <si>
    <t>CL3.78</t>
  </si>
  <si>
    <t>CL3.79</t>
  </si>
  <si>
    <t>CL3.80</t>
  </si>
  <si>
    <t>CL3.81</t>
  </si>
  <si>
    <t>CL3.82</t>
  </si>
  <si>
    <t>CL3.83</t>
  </si>
  <si>
    <t>CL3.84</t>
  </si>
  <si>
    <t>CL3.85</t>
  </si>
  <si>
    <t>CL3.86</t>
  </si>
  <si>
    <t>CL3.87</t>
  </si>
  <si>
    <t>CL3.88</t>
  </si>
  <si>
    <t>CL3.89</t>
  </si>
  <si>
    <t>CL3.90</t>
  </si>
  <si>
    <t>CL3.91</t>
  </si>
  <si>
    <t>CL3.92</t>
  </si>
  <si>
    <t>CL3.93</t>
  </si>
  <si>
    <t>CL3.94</t>
  </si>
  <si>
    <t>CL3.95</t>
  </si>
  <si>
    <t>CL3.96</t>
  </si>
  <si>
    <t>CL3.97</t>
  </si>
  <si>
    <t>CL3.98</t>
  </si>
  <si>
    <t>CL3.99</t>
  </si>
  <si>
    <t>CL3.100</t>
  </si>
  <si>
    <t>CL4.1</t>
  </si>
  <si>
    <t>CL4.2</t>
  </si>
  <si>
    <t>CL4.3</t>
  </si>
  <si>
    <t>CL4.4</t>
  </si>
  <si>
    <t>CL4.5</t>
  </si>
  <si>
    <t>CL4.6</t>
  </si>
  <si>
    <t>CL4.7</t>
  </si>
  <si>
    <t>CL4.8</t>
  </si>
  <si>
    <t>CL4.9</t>
  </si>
  <si>
    <t>CL4.10</t>
  </si>
  <si>
    <t>CL4.11</t>
  </si>
  <si>
    <t>CL4.12</t>
  </si>
  <si>
    <t>CL4.13</t>
  </si>
  <si>
    <t>CL4.14</t>
  </si>
  <si>
    <t>CL4.15</t>
  </si>
  <si>
    <t>CL4.16</t>
  </si>
  <si>
    <t>CL4.17</t>
  </si>
  <si>
    <t>CL4.18</t>
  </si>
  <si>
    <t>CL4.19</t>
  </si>
  <si>
    <t>CL4.20</t>
  </si>
  <si>
    <t>CL4.21</t>
  </si>
  <si>
    <t>CL4.22</t>
  </si>
  <si>
    <t>CL4.23</t>
  </si>
  <si>
    <t>CL4.24</t>
  </si>
  <si>
    <t>CL4.25</t>
  </si>
  <si>
    <t>CL4.26</t>
  </si>
  <si>
    <t>CL4.27</t>
  </si>
  <si>
    <t>CL4.28</t>
  </si>
  <si>
    <t>CL4.29</t>
  </si>
  <si>
    <t>CL4.30</t>
  </si>
  <si>
    <t>CL4.31</t>
  </si>
  <si>
    <t>CL4.32</t>
  </si>
  <si>
    <t>CL4.33</t>
  </si>
  <si>
    <t>CL4.34</t>
  </si>
  <si>
    <t>CL4.35</t>
  </si>
  <si>
    <t>CL4.36</t>
  </si>
  <si>
    <t>CL4.37</t>
  </si>
  <si>
    <t>CL4.38</t>
  </si>
  <si>
    <t>CL4.39</t>
  </si>
  <si>
    <t>CL4.40</t>
  </si>
  <si>
    <t>CL4.41</t>
  </si>
  <si>
    <t>CL4.42</t>
  </si>
  <si>
    <t>CL4.43</t>
  </si>
  <si>
    <t>CL4.44</t>
  </si>
  <si>
    <t>CL4.45</t>
  </si>
  <si>
    <t>CL4.46</t>
  </si>
  <si>
    <t>CL4.47</t>
  </si>
  <si>
    <t>CL4.48</t>
  </si>
  <si>
    <t>CL4.49</t>
  </si>
  <si>
    <t>CL4.50</t>
  </si>
  <si>
    <t>CL4.51</t>
  </si>
  <si>
    <t>CL4.52</t>
  </si>
  <si>
    <t>CL4.53</t>
  </si>
  <si>
    <t>Date Filled</t>
  </si>
  <si>
    <t>Comments</t>
  </si>
  <si>
    <t>CL2.187</t>
  </si>
  <si>
    <t>CL2.188</t>
  </si>
  <si>
    <t>CL2.189</t>
  </si>
  <si>
    <t>CL2.190</t>
  </si>
  <si>
    <t>CL2.191</t>
  </si>
  <si>
    <t>CL2.192</t>
  </si>
  <si>
    <t>CL2.193</t>
  </si>
  <si>
    <t>CL2.194</t>
  </si>
  <si>
    <t>CL2.195</t>
  </si>
  <si>
    <t>CL2.196</t>
  </si>
  <si>
    <t>CL2.197</t>
  </si>
  <si>
    <t>CL2.198</t>
  </si>
  <si>
    <t>CL2.199</t>
  </si>
  <si>
    <t>CL2.200</t>
  </si>
  <si>
    <t>CL2.201</t>
  </si>
  <si>
    <t>CL2.202</t>
  </si>
  <si>
    <t>CL2.203</t>
  </si>
  <si>
    <t>CL2.204</t>
  </si>
  <si>
    <t>CL2.205</t>
  </si>
  <si>
    <t>CL2.206</t>
  </si>
  <si>
    <t>CL2.207</t>
  </si>
  <si>
    <t>CL2.208</t>
  </si>
  <si>
    <t>CL2.209</t>
  </si>
  <si>
    <t>CL2.210</t>
  </si>
  <si>
    <t>CL2.211</t>
  </si>
  <si>
    <t>CL2.212</t>
  </si>
  <si>
    <t>CL2.213</t>
  </si>
  <si>
    <t>CL2.214</t>
  </si>
  <si>
    <t>CL2.215</t>
  </si>
  <si>
    <t>CL2.216</t>
  </si>
  <si>
    <t>CL2.217</t>
  </si>
  <si>
    <t>CL2.218</t>
  </si>
  <si>
    <t>CL2.219</t>
  </si>
  <si>
    <t>CL2.220</t>
  </si>
  <si>
    <t>CL2.221</t>
  </si>
  <si>
    <t>CL2.222</t>
  </si>
  <si>
    <t>CL2.223</t>
  </si>
  <si>
    <t>CL2.224</t>
  </si>
  <si>
    <t>CL2.225</t>
  </si>
  <si>
    <t>CL2.226</t>
  </si>
  <si>
    <t>CL2.227</t>
  </si>
  <si>
    <t>CL2.228</t>
  </si>
  <si>
    <t>CL2.229</t>
  </si>
  <si>
    <t>CL2.230</t>
  </si>
  <si>
    <t>CL2.231</t>
  </si>
  <si>
    <t>CL2.232</t>
  </si>
  <si>
    <t>CL2.233</t>
  </si>
  <si>
    <t>CL2.234</t>
  </si>
  <si>
    <t>CL2.235</t>
  </si>
  <si>
    <t>CL2.236</t>
  </si>
  <si>
    <t>CL2.237</t>
  </si>
  <si>
    <t>CL2.238</t>
  </si>
  <si>
    <t>CL2.239</t>
  </si>
  <si>
    <t>CL2.240</t>
  </si>
  <si>
    <t>CL2.241</t>
  </si>
  <si>
    <t>CL2.242</t>
  </si>
  <si>
    <t>CL2.243</t>
  </si>
  <si>
    <t>CL2.244</t>
  </si>
  <si>
    <t>CL2.245</t>
  </si>
  <si>
    <t>CL2.246</t>
  </si>
  <si>
    <t>CL2.247</t>
  </si>
  <si>
    <t>CL2.248</t>
  </si>
  <si>
    <t>CL2.249</t>
  </si>
  <si>
    <t>CL2.250</t>
  </si>
  <si>
    <t>CL2.251</t>
  </si>
  <si>
    <t>CL2.252</t>
  </si>
  <si>
    <t>CL2.253</t>
  </si>
  <si>
    <t>CL2.254</t>
  </si>
  <si>
    <t>CL2.255</t>
  </si>
  <si>
    <t>CL2.256</t>
  </si>
  <si>
    <t>CL2.257</t>
  </si>
  <si>
    <t>CL2.258</t>
  </si>
  <si>
    <t>CL2.259</t>
  </si>
  <si>
    <t>CL2.260</t>
  </si>
  <si>
    <t>CL2.261</t>
  </si>
  <si>
    <t>CL2.262</t>
  </si>
  <si>
    <t>CL2.263</t>
  </si>
  <si>
    <t>CL2.264</t>
  </si>
  <si>
    <t>CL2.265</t>
  </si>
  <si>
    <t>CL2.266</t>
  </si>
  <si>
    <t>CL2.267</t>
  </si>
  <si>
    <t>CL2.268</t>
  </si>
  <si>
    <t>CL2.269</t>
  </si>
  <si>
    <t>CL2.270</t>
  </si>
  <si>
    <t>CL2.271</t>
  </si>
  <si>
    <t>CL2.272</t>
  </si>
  <si>
    <t>CL2.273</t>
  </si>
  <si>
    <t>CL2.274</t>
  </si>
  <si>
    <t>CL2.275</t>
  </si>
  <si>
    <t>CL2.276</t>
  </si>
  <si>
    <t>CL2.277</t>
  </si>
  <si>
    <t>CL2.278</t>
  </si>
  <si>
    <t>CL2.279</t>
  </si>
  <si>
    <t>CL2.280</t>
  </si>
  <si>
    <t>CL2.281</t>
  </si>
  <si>
    <t>CL2.282</t>
  </si>
  <si>
    <t>CL2.283</t>
  </si>
  <si>
    <t>CL2.284</t>
  </si>
  <si>
    <t>CL2.285</t>
  </si>
  <si>
    <t>CL2.286</t>
  </si>
  <si>
    <t>CL2.287</t>
  </si>
  <si>
    <t>CL2.288</t>
  </si>
  <si>
    <t>CL2.289</t>
  </si>
  <si>
    <t>CL2.290</t>
  </si>
  <si>
    <t>CL2.291</t>
  </si>
  <si>
    <t>CL2.292</t>
  </si>
  <si>
    <t>CL2.293</t>
  </si>
  <si>
    <t>CL2.294</t>
  </si>
  <si>
    <t>CL2.295</t>
  </si>
  <si>
    <t>CL2.296</t>
  </si>
  <si>
    <t>CL2.297</t>
  </si>
  <si>
    <t>CL2.298</t>
  </si>
  <si>
    <t>CL2.299</t>
  </si>
  <si>
    <t>CL2.300</t>
  </si>
  <si>
    <t>CL2.301</t>
  </si>
  <si>
    <t>CL2.302</t>
  </si>
  <si>
    <t>CL2.303</t>
  </si>
  <si>
    <t>CL2.304</t>
  </si>
  <si>
    <t>CL2.305</t>
  </si>
  <si>
    <t>CL2.306</t>
  </si>
  <si>
    <t>CL2.307</t>
  </si>
  <si>
    <t>CL2.308</t>
  </si>
  <si>
    <t>CL2.309</t>
  </si>
  <si>
    <t>CL2.310</t>
  </si>
  <si>
    <t>CL2.311</t>
  </si>
  <si>
    <t>CL2.312</t>
  </si>
  <si>
    <t>CL2.313</t>
  </si>
  <si>
    <t>CL2.314</t>
  </si>
  <si>
    <t>CL2.315</t>
  </si>
  <si>
    <t>CL2.316</t>
  </si>
  <si>
    <t>CL2.317</t>
  </si>
  <si>
    <t>CL2.318</t>
  </si>
  <si>
    <t>CL2.319</t>
  </si>
  <si>
    <t>CL2.320</t>
  </si>
  <si>
    <t>CL2.321</t>
  </si>
  <si>
    <t>CL2.322</t>
  </si>
  <si>
    <t>CL2.323</t>
  </si>
  <si>
    <t>CL2.324</t>
  </si>
  <si>
    <t>CL2.325</t>
  </si>
  <si>
    <t>CL2.326</t>
  </si>
  <si>
    <t>CL2.327</t>
  </si>
  <si>
    <t>CL2.328</t>
  </si>
  <si>
    <t>CL2.329</t>
  </si>
  <si>
    <t>CL2.330</t>
  </si>
  <si>
    <t>CL2.331</t>
  </si>
  <si>
    <t>CL2.332</t>
  </si>
  <si>
    <t>CL2.333</t>
  </si>
  <si>
    <t>CL2.334</t>
  </si>
  <si>
    <t>CL2.335</t>
  </si>
  <si>
    <t>CL2.336</t>
  </si>
  <si>
    <t>CL2.337</t>
  </si>
  <si>
    <t>CL2.338</t>
  </si>
  <si>
    <t>CL2.339</t>
  </si>
  <si>
    <t>CL2.340</t>
  </si>
  <si>
    <t>CL2.341</t>
  </si>
  <si>
    <t>CL2.342</t>
  </si>
  <si>
    <t>CL2.343</t>
  </si>
  <si>
    <t>CL2.344</t>
  </si>
  <si>
    <t>CL2.345</t>
  </si>
  <si>
    <t>CL2.346</t>
  </si>
  <si>
    <t>CL2.347</t>
  </si>
  <si>
    <t>CL2.348</t>
  </si>
  <si>
    <t>CL2.349</t>
  </si>
  <si>
    <t>CL2.350</t>
  </si>
  <si>
    <t>CL2.351</t>
  </si>
  <si>
    <t>CL2.352</t>
  </si>
  <si>
    <t>CL2.353</t>
  </si>
  <si>
    <t>CL2.354</t>
  </si>
  <si>
    <t>CL2.355</t>
  </si>
  <si>
    <t>CL2.356</t>
  </si>
  <si>
    <t>CL2.357</t>
  </si>
  <si>
    <t>CL2.358</t>
  </si>
  <si>
    <t>CL2.359</t>
  </si>
  <si>
    <t>CL2.360</t>
  </si>
  <si>
    <t>CL2.361</t>
  </si>
  <si>
    <t>CL2.362</t>
  </si>
  <si>
    <t>CL2.363</t>
  </si>
  <si>
    <t>CL2.364</t>
  </si>
  <si>
    <t>CL2.365</t>
  </si>
  <si>
    <t>CL2.366</t>
  </si>
  <si>
    <t>CL2.367</t>
  </si>
  <si>
    <t>CL2.368</t>
  </si>
  <si>
    <t>CL2.369</t>
  </si>
  <si>
    <t>CL2.370</t>
  </si>
  <si>
    <t>CL2.371</t>
  </si>
  <si>
    <t>CL2.372</t>
  </si>
  <si>
    <t>CL2.373</t>
  </si>
  <si>
    <t>CL2.374</t>
  </si>
  <si>
    <t>CL2.375</t>
  </si>
  <si>
    <t>CL2.376</t>
  </si>
  <si>
    <t>CL2.377</t>
  </si>
  <si>
    <t>CL2.378</t>
  </si>
  <si>
    <t>CL2.379</t>
  </si>
  <si>
    <t>CL2.380</t>
  </si>
  <si>
    <t>CL2.381</t>
  </si>
  <si>
    <t>CL2.382</t>
  </si>
  <si>
    <t>CL2.383</t>
  </si>
  <si>
    <t>CL2.384</t>
  </si>
  <si>
    <t>CL2.385</t>
  </si>
  <si>
    <t>CL2.386</t>
  </si>
  <si>
    <t>CL2.387</t>
  </si>
  <si>
    <t>CL2.388</t>
  </si>
  <si>
    <t>CL2.389</t>
  </si>
  <si>
    <t>CL2.390</t>
  </si>
  <si>
    <t>CL2.391</t>
  </si>
  <si>
    <t>CL2.392</t>
  </si>
  <si>
    <t>CL2.393</t>
  </si>
  <si>
    <t>CL2.394</t>
  </si>
  <si>
    <t>CL2.395</t>
  </si>
  <si>
    <t>CL2.396</t>
  </si>
  <si>
    <t>CL2.397</t>
  </si>
  <si>
    <t>CL2.398</t>
  </si>
  <si>
    <t>CL2.399</t>
  </si>
  <si>
    <t>CL2.400</t>
  </si>
  <si>
    <t>CL2.401</t>
  </si>
  <si>
    <t>CL2.402</t>
  </si>
  <si>
    <t>CL2.403</t>
  </si>
  <si>
    <t>CL2.404</t>
  </si>
  <si>
    <t>CL2.405</t>
  </si>
  <si>
    <t>CL2.406</t>
  </si>
  <si>
    <t>CL2.407</t>
  </si>
  <si>
    <t>CL2.408</t>
  </si>
  <si>
    <t>CL2.409</t>
  </si>
  <si>
    <t>CL2.410</t>
  </si>
  <si>
    <t>CL2.411</t>
  </si>
  <si>
    <t>CL2.412</t>
  </si>
  <si>
    <t>CL2.413</t>
  </si>
  <si>
    <t>CL2.414</t>
  </si>
  <si>
    <t>CL2.415</t>
  </si>
  <si>
    <t>CL2.416</t>
  </si>
  <si>
    <t>CL2.417</t>
  </si>
  <si>
    <t>CL2.418</t>
  </si>
  <si>
    <t>CL2.419</t>
  </si>
  <si>
    <t>CL2.420</t>
  </si>
  <si>
    <t>CL2.421</t>
  </si>
  <si>
    <t>CL2.422</t>
  </si>
  <si>
    <t>CL2.423</t>
  </si>
  <si>
    <t>CL2.424</t>
  </si>
  <si>
    <t>CL2.425</t>
  </si>
  <si>
    <t>CL2.426</t>
  </si>
  <si>
    <t>CL2.427</t>
  </si>
  <si>
    <t>CL2.428</t>
  </si>
  <si>
    <t>CL2.429</t>
  </si>
  <si>
    <t>CL2.430</t>
  </si>
  <si>
    <t>CL2.431</t>
  </si>
  <si>
    <t>CL2.432</t>
  </si>
  <si>
    <t>CL2.433</t>
  </si>
  <si>
    <t>CL2.434</t>
  </si>
  <si>
    <t>CL2.435</t>
  </si>
  <si>
    <t>CL2.436</t>
  </si>
  <si>
    <t>CL2.437</t>
  </si>
  <si>
    <t>CL2.438</t>
  </si>
  <si>
    <t>CL2.439</t>
  </si>
  <si>
    <t>CL2.440</t>
  </si>
  <si>
    <t>CL2.441</t>
  </si>
  <si>
    <t>CL2.442</t>
  </si>
  <si>
    <t>CL2.443</t>
  </si>
  <si>
    <t>CL2.444</t>
  </si>
  <si>
    <t>CL2.445</t>
  </si>
  <si>
    <t>CL2.446</t>
  </si>
  <si>
    <t>CL2.447</t>
  </si>
  <si>
    <t>CL2.448</t>
  </si>
  <si>
    <t>CL2.449</t>
  </si>
  <si>
    <t>CL2.450</t>
  </si>
  <si>
    <t>CL2.451</t>
  </si>
  <si>
    <t>CL2.452</t>
  </si>
  <si>
    <t>CL2.453</t>
  </si>
  <si>
    <t>CL2.454</t>
  </si>
  <si>
    <t>CL2.455</t>
  </si>
  <si>
    <t>CL2.456</t>
  </si>
  <si>
    <t>CL2.457</t>
  </si>
  <si>
    <t>CL2.458</t>
  </si>
  <si>
    <t>CL2.459</t>
  </si>
  <si>
    <t>CL2.460</t>
  </si>
  <si>
    <t>CL2.461</t>
  </si>
  <si>
    <t>CL2.462</t>
  </si>
  <si>
    <t>CL2.463</t>
  </si>
  <si>
    <t>CL2.464</t>
  </si>
  <si>
    <t>CL2.465</t>
  </si>
  <si>
    <t>CL2.466</t>
  </si>
  <si>
    <t>CL2.467</t>
  </si>
  <si>
    <t>CL2.468</t>
  </si>
  <si>
    <t>CL2.469</t>
  </si>
  <si>
    <t>CL2.470</t>
  </si>
  <si>
    <t>CL2.471</t>
  </si>
  <si>
    <t>CL2.472</t>
  </si>
  <si>
    <t>CL2.473</t>
  </si>
  <si>
    <t>CL2.474</t>
  </si>
  <si>
    <t>CL2.475</t>
  </si>
  <si>
    <t>CL2.476</t>
  </si>
  <si>
    <t>CL2.477</t>
  </si>
  <si>
    <t>CL2.478</t>
  </si>
  <si>
    <t>CL2.479</t>
  </si>
  <si>
    <t>CL2.480</t>
  </si>
  <si>
    <t>CL2.481</t>
  </si>
  <si>
    <t>CL2.482</t>
  </si>
  <si>
    <t>CL2.483</t>
  </si>
  <si>
    <t>CL2.484</t>
  </si>
  <si>
    <t>CL2.485</t>
  </si>
  <si>
    <t>CL2.486</t>
  </si>
  <si>
    <t>CL2.487</t>
  </si>
  <si>
    <t>CL2.488</t>
  </si>
  <si>
    <t>CL2.489</t>
  </si>
  <si>
    <t>CL2.490</t>
  </si>
  <si>
    <t>CL2.491</t>
  </si>
  <si>
    <t>CL2.492</t>
  </si>
  <si>
    <t>CL2.493</t>
  </si>
  <si>
    <t>CL2.494</t>
  </si>
  <si>
    <t>CL2.495</t>
  </si>
  <si>
    <t>CL2.496</t>
  </si>
  <si>
    <t>CL2.497</t>
  </si>
  <si>
    <t>CL2.498</t>
  </si>
  <si>
    <t>CL2.499</t>
  </si>
  <si>
    <t>CL2.500</t>
  </si>
  <si>
    <t>CL2.501</t>
  </si>
  <si>
    <t>CL2.502</t>
  </si>
  <si>
    <t>CL2.503</t>
  </si>
  <si>
    <t>CL2.504</t>
  </si>
  <si>
    <t>CL2.505</t>
  </si>
  <si>
    <t>CL2.506</t>
  </si>
  <si>
    <t>CL2.507</t>
  </si>
  <si>
    <t>CL2.508</t>
  </si>
  <si>
    <t>CL2.509</t>
  </si>
  <si>
    <t>CL2.510</t>
  </si>
  <si>
    <t>CL2.511</t>
  </si>
  <si>
    <t>CL2.512</t>
  </si>
  <si>
    <t>CL2.513</t>
  </si>
  <si>
    <t>CL2.514</t>
  </si>
  <si>
    <t>CL2.515</t>
  </si>
  <si>
    <t>CL2.516</t>
  </si>
  <si>
    <t>CL2.517</t>
  </si>
  <si>
    <t>CL2.518</t>
  </si>
  <si>
    <t>CL2.519</t>
  </si>
  <si>
    <t>CL2.520</t>
  </si>
  <si>
    <t>CL2.521</t>
  </si>
  <si>
    <t>CL2.522</t>
  </si>
  <si>
    <t>CL2.523</t>
  </si>
  <si>
    <t>CL2.524</t>
  </si>
  <si>
    <t>CL2.525</t>
  </si>
  <si>
    <t>CL2.526</t>
  </si>
  <si>
    <t>CL2.527</t>
  </si>
  <si>
    <t>CL2.528</t>
  </si>
  <si>
    <t>CL2.529</t>
  </si>
  <si>
    <t>CL2.530</t>
  </si>
  <si>
    <t>CL2.531</t>
  </si>
  <si>
    <t>CL2.532</t>
  </si>
  <si>
    <t>CL2.533</t>
  </si>
  <si>
    <t>CL2.534</t>
  </si>
  <si>
    <t>CL2.535</t>
  </si>
  <si>
    <t>CL2.536</t>
  </si>
  <si>
    <t>CL2.537</t>
  </si>
  <si>
    <t>CL2.538</t>
  </si>
  <si>
    <t>CL2.539</t>
  </si>
  <si>
    <t>CL2.540</t>
  </si>
  <si>
    <t>CL2.541</t>
  </si>
  <si>
    <t>CL2.542</t>
  </si>
  <si>
    <t>CL2.543</t>
  </si>
  <si>
    <t>CL2.544</t>
  </si>
  <si>
    <t>CL2.545</t>
  </si>
  <si>
    <t>CL2.546</t>
  </si>
  <si>
    <t>CL2.547</t>
  </si>
  <si>
    <t>CL2.548</t>
  </si>
  <si>
    <t>CL2.549</t>
  </si>
  <si>
    <t>CL2.550</t>
  </si>
  <si>
    <t>CL2.551</t>
  </si>
  <si>
    <t>CL2.552</t>
  </si>
  <si>
    <t>CL2.553</t>
  </si>
  <si>
    <t>CL2.554</t>
  </si>
  <si>
    <t>CL2.555</t>
  </si>
  <si>
    <t>CL2.556</t>
  </si>
  <si>
    <t>CL2.557</t>
  </si>
  <si>
    <t>CL2.558</t>
  </si>
  <si>
    <t>CL2.559</t>
  </si>
  <si>
    <t>CL2.560</t>
  </si>
  <si>
    <t>CL2.561</t>
  </si>
  <si>
    <t>CL2.562</t>
  </si>
  <si>
    <t>CL2.563</t>
  </si>
  <si>
    <t>CL2.564</t>
  </si>
  <si>
    <t>CL2.565</t>
  </si>
  <si>
    <t>CL2.566</t>
  </si>
  <si>
    <t>CL2.567</t>
  </si>
  <si>
    <t>CL2.568</t>
  </si>
  <si>
    <t>CL2.569</t>
  </si>
  <si>
    <t>CL2.570</t>
  </si>
  <si>
    <t>CL2.571</t>
  </si>
  <si>
    <t>CL2.572</t>
  </si>
  <si>
    <t>CL2.573</t>
  </si>
  <si>
    <t>CL2.574</t>
  </si>
  <si>
    <t>CL2.575</t>
  </si>
  <si>
    <t>CL2.576</t>
  </si>
  <si>
    <t>CL2.577</t>
  </si>
  <si>
    <t>CL2.578</t>
  </si>
  <si>
    <t>CL2.579</t>
  </si>
  <si>
    <t>CL2.580</t>
  </si>
  <si>
    <t>CL2.581</t>
  </si>
  <si>
    <t>CL2.582</t>
  </si>
  <si>
    <t>CL2.583</t>
  </si>
  <si>
    <t>CL2.584</t>
  </si>
  <si>
    <t>CL2.585</t>
  </si>
  <si>
    <t>CL2.586</t>
  </si>
  <si>
    <t>CL2.587</t>
  </si>
  <si>
    <t>CL2.588</t>
  </si>
  <si>
    <t>CL2.589</t>
  </si>
  <si>
    <t>CL2.590</t>
  </si>
  <si>
    <t>CL2.591</t>
  </si>
  <si>
    <t>CL2.592</t>
  </si>
  <si>
    <t>CL2.593</t>
  </si>
  <si>
    <t>CL2.594</t>
  </si>
  <si>
    <t>CL2.595</t>
  </si>
  <si>
    <t>CL2.596</t>
  </si>
  <si>
    <t>CL2.597</t>
  </si>
  <si>
    <t>CL2.598</t>
  </si>
  <si>
    <t>CL2.599</t>
  </si>
  <si>
    <t>CL2.600</t>
  </si>
  <si>
    <t>CL2.601</t>
  </si>
  <si>
    <t>CL2.602</t>
  </si>
  <si>
    <t>CL2.603</t>
  </si>
  <si>
    <t>CL2.604</t>
  </si>
  <si>
    <t>CL2.605</t>
  </si>
  <si>
    <t>CL2.606</t>
  </si>
  <si>
    <t>CL2.607</t>
  </si>
  <si>
    <t>CL2.608</t>
  </si>
  <si>
    <t>CL2.609</t>
  </si>
  <si>
    <t>CL2.610</t>
  </si>
  <si>
    <t>CL2.611</t>
  </si>
  <si>
    <t>CL2.612</t>
  </si>
  <si>
    <t>CL2.613</t>
  </si>
  <si>
    <t>CL2.614</t>
  </si>
  <si>
    <t>CL2.615</t>
  </si>
  <si>
    <t>CL2.616</t>
  </si>
  <si>
    <t>CL2.617</t>
  </si>
  <si>
    <t>CL2.618</t>
  </si>
  <si>
    <t>CL2.619</t>
  </si>
  <si>
    <t>CL2.620</t>
  </si>
  <si>
    <t>CL2.621</t>
  </si>
  <si>
    <t>CL2.622</t>
  </si>
  <si>
    <t>CL2.623</t>
  </si>
  <si>
    <t>CL2.624</t>
  </si>
  <si>
    <t>CL2.625</t>
  </si>
  <si>
    <t>CL2.626</t>
  </si>
  <si>
    <t>CL2.627</t>
  </si>
  <si>
    <t>CL2.628</t>
  </si>
  <si>
    <t>CL2.629</t>
  </si>
  <si>
    <t>CL2.630</t>
  </si>
  <si>
    <t>CL2.631</t>
  </si>
  <si>
    <t>CL2.632</t>
  </si>
  <si>
    <t>CL2.633</t>
  </si>
  <si>
    <t>CL2.634</t>
  </si>
  <si>
    <t>CL2.635</t>
  </si>
  <si>
    <t>CL2.636</t>
  </si>
  <si>
    <t>CL2.637</t>
  </si>
  <si>
    <t>CL2.638</t>
  </si>
  <si>
    <t>CL2.639</t>
  </si>
  <si>
    <t>CL2.640</t>
  </si>
  <si>
    <t>CL2.641</t>
  </si>
  <si>
    <t>CL2.642</t>
  </si>
  <si>
    <t>CL2.643</t>
  </si>
  <si>
    <t>CL2.644</t>
  </si>
  <si>
    <t>CL2.645</t>
  </si>
  <si>
    <t>CL2.646</t>
  </si>
  <si>
    <t>CL2.647</t>
  </si>
  <si>
    <t>CL2.648</t>
  </si>
  <si>
    <t>CL2.649</t>
  </si>
  <si>
    <t>CL2.650</t>
  </si>
  <si>
    <t>CL2.651</t>
  </si>
  <si>
    <t>CL2.652</t>
  </si>
  <si>
    <t>CL2.653</t>
  </si>
  <si>
    <t>CL2.654</t>
  </si>
  <si>
    <t>CL2.655</t>
  </si>
  <si>
    <t>CL2.656</t>
  </si>
  <si>
    <t>CL2.657</t>
  </si>
  <si>
    <t>CL2.658</t>
  </si>
  <si>
    <t>CL2.659</t>
  </si>
  <si>
    <t>CL2.660</t>
  </si>
  <si>
    <t>CL2.661</t>
  </si>
  <si>
    <t>CL2.662</t>
  </si>
  <si>
    <t>CL2.663</t>
  </si>
  <si>
    <t>CL2.664</t>
  </si>
  <si>
    <t>CL2.665</t>
  </si>
  <si>
    <t>CL2.666</t>
  </si>
  <si>
    <t>CL2.667</t>
  </si>
  <si>
    <t>CL2.668</t>
  </si>
  <si>
    <t>CL2.669</t>
  </si>
  <si>
    <t>CL2.670</t>
  </si>
  <si>
    <t>CL2.671</t>
  </si>
  <si>
    <t>CL2.672</t>
  </si>
  <si>
    <t>CL2.673</t>
  </si>
  <si>
    <t>CL2.674</t>
  </si>
  <si>
    <t>CL2.675</t>
  </si>
  <si>
    <t>CL2.676</t>
  </si>
  <si>
    <t>CL2.677</t>
  </si>
  <si>
    <t>CL2.678</t>
  </si>
  <si>
    <t>CL2.679</t>
  </si>
  <si>
    <t>CL2.680</t>
  </si>
  <si>
    <t>CL2.681</t>
  </si>
  <si>
    <t>CL2.682</t>
  </si>
  <si>
    <t>CL2.683</t>
  </si>
  <si>
    <t>CL2.684</t>
  </si>
  <si>
    <t>CL2.685</t>
  </si>
  <si>
    <t>CL2.686</t>
  </si>
  <si>
    <t>CL2.687</t>
  </si>
  <si>
    <t>CL2.688</t>
  </si>
  <si>
    <t>CL2.689</t>
  </si>
  <si>
    <t>CL2.690</t>
  </si>
  <si>
    <t>CL2.691</t>
  </si>
  <si>
    <t>CL2.692</t>
  </si>
  <si>
    <t>CL2.693</t>
  </si>
  <si>
    <t>CL2.694</t>
  </si>
  <si>
    <t>CL2.695</t>
  </si>
  <si>
    <t>CL2.696</t>
  </si>
  <si>
    <t>CL2.697</t>
  </si>
  <si>
    <t>CL2.698</t>
  </si>
  <si>
    <t>CL2.699</t>
  </si>
  <si>
    <t>CL2.700</t>
  </si>
  <si>
    <t>CL2.701</t>
  </si>
  <si>
    <t>CL2.702</t>
  </si>
  <si>
    <t>CL2.703</t>
  </si>
  <si>
    <t>CL2.704</t>
  </si>
  <si>
    <t>CL2.705</t>
  </si>
  <si>
    <t>CL2.706</t>
  </si>
  <si>
    <t>CL2.707</t>
  </si>
  <si>
    <t>CL2.708</t>
  </si>
  <si>
    <t>CL2.709</t>
  </si>
  <si>
    <t>CL2.710</t>
  </si>
  <si>
    <t>CL2.711</t>
  </si>
  <si>
    <t>CL2.712</t>
  </si>
  <si>
    <t>CL2.713</t>
  </si>
  <si>
    <t>CL2.714</t>
  </si>
  <si>
    <t>CL2.715</t>
  </si>
  <si>
    <t>CL2.716</t>
  </si>
  <si>
    <t>CL2.717</t>
  </si>
  <si>
    <t>CL2.718</t>
  </si>
  <si>
    <t>CL2.719</t>
  </si>
  <si>
    <t>CL2.720</t>
  </si>
  <si>
    <t>CL2.721</t>
  </si>
  <si>
    <t>CL2.722</t>
  </si>
  <si>
    <t>CL2.723</t>
  </si>
  <si>
    <t>CL2.724</t>
  </si>
  <si>
    <t>CL2.725</t>
  </si>
  <si>
    <t>CL2.726</t>
  </si>
  <si>
    <t>CL2.727</t>
  </si>
  <si>
    <t>CL2.728</t>
  </si>
  <si>
    <t>CL2.729</t>
  </si>
  <si>
    <t>CL2.730</t>
  </si>
  <si>
    <t>CL2.731</t>
  </si>
  <si>
    <t>CL2.732</t>
  </si>
  <si>
    <t>CL2.733</t>
  </si>
  <si>
    <t>CL2.734</t>
  </si>
  <si>
    <t>CL2.735</t>
  </si>
  <si>
    <t>CL2.736</t>
  </si>
  <si>
    <t>CL2.737</t>
  </si>
  <si>
    <t>CL2.738</t>
  </si>
  <si>
    <t>CL2.739</t>
  </si>
  <si>
    <t>CL2.740</t>
  </si>
  <si>
    <t>CL2.741</t>
  </si>
  <si>
    <t>CL2.742</t>
  </si>
  <si>
    <t>CL2.743</t>
  </si>
  <si>
    <t>CL2.744</t>
  </si>
  <si>
    <t>CL2.745</t>
  </si>
  <si>
    <t>CL2.746</t>
  </si>
  <si>
    <t>CL2.747</t>
  </si>
  <si>
    <t>CL2.748</t>
  </si>
  <si>
    <t>CL2.749</t>
  </si>
  <si>
    <t>CL2.750</t>
  </si>
  <si>
    <t>CL2.751</t>
  </si>
  <si>
    <t>CL2.752</t>
  </si>
  <si>
    <t>CL2.753</t>
  </si>
  <si>
    <t>CL2.754</t>
  </si>
  <si>
    <t>CL2.755</t>
  </si>
  <si>
    <t>CL2.756</t>
  </si>
  <si>
    <t>CL2.757</t>
  </si>
  <si>
    <t>CL2.758</t>
  </si>
  <si>
    <t>CL2.759</t>
  </si>
  <si>
    <t>CL2.760</t>
  </si>
  <si>
    <t>CL2.761</t>
  </si>
  <si>
    <t>CL2.762</t>
  </si>
  <si>
    <t>CL2.763</t>
  </si>
  <si>
    <t>CL2.764</t>
  </si>
  <si>
    <t>CL2.765</t>
  </si>
  <si>
    <t>CL2.766</t>
  </si>
  <si>
    <t>CL2.767</t>
  </si>
  <si>
    <t>CL2.768</t>
  </si>
  <si>
    <t>CL2.769</t>
  </si>
  <si>
    <t>CL2.770</t>
  </si>
  <si>
    <t>CL2.771</t>
  </si>
  <si>
    <t>CL2.772</t>
  </si>
  <si>
    <t>CL2.773</t>
  </si>
  <si>
    <t>CL2.774</t>
  </si>
  <si>
    <t>CL2.775</t>
  </si>
  <si>
    <t>CL2.776</t>
  </si>
  <si>
    <t>CL2.777</t>
  </si>
  <si>
    <t>CL2.778</t>
  </si>
  <si>
    <t>CL2.779</t>
  </si>
  <si>
    <t>CL2.780</t>
  </si>
  <si>
    <t>CL2.781</t>
  </si>
  <si>
    <t>CL2.782</t>
  </si>
  <si>
    <t>CL2.783</t>
  </si>
  <si>
    <t>CL2.784</t>
  </si>
  <si>
    <t>CL2.785</t>
  </si>
  <si>
    <t>CL2.786</t>
  </si>
  <si>
    <t>CL2.787</t>
  </si>
  <si>
    <t>CL2.788</t>
  </si>
  <si>
    <t>CL2.789</t>
  </si>
  <si>
    <t>CL2.790</t>
  </si>
  <si>
    <t>CL2.791</t>
  </si>
  <si>
    <t>CL2.792</t>
  </si>
  <si>
    <t>CL2.793</t>
  </si>
  <si>
    <t>CL2.794</t>
  </si>
  <si>
    <t>CL2.795</t>
  </si>
  <si>
    <t>CL2.796</t>
  </si>
  <si>
    <t>CL2.797</t>
  </si>
  <si>
    <t>CL2.798</t>
  </si>
  <si>
    <t>CL2.799</t>
  </si>
  <si>
    <t>CL2.800</t>
  </si>
  <si>
    <t>CL2.801</t>
  </si>
  <si>
    <t>CL2.802</t>
  </si>
  <si>
    <t>CL2.803</t>
  </si>
  <si>
    <t>CL2.804</t>
  </si>
  <si>
    <t>CL2.805</t>
  </si>
  <si>
    <t>CL2.806</t>
  </si>
  <si>
    <t>CL2.807</t>
  </si>
  <si>
    <t>CL2.808</t>
  </si>
  <si>
    <t>CL2.809</t>
  </si>
  <si>
    <t>CL2.810</t>
  </si>
  <si>
    <t>CL2.811</t>
  </si>
  <si>
    <t>CL2.812</t>
  </si>
  <si>
    <t>CL2.813</t>
  </si>
  <si>
    <t>CL2.814</t>
  </si>
  <si>
    <t>CL2.815</t>
  </si>
  <si>
    <t>CL2.816</t>
  </si>
  <si>
    <t>CL2.817</t>
  </si>
  <si>
    <t>CL2.818</t>
  </si>
  <si>
    <t>CL2.819</t>
  </si>
  <si>
    <t>CL2.820</t>
  </si>
  <si>
    <t>CL2.821</t>
  </si>
  <si>
    <t>CL2.822</t>
  </si>
  <si>
    <t>CL2.823</t>
  </si>
  <si>
    <t>CL2.824</t>
  </si>
  <si>
    <t>CL2.825</t>
  </si>
  <si>
    <t>CL2.826</t>
  </si>
  <si>
    <t>CL2.827</t>
  </si>
  <si>
    <t>CL2.828</t>
  </si>
  <si>
    <t>CL2.829</t>
  </si>
  <si>
    <t>CL2.830</t>
  </si>
  <si>
    <t>CL2.831</t>
  </si>
  <si>
    <t>CL2.832</t>
  </si>
  <si>
    <t>CL2.833</t>
  </si>
  <si>
    <t>CL2.834</t>
  </si>
  <si>
    <t>CL2.835</t>
  </si>
  <si>
    <t>CL2.836</t>
  </si>
  <si>
    <t>CL2.837</t>
  </si>
  <si>
    <t>CL2.838</t>
  </si>
  <si>
    <t>CL2.839</t>
  </si>
  <si>
    <t>CL2.840</t>
  </si>
  <si>
    <t>CL2.841</t>
  </si>
  <si>
    <t>CL2.842</t>
  </si>
  <si>
    <t>CL2.843</t>
  </si>
  <si>
    <t>CL2.844</t>
  </si>
  <si>
    <t>CL2.845</t>
  </si>
  <si>
    <t>CL2.846</t>
  </si>
  <si>
    <t>CL2.847</t>
  </si>
  <si>
    <t>CL2.848</t>
  </si>
  <si>
    <t>CL2.849</t>
  </si>
  <si>
    <t>CL2.850</t>
  </si>
  <si>
    <t>CL2.851</t>
  </si>
  <si>
    <t>CL2.852</t>
  </si>
  <si>
    <t>CL2.853</t>
  </si>
  <si>
    <t>CL2.854</t>
  </si>
  <si>
    <t>CL2.855</t>
  </si>
  <si>
    <t>CL2.856</t>
  </si>
  <si>
    <t>CL2.857</t>
  </si>
  <si>
    <t>CL2.858</t>
  </si>
  <si>
    <t>CL2.859</t>
  </si>
  <si>
    <t>CL2.860</t>
  </si>
  <si>
    <t>CL2.861</t>
  </si>
  <si>
    <t>CL2.862</t>
  </si>
  <si>
    <t>CL2.863</t>
  </si>
  <si>
    <t>CL2.864</t>
  </si>
  <si>
    <t>CL2.865</t>
  </si>
  <si>
    <t>CL2.866</t>
  </si>
  <si>
    <t>CL2.867</t>
  </si>
  <si>
    <t>CL2.868</t>
  </si>
  <si>
    <t>CL2.869</t>
  </si>
  <si>
    <t>CL2.870</t>
  </si>
  <si>
    <t>CL2.871</t>
  </si>
  <si>
    <t>CL2.872</t>
  </si>
  <si>
    <t>CL2.873</t>
  </si>
  <si>
    <t>CL2.874</t>
  </si>
  <si>
    <t>CL2.875</t>
  </si>
  <si>
    <t>CL2.876</t>
  </si>
  <si>
    <t>CL2.877</t>
  </si>
  <si>
    <t>CL2.878</t>
  </si>
  <si>
    <t>CL2.879</t>
  </si>
  <si>
    <t>CL2.880</t>
  </si>
  <si>
    <t>CL2.881</t>
  </si>
  <si>
    <t>CL2.882</t>
  </si>
  <si>
    <t>CL2.883</t>
  </si>
  <si>
    <t>CL2.884</t>
  </si>
  <si>
    <t>CL2.885</t>
  </si>
  <si>
    <t>CL2.886</t>
  </si>
  <si>
    <t>CL2.887</t>
  </si>
  <si>
    <t>CL2.888</t>
  </si>
  <si>
    <t>CL2.889</t>
  </si>
  <si>
    <t>CL2.890</t>
  </si>
  <si>
    <t>CL2.891</t>
  </si>
  <si>
    <t>CL2.892</t>
  </si>
  <si>
    <t>CL2.893</t>
  </si>
  <si>
    <t>CL2.894</t>
  </si>
  <si>
    <t>CL2.895</t>
  </si>
  <si>
    <t>CL2.896</t>
  </si>
  <si>
    <t>CL2.897</t>
  </si>
  <si>
    <t>CL2.898</t>
  </si>
  <si>
    <t>CL2.899</t>
  </si>
  <si>
    <t>CL2.900</t>
  </si>
  <si>
    <t>CL2.901</t>
  </si>
  <si>
    <t>CL2.902</t>
  </si>
  <si>
    <t>CL2.903</t>
  </si>
  <si>
    <t>CL2.904</t>
  </si>
  <si>
    <t>CL2.905</t>
  </si>
  <si>
    <t>CL2.906</t>
  </si>
  <si>
    <t>CL2.907</t>
  </si>
  <si>
    <t>CL2.908</t>
  </si>
  <si>
    <t>CL2.909</t>
  </si>
  <si>
    <t>CL2.910</t>
  </si>
  <si>
    <t>CL2.911</t>
  </si>
  <si>
    <t>CL2.912</t>
  </si>
  <si>
    <t>CL2.913</t>
  </si>
  <si>
    <t>CL2.914</t>
  </si>
  <si>
    <t>CL2.915</t>
  </si>
  <si>
    <t>CL2.916</t>
  </si>
  <si>
    <t>CL2.917</t>
  </si>
  <si>
    <t>CL2.918</t>
  </si>
  <si>
    <t>CL2.919</t>
  </si>
  <si>
    <t>CL2.920</t>
  </si>
  <si>
    <t>CL2.921</t>
  </si>
  <si>
    <t>CL2.922</t>
  </si>
  <si>
    <t>CL2.923</t>
  </si>
  <si>
    <t>CL2.924</t>
  </si>
  <si>
    <t>CL2.925</t>
  </si>
  <si>
    <t>CL2.926</t>
  </si>
  <si>
    <t>CL2.927</t>
  </si>
  <si>
    <t>CL2.928</t>
  </si>
  <si>
    <t>CL2.929</t>
  </si>
  <si>
    <t>CL2.930</t>
  </si>
  <si>
    <t>CL2.931</t>
  </si>
  <si>
    <t>CL2.932</t>
  </si>
  <si>
    <t>CL2.933</t>
  </si>
  <si>
    <t>CL2.934</t>
  </si>
  <si>
    <t>CL2.935</t>
  </si>
  <si>
    <t>CL2.936</t>
  </si>
  <si>
    <t>CL2.937</t>
  </si>
  <si>
    <t>CL2.938</t>
  </si>
  <si>
    <t>CL2.939</t>
  </si>
  <si>
    <t>CL2.940</t>
  </si>
  <si>
    <t>CL2.941</t>
  </si>
  <si>
    <t>CL2.942</t>
  </si>
  <si>
    <t>CL2.943</t>
  </si>
  <si>
    <t>CL2.944</t>
  </si>
  <si>
    <t>CL2.945</t>
  </si>
  <si>
    <t>CL2.946</t>
  </si>
  <si>
    <t>CL2.947</t>
  </si>
  <si>
    <t>CL2.948</t>
  </si>
  <si>
    <t>CL2.949</t>
  </si>
  <si>
    <t>CL2.950</t>
  </si>
  <si>
    <t>CL2.951</t>
  </si>
  <si>
    <t>CL2.952</t>
  </si>
  <si>
    <t>CL2.953</t>
  </si>
  <si>
    <t>CL2.954</t>
  </si>
  <si>
    <t>CL2.955</t>
  </si>
  <si>
    <t>CL2.956</t>
  </si>
  <si>
    <t>CL2.957</t>
  </si>
  <si>
    <t>CL2.958</t>
  </si>
  <si>
    <t>CL2.959</t>
  </si>
  <si>
    <t>CL2.960</t>
  </si>
  <si>
    <t>CL2.961</t>
  </si>
  <si>
    <t>CL2.962</t>
  </si>
  <si>
    <t>CL2.963</t>
  </si>
  <si>
    <t>CL2.964</t>
  </si>
  <si>
    <t>CL2.965</t>
  </si>
  <si>
    <t>CL2.966</t>
  </si>
  <si>
    <t>CL2.967</t>
  </si>
  <si>
    <t>CL2.968</t>
  </si>
  <si>
    <t>CL2.969</t>
  </si>
  <si>
    <t>CL2.970</t>
  </si>
  <si>
    <t>CL2.971</t>
  </si>
  <si>
    <t>CL2.972</t>
  </si>
  <si>
    <t>CL2.973</t>
  </si>
  <si>
    <t>CL2.974</t>
  </si>
  <si>
    <t>CL2.975</t>
  </si>
  <si>
    <t>CL2.976</t>
  </si>
  <si>
    <t>CL2.977</t>
  </si>
  <si>
    <t>CL2.978</t>
  </si>
  <si>
    <t>CL2.979</t>
  </si>
  <si>
    <t>CL2.980</t>
  </si>
  <si>
    <t>CL2.981</t>
  </si>
  <si>
    <t>CL2.982</t>
  </si>
  <si>
    <t>CL2.983</t>
  </si>
  <si>
    <t>CL2.984</t>
  </si>
  <si>
    <t>CL2.985</t>
  </si>
  <si>
    <t>CL2.986</t>
  </si>
  <si>
    <t>CL2.987</t>
  </si>
  <si>
    <t>CL2.988</t>
  </si>
  <si>
    <t>CL2.989</t>
  </si>
  <si>
    <t>CL2.990</t>
  </si>
  <si>
    <t>CL2.991</t>
  </si>
  <si>
    <t>CL2.992</t>
  </si>
  <si>
    <t>CL2.993</t>
  </si>
  <si>
    <t>CL2.994</t>
  </si>
  <si>
    <t>CL2.995</t>
  </si>
  <si>
    <t>CL2.996</t>
  </si>
  <si>
    <t>CL3.101</t>
  </si>
  <si>
    <t>CL3.102</t>
  </si>
  <si>
    <t>CL3.103</t>
  </si>
  <si>
    <t>CL3.104</t>
  </si>
  <si>
    <t>CL3.105</t>
  </si>
  <si>
    <t>CL3.106</t>
  </si>
  <si>
    <t>CL3.107</t>
  </si>
  <si>
    <t>CL3.108</t>
  </si>
  <si>
    <t>CL3.109</t>
  </si>
  <si>
    <t>CL3.110</t>
  </si>
  <si>
    <t>CL3.111</t>
  </si>
  <si>
    <t>CL3.112</t>
  </si>
  <si>
    <t>CL3.113</t>
  </si>
  <si>
    <t>CL3.114</t>
  </si>
  <si>
    <t>CL3.115</t>
  </si>
  <si>
    <t>CL3.116</t>
  </si>
  <si>
    <t>CL3.117</t>
  </si>
  <si>
    <t>CL3.118</t>
  </si>
  <si>
    <t>CL3.119</t>
  </si>
  <si>
    <t>CL3.120</t>
  </si>
  <si>
    <t>CL3.121</t>
  </si>
  <si>
    <t>CL3.122</t>
  </si>
  <si>
    <t>CL3.123</t>
  </si>
  <si>
    <t>CL3.124</t>
  </si>
  <si>
    <t>CL3.125</t>
  </si>
  <si>
    <t>CL3.126</t>
  </si>
  <si>
    <t>CL3.127</t>
  </si>
  <si>
    <t>CL3.128</t>
  </si>
  <si>
    <t>CL3.129</t>
  </si>
  <si>
    <t>CL3.130</t>
  </si>
  <si>
    <t>CL3.131</t>
  </si>
  <si>
    <t>CL3.132</t>
  </si>
  <si>
    <t>CL3.133</t>
  </si>
  <si>
    <t>CL3.134</t>
  </si>
  <si>
    <t>CL3.135</t>
  </si>
  <si>
    <t>CL3.136</t>
  </si>
  <si>
    <t>CL3.137</t>
  </si>
  <si>
    <t>CL3.138</t>
  </si>
  <si>
    <t>CL3.139</t>
  </si>
  <si>
    <t>CL3.140</t>
  </si>
  <si>
    <t>CL3.141</t>
  </si>
  <si>
    <t>CL3.142</t>
  </si>
  <si>
    <t>CL3.143</t>
  </si>
  <si>
    <t>CL3.144</t>
  </si>
  <si>
    <t>CL3.145</t>
  </si>
  <si>
    <t>CL3.146</t>
  </si>
  <si>
    <t>CL3.147</t>
  </si>
  <si>
    <t>CL3.148</t>
  </si>
  <si>
    <t>CL3.149</t>
  </si>
  <si>
    <t>CL3.150</t>
  </si>
  <si>
    <t>CL3.151</t>
  </si>
  <si>
    <t>CL3.152</t>
  </si>
  <si>
    <t>CL3.153</t>
  </si>
  <si>
    <t>CL3.154</t>
  </si>
  <si>
    <t>CL3.155</t>
  </si>
  <si>
    <t>CL3.156</t>
  </si>
  <si>
    <t>CL3.157</t>
  </si>
  <si>
    <t>CL3.158</t>
  </si>
  <si>
    <t>CL3.159</t>
  </si>
  <si>
    <t>CL3.160</t>
  </si>
  <si>
    <t>CL3.161</t>
  </si>
  <si>
    <t>CL3.162</t>
  </si>
  <si>
    <t>CL3.163</t>
  </si>
  <si>
    <t>CL3.164</t>
  </si>
  <si>
    <t>CL3.165</t>
  </si>
  <si>
    <t>CL3.166</t>
  </si>
  <si>
    <t>CL3.167</t>
  </si>
  <si>
    <t>CL3.168</t>
  </si>
  <si>
    <t>CL3.169</t>
  </si>
  <si>
    <t>CL3.170</t>
  </si>
  <si>
    <t>CL3.171</t>
  </si>
  <si>
    <t>CL3.172</t>
  </si>
  <si>
    <t>CL3.173</t>
  </si>
  <si>
    <t>CL3.174</t>
  </si>
  <si>
    <t>CL3.175</t>
  </si>
  <si>
    <t>CL3.176</t>
  </si>
  <si>
    <t>CL3.177</t>
  </si>
  <si>
    <t>CL3.178</t>
  </si>
  <si>
    <t>CL3.179</t>
  </si>
  <si>
    <t>CL3.180</t>
  </si>
  <si>
    <t>CL3.181</t>
  </si>
  <si>
    <t>CL3.182</t>
  </si>
  <si>
    <t>CL3.183</t>
  </si>
  <si>
    <t>CL3.184</t>
  </si>
  <si>
    <t>CL3.185</t>
  </si>
  <si>
    <t>CL3.186</t>
  </si>
  <si>
    <t>CL3.187</t>
  </si>
  <si>
    <t>CL3.188</t>
  </si>
  <si>
    <t>CL3.189</t>
  </si>
  <si>
    <t>CL3.190</t>
  </si>
  <si>
    <t>CL3.191</t>
  </si>
  <si>
    <t>CL3.192</t>
  </si>
  <si>
    <t>CL3.193</t>
  </si>
  <si>
    <t>CL3.194</t>
  </si>
  <si>
    <t>CL3.195</t>
  </si>
  <si>
    <t>CL3.196</t>
  </si>
  <si>
    <t>CL3.197</t>
  </si>
  <si>
    <t>CL3.198</t>
  </si>
  <si>
    <t>CL3.199</t>
  </si>
  <si>
    <t>CL3.200</t>
  </si>
  <si>
    <t>CL3.201</t>
  </si>
  <si>
    <t>CL3.202</t>
  </si>
  <si>
    <t>CL3.203</t>
  </si>
  <si>
    <t>CL3.204</t>
  </si>
  <si>
    <t>CL3.205</t>
  </si>
  <si>
    <t>CL3.206</t>
  </si>
  <si>
    <t>CL3.207</t>
  </si>
  <si>
    <t>CL3.208</t>
  </si>
  <si>
    <t>CL3.209</t>
  </si>
  <si>
    <t>CL3.210</t>
  </si>
  <si>
    <t>CL3.211</t>
  </si>
  <si>
    <t>CL3.212</t>
  </si>
  <si>
    <t>CL3.213</t>
  </si>
  <si>
    <t>CL3.214</t>
  </si>
  <si>
    <t>CL3.215</t>
  </si>
  <si>
    <t>CL3.216</t>
  </si>
  <si>
    <t>CL3.217</t>
  </si>
  <si>
    <t>CL3.218</t>
  </si>
  <si>
    <t>CL3.219</t>
  </si>
  <si>
    <t>CL3.220</t>
  </si>
  <si>
    <t>CL3.221</t>
  </si>
  <si>
    <t>CL3.222</t>
  </si>
  <si>
    <t>CL3.223</t>
  </si>
  <si>
    <t>CL3.224</t>
  </si>
  <si>
    <t>CL3.225</t>
  </si>
  <si>
    <t>CL3.226</t>
  </si>
  <si>
    <t>CL3.227</t>
  </si>
  <si>
    <t>CL3.228</t>
  </si>
  <si>
    <t>CL3.229</t>
  </si>
  <si>
    <t>CL3.230</t>
  </si>
  <si>
    <t>CL3.231</t>
  </si>
  <si>
    <t>CL3.232</t>
  </si>
  <si>
    <t>CL3.233</t>
  </si>
  <si>
    <t>CL3.234</t>
  </si>
  <si>
    <t>CL3.235</t>
  </si>
  <si>
    <t>CL3.236</t>
  </si>
  <si>
    <t>CL3.237</t>
  </si>
  <si>
    <t>CL3.238</t>
  </si>
  <si>
    <t>CL3.239</t>
  </si>
  <si>
    <t>CL3.240</t>
  </si>
  <si>
    <t>CL3.241</t>
  </si>
  <si>
    <t>CL3.242</t>
  </si>
  <si>
    <t>CL3.243</t>
  </si>
  <si>
    <t>CL3.244</t>
  </si>
  <si>
    <t>CL3.245</t>
  </si>
  <si>
    <t>CL3.246</t>
  </si>
  <si>
    <t>CL3.247</t>
  </si>
  <si>
    <t>CL3.248</t>
  </si>
  <si>
    <t>CL3.249</t>
  </si>
  <si>
    <t>CL3.250</t>
  </si>
  <si>
    <t>CL3.251</t>
  </si>
  <si>
    <t>CL3.252</t>
  </si>
  <si>
    <t>CL3.253</t>
  </si>
  <si>
    <t>CL3.254</t>
  </si>
  <si>
    <t>CL3.255</t>
  </si>
  <si>
    <t>CL3.256</t>
  </si>
  <si>
    <t>CL3.257</t>
  </si>
  <si>
    <t>CL3.258</t>
  </si>
  <si>
    <t>CL3.259</t>
  </si>
  <si>
    <t>CL3.260</t>
  </si>
  <si>
    <t>CL3.261</t>
  </si>
  <si>
    <t>CL3.262</t>
  </si>
  <si>
    <t>CL3.263</t>
  </si>
  <si>
    <t>CL3.264</t>
  </si>
  <si>
    <t>CL3.265</t>
  </si>
  <si>
    <t>CL3.266</t>
  </si>
  <si>
    <t>CL3.267</t>
  </si>
  <si>
    <t>CL3.268</t>
  </si>
  <si>
    <t>CL3.269</t>
  </si>
  <si>
    <t>CL3.270</t>
  </si>
  <si>
    <t>CL3.271</t>
  </si>
  <si>
    <t>CL3.272</t>
  </si>
  <si>
    <t>CL3.273</t>
  </si>
  <si>
    <t>CL3.274</t>
  </si>
  <si>
    <t>CL3.275</t>
  </si>
  <si>
    <t>CL3.276</t>
  </si>
  <si>
    <t>CL3.277</t>
  </si>
  <si>
    <t>CL3.278</t>
  </si>
  <si>
    <t>CL3.279</t>
  </si>
  <si>
    <t>CL3.280</t>
  </si>
  <si>
    <t>CL3.281</t>
  </si>
  <si>
    <t>CL3.282</t>
  </si>
  <si>
    <t>CL3.283</t>
  </si>
  <si>
    <t>CL3.284</t>
  </si>
  <si>
    <t>CL3.285</t>
  </si>
  <si>
    <t>CL3.286</t>
  </si>
  <si>
    <t>CL3.287</t>
  </si>
  <si>
    <t>CL3.288</t>
  </si>
  <si>
    <t>CL3.289</t>
  </si>
  <si>
    <t>CL3.290</t>
  </si>
  <si>
    <t>CL3.291</t>
  </si>
  <si>
    <t>CL3.292</t>
  </si>
  <si>
    <t>CL3.293</t>
  </si>
  <si>
    <t>CL3.294</t>
  </si>
  <si>
    <t>CL3.295</t>
  </si>
  <si>
    <t>CL3.296</t>
  </si>
  <si>
    <t>CL3.297</t>
  </si>
  <si>
    <t>CL3.298</t>
  </si>
  <si>
    <t>CL3.299</t>
  </si>
  <si>
    <t>CL3.300</t>
  </si>
  <si>
    <t>CL3.301</t>
  </si>
  <si>
    <t>CL3.302</t>
  </si>
  <si>
    <t>CL3.303</t>
  </si>
  <si>
    <t>CL3.304</t>
  </si>
  <si>
    <t>CL3.305</t>
  </si>
  <si>
    <t>CL3.306</t>
  </si>
  <si>
    <t>CL3.307</t>
  </si>
  <si>
    <t>CL3.308</t>
  </si>
  <si>
    <t>CL3.309</t>
  </si>
  <si>
    <t>CL3.310</t>
  </si>
  <si>
    <t>CL3.311</t>
  </si>
  <si>
    <t>CL3.312</t>
  </si>
  <si>
    <t>CL3.313</t>
  </si>
  <si>
    <t>CL3.314</t>
  </si>
  <si>
    <t>CL3.315</t>
  </si>
  <si>
    <t>CL3.316</t>
  </si>
  <si>
    <t>CL3.317</t>
  </si>
  <si>
    <t>CL3.318</t>
  </si>
  <si>
    <t>CL3.319</t>
  </si>
  <si>
    <t>CL3.320</t>
  </si>
  <si>
    <t>CL3.321</t>
  </si>
  <si>
    <t>CL3.322</t>
  </si>
  <si>
    <t>CL3.323</t>
  </si>
  <si>
    <t>CL3.324</t>
  </si>
  <si>
    <t>CL3.325</t>
  </si>
  <si>
    <t>CL3.326</t>
  </si>
  <si>
    <t>CL3.327</t>
  </si>
  <si>
    <t>CL3.328</t>
  </si>
  <si>
    <t>CL3.329</t>
  </si>
  <si>
    <t>CL3.330</t>
  </si>
  <si>
    <t>CL3.331</t>
  </si>
  <si>
    <t>CL3.332</t>
  </si>
  <si>
    <t>CL3.333</t>
  </si>
  <si>
    <t>CL3.334</t>
  </si>
  <si>
    <t>CL3.335</t>
  </si>
  <si>
    <t>CL3.336</t>
  </si>
  <si>
    <t>CL3.337</t>
  </si>
  <si>
    <t>CL3.338</t>
  </si>
  <si>
    <t>CL3.339</t>
  </si>
  <si>
    <t>CL3.340</t>
  </si>
  <si>
    <t>CL3.341</t>
  </si>
  <si>
    <t>CL3.342</t>
  </si>
  <si>
    <t>CL3.343</t>
  </si>
  <si>
    <t>CL3.344</t>
  </si>
  <si>
    <t>CL3.345</t>
  </si>
  <si>
    <t>CL3.346</t>
  </si>
  <si>
    <t>CL3.347</t>
  </si>
  <si>
    <t>CL3.348</t>
  </si>
  <si>
    <t>CL3.349</t>
  </si>
  <si>
    <t>CL3.350</t>
  </si>
  <si>
    <t>CL3.351</t>
  </si>
  <si>
    <t>CL3.352</t>
  </si>
  <si>
    <t>CL3.353</t>
  </si>
  <si>
    <t>CL3.354</t>
  </si>
  <si>
    <t>CL3.355</t>
  </si>
  <si>
    <t>CL3.356</t>
  </si>
  <si>
    <t>CL3.357</t>
  </si>
  <si>
    <t>CL3.358</t>
  </si>
  <si>
    <t>CL3.359</t>
  </si>
  <si>
    <t>CL3.360</t>
  </si>
  <si>
    <t>CL3.361</t>
  </si>
  <si>
    <t>CL3.362</t>
  </si>
  <si>
    <t>CL3.363</t>
  </si>
  <si>
    <t>CL3.364</t>
  </si>
  <si>
    <t>CL3.365</t>
  </si>
  <si>
    <t>CL3.366</t>
  </si>
  <si>
    <t>CL3.367</t>
  </si>
  <si>
    <t>CL3.368</t>
  </si>
  <si>
    <t>CL3.369</t>
  </si>
  <si>
    <t>CL3.370</t>
  </si>
  <si>
    <t>CL3.371</t>
  </si>
  <si>
    <t>CL3.372</t>
  </si>
  <si>
    <t>CL3.373</t>
  </si>
  <si>
    <t>CL3.374</t>
  </si>
  <si>
    <t>CL3.375</t>
  </si>
  <si>
    <t>CL3.376</t>
  </si>
  <si>
    <t>CL3.377</t>
  </si>
  <si>
    <t>CL3.378</t>
  </si>
  <si>
    <t>CL3.379</t>
  </si>
  <si>
    <t>CL3.380</t>
  </si>
  <si>
    <t>CL3.381</t>
  </si>
  <si>
    <t>CL3.382</t>
  </si>
  <si>
    <t>CL3.383</t>
  </si>
  <si>
    <t>CL3.384</t>
  </si>
  <si>
    <t>CL3.385</t>
  </si>
  <si>
    <t>CL3.386</t>
  </si>
  <si>
    <t>CL3.387</t>
  </si>
  <si>
    <t>CL3.388</t>
  </si>
  <si>
    <t>CL3.389</t>
  </si>
  <si>
    <t>CL3.390</t>
  </si>
  <si>
    <t>CL3.391</t>
  </si>
  <si>
    <t>CL3.392</t>
  </si>
  <si>
    <t>CL3.393</t>
  </si>
  <si>
    <t>CL3.394</t>
  </si>
  <si>
    <t>CL3.395</t>
  </si>
  <si>
    <t>CL3.396</t>
  </si>
  <si>
    <t>CL3.397</t>
  </si>
  <si>
    <t>CL3.398</t>
  </si>
  <si>
    <t>CL3.399</t>
  </si>
  <si>
    <t>CL3.400</t>
  </si>
  <si>
    <t>CL3.401</t>
  </si>
  <si>
    <t>CL3.402</t>
  </si>
  <si>
    <t>CL3.403</t>
  </si>
  <si>
    <t>CL3.404</t>
  </si>
  <si>
    <t>CL3.405</t>
  </si>
  <si>
    <t>CL3.406</t>
  </si>
  <si>
    <t>CL3.407</t>
  </si>
  <si>
    <t>CL3.408</t>
  </si>
  <si>
    <t>CL3.409</t>
  </si>
  <si>
    <t>CL3.410</t>
  </si>
  <si>
    <t>CL3.411</t>
  </si>
  <si>
    <t>CL3.412</t>
  </si>
  <si>
    <t>CL3.413</t>
  </si>
  <si>
    <t>CL3.414</t>
  </si>
  <si>
    <t>CL3.415</t>
  </si>
  <si>
    <t>CL3.416</t>
  </si>
  <si>
    <t>CL3.417</t>
  </si>
  <si>
    <t>CL3.418</t>
  </si>
  <si>
    <t>CL3.419</t>
  </si>
  <si>
    <t>CL3.420</t>
  </si>
  <si>
    <t>CL3.421</t>
  </si>
  <si>
    <t>CL3.422</t>
  </si>
  <si>
    <t>CL3.423</t>
  </si>
  <si>
    <t>CL3.424</t>
  </si>
  <si>
    <t>CL3.425</t>
  </si>
  <si>
    <t>CL3.426</t>
  </si>
  <si>
    <t>CL3.427</t>
  </si>
  <si>
    <t>CL3.428</t>
  </si>
  <si>
    <t>CL3.429</t>
  </si>
  <si>
    <t>CL3.430</t>
  </si>
  <si>
    <t>CL3.431</t>
  </si>
  <si>
    <t>CL3.432</t>
  </si>
  <si>
    <t>CL3.433</t>
  </si>
  <si>
    <t>CL3.434</t>
  </si>
  <si>
    <t>CL3.435</t>
  </si>
  <si>
    <t>CL3.436</t>
  </si>
  <si>
    <t>CL3.437</t>
  </si>
  <si>
    <t>CL3.438</t>
  </si>
  <si>
    <t>CL3.439</t>
  </si>
  <si>
    <t>CL3.440</t>
  </si>
  <si>
    <t>CL3.441</t>
  </si>
  <si>
    <t>CL3.442</t>
  </si>
  <si>
    <t>CL3.443</t>
  </si>
  <si>
    <t>CL3.444</t>
  </si>
  <si>
    <t>CL3.445</t>
  </si>
  <si>
    <t>CL3.446</t>
  </si>
  <si>
    <t>CL3.447</t>
  </si>
  <si>
    <t>CL3.448</t>
  </si>
  <si>
    <t>CL3.449</t>
  </si>
  <si>
    <t>CL3.450</t>
  </si>
  <si>
    <t>CL3.451</t>
  </si>
  <si>
    <t>CL3.452</t>
  </si>
  <si>
    <t>CL3.453</t>
  </si>
  <si>
    <t>CL3.454</t>
  </si>
  <si>
    <t>CL3.455</t>
  </si>
  <si>
    <t>CL3.456</t>
  </si>
  <si>
    <t>CL3.457</t>
  </si>
  <si>
    <t>CL3.458</t>
  </si>
  <si>
    <t>CL3.459</t>
  </si>
  <si>
    <t>CL3.460</t>
  </si>
  <si>
    <t>CL3.461</t>
  </si>
  <si>
    <t>CL3.462</t>
  </si>
  <si>
    <t>CL3.463</t>
  </si>
  <si>
    <t>CL3.464</t>
  </si>
  <si>
    <t>CL3.465</t>
  </si>
  <si>
    <t>CL3.466</t>
  </si>
  <si>
    <t>CL3.467</t>
  </si>
  <si>
    <t>CL3.468</t>
  </si>
  <si>
    <t>CL3.469</t>
  </si>
  <si>
    <t>CL3.470</t>
  </si>
  <si>
    <t>CL3.471</t>
  </si>
  <si>
    <t>CL3.472</t>
  </si>
  <si>
    <t>CL3.473</t>
  </si>
  <si>
    <t>CL3.474</t>
  </si>
  <si>
    <t>CL3.475</t>
  </si>
  <si>
    <t>CL3.476</t>
  </si>
  <si>
    <t>CL3.477</t>
  </si>
  <si>
    <t>CL3.478</t>
  </si>
  <si>
    <t>CL3.479</t>
  </si>
  <si>
    <t>CL3.480</t>
  </si>
  <si>
    <t>CL3.481</t>
  </si>
  <si>
    <t>CL3.482</t>
  </si>
  <si>
    <t>CL3.483</t>
  </si>
  <si>
    <t>CL3.484</t>
  </si>
  <si>
    <t>CL3.485</t>
  </si>
  <si>
    <t>CL3.486</t>
  </si>
  <si>
    <t>CL3.487</t>
  </si>
  <si>
    <t>CL3.488</t>
  </si>
  <si>
    <t>CL3.489</t>
  </si>
  <si>
    <t>CL3.490</t>
  </si>
  <si>
    <t>CL3.491</t>
  </si>
  <si>
    <t>CL3.492</t>
  </si>
  <si>
    <t>CL3.493</t>
  </si>
  <si>
    <t>CL3.494</t>
  </si>
  <si>
    <t>CL3.495</t>
  </si>
  <si>
    <t>CL3.496</t>
  </si>
  <si>
    <t>CL3.497</t>
  </si>
  <si>
    <t>CL3.498</t>
  </si>
  <si>
    <t>CL3.499</t>
  </si>
  <si>
    <t>CL3.500</t>
  </si>
  <si>
    <t>CL3.501</t>
  </si>
  <si>
    <t>CL3.502</t>
  </si>
  <si>
    <t>CL3.503</t>
  </si>
  <si>
    <t>CL3.504</t>
  </si>
  <si>
    <t>CL3.505</t>
  </si>
  <si>
    <t>CL3.506</t>
  </si>
  <si>
    <t>CL3.507</t>
  </si>
  <si>
    <t>CL3.508</t>
  </si>
  <si>
    <t>CL3.509</t>
  </si>
  <si>
    <t>CL3.510</t>
  </si>
  <si>
    <t>CL3.511</t>
  </si>
  <si>
    <t>CL3.512</t>
  </si>
  <si>
    <t>CL3.513</t>
  </si>
  <si>
    <t>CL3.514</t>
  </si>
  <si>
    <t>CL3.515</t>
  </si>
  <si>
    <t>CL3.516</t>
  </si>
  <si>
    <t>CL3.517</t>
  </si>
  <si>
    <t>CL3.518</t>
  </si>
  <si>
    <t>CL3.519</t>
  </si>
  <si>
    <t>CL3.520</t>
  </si>
  <si>
    <t>CL3.521</t>
  </si>
  <si>
    <t>CL3.522</t>
  </si>
  <si>
    <t>CL3.523</t>
  </si>
  <si>
    <t>CL3.524</t>
  </si>
  <si>
    <t>CL3.525</t>
  </si>
  <si>
    <t>CL3.526</t>
  </si>
  <si>
    <t>CL3.527</t>
  </si>
  <si>
    <t>CL3.528</t>
  </si>
  <si>
    <t>CL3.529</t>
  </si>
  <si>
    <t>CL3.530</t>
  </si>
  <si>
    <t>CL3.531</t>
  </si>
  <si>
    <t>CL3.532</t>
  </si>
  <si>
    <t>CL3.533</t>
  </si>
  <si>
    <t>CL3.534</t>
  </si>
  <si>
    <t>CL3.535</t>
  </si>
  <si>
    <t>CL3.536</t>
  </si>
  <si>
    <t>CL3.537</t>
  </si>
  <si>
    <t>CL3.538</t>
  </si>
  <si>
    <t>CL3.539</t>
  </si>
  <si>
    <t>CL3.540</t>
  </si>
  <si>
    <t>CL3.541</t>
  </si>
  <si>
    <t>CL3.542</t>
  </si>
  <si>
    <t>CL3.543</t>
  </si>
  <si>
    <t>CL3.544</t>
  </si>
  <si>
    <t>CL3.545</t>
  </si>
  <si>
    <t>CL3.546</t>
  </si>
  <si>
    <t>CL3.547</t>
  </si>
  <si>
    <t>CL3.548</t>
  </si>
  <si>
    <t>CL3.549</t>
  </si>
  <si>
    <t>CL3.550</t>
  </si>
  <si>
    <t>CL3.551</t>
  </si>
  <si>
    <t>CL3.552</t>
  </si>
  <si>
    <t>CL3.553</t>
  </si>
  <si>
    <t>CL3.554</t>
  </si>
  <si>
    <t>CL3.555</t>
  </si>
  <si>
    <t>CL3.556</t>
  </si>
  <si>
    <t>CL3.557</t>
  </si>
  <si>
    <t>CL3.558</t>
  </si>
  <si>
    <t>CL3.559</t>
  </si>
  <si>
    <t>CL3.560</t>
  </si>
  <si>
    <t>CL3.561</t>
  </si>
  <si>
    <t>CL3.562</t>
  </si>
  <si>
    <t>CL3.563</t>
  </si>
  <si>
    <t>CL3.564</t>
  </si>
  <si>
    <t>CL3.565</t>
  </si>
  <si>
    <t>CL3.566</t>
  </si>
  <si>
    <t>CL3.567</t>
  </si>
  <si>
    <t>CL3.568</t>
  </si>
  <si>
    <t>CL3.569</t>
  </si>
  <si>
    <t>CL3.570</t>
  </si>
  <si>
    <t>CL3.571</t>
  </si>
  <si>
    <t>CL3.572</t>
  </si>
  <si>
    <t>CL3.573</t>
  </si>
  <si>
    <t>CL3.574</t>
  </si>
  <si>
    <t>CL3.575</t>
  </si>
  <si>
    <t>CL3.576</t>
  </si>
  <si>
    <t>CL3.577</t>
  </si>
  <si>
    <t>CL3.578</t>
  </si>
  <si>
    <t>CL3.579</t>
  </si>
  <si>
    <t>CL3.580</t>
  </si>
  <si>
    <t>CL3.581</t>
  </si>
  <si>
    <t>CL3.582</t>
  </si>
  <si>
    <t>CL3.583</t>
  </si>
  <si>
    <t>CL3.584</t>
  </si>
  <si>
    <t>CL3.585</t>
  </si>
  <si>
    <t>CL3.586</t>
  </si>
  <si>
    <t>CL3.587</t>
  </si>
  <si>
    <t>CL3.588</t>
  </si>
  <si>
    <t>CL3.589</t>
  </si>
  <si>
    <t>CL3.590</t>
  </si>
  <si>
    <t>CL3.591</t>
  </si>
  <si>
    <t>CL3.592</t>
  </si>
  <si>
    <t>CL3.593</t>
  </si>
  <si>
    <t>CL3.594</t>
  </si>
  <si>
    <t>CL3.595</t>
  </si>
  <si>
    <t>CL3.596</t>
  </si>
  <si>
    <t>CL3.597</t>
  </si>
  <si>
    <t>CL3.598</t>
  </si>
  <si>
    <t>CL3.599</t>
  </si>
  <si>
    <t>CL3.600</t>
  </si>
  <si>
    <t>CL3.601</t>
  </si>
  <si>
    <t>CL3.602</t>
  </si>
  <si>
    <t>CL3.603</t>
  </si>
  <si>
    <t>CL3.604</t>
  </si>
  <si>
    <t>CL3.605</t>
  </si>
  <si>
    <t>CL3.606</t>
  </si>
  <si>
    <t>CL3.607</t>
  </si>
  <si>
    <t>CL3.608</t>
  </si>
  <si>
    <t>CL3.609</t>
  </si>
  <si>
    <t>CL3.610</t>
  </si>
  <si>
    <t>CL3.611</t>
  </si>
  <si>
    <t>CL3.612</t>
  </si>
  <si>
    <t>CL3.613</t>
  </si>
  <si>
    <t>CL3.614</t>
  </si>
  <si>
    <t>CL3.615</t>
  </si>
  <si>
    <t>CL3.616</t>
  </si>
  <si>
    <t>CL3.617</t>
  </si>
  <si>
    <t>CL3.618</t>
  </si>
  <si>
    <t>CL3.619</t>
  </si>
  <si>
    <t>CL3.620</t>
  </si>
  <si>
    <t>CL3.621</t>
  </si>
  <si>
    <t>CL3.622</t>
  </si>
  <si>
    <t>CL3.623</t>
  </si>
  <si>
    <t>CL3.624</t>
  </si>
  <si>
    <t>CL3.625</t>
  </si>
  <si>
    <t>CL3.626</t>
  </si>
  <si>
    <t>CL3.627</t>
  </si>
  <si>
    <t>CL3.628</t>
  </si>
  <si>
    <t>CL3.629</t>
  </si>
  <si>
    <t>CL3.630</t>
  </si>
  <si>
    <t>CL3.631</t>
  </si>
  <si>
    <t>CL3.632</t>
  </si>
  <si>
    <t>CL3.633</t>
  </si>
  <si>
    <t>CL3.634</t>
  </si>
  <si>
    <t>CL3.635</t>
  </si>
  <si>
    <t>CL3.636</t>
  </si>
  <si>
    <t>CL3.637</t>
  </si>
  <si>
    <t>CL3.638</t>
  </si>
  <si>
    <t>CL3.639</t>
  </si>
  <si>
    <t>CL3.640</t>
  </si>
  <si>
    <t>CL3.641</t>
  </si>
  <si>
    <t>CL3.642</t>
  </si>
  <si>
    <t>CL3.643</t>
  </si>
  <si>
    <t>CL3.644</t>
  </si>
  <si>
    <t>CL3.645</t>
  </si>
  <si>
    <t>CL3.646</t>
  </si>
  <si>
    <t>CL3.647</t>
  </si>
  <si>
    <t>CL3.648</t>
  </si>
  <si>
    <t>CL3.649</t>
  </si>
  <si>
    <t>CL3.650</t>
  </si>
  <si>
    <t>CL3.651</t>
  </si>
  <si>
    <t>CL3.652</t>
  </si>
  <si>
    <t>CL3.653</t>
  </si>
  <si>
    <t>CL3.654</t>
  </si>
  <si>
    <t>CL3.655</t>
  </si>
  <si>
    <t>CL3.656</t>
  </si>
  <si>
    <t>CL3.657</t>
  </si>
  <si>
    <t>CL3.658</t>
  </si>
  <si>
    <t>CL3.659</t>
  </si>
  <si>
    <t>CL3.660</t>
  </si>
  <si>
    <t>CL3.661</t>
  </si>
  <si>
    <t>CL3.662</t>
  </si>
  <si>
    <t>CL3.663</t>
  </si>
  <si>
    <t>CL3.664</t>
  </si>
  <si>
    <t>CL3.665</t>
  </si>
  <si>
    <t>CL3.666</t>
  </si>
  <si>
    <t>CL3.667</t>
  </si>
  <si>
    <t>CL3.668</t>
  </si>
  <si>
    <t>CL3.669</t>
  </si>
  <si>
    <t>CL3.670</t>
  </si>
  <si>
    <t>CL3.671</t>
  </si>
  <si>
    <t>CL3.672</t>
  </si>
  <si>
    <t>CL3.673</t>
  </si>
  <si>
    <t>CL3.674</t>
  </si>
  <si>
    <t>CL3.675</t>
  </si>
  <si>
    <t>CL3.676</t>
  </si>
  <si>
    <t>CL3.677</t>
  </si>
  <si>
    <t>CL3.678</t>
  </si>
  <si>
    <t>CL3.679</t>
  </si>
  <si>
    <t>CL3.680</t>
  </si>
  <si>
    <t>CL3.681</t>
  </si>
  <si>
    <t>CL3.682</t>
  </si>
  <si>
    <t>CL3.683</t>
  </si>
  <si>
    <t>CL3.684</t>
  </si>
  <si>
    <t>CL3.685</t>
  </si>
  <si>
    <t>CL3.686</t>
  </si>
  <si>
    <t>CL3.687</t>
  </si>
  <si>
    <t>CL3.688</t>
  </si>
  <si>
    <t>CL3.689</t>
  </si>
  <si>
    <t>CL3.690</t>
  </si>
  <si>
    <t>CL3.691</t>
  </si>
  <si>
    <t>CL3.692</t>
  </si>
  <si>
    <t>CL3.693</t>
  </si>
  <si>
    <t>CL3.694</t>
  </si>
  <si>
    <t>CL3.695</t>
  </si>
  <si>
    <t>CL3.696</t>
  </si>
  <si>
    <t>CL3.697</t>
  </si>
  <si>
    <t>CL3.698</t>
  </si>
  <si>
    <t>CL3.699</t>
  </si>
  <si>
    <t>CL3.700</t>
  </si>
  <si>
    <t>CL3.701</t>
  </si>
  <si>
    <t>CL3.702</t>
  </si>
  <si>
    <t>CL3.703</t>
  </si>
  <si>
    <t>CL3.704</t>
  </si>
  <si>
    <t>CL3.705</t>
  </si>
  <si>
    <t>CL3.706</t>
  </si>
  <si>
    <t>CL3.707</t>
  </si>
  <si>
    <t>CL3.708</t>
  </si>
  <si>
    <t>CL3.709</t>
  </si>
  <si>
    <t>CL3.710</t>
  </si>
  <si>
    <t>CL3.711</t>
  </si>
  <si>
    <t>CL3.712</t>
  </si>
  <si>
    <t>CL3.713</t>
  </si>
  <si>
    <t>CL3.714</t>
  </si>
  <si>
    <t>CL3.715</t>
  </si>
  <si>
    <t>CL3.716</t>
  </si>
  <si>
    <t>CL3.717</t>
  </si>
  <si>
    <t>CL3.718</t>
  </si>
  <si>
    <t>CL3.719</t>
  </si>
  <si>
    <t>CL3.720</t>
  </si>
  <si>
    <t>CL3.721</t>
  </si>
  <si>
    <t>CL3.722</t>
  </si>
  <si>
    <t>CL3.723</t>
  </si>
  <si>
    <t>CL3.724</t>
  </si>
  <si>
    <t>CL3.725</t>
  </si>
  <si>
    <t>CL3.726</t>
  </si>
  <si>
    <t>CL3.727</t>
  </si>
  <si>
    <t>CL3.728</t>
  </si>
  <si>
    <t>CL3.729</t>
  </si>
  <si>
    <t>CL3.730</t>
  </si>
  <si>
    <t>CL3.731</t>
  </si>
  <si>
    <t>CL3.732</t>
  </si>
  <si>
    <t>CL3.733</t>
  </si>
  <si>
    <t>CL3.734</t>
  </si>
  <si>
    <t>CL3.735</t>
  </si>
  <si>
    <t>CL3.736</t>
  </si>
  <si>
    <t>CL3.737</t>
  </si>
  <si>
    <t>CL3.738</t>
  </si>
  <si>
    <t>CL3.739</t>
  </si>
  <si>
    <t>CL3.740</t>
  </si>
  <si>
    <t>CL3.741</t>
  </si>
  <si>
    <t>CL3.742</t>
  </si>
  <si>
    <t>CL3.743</t>
  </si>
  <si>
    <t>CL3.744</t>
  </si>
  <si>
    <t>CL3.745</t>
  </si>
  <si>
    <t>CL3.746</t>
  </si>
  <si>
    <t>CL3.747</t>
  </si>
  <si>
    <t>CL3.748</t>
  </si>
  <si>
    <t>CL3.749</t>
  </si>
  <si>
    <t>CL3.750</t>
  </si>
  <si>
    <t>CL3.751</t>
  </si>
  <si>
    <t>CL3.752</t>
  </si>
  <si>
    <t>CL3.753</t>
  </si>
  <si>
    <t>CL3.754</t>
  </si>
  <si>
    <t>CL3.755</t>
  </si>
  <si>
    <t>CL3.756</t>
  </si>
  <si>
    <t>CL3.757</t>
  </si>
  <si>
    <t>CL3.758</t>
  </si>
  <si>
    <t>CL3.759</t>
  </si>
  <si>
    <t>CL3.760</t>
  </si>
  <si>
    <t>CL3.761</t>
  </si>
  <si>
    <t>CL3.762</t>
  </si>
  <si>
    <t>CL3.763</t>
  </si>
  <si>
    <t>CL3.764</t>
  </si>
  <si>
    <t>CL3.765</t>
  </si>
  <si>
    <t>CL3.766</t>
  </si>
  <si>
    <t>CL3.767</t>
  </si>
  <si>
    <t>CL3.768</t>
  </si>
  <si>
    <t>CL3.769</t>
  </si>
  <si>
    <t>CL3.770</t>
  </si>
  <si>
    <t>CL3.771</t>
  </si>
  <si>
    <t>CL3.772</t>
  </si>
  <si>
    <t>CL3.773</t>
  </si>
  <si>
    <t>CL3.774</t>
  </si>
  <si>
    <t>CL3.775</t>
  </si>
  <si>
    <t>CL3.776</t>
  </si>
  <si>
    <t>CL3.777</t>
  </si>
  <si>
    <t>CL3.778</t>
  </si>
  <si>
    <t>CL3.779</t>
  </si>
  <si>
    <t>CL3.780</t>
  </si>
  <si>
    <t>CL3.781</t>
  </si>
  <si>
    <t>CL3.782</t>
  </si>
  <si>
    <t>CL3.783</t>
  </si>
  <si>
    <t>CL3.784</t>
  </si>
  <si>
    <t>CL3.785</t>
  </si>
  <si>
    <t>CL3.786</t>
  </si>
  <si>
    <t>CL3.787</t>
  </si>
  <si>
    <t>CL3.788</t>
  </si>
  <si>
    <t>CL3.789</t>
  </si>
  <si>
    <t>CL3.790</t>
  </si>
  <si>
    <t>CL3.791</t>
  </si>
  <si>
    <t>CL3.792</t>
  </si>
  <si>
    <t>CL3.793</t>
  </si>
  <si>
    <t>CL3.794</t>
  </si>
  <si>
    <t>CL3.795</t>
  </si>
  <si>
    <t>CL3.796</t>
  </si>
  <si>
    <t>CL3.797</t>
  </si>
  <si>
    <t>CL3.798</t>
  </si>
  <si>
    <t>CL3.799</t>
  </si>
  <si>
    <t>CL3.800</t>
  </si>
  <si>
    <t>CL3.801</t>
  </si>
  <si>
    <t>CL3.802</t>
  </si>
  <si>
    <t>CL3.803</t>
  </si>
  <si>
    <t>CL3.804</t>
  </si>
  <si>
    <t>CL3.805</t>
  </si>
  <si>
    <t>CL3.806</t>
  </si>
  <si>
    <t>CL3.807</t>
  </si>
  <si>
    <t>CL3.808</t>
  </si>
  <si>
    <t>CL3.809</t>
  </si>
  <si>
    <t>CL3.810</t>
  </si>
  <si>
    <t>CL3.811</t>
  </si>
  <si>
    <t>CL3.812</t>
  </si>
  <si>
    <t>CL3.813</t>
  </si>
  <si>
    <t>CL3.814</t>
  </si>
  <si>
    <t>CL3.815</t>
  </si>
  <si>
    <t>CL3.816</t>
  </si>
  <si>
    <t>CL3.817</t>
  </si>
  <si>
    <t>CL3.818</t>
  </si>
  <si>
    <t>CL3.819</t>
  </si>
  <si>
    <t>CL3.820</t>
  </si>
  <si>
    <t>CL3.821</t>
  </si>
  <si>
    <t>CL3.822</t>
  </si>
  <si>
    <t>CL3.823</t>
  </si>
  <si>
    <t>CL3.824</t>
  </si>
  <si>
    <t>CL3.825</t>
  </si>
  <si>
    <t>CL3.826</t>
  </si>
  <si>
    <t>CL3.827</t>
  </si>
  <si>
    <t>CL3.828</t>
  </si>
  <si>
    <t>CL3.829</t>
  </si>
  <si>
    <t>CL3.830</t>
  </si>
  <si>
    <t>CL3.831</t>
  </si>
  <si>
    <t>CL3.832</t>
  </si>
  <si>
    <t>CL3.833</t>
  </si>
  <si>
    <t>CL3.834</t>
  </si>
  <si>
    <t>CL3.835</t>
  </si>
  <si>
    <t>CL3.836</t>
  </si>
  <si>
    <t>CL3.837</t>
  </si>
  <si>
    <t>CL3.838</t>
  </si>
  <si>
    <t>CL3.839</t>
  </si>
  <si>
    <t>CL3.840</t>
  </si>
  <si>
    <t>CL3.841</t>
  </si>
  <si>
    <t>CL3.842</t>
  </si>
  <si>
    <t>CL3.843</t>
  </si>
  <si>
    <t>CL3.844</t>
  </si>
  <si>
    <t>CL3.845</t>
  </si>
  <si>
    <t>CL3.846</t>
  </si>
  <si>
    <t>CL3.847</t>
  </si>
  <si>
    <t>CL3.848</t>
  </si>
  <si>
    <t>CL3.849</t>
  </si>
  <si>
    <t>CL3.850</t>
  </si>
  <si>
    <t>CL3.851</t>
  </si>
  <si>
    <t>CL3.852</t>
  </si>
  <si>
    <t>CL3.853</t>
  </si>
  <si>
    <t>CL3.854</t>
  </si>
  <si>
    <t>CL3.855</t>
  </si>
  <si>
    <t>CL3.856</t>
  </si>
  <si>
    <t>CL3.857</t>
  </si>
  <si>
    <t>CL3.858</t>
  </si>
  <si>
    <t>CL3.859</t>
  </si>
  <si>
    <t>CL3.860</t>
  </si>
  <si>
    <t>CL3.861</t>
  </si>
  <si>
    <t>CL3.862</t>
  </si>
  <si>
    <t>CL3.863</t>
  </si>
  <si>
    <t>CL3.864</t>
  </si>
  <si>
    <t>CL3.865</t>
  </si>
  <si>
    <t>CL3.866</t>
  </si>
  <si>
    <t>CL3.867</t>
  </si>
  <si>
    <t>CL3.868</t>
  </si>
  <si>
    <t>CL3.869</t>
  </si>
  <si>
    <t>CL3.870</t>
  </si>
  <si>
    <t>CL3.871</t>
  </si>
  <si>
    <t>CL3.872</t>
  </si>
  <si>
    <t>CL3.873</t>
  </si>
  <si>
    <t>CL3.874</t>
  </si>
  <si>
    <t>CL3.875</t>
  </si>
  <si>
    <t>CL3.876</t>
  </si>
  <si>
    <t>CL3.877</t>
  </si>
  <si>
    <t>CL3.878</t>
  </si>
  <si>
    <t>CL3.879</t>
  </si>
  <si>
    <t>CL3.880</t>
  </si>
  <si>
    <t>CL3.881</t>
  </si>
  <si>
    <t>CL3.882</t>
  </si>
  <si>
    <t>CL3.883</t>
  </si>
  <si>
    <t>CL3.884</t>
  </si>
  <si>
    <t>CL3.885</t>
  </si>
  <si>
    <t>CL3.886</t>
  </si>
  <si>
    <t>CL3.887</t>
  </si>
  <si>
    <t>CL3.888</t>
  </si>
  <si>
    <t>CL3.889</t>
  </si>
  <si>
    <t>CL3.890</t>
  </si>
  <si>
    <t>CL3.891</t>
  </si>
  <si>
    <t>CL3.892</t>
  </si>
  <si>
    <t>CL3.893</t>
  </si>
  <si>
    <t>CL3.894</t>
  </si>
  <si>
    <t>CL3.895</t>
  </si>
  <si>
    <t>CL3.896</t>
  </si>
  <si>
    <t>CL3.897</t>
  </si>
  <si>
    <t>CL3.898</t>
  </si>
  <si>
    <t>CL3.899</t>
  </si>
  <si>
    <t>CL3.900</t>
  </si>
  <si>
    <t>CL3.901</t>
  </si>
  <si>
    <t>CL3.902</t>
  </si>
  <si>
    <t>CL3.903</t>
  </si>
  <si>
    <t>CL3.904</t>
  </si>
  <si>
    <t>CL3.905</t>
  </si>
  <si>
    <t>CL3.906</t>
  </si>
  <si>
    <t>CL3.907</t>
  </si>
  <si>
    <t>CL3.908</t>
  </si>
  <si>
    <t>CL3.909</t>
  </si>
  <si>
    <t>CL3.910</t>
  </si>
  <si>
    <t>CL3.911</t>
  </si>
  <si>
    <t>CL3.912</t>
  </si>
  <si>
    <t>CL3.913</t>
  </si>
  <si>
    <t>CL3.914</t>
  </si>
  <si>
    <t>CL3.915</t>
  </si>
  <si>
    <t>CL3.916</t>
  </si>
  <si>
    <t>CL3.917</t>
  </si>
  <si>
    <t>CL3.918</t>
  </si>
  <si>
    <t>CL3.919</t>
  </si>
  <si>
    <t>CL3.920</t>
  </si>
  <si>
    <t>CL3.921</t>
  </si>
  <si>
    <t>CL3.922</t>
  </si>
  <si>
    <t>CL3.923</t>
  </si>
  <si>
    <t>CL3.924</t>
  </si>
  <si>
    <t>CL3.925</t>
  </si>
  <si>
    <t>CL3.926</t>
  </si>
  <si>
    <t>CL3.927</t>
  </si>
  <si>
    <t>CL3.928</t>
  </si>
  <si>
    <t>CL3.929</t>
  </si>
  <si>
    <t>CL3.930</t>
  </si>
  <si>
    <t>CL3.931</t>
  </si>
  <si>
    <t>CL3.932</t>
  </si>
  <si>
    <t>CL3.933</t>
  </si>
  <si>
    <t>CL3.934</t>
  </si>
  <si>
    <t>CL3.935</t>
  </si>
  <si>
    <t>CL3.936</t>
  </si>
  <si>
    <t>CL3.937</t>
  </si>
  <si>
    <t>CL3.938</t>
  </si>
  <si>
    <t>CL3.939</t>
  </si>
  <si>
    <t>CL3.940</t>
  </si>
  <si>
    <t>CL3.941</t>
  </si>
  <si>
    <t>CL3.942</t>
  </si>
  <si>
    <t>CL3.943</t>
  </si>
  <si>
    <t>CL3.944</t>
  </si>
  <si>
    <t>CL3.945</t>
  </si>
  <si>
    <t>CL3.946</t>
  </si>
  <si>
    <t>CL3.947</t>
  </si>
  <si>
    <t>CL3.948</t>
  </si>
  <si>
    <t>CL3.949</t>
  </si>
  <si>
    <t>CL3.950</t>
  </si>
  <si>
    <t>CL3.951</t>
  </si>
  <si>
    <t>CL3.952</t>
  </si>
  <si>
    <t>CL3.953</t>
  </si>
  <si>
    <t>CL3.954</t>
  </si>
  <si>
    <t>CL3.955</t>
  </si>
  <si>
    <t>CL3.956</t>
  </si>
  <si>
    <t>CL3.957</t>
  </si>
  <si>
    <t>CL3.958</t>
  </si>
  <si>
    <t>CL3.959</t>
  </si>
  <si>
    <t>CL3.960</t>
  </si>
  <si>
    <t>CL3.961</t>
  </si>
  <si>
    <t>CL3.962</t>
  </si>
  <si>
    <t>CL3.963</t>
  </si>
  <si>
    <t>CL3.964</t>
  </si>
  <si>
    <t>CL3.965</t>
  </si>
  <si>
    <t>CL3.966</t>
  </si>
  <si>
    <t>CL3.967</t>
  </si>
  <si>
    <t>CL3.968</t>
  </si>
  <si>
    <t>CL3.969</t>
  </si>
  <si>
    <t>CL3.970</t>
  </si>
  <si>
    <t>CL3.971</t>
  </si>
  <si>
    <t>CL3.972</t>
  </si>
  <si>
    <t>CL3.973</t>
  </si>
  <si>
    <t>CL3.974</t>
  </si>
  <si>
    <t>CL3.975</t>
  </si>
  <si>
    <t>CL3.976</t>
  </si>
  <si>
    <t>CL3.977</t>
  </si>
  <si>
    <t>CL3.978</t>
  </si>
  <si>
    <t>CL3.979</t>
  </si>
  <si>
    <t>CL3.980</t>
  </si>
  <si>
    <t>CL3.981</t>
  </si>
  <si>
    <t>CL3.982</t>
  </si>
  <si>
    <t>CL3.983</t>
  </si>
  <si>
    <t>CL3.984</t>
  </si>
  <si>
    <t>CL3.985</t>
  </si>
  <si>
    <t>CL3.986</t>
  </si>
  <si>
    <t>CL3.987</t>
  </si>
  <si>
    <t>CL3.988</t>
  </si>
  <si>
    <t>CL3.989</t>
  </si>
  <si>
    <t>CL3.990</t>
  </si>
  <si>
    <t>CL3.991</t>
  </si>
  <si>
    <t>CL3.992</t>
  </si>
  <si>
    <t>CL3.993</t>
  </si>
  <si>
    <t>CL3.994</t>
  </si>
  <si>
    <t>CL3.995</t>
  </si>
  <si>
    <t>CL3.996</t>
  </si>
  <si>
    <t>CL4.54</t>
  </si>
  <si>
    <t>CL4.55</t>
  </si>
  <si>
    <t>CL4.56</t>
  </si>
  <si>
    <t>CL4.57</t>
  </si>
  <si>
    <t>CL4.58</t>
  </si>
  <si>
    <t>CL4.59</t>
  </si>
  <si>
    <t>CL4.60</t>
  </si>
  <si>
    <t>CL4.61</t>
  </si>
  <si>
    <t>CL4.62</t>
  </si>
  <si>
    <t>CL4.63</t>
  </si>
  <si>
    <t>CL4.64</t>
  </si>
  <si>
    <t>CL4.65</t>
  </si>
  <si>
    <t>CL4.66</t>
  </si>
  <si>
    <t>CL4.67</t>
  </si>
  <si>
    <t>CL4.68</t>
  </si>
  <si>
    <t>CL4.69</t>
  </si>
  <si>
    <t>CL4.70</t>
  </si>
  <si>
    <t>CL4.71</t>
  </si>
  <si>
    <t>CL4.72</t>
  </si>
  <si>
    <t>CL4.73</t>
  </si>
  <si>
    <t>CL4.74</t>
  </si>
  <si>
    <t>CL4.75</t>
  </si>
  <si>
    <t>CL4.76</t>
  </si>
  <si>
    <t>CL4.77</t>
  </si>
  <si>
    <t>CL4.78</t>
  </si>
  <si>
    <t>CL4.79</t>
  </si>
  <si>
    <t>CL4.80</t>
  </si>
  <si>
    <t>CL4.81</t>
  </si>
  <si>
    <t>CL4.82</t>
  </si>
  <si>
    <t>CL4.83</t>
  </si>
  <si>
    <t>CL4.84</t>
  </si>
  <si>
    <t>CL4.85</t>
  </si>
  <si>
    <t>CL4.86</t>
  </si>
  <si>
    <t>CL4.87</t>
  </si>
  <si>
    <t>CL4.88</t>
  </si>
  <si>
    <t>CL4.89</t>
  </si>
  <si>
    <t>CL4.90</t>
  </si>
  <si>
    <t>CL4.91</t>
  </si>
  <si>
    <t>CL4.92</t>
  </si>
  <si>
    <t>CL4.93</t>
  </si>
  <si>
    <t>CL4.94</t>
  </si>
  <si>
    <t>CL4.95</t>
  </si>
  <si>
    <t>CL4.96</t>
  </si>
  <si>
    <t>CL4.97</t>
  </si>
  <si>
    <t>CL4.98</t>
  </si>
  <si>
    <t>CL4.99</t>
  </si>
  <si>
    <t>CL4.100</t>
  </si>
  <si>
    <t>CL4.101</t>
  </si>
  <si>
    <t>CL4.102</t>
  </si>
  <si>
    <t>CL4.103</t>
  </si>
  <si>
    <t>CL4.104</t>
  </si>
  <si>
    <t>CL4.105</t>
  </si>
  <si>
    <t>CL4.106</t>
  </si>
  <si>
    <t>CL4.107</t>
  </si>
  <si>
    <t>CL4.108</t>
  </si>
  <si>
    <t>CL4.109</t>
  </si>
  <si>
    <t>CL4.110</t>
  </si>
  <si>
    <t>CL4.111</t>
  </si>
  <si>
    <t>CL4.112</t>
  </si>
  <si>
    <t>CL4.113</t>
  </si>
  <si>
    <t>CL4.114</t>
  </si>
  <si>
    <t>CL4.115</t>
  </si>
  <si>
    <t>CL4.116</t>
  </si>
  <si>
    <t>CL4.117</t>
  </si>
  <si>
    <t>CL4.118</t>
  </si>
  <si>
    <t>CL4.119</t>
  </si>
  <si>
    <t>CL4.120</t>
  </si>
  <si>
    <t>CL4.121</t>
  </si>
  <si>
    <t>CL4.122</t>
  </si>
  <si>
    <t>CL4.123</t>
  </si>
  <si>
    <t>CL4.124</t>
  </si>
  <si>
    <t>CL4.125</t>
  </si>
  <si>
    <t>CL4.126</t>
  </si>
  <si>
    <t>CL4.127</t>
  </si>
  <si>
    <t>CL4.128</t>
  </si>
  <si>
    <t>CL4.129</t>
  </si>
  <si>
    <t>CL4.130</t>
  </si>
  <si>
    <t>CL4.131</t>
  </si>
  <si>
    <t>CL4.132</t>
  </si>
  <si>
    <t>CL4.133</t>
  </si>
  <si>
    <t>CL4.134</t>
  </si>
  <si>
    <t>CL4.135</t>
  </si>
  <si>
    <t>CL4.136</t>
  </si>
  <si>
    <t>CL4.137</t>
  </si>
  <si>
    <t>CL4.138</t>
  </si>
  <si>
    <t>CL4.139</t>
  </si>
  <si>
    <t>CL4.140</t>
  </si>
  <si>
    <t>CL4.141</t>
  </si>
  <si>
    <t>CL4.142</t>
  </si>
  <si>
    <t>CL4.143</t>
  </si>
  <si>
    <t>CL4.144</t>
  </si>
  <si>
    <t>CL4.145</t>
  </si>
  <si>
    <t>CL4.146</t>
  </si>
  <si>
    <t>CL4.147</t>
  </si>
  <si>
    <t>CL4.148</t>
  </si>
  <si>
    <t>CL4.149</t>
  </si>
  <si>
    <t>CL4.150</t>
  </si>
  <si>
    <t>CL4.151</t>
  </si>
  <si>
    <t>CL4.152</t>
  </si>
  <si>
    <t>CL4.153</t>
  </si>
  <si>
    <t>CL4.154</t>
  </si>
  <si>
    <t>CL4.155</t>
  </si>
  <si>
    <t>CL4.156</t>
  </si>
  <si>
    <t>CL4.157</t>
  </si>
  <si>
    <t>CL4.158</t>
  </si>
  <si>
    <t>CL4.159</t>
  </si>
  <si>
    <t>CL4.160</t>
  </si>
  <si>
    <t>CL4.161</t>
  </si>
  <si>
    <t>CL4.162</t>
  </si>
  <si>
    <t>CL4.163</t>
  </si>
  <si>
    <t>CL4.164</t>
  </si>
  <si>
    <t>CL4.165</t>
  </si>
  <si>
    <t>CL4.166</t>
  </si>
  <si>
    <t>CL4.167</t>
  </si>
  <si>
    <t>CL4.168</t>
  </si>
  <si>
    <t>CL4.169</t>
  </si>
  <si>
    <t>CL4.170</t>
  </si>
  <si>
    <t>CL4.171</t>
  </si>
  <si>
    <t>CL4.172</t>
  </si>
  <si>
    <t>CL4.173</t>
  </si>
  <si>
    <t>CL4.174</t>
  </si>
  <si>
    <t>CL4.175</t>
  </si>
  <si>
    <t>CL4.176</t>
  </si>
  <si>
    <t>CL4.177</t>
  </si>
  <si>
    <t>CL4.178</t>
  </si>
  <si>
    <t>CL4.179</t>
  </si>
  <si>
    <t>CL4.180</t>
  </si>
  <si>
    <t>CL4.181</t>
  </si>
  <si>
    <t>CL4.182</t>
  </si>
  <si>
    <t>CL4.183</t>
  </si>
  <si>
    <t>CL4.184</t>
  </si>
  <si>
    <t>CL4.185</t>
  </si>
  <si>
    <t>CL4.186</t>
  </si>
  <si>
    <t>CL4.187</t>
  </si>
  <si>
    <t>CL4.188</t>
  </si>
  <si>
    <t>CL4.189</t>
  </si>
  <si>
    <t>CL4.190</t>
  </si>
  <si>
    <t>CL4.191</t>
  </si>
  <si>
    <t>CL4.192</t>
  </si>
  <si>
    <t>CL4.193</t>
  </si>
  <si>
    <t>CL4.194</t>
  </si>
  <si>
    <t>CL4.195</t>
  </si>
  <si>
    <t>CL4.196</t>
  </si>
  <si>
    <t>CL4.197</t>
  </si>
  <si>
    <t>CL4.198</t>
  </si>
  <si>
    <t>CL4.199</t>
  </si>
  <si>
    <t>CL4.200</t>
  </si>
  <si>
    <t>CL4.201</t>
  </si>
  <si>
    <t>CL4.202</t>
  </si>
  <si>
    <t>CL4.203</t>
  </si>
  <si>
    <t>CL4.204</t>
  </si>
  <si>
    <t>CL4.205</t>
  </si>
  <si>
    <t>CL4.206</t>
  </si>
  <si>
    <t>CL4.207</t>
  </si>
  <si>
    <t>CL4.208</t>
  </si>
  <si>
    <t>CL4.209</t>
  </si>
  <si>
    <t>CL4.210</t>
  </si>
  <si>
    <t>CL4.211</t>
  </si>
  <si>
    <t>CL4.212</t>
  </si>
  <si>
    <t>CL4.213</t>
  </si>
  <si>
    <t>CL4.214</t>
  </si>
  <si>
    <t>CL4.215</t>
  </si>
  <si>
    <t>CL4.216</t>
  </si>
  <si>
    <t>CL4.217</t>
  </si>
  <si>
    <t>CL4.218</t>
  </si>
  <si>
    <t>CL4.219</t>
  </si>
  <si>
    <t>CL4.220</t>
  </si>
  <si>
    <t>CL4.221</t>
  </si>
  <si>
    <t>CL4.222</t>
  </si>
  <si>
    <t>CL4.223</t>
  </si>
  <si>
    <t>CL4.224</t>
  </si>
  <si>
    <t>CL4.225</t>
  </si>
  <si>
    <t>CL4.226</t>
  </si>
  <si>
    <t>CL4.227</t>
  </si>
  <si>
    <t>CL4.228</t>
  </si>
  <si>
    <t>CL4.229</t>
  </si>
  <si>
    <t>CL4.230</t>
  </si>
  <si>
    <t>CL4.231</t>
  </si>
  <si>
    <t>CL4.232</t>
  </si>
  <si>
    <t>CL4.233</t>
  </si>
  <si>
    <t>CL4.234</t>
  </si>
  <si>
    <t>CL4.235</t>
  </si>
  <si>
    <t>CL4.236</t>
  </si>
  <si>
    <t>CL4.237</t>
  </si>
  <si>
    <t>CL4.238</t>
  </si>
  <si>
    <t>CL4.239</t>
  </si>
  <si>
    <t>CL4.240</t>
  </si>
  <si>
    <t>CL4.241</t>
  </si>
  <si>
    <t>CL4.242</t>
  </si>
  <si>
    <t>CL4.243</t>
  </si>
  <si>
    <t>CL4.244</t>
  </si>
  <si>
    <t>CL4.245</t>
  </si>
  <si>
    <t>CL4.246</t>
  </si>
  <si>
    <t>CL4.247</t>
  </si>
  <si>
    <t>CL4.248</t>
  </si>
  <si>
    <t>CL4.249</t>
  </si>
  <si>
    <t>CL4.250</t>
  </si>
  <si>
    <t>CL4.251</t>
  </si>
  <si>
    <t>CL4.252</t>
  </si>
  <si>
    <t>CL4.253</t>
  </si>
  <si>
    <t>CL4.254</t>
  </si>
  <si>
    <t>CL4.255</t>
  </si>
  <si>
    <t>CL4.256</t>
  </si>
  <si>
    <t>CL4.257</t>
  </si>
  <si>
    <t>CL4.258</t>
  </si>
  <si>
    <t>CL4.259</t>
  </si>
  <si>
    <t>CL4.260</t>
  </si>
  <si>
    <t>CL4.261</t>
  </si>
  <si>
    <t>CL4.262</t>
  </si>
  <si>
    <t>CL4.263</t>
  </si>
  <si>
    <t>CL4.264</t>
  </si>
  <si>
    <t>CL4.265</t>
  </si>
  <si>
    <t>CL4.266</t>
  </si>
  <si>
    <t>CL4.267</t>
  </si>
  <si>
    <t>CL4.268</t>
  </si>
  <si>
    <t>CL4.269</t>
  </si>
  <si>
    <t>CL4.270</t>
  </si>
  <si>
    <t>CL4.271</t>
  </si>
  <si>
    <t>CL4.272</t>
  </si>
  <si>
    <t>CL4.273</t>
  </si>
  <si>
    <t>CL4.274</t>
  </si>
  <si>
    <t>CL4.275</t>
  </si>
  <si>
    <t>CL4.276</t>
  </si>
  <si>
    <t>CL4.277</t>
  </si>
  <si>
    <t>CL4.278</t>
  </si>
  <si>
    <t>CL4.279</t>
  </si>
  <si>
    <t>CL4.280</t>
  </si>
  <si>
    <t>CL4.281</t>
  </si>
  <si>
    <t>CL4.282</t>
  </si>
  <si>
    <t>CL4.283</t>
  </si>
  <si>
    <t>CL4.284</t>
  </si>
  <si>
    <t>CL4.285</t>
  </si>
  <si>
    <t>CL4.286</t>
  </si>
  <si>
    <t>CL4.287</t>
  </si>
  <si>
    <t>CL4.288</t>
  </si>
  <si>
    <t>CL4.289</t>
  </si>
  <si>
    <t>CL4.290</t>
  </si>
  <si>
    <t>CL4.291</t>
  </si>
  <si>
    <t>CL4.292</t>
  </si>
  <si>
    <t>CL4.293</t>
  </si>
  <si>
    <t>CL4.294</t>
  </si>
  <si>
    <t>CL4.295</t>
  </si>
  <si>
    <t>CL4.296</t>
  </si>
  <si>
    <t>CL4.297</t>
  </si>
  <si>
    <t>CL4.298</t>
  </si>
  <si>
    <t>CL4.299</t>
  </si>
  <si>
    <t>CL4.300</t>
  </si>
  <si>
    <t>CL4.301</t>
  </si>
  <si>
    <t>CL4.302</t>
  </si>
  <si>
    <t>CL4.303</t>
  </si>
  <si>
    <t>CL4.304</t>
  </si>
  <si>
    <t>CL4.305</t>
  </si>
  <si>
    <t>CL4.306</t>
  </si>
  <si>
    <t>CL4.307</t>
  </si>
  <si>
    <t>CL4.308</t>
  </si>
  <si>
    <t>CL4.309</t>
  </si>
  <si>
    <t>CL4.310</t>
  </si>
  <si>
    <t>CL4.311</t>
  </si>
  <si>
    <t>CL4.312</t>
  </si>
  <si>
    <t>CL4.313</t>
  </si>
  <si>
    <t>CL4.314</t>
  </si>
  <si>
    <t>CL4.315</t>
  </si>
  <si>
    <t>CL4.316</t>
  </si>
  <si>
    <t>CL4.317</t>
  </si>
  <si>
    <t>CL4.318</t>
  </si>
  <si>
    <t>CL4.319</t>
  </si>
  <si>
    <t>CL4.320</t>
  </si>
  <si>
    <t>CL4.321</t>
  </si>
  <si>
    <t>CL4.322</t>
  </si>
  <si>
    <t>CL4.323</t>
  </si>
  <si>
    <t>CL4.324</t>
  </si>
  <si>
    <t>CL4.325</t>
  </si>
  <si>
    <t>CL4.326</t>
  </si>
  <si>
    <t>CL4.327</t>
  </si>
  <si>
    <t>CL4.328</t>
  </si>
  <si>
    <t>CL4.329</t>
  </si>
  <si>
    <t>CL4.330</t>
  </si>
  <si>
    <t>CL4.331</t>
  </si>
  <si>
    <t>CL4.332</t>
  </si>
  <si>
    <t>CL4.333</t>
  </si>
  <si>
    <t>CL4.334</t>
  </si>
  <si>
    <t>CL4.335</t>
  </si>
  <si>
    <t>CL4.336</t>
  </si>
  <si>
    <t>CL4.337</t>
  </si>
  <si>
    <t>CL4.338</t>
  </si>
  <si>
    <t>CL4.339</t>
  </si>
  <si>
    <t>CL4.340</t>
  </si>
  <si>
    <t>CL4.341</t>
  </si>
  <si>
    <t>CL4.342</t>
  </si>
  <si>
    <t>CL4.343</t>
  </si>
  <si>
    <t>CL4.344</t>
  </si>
  <si>
    <t>CL4.345</t>
  </si>
  <si>
    <t>CL4.346</t>
  </si>
  <si>
    <t>CL4.347</t>
  </si>
  <si>
    <t>CL4.348</t>
  </si>
  <si>
    <t>CL4.349</t>
  </si>
  <si>
    <t>CL4.350</t>
  </si>
  <si>
    <t>CL4.351</t>
  </si>
  <si>
    <t>CL4.352</t>
  </si>
  <si>
    <t>CL4.353</t>
  </si>
  <si>
    <t>CL4.354</t>
  </si>
  <si>
    <t>CL4.355</t>
  </si>
  <si>
    <t>CL4.356</t>
  </si>
  <si>
    <t>CL4.357</t>
  </si>
  <si>
    <t>CL4.358</t>
  </si>
  <si>
    <t>CL4.359</t>
  </si>
  <si>
    <t>CL4.360</t>
  </si>
  <si>
    <t>CL4.361</t>
  </si>
  <si>
    <t>CL4.362</t>
  </si>
  <si>
    <t>CL4.363</t>
  </si>
  <si>
    <t>CL4.364</t>
  </si>
  <si>
    <t>CL4.365</t>
  </si>
  <si>
    <t>CL4.366</t>
  </si>
  <si>
    <t>CL4.367</t>
  </si>
  <si>
    <t>CL4.368</t>
  </si>
  <si>
    <t>CL4.369</t>
  </si>
  <si>
    <t>CL4.370</t>
  </si>
  <si>
    <t>CL4.371</t>
  </si>
  <si>
    <t>CL4.372</t>
  </si>
  <si>
    <t>CL4.373</t>
  </si>
  <si>
    <t>CL4.374</t>
  </si>
  <si>
    <t>CL4.375</t>
  </si>
  <si>
    <t>CL4.376</t>
  </si>
  <si>
    <t>CL4.377</t>
  </si>
  <si>
    <t>CL4.378</t>
  </si>
  <si>
    <t>CL4.379</t>
  </si>
  <si>
    <t>CL4.380</t>
  </si>
  <si>
    <t>CL4.381</t>
  </si>
  <si>
    <t>CL4.382</t>
  </si>
  <si>
    <t>CL4.383</t>
  </si>
  <si>
    <t>CL4.384</t>
  </si>
  <si>
    <t>CL4.385</t>
  </si>
  <si>
    <t>CL4.386</t>
  </si>
  <si>
    <t>CL4.387</t>
  </si>
  <si>
    <t>CL4.388</t>
  </si>
  <si>
    <t>CL4.389</t>
  </si>
  <si>
    <t>CL4.390</t>
  </si>
  <si>
    <t>CL4.391</t>
  </si>
  <si>
    <t>CL4.392</t>
  </si>
  <si>
    <t>CL4.393</t>
  </si>
  <si>
    <t>CL4.394</t>
  </si>
  <si>
    <t>CL4.395</t>
  </si>
  <si>
    <t>CL4.396</t>
  </si>
  <si>
    <t>CL4.397</t>
  </si>
  <si>
    <t>CL4.398</t>
  </si>
  <si>
    <t>CL4.399</t>
  </si>
  <si>
    <t>CL4.400</t>
  </si>
  <si>
    <t>CL4.401</t>
  </si>
  <si>
    <t>CL4.402</t>
  </si>
  <si>
    <t>CL4.403</t>
  </si>
  <si>
    <t>CL4.404</t>
  </si>
  <si>
    <t>CL4.405</t>
  </si>
  <si>
    <t>CL4.406</t>
  </si>
  <si>
    <t>CL4.407</t>
  </si>
  <si>
    <t>CL4.408</t>
  </si>
  <si>
    <t>CL4.409</t>
  </si>
  <si>
    <t>CL4.410</t>
  </si>
  <si>
    <t>CL4.411</t>
  </si>
  <si>
    <t>CL4.412</t>
  </si>
  <si>
    <t>CL4.413</t>
  </si>
  <si>
    <t>CL4.414</t>
  </si>
  <si>
    <t>CL4.415</t>
  </si>
  <si>
    <t>CL4.416</t>
  </si>
  <si>
    <t>CL4.417</t>
  </si>
  <si>
    <t>CL4.418</t>
  </si>
  <si>
    <t>CL4.419</t>
  </si>
  <si>
    <t>CL4.420</t>
  </si>
  <si>
    <t>CL4.421</t>
  </si>
  <si>
    <t>CL4.422</t>
  </si>
  <si>
    <t>CL4.423</t>
  </si>
  <si>
    <t>CL4.424</t>
  </si>
  <si>
    <t>CL4.425</t>
  </si>
  <si>
    <t>CL4.426</t>
  </si>
  <si>
    <t>CL4.427</t>
  </si>
  <si>
    <t>CL4.428</t>
  </si>
  <si>
    <t>CL4.429</t>
  </si>
  <si>
    <t>CL4.430</t>
  </si>
  <si>
    <t>CL4.431</t>
  </si>
  <si>
    <t>CL4.432</t>
  </si>
  <si>
    <t>CL4.433</t>
  </si>
  <si>
    <t>CL4.434</t>
  </si>
  <si>
    <t>CL4.435</t>
  </si>
  <si>
    <t>CL4.436</t>
  </si>
  <si>
    <t>CL4.437</t>
  </si>
  <si>
    <t>CL4.438</t>
  </si>
  <si>
    <t>CL4.439</t>
  </si>
  <si>
    <t>CL4.440</t>
  </si>
  <si>
    <t>CL4.441</t>
  </si>
  <si>
    <t>CL4.442</t>
  </si>
  <si>
    <t>CL4.443</t>
  </si>
  <si>
    <t>CL4.444</t>
  </si>
  <si>
    <t>CL4.445</t>
  </si>
  <si>
    <t>CL4.446</t>
  </si>
  <si>
    <t>CL4.447</t>
  </si>
  <si>
    <t>CL4.448</t>
  </si>
  <si>
    <t>CL4.449</t>
  </si>
  <si>
    <t>CL4.450</t>
  </si>
  <si>
    <t>CL4.451</t>
  </si>
  <si>
    <t>CL4.452</t>
  </si>
  <si>
    <t>CL4.453</t>
  </si>
  <si>
    <t>CL4.454</t>
  </si>
  <si>
    <t>CL4.455</t>
  </si>
  <si>
    <t>CL4.456</t>
  </si>
  <si>
    <t>CL4.457</t>
  </si>
  <si>
    <t>CL4.458</t>
  </si>
  <si>
    <t>CL4.459</t>
  </si>
  <si>
    <t>CL4.460</t>
  </si>
  <si>
    <t>CL4.461</t>
  </si>
  <si>
    <t>CL4.462</t>
  </si>
  <si>
    <t>CL4.463</t>
  </si>
  <si>
    <t>CL4.464</t>
  </si>
  <si>
    <t>CL4.465</t>
  </si>
  <si>
    <t>CL4.466</t>
  </si>
  <si>
    <t>CL4.467</t>
  </si>
  <si>
    <t>CL4.468</t>
  </si>
  <si>
    <t>CL4.469</t>
  </si>
  <si>
    <t>CL4.470</t>
  </si>
  <si>
    <t>CL4.471</t>
  </si>
  <si>
    <t>CL4.472</t>
  </si>
  <si>
    <t>CL4.473</t>
  </si>
  <si>
    <t>CL4.474</t>
  </si>
  <si>
    <t>CL4.475</t>
  </si>
  <si>
    <t>CL4.476</t>
  </si>
  <si>
    <t>CL4.477</t>
  </si>
  <si>
    <t>CL4.478</t>
  </si>
  <si>
    <t>CL4.479</t>
  </si>
  <si>
    <t>CL4.480</t>
  </si>
  <si>
    <t>CL4.481</t>
  </si>
  <si>
    <t>CL4.482</t>
  </si>
  <si>
    <t>CL4.483</t>
  </si>
  <si>
    <t>CL4.484</t>
  </si>
  <si>
    <t>CL4.485</t>
  </si>
  <si>
    <t>CL4.486</t>
  </si>
  <si>
    <t>CL4.487</t>
  </si>
  <si>
    <t>CL4.488</t>
  </si>
  <si>
    <t>CL4.489</t>
  </si>
  <si>
    <t>CL4.490</t>
  </si>
  <si>
    <t>CL4.491</t>
  </si>
  <si>
    <t>CL4.492</t>
  </si>
  <si>
    <t>CL4.493</t>
  </si>
  <si>
    <t>CL4.494</t>
  </si>
  <si>
    <t>CL4.495</t>
  </si>
  <si>
    <t>CL4.496</t>
  </si>
  <si>
    <t>CL4.497</t>
  </si>
  <si>
    <t>CL4.498</t>
  </si>
  <si>
    <t>CL4.499</t>
  </si>
  <si>
    <t>CL4.500</t>
  </si>
  <si>
    <t>CL4.501</t>
  </si>
  <si>
    <t>CL4.502</t>
  </si>
  <si>
    <t>CL4.503</t>
  </si>
  <si>
    <t>CL4.504</t>
  </si>
  <si>
    <t>CL4.505</t>
  </si>
  <si>
    <t>CL4.506</t>
  </si>
  <si>
    <t>CL4.507</t>
  </si>
  <si>
    <t>CL4.508</t>
  </si>
  <si>
    <t>CL4.509</t>
  </si>
  <si>
    <t>CL4.510</t>
  </si>
  <si>
    <t>CL4.511</t>
  </si>
  <si>
    <t>CL4.512</t>
  </si>
  <si>
    <t>CL4.513</t>
  </si>
  <si>
    <t>CL4.514</t>
  </si>
  <si>
    <t>CL4.515</t>
  </si>
  <si>
    <t>CL4.516</t>
  </si>
  <si>
    <t>CL4.517</t>
  </si>
  <si>
    <t>CL4.518</t>
  </si>
  <si>
    <t>CL4.519</t>
  </si>
  <si>
    <t>CL4.520</t>
  </si>
  <si>
    <t>CL4.521</t>
  </si>
  <si>
    <t>CL4.522</t>
  </si>
  <si>
    <t>CL4.523</t>
  </si>
  <si>
    <t>CL4.524</t>
  </si>
  <si>
    <t>CL4.525</t>
  </si>
  <si>
    <t>CL4.526</t>
  </si>
  <si>
    <t>CL4.527</t>
  </si>
  <si>
    <t>CL4.528</t>
  </si>
  <si>
    <t>CL4.529</t>
  </si>
  <si>
    <t>CL4.530</t>
  </si>
  <si>
    <t>CL4.531</t>
  </si>
  <si>
    <t>CL4.532</t>
  </si>
  <si>
    <t>CL4.533</t>
  </si>
  <si>
    <t>CL4.534</t>
  </si>
  <si>
    <t>CL4.535</t>
  </si>
  <si>
    <t>CL4.536</t>
  </si>
  <si>
    <t>CL4.537</t>
  </si>
  <si>
    <t>CL4.538</t>
  </si>
  <si>
    <t>CL4.539</t>
  </si>
  <si>
    <t>CL4.540</t>
  </si>
  <si>
    <t>CL4.541</t>
  </si>
  <si>
    <t>CL4.542</t>
  </si>
  <si>
    <t>CL4.543</t>
  </si>
  <si>
    <t>CL4.544</t>
  </si>
  <si>
    <t>CL4.545</t>
  </si>
  <si>
    <t>CL4.546</t>
  </si>
  <si>
    <t>CL4.547</t>
  </si>
  <si>
    <t>CL4.548</t>
  </si>
  <si>
    <t>CL4.549</t>
  </si>
  <si>
    <t>CL4.550</t>
  </si>
  <si>
    <t>CL4.551</t>
  </si>
  <si>
    <t>CL4.552</t>
  </si>
  <si>
    <t>CL4.553</t>
  </si>
  <si>
    <t>CL4.554</t>
  </si>
  <si>
    <t>CL4.555</t>
  </si>
  <si>
    <t>CL4.556</t>
  </si>
  <si>
    <t>CL4.557</t>
  </si>
  <si>
    <t>CL4.558</t>
  </si>
  <si>
    <t>CL4.559</t>
  </si>
  <si>
    <t>CL4.560</t>
  </si>
  <si>
    <t>CL4.561</t>
  </si>
  <si>
    <t>CL4.562</t>
  </si>
  <si>
    <t>CL4.563</t>
  </si>
  <si>
    <t>CL4.564</t>
  </si>
  <si>
    <t>CL4.565</t>
  </si>
  <si>
    <t>CL4.566</t>
  </si>
  <si>
    <t>CL4.567</t>
  </si>
  <si>
    <t>CL4.568</t>
  </si>
  <si>
    <t>CL4.569</t>
  </si>
  <si>
    <t>CL4.570</t>
  </si>
  <si>
    <t>CL4.571</t>
  </si>
  <si>
    <t>CL4.572</t>
  </si>
  <si>
    <t>CL4.573</t>
  </si>
  <si>
    <t>CL4.574</t>
  </si>
  <si>
    <t>CL4.575</t>
  </si>
  <si>
    <t>CL4.576</t>
  </si>
  <si>
    <t>CL4.577</t>
  </si>
  <si>
    <t>CL4.578</t>
  </si>
  <si>
    <t>CL4.579</t>
  </si>
  <si>
    <t>CL4.580</t>
  </si>
  <si>
    <t>CL4.581</t>
  </si>
  <si>
    <t>CL4.582</t>
  </si>
  <si>
    <t>CL4.583</t>
  </si>
  <si>
    <t>CL4.584</t>
  </si>
  <si>
    <t>CL4.585</t>
  </si>
  <si>
    <t>CL4.586</t>
  </si>
  <si>
    <t>CL4.587</t>
  </si>
  <si>
    <t>CL4.588</t>
  </si>
  <si>
    <t>CL4.589</t>
  </si>
  <si>
    <t>CL4.590</t>
  </si>
  <si>
    <t>CL4.591</t>
  </si>
  <si>
    <t>CL4.592</t>
  </si>
  <si>
    <t>CL4.593</t>
  </si>
  <si>
    <t>CL4.594</t>
  </si>
  <si>
    <t>CL4.595</t>
  </si>
  <si>
    <t>CL4.596</t>
  </si>
  <si>
    <t>CL4.597</t>
  </si>
  <si>
    <t>CL4.598</t>
  </si>
  <si>
    <t>CL4.599</t>
  </si>
  <si>
    <t>CL4.600</t>
  </si>
  <si>
    <t>CL4.601</t>
  </si>
  <si>
    <t>CL4.602</t>
  </si>
  <si>
    <t>CL4.603</t>
  </si>
  <si>
    <t>CL4.604</t>
  </si>
  <si>
    <t>CL4.605</t>
  </si>
  <si>
    <t>CL4.606</t>
  </si>
  <si>
    <t>CL4.607</t>
  </si>
  <si>
    <t>CL4.608</t>
  </si>
  <si>
    <t>CL4.609</t>
  </si>
  <si>
    <t>CL4.610</t>
  </si>
  <si>
    <t>CL4.611</t>
  </si>
  <si>
    <t>CL4.612</t>
  </si>
  <si>
    <t>CL4.613</t>
  </si>
  <si>
    <t>CL4.614</t>
  </si>
  <si>
    <t>CL4.615</t>
  </si>
  <si>
    <t>CL4.616</t>
  </si>
  <si>
    <t>CL4.617</t>
  </si>
  <si>
    <t>CL4.618</t>
  </si>
  <si>
    <t>CL4.619</t>
  </si>
  <si>
    <t>CL4.620</t>
  </si>
  <si>
    <t>CL4.621</t>
  </si>
  <si>
    <t>CL4.622</t>
  </si>
  <si>
    <t>CL4.623</t>
  </si>
  <si>
    <t>CL4.624</t>
  </si>
  <si>
    <t>CL4.625</t>
  </si>
  <si>
    <t>CL4.626</t>
  </si>
  <si>
    <t>CL4.627</t>
  </si>
  <si>
    <t>CL4.628</t>
  </si>
  <si>
    <t>CL4.629</t>
  </si>
  <si>
    <t>CL4.630</t>
  </si>
  <si>
    <t>CL4.631</t>
  </si>
  <si>
    <t>CL4.632</t>
  </si>
  <si>
    <t>CL4.633</t>
  </si>
  <si>
    <t>CL4.634</t>
  </si>
  <si>
    <t>CL4.635</t>
  </si>
  <si>
    <t>CL4.636</t>
  </si>
  <si>
    <t>CL4.637</t>
  </si>
  <si>
    <t>CL4.638</t>
  </si>
  <si>
    <t>CL4.639</t>
  </si>
  <si>
    <t>CL4.640</t>
  </si>
  <si>
    <t>CL4.641</t>
  </si>
  <si>
    <t>CL4.642</t>
  </si>
  <si>
    <t>CL4.643</t>
  </si>
  <si>
    <t>CL4.644</t>
  </si>
  <si>
    <t>CL4.645</t>
  </si>
  <si>
    <t>CL4.646</t>
  </si>
  <si>
    <t>CL4.647</t>
  </si>
  <si>
    <t>CL4.648</t>
  </si>
  <si>
    <t>CL4.649</t>
  </si>
  <si>
    <t>CL4.650</t>
  </si>
  <si>
    <t>CL4.651</t>
  </si>
  <si>
    <t>CL4.652</t>
  </si>
  <si>
    <t>CL4.653</t>
  </si>
  <si>
    <t>CL4.654</t>
  </si>
  <si>
    <t>CL4.655</t>
  </si>
  <si>
    <t>CL4.656</t>
  </si>
  <si>
    <t>CL4.657</t>
  </si>
  <si>
    <t>CL4.658</t>
  </si>
  <si>
    <t>CL4.659</t>
  </si>
  <si>
    <t>CL4.660</t>
  </si>
  <si>
    <t>CL4.661</t>
  </si>
  <si>
    <t>CL4.662</t>
  </si>
  <si>
    <t>CL4.663</t>
  </si>
  <si>
    <t>CL4.664</t>
  </si>
  <si>
    <t>CL4.665</t>
  </si>
  <si>
    <t>CL4.666</t>
  </si>
  <si>
    <t>CL4.667</t>
  </si>
  <si>
    <t>CL4.668</t>
  </si>
  <si>
    <t>CL4.669</t>
  </si>
  <si>
    <t>CL4.670</t>
  </si>
  <si>
    <t>CL4.671</t>
  </si>
  <si>
    <t>CL4.672</t>
  </si>
  <si>
    <t>CL4.673</t>
  </si>
  <si>
    <t>CL4.674</t>
  </si>
  <si>
    <t>CL4.675</t>
  </si>
  <si>
    <t>CL4.676</t>
  </si>
  <si>
    <t>CL4.677</t>
  </si>
  <si>
    <t>CL4.678</t>
  </si>
  <si>
    <t>CL4.679</t>
  </si>
  <si>
    <t>CL4.680</t>
  </si>
  <si>
    <t>CL4.681</t>
  </si>
  <si>
    <t>CL4.682</t>
  </si>
  <si>
    <t>CL4.683</t>
  </si>
  <si>
    <t>CL4.684</t>
  </si>
  <si>
    <t>CL4.685</t>
  </si>
  <si>
    <t>CL4.686</t>
  </si>
  <si>
    <t>CL4.687</t>
  </si>
  <si>
    <t>CL4.688</t>
  </si>
  <si>
    <t>CL4.689</t>
  </si>
  <si>
    <t>CL4.690</t>
  </si>
  <si>
    <t>CL4.691</t>
  </si>
  <si>
    <t>CL4.692</t>
  </si>
  <si>
    <t>CL4.693</t>
  </si>
  <si>
    <t>CL4.694</t>
  </si>
  <si>
    <t>CL4.695</t>
  </si>
  <si>
    <t>CL4.696</t>
  </si>
  <si>
    <t>CL4.697</t>
  </si>
  <si>
    <t>CL4.698</t>
  </si>
  <si>
    <t>CL4.699</t>
  </si>
  <si>
    <t>CL4.700</t>
  </si>
  <si>
    <t>CL4.701</t>
  </si>
  <si>
    <t>CL4.702</t>
  </si>
  <si>
    <t>CL4.703</t>
  </si>
  <si>
    <t>CL4.704</t>
  </si>
  <si>
    <t>CL4.705</t>
  </si>
  <si>
    <t>CL4.706</t>
  </si>
  <si>
    <t>CL4.707</t>
  </si>
  <si>
    <t>CL4.708</t>
  </si>
  <si>
    <t>CL4.709</t>
  </si>
  <si>
    <t>CL4.710</t>
  </si>
  <si>
    <t>CL4.711</t>
  </si>
  <si>
    <t>CL4.712</t>
  </si>
  <si>
    <t>CL4.713</t>
  </si>
  <si>
    <t>CL4.714</t>
  </si>
  <si>
    <t>CL4.715</t>
  </si>
  <si>
    <t>CL4.716</t>
  </si>
  <si>
    <t>CL4.717</t>
  </si>
  <si>
    <t>CL4.718</t>
  </si>
  <si>
    <t>CL4.719</t>
  </si>
  <si>
    <t>CL4.720</t>
  </si>
  <si>
    <t>CL4.721</t>
  </si>
  <si>
    <t>CL4.722</t>
  </si>
  <si>
    <t>CL4.723</t>
  </si>
  <si>
    <t>CL4.724</t>
  </si>
  <si>
    <t>CL4.725</t>
  </si>
  <si>
    <t>CL4.726</t>
  </si>
  <si>
    <t>CL4.727</t>
  </si>
  <si>
    <t>CL4.728</t>
  </si>
  <si>
    <t>CL4.729</t>
  </si>
  <si>
    <t>CL4.730</t>
  </si>
  <si>
    <t>CL4.731</t>
  </si>
  <si>
    <t>CL4.732</t>
  </si>
  <si>
    <t>CL4.733</t>
  </si>
  <si>
    <t>CL4.734</t>
  </si>
  <si>
    <t>CL4.735</t>
  </si>
  <si>
    <t>CL4.736</t>
  </si>
  <si>
    <t>CL4.737</t>
  </si>
  <si>
    <t>CL4.738</t>
  </si>
  <si>
    <t>CL4.739</t>
  </si>
  <si>
    <t>CL4.740</t>
  </si>
  <si>
    <t>CL4.741</t>
  </si>
  <si>
    <t>CL4.742</t>
  </si>
  <si>
    <t>CL4.743</t>
  </si>
  <si>
    <t>CL4.744</t>
  </si>
  <si>
    <t>CL4.745</t>
  </si>
  <si>
    <t>CL4.746</t>
  </si>
  <si>
    <t>CL4.747</t>
  </si>
  <si>
    <t>CL4.748</t>
  </si>
  <si>
    <t>CL4.749</t>
  </si>
  <si>
    <t>CL4.750</t>
  </si>
  <si>
    <t>CL4.751</t>
  </si>
  <si>
    <t>CL4.752</t>
  </si>
  <si>
    <t>CL4.753</t>
  </si>
  <si>
    <t>CL4.754</t>
  </si>
  <si>
    <t>CL4.755</t>
  </si>
  <si>
    <t>CL4.756</t>
  </si>
  <si>
    <t>CL4.757</t>
  </si>
  <si>
    <t>CL4.758</t>
  </si>
  <si>
    <t>CL4.759</t>
  </si>
  <si>
    <t>CL4.760</t>
  </si>
  <si>
    <t>CL4.761</t>
  </si>
  <si>
    <t>CL4.762</t>
  </si>
  <si>
    <t>CL4.763</t>
  </si>
  <si>
    <t>CL4.764</t>
  </si>
  <si>
    <t>CL4.765</t>
  </si>
  <si>
    <t>CL4.766</t>
  </si>
  <si>
    <t>CL4.767</t>
  </si>
  <si>
    <t>CL4.768</t>
  </si>
  <si>
    <t>CL4.769</t>
  </si>
  <si>
    <t>CL4.770</t>
  </si>
  <si>
    <t>CL4.771</t>
  </si>
  <si>
    <t>CL4.772</t>
  </si>
  <si>
    <t>CL4.773</t>
  </si>
  <si>
    <t>CL4.774</t>
  </si>
  <si>
    <t>CL4.775</t>
  </si>
  <si>
    <t>CL4.776</t>
  </si>
  <si>
    <t>CL4.777</t>
  </si>
  <si>
    <t>CL4.778</t>
  </si>
  <si>
    <t>CL4.779</t>
  </si>
  <si>
    <t>CL4.780</t>
  </si>
  <si>
    <t>CL4.781</t>
  </si>
  <si>
    <t>CL4.782</t>
  </si>
  <si>
    <t>CL4.783</t>
  </si>
  <si>
    <t>CL4.784</t>
  </si>
  <si>
    <t>CL4.785</t>
  </si>
  <si>
    <t>CL4.786</t>
  </si>
  <si>
    <t>CL4.787</t>
  </si>
  <si>
    <t>CL4.788</t>
  </si>
  <si>
    <t>CL4.789</t>
  </si>
  <si>
    <t>CL4.790</t>
  </si>
  <si>
    <t>CL4.791</t>
  </si>
  <si>
    <t>CL4.792</t>
  </si>
  <si>
    <t>CL4.793</t>
  </si>
  <si>
    <t>CL4.794</t>
  </si>
  <si>
    <t>CL4.795</t>
  </si>
  <si>
    <t>CL4.796</t>
  </si>
  <si>
    <t>CL4.797</t>
  </si>
  <si>
    <t>CL4.798</t>
  </si>
  <si>
    <t>CL4.799</t>
  </si>
  <si>
    <t>CL4.800</t>
  </si>
  <si>
    <t>CL4.801</t>
  </si>
  <si>
    <t>CL4.802</t>
  </si>
  <si>
    <t>CL4.803</t>
  </si>
  <si>
    <t>CL4.804</t>
  </si>
  <si>
    <t>CL4.805</t>
  </si>
  <si>
    <t>CL4.806</t>
  </si>
  <si>
    <t>CL4.807</t>
  </si>
  <si>
    <t>CL4.808</t>
  </si>
  <si>
    <t>CL4.809</t>
  </si>
  <si>
    <t>CL4.810</t>
  </si>
  <si>
    <t>CL4.811</t>
  </si>
  <si>
    <t>CL4.812</t>
  </si>
  <si>
    <t>CL4.813</t>
  </si>
  <si>
    <t>CL4.814</t>
  </si>
  <si>
    <t>CL4.815</t>
  </si>
  <si>
    <t>CL4.816</t>
  </si>
  <si>
    <t>CL4.817</t>
  </si>
  <si>
    <t>CL4.818</t>
  </si>
  <si>
    <t>CL4.819</t>
  </si>
  <si>
    <t>CL4.820</t>
  </si>
  <si>
    <t>CL4.821</t>
  </si>
  <si>
    <t>CL4.822</t>
  </si>
  <si>
    <t>CL4.823</t>
  </si>
  <si>
    <t>CL4.824</t>
  </si>
  <si>
    <t>CL4.825</t>
  </si>
  <si>
    <t>CL4.826</t>
  </si>
  <si>
    <t>CL4.827</t>
  </si>
  <si>
    <t>CL4.828</t>
  </si>
  <si>
    <t>CL4.829</t>
  </si>
  <si>
    <t>CL4.830</t>
  </si>
  <si>
    <t>CL4.831</t>
  </si>
  <si>
    <t>CL4.832</t>
  </si>
  <si>
    <t>CL4.833</t>
  </si>
  <si>
    <t>CL4.834</t>
  </si>
  <si>
    <t>CL4.835</t>
  </si>
  <si>
    <t>CL4.836</t>
  </si>
  <si>
    <t>CL4.837</t>
  </si>
  <si>
    <t>CL4.838</t>
  </si>
  <si>
    <t>CL4.839</t>
  </si>
  <si>
    <t>CL4.840</t>
  </si>
  <si>
    <t>CL4.841</t>
  </si>
  <si>
    <t>CL4.842</t>
  </si>
  <si>
    <t>CL4.843</t>
  </si>
  <si>
    <t>CL4.844</t>
  </si>
  <si>
    <t>CL4.845</t>
  </si>
  <si>
    <t>CL4.846</t>
  </si>
  <si>
    <t>CL4.847</t>
  </si>
  <si>
    <t>CL4.848</t>
  </si>
  <si>
    <t>CL4.849</t>
  </si>
  <si>
    <t>CL4.850</t>
  </si>
  <si>
    <t>CL4.851</t>
  </si>
  <si>
    <t>CL4.852</t>
  </si>
  <si>
    <t>CL4.853</t>
  </si>
  <si>
    <t>CL4.854</t>
  </si>
  <si>
    <t>CL4.855</t>
  </si>
  <si>
    <t>CL4.856</t>
  </si>
  <si>
    <t>CL4.857</t>
  </si>
  <si>
    <t>CL4.858</t>
  </si>
  <si>
    <t>CL4.859</t>
  </si>
  <si>
    <t>CL4.860</t>
  </si>
  <si>
    <t>CL4.861</t>
  </si>
  <si>
    <t>CL4.862</t>
  </si>
  <si>
    <t>CL4.863</t>
  </si>
  <si>
    <t>CL4.864</t>
  </si>
  <si>
    <t>CL4.865</t>
  </si>
  <si>
    <t>CL4.866</t>
  </si>
  <si>
    <t>CL4.867</t>
  </si>
  <si>
    <t>CL4.868</t>
  </si>
  <si>
    <t>CL4.869</t>
  </si>
  <si>
    <t>CL4.870</t>
  </si>
  <si>
    <t>CL4.871</t>
  </si>
  <si>
    <t>CL4.872</t>
  </si>
  <si>
    <t>CL4.873</t>
  </si>
  <si>
    <t>CL4.874</t>
  </si>
  <si>
    <t>CL4.875</t>
  </si>
  <si>
    <t>CL4.876</t>
  </si>
  <si>
    <t>CL4.877</t>
  </si>
  <si>
    <t>CL4.878</t>
  </si>
  <si>
    <t>CL4.879</t>
  </si>
  <si>
    <t>CL4.880</t>
  </si>
  <si>
    <t>CL4.881</t>
  </si>
  <si>
    <t>CL4.882</t>
  </si>
  <si>
    <t>CL4.883</t>
  </si>
  <si>
    <t>CL4.884</t>
  </si>
  <si>
    <t>CL4.885</t>
  </si>
  <si>
    <t>CL4.886</t>
  </si>
  <si>
    <t>CL4.887</t>
  </si>
  <si>
    <t>CL4.888</t>
  </si>
  <si>
    <t>CL4.889</t>
  </si>
  <si>
    <t>CL4.890</t>
  </si>
  <si>
    <t>CL4.891</t>
  </si>
  <si>
    <t>CL4.892</t>
  </si>
  <si>
    <t>CL4.893</t>
  </si>
  <si>
    <t>CL4.894</t>
  </si>
  <si>
    <t>CL4.895</t>
  </si>
  <si>
    <t>CL4.896</t>
  </si>
  <si>
    <t>CL4.897</t>
  </si>
  <si>
    <t>CL4.898</t>
  </si>
  <si>
    <t>CL4.899</t>
  </si>
  <si>
    <t>CL4.900</t>
  </si>
  <si>
    <t>CL4.901</t>
  </si>
  <si>
    <t>CL4.902</t>
  </si>
  <si>
    <t>CL4.903</t>
  </si>
  <si>
    <t>CL4.904</t>
  </si>
  <si>
    <t>CL4.905</t>
  </si>
  <si>
    <t>CL4.906</t>
  </si>
  <si>
    <t>CL4.907</t>
  </si>
  <si>
    <t>CL4.908</t>
  </si>
  <si>
    <t>CL4.909</t>
  </si>
  <si>
    <t>CL4.910</t>
  </si>
  <si>
    <t>CL4.911</t>
  </si>
  <si>
    <t>CL4.912</t>
  </si>
  <si>
    <t>CL4.913</t>
  </si>
  <si>
    <t>CL4.914</t>
  </si>
  <si>
    <t>CL4.915</t>
  </si>
  <si>
    <t>CL4.916</t>
  </si>
  <si>
    <t>CL4.917</t>
  </si>
  <si>
    <t>CL4.918</t>
  </si>
  <si>
    <t>CL4.919</t>
  </si>
  <si>
    <t>CL4.920</t>
  </si>
  <si>
    <t>CL4.921</t>
  </si>
  <si>
    <t>CL4.922</t>
  </si>
  <si>
    <t>CL4.923</t>
  </si>
  <si>
    <t>CL4.924</t>
  </si>
  <si>
    <t>CL4.925</t>
  </si>
  <si>
    <t>CL4.926</t>
  </si>
  <si>
    <t>CL4.927</t>
  </si>
  <si>
    <t>CL4.928</t>
  </si>
  <si>
    <t>CL4.929</t>
  </si>
  <si>
    <t>CL4.930</t>
  </si>
  <si>
    <t>CL4.931</t>
  </si>
  <si>
    <t>CL4.932</t>
  </si>
  <si>
    <t>CL4.933</t>
  </si>
  <si>
    <t>CL4.934</t>
  </si>
  <si>
    <t>CL4.935</t>
  </si>
  <si>
    <t>CL4.936</t>
  </si>
  <si>
    <t>CL4.937</t>
  </si>
  <si>
    <t>CL4.938</t>
  </si>
  <si>
    <t>CL4.939</t>
  </si>
  <si>
    <t>CL4.940</t>
  </si>
  <si>
    <t>CL4.941</t>
  </si>
  <si>
    <t>CL4.942</t>
  </si>
  <si>
    <t>CL4.943</t>
  </si>
  <si>
    <t>CL4.944</t>
  </si>
  <si>
    <t>CL4.945</t>
  </si>
  <si>
    <t>CL4.946</t>
  </si>
  <si>
    <t>CL4.947</t>
  </si>
  <si>
    <t>CL4.948</t>
  </si>
  <si>
    <t>CL4.949</t>
  </si>
  <si>
    <t>CL4.950</t>
  </si>
  <si>
    <t>CL4.951</t>
  </si>
  <si>
    <t>CL4.952</t>
  </si>
  <si>
    <t>CL4.953</t>
  </si>
  <si>
    <t>CL4.954</t>
  </si>
  <si>
    <t>CL4.955</t>
  </si>
  <si>
    <t>CL4.956</t>
  </si>
  <si>
    <t>CL4.957</t>
  </si>
  <si>
    <t>CL4.958</t>
  </si>
  <si>
    <t>CL4.959</t>
  </si>
  <si>
    <t>CL4.960</t>
  </si>
  <si>
    <t>CL4.961</t>
  </si>
  <si>
    <t>CL4.962</t>
  </si>
  <si>
    <t>CL4.963</t>
  </si>
  <si>
    <t>CL4.964</t>
  </si>
  <si>
    <t>CL4.965</t>
  </si>
  <si>
    <t>CL4.966</t>
  </si>
  <si>
    <t>CL4.967</t>
  </si>
  <si>
    <t>CL4.968</t>
  </si>
  <si>
    <t>CL4.969</t>
  </si>
  <si>
    <t>CL4.970</t>
  </si>
  <si>
    <t>CL4.971</t>
  </si>
  <si>
    <t>CL4.972</t>
  </si>
  <si>
    <t>CL4.973</t>
  </si>
  <si>
    <t>CL4.974</t>
  </si>
  <si>
    <t>CL4.975</t>
  </si>
  <si>
    <t>CL4.976</t>
  </si>
  <si>
    <t>CL4.977</t>
  </si>
  <si>
    <t>CL4.978</t>
  </si>
  <si>
    <t>CL4.979</t>
  </si>
  <si>
    <t>CL4.980</t>
  </si>
  <si>
    <t>CL4.981</t>
  </si>
  <si>
    <t>CL4.982</t>
  </si>
  <si>
    <t>CL4.983</t>
  </si>
  <si>
    <t>CL4.984</t>
  </si>
  <si>
    <t>CL4.985</t>
  </si>
  <si>
    <t>CL4.986</t>
  </si>
  <si>
    <t>CL4.987</t>
  </si>
  <si>
    <t>CL4.988</t>
  </si>
  <si>
    <t>CL4.989</t>
  </si>
  <si>
    <t>CL4.990</t>
  </si>
  <si>
    <t>CL4.991</t>
  </si>
  <si>
    <t>CL4.992</t>
  </si>
  <si>
    <t>CL4.993</t>
  </si>
  <si>
    <t>CL4.994</t>
  </si>
  <si>
    <t>CL4.995</t>
  </si>
  <si>
    <t>CL4.996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</si>
</sst>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sz val="11"/>
      <color theme="1"/>
      <name val="Calibri"/>
      <family val="2"/>
      <scheme val="minor"/>
    </font>
    <font>
      <u/>
      <sz val="11"/>
      <color theme="10"/>
      <name val="Calibri"/>
      <family val="2"/>
      <scheme val="minor"/>
    </font>
    <font>
      <b/>
      <sz val="11"/>
      <color theme="1" tint="0.34998626667073579"/>
      <name val="Bell MT"/>
      <family val="1"/>
    </font>
    <font>
      <sz val="11"/>
      <color theme="1"/>
      <name val="Bell MT"/>
      <family val="1"/>
    </font>
    <font>
      <b/>
      <sz val="11"/>
      <color theme="1"/>
      <name val="Bell MT"/>
      <family val="1"/>
    </font>
    <font>
      <sz val="12"/>
      <color theme="1"/>
      <name val="Calibri"/>
      <family val="2"/>
      <scheme val="minor"/>
    </font>
    <font>
      <b/>
      <sz val="12"/>
      <color theme="1"/>
      <name val="Calibri"/>
      <family val="2"/>
      <scheme val="minor"/>
    </font>
    <font>
      <sz val="10"/>
      <color rgb="FF3B3B3B"/>
      <name val="Bell MT"/>
      <family val="1"/>
    </font>
    <font>
      <b/>
      <sz val="11"/>
      <color theme="6" tint="0.79998168889431442"/>
      <name val="Bell MT"/>
      <family val="1"/>
    </font>
    <font>
      <sz val="11"/>
      <color rgb="FF3B3B3B"/>
      <name val="Bell MT"/>
      <family val="1"/>
    </font>
    <font>
      <sz val="11"/>
      <color rgb="FF1E7FB8"/>
      <name val="Bell MT"/>
      <family val="1"/>
    </font>
    <font>
      <u/>
      <sz val="11"/>
      <color rgb="FF3B3B3B"/>
      <name val="Bell MT"/>
      <family val="1"/>
    </font>
    <font>
      <b/>
      <sz val="11"/>
      <color rgb="FF3B3B3B"/>
      <name val="Bell MT"/>
      <family val="1"/>
    </font>
    <font>
      <i/>
      <sz val="11"/>
      <color rgb="FF3B3B3B"/>
      <name val="Bell MT"/>
      <family val="1"/>
    </font>
    <font>
      <sz val="11"/>
      <color theme="0" tint="-0.14999847407452621"/>
      <name val="Bell MT"/>
      <family val="1"/>
    </font>
    <font>
      <sz val="11"/>
      <color theme="1" tint="0.249977111117893"/>
      <name val="Calibri"/>
      <family val="2"/>
      <scheme val="minor"/>
    </font>
    <font>
      <sz val="11"/>
      <color rgb="FFFF0000"/>
      <name val="Calibri"/>
      <family val="2"/>
      <scheme val="minor"/>
    </font>
    <font>
      <sz val="11"/>
      <color rgb="FF0070C0"/>
      <name val="Calibri"/>
      <family val="2"/>
      <scheme val="minor"/>
    </font>
    <font>
      <sz val="11"/>
      <color rgb="FF00B050"/>
      <name val="Calibri"/>
      <family val="2"/>
      <scheme val="minor"/>
    </font>
    <font>
      <sz val="10"/>
      <color rgb="FF00B050"/>
      <name val="Calibri"/>
      <family val="2"/>
      <scheme val="minor"/>
    </font>
    <font>
      <sz val="11"/>
      <name val="Calibri"/>
      <family val="2"/>
      <scheme val="minor"/>
    </font>
    <font>
      <sz val="10"/>
      <color rgb="FF00B050"/>
      <name val="Arial"/>
      <family val="2"/>
    </font>
    <font>
      <sz val="10"/>
      <name val="Arial"/>
      <family val="2"/>
    </font>
    <font>
      <sz val="11"/>
      <color theme="1"/>
      <name val="Times New Roman"/>
      <family val="1"/>
    </font>
    <font>
      <b/>
      <sz val="14"/>
      <color theme="1"/>
      <name val="Bell MT"/>
      <family val="1"/>
    </font>
    <font>
      <u/>
      <sz val="11"/>
      <color theme="11"/>
      <name val="Calibri"/>
      <family val="2"/>
      <scheme val="minor"/>
    </font>
    <font>
      <sz val="11"/>
      <color theme="1" tint="0.14999847407452621"/>
      <name val="Calibri"/>
      <family val="2"/>
      <scheme val="minor"/>
    </font>
    <font>
      <sz val="11"/>
      <color theme="1" tint="0.14999847407452621"/>
      <name val="Bell MT"/>
      <family val="1"/>
    </font>
    <font>
      <sz val="16"/>
      <color theme="1"/>
      <name val="Calibri"/>
      <family val="2"/>
      <scheme val="minor"/>
    </font>
    <font>
      <sz val="14"/>
      <color theme="1"/>
      <name val="Bell MT"/>
      <family val="1"/>
    </font>
    <font>
      <i/>
      <sz val="11"/>
      <color theme="1"/>
      <name val="Bell MT"/>
      <family val="1"/>
    </font>
    <font>
      <sz val="14"/>
      <color rgb="FF000000"/>
      <name val="Bell MT"/>
      <family val="1"/>
    </font>
    <font>
      <u/>
      <sz val="14"/>
      <color theme="10"/>
      <name val="Bell MT"/>
      <family val="1"/>
    </font>
    <font>
      <b/>
      <sz val="16"/>
      <color theme="1"/>
      <name val="Bell MT"/>
      <family val="1"/>
    </font>
    <font>
      <b/>
      <sz val="10"/>
      <name val="Arial"/>
      <family val="2"/>
    </font>
    <font>
      <b/>
      <sz val="9"/>
      <name val="Arial"/>
      <family val="2"/>
    </font>
    <font>
      <sz val="11"/>
      <name val="Bell MT"/>
      <family val="1"/>
    </font>
    <font>
      <u/>
      <sz val="11"/>
      <name val="Calibri"/>
      <family val="2"/>
      <scheme val="minor"/>
    </font>
    <font>
      <b/>
      <i/>
      <sz val="10"/>
      <name val="Arial"/>
      <family val="2"/>
    </font>
    <font>
      <sz val="10"/>
      <name val="Calibri"/>
      <family val="2"/>
      <scheme val="minor"/>
    </font>
    <font>
      <sz val="9.4"/>
      <name val="Arial"/>
      <family val="2"/>
    </font>
    <font>
      <sz val="11"/>
      <color rgb="FF0070C0"/>
      <name val="Bell MT"/>
      <family val="1"/>
    </font>
    <font>
      <b/>
      <sz val="18"/>
      <color theme="1"/>
      <name val="Bell MT"/>
      <family val="1"/>
    </font>
    <font>
      <b/>
      <sz val="16"/>
      <color rgb="FFC00000"/>
      <name val="Bell MT"/>
      <family val="1"/>
    </font>
  </fonts>
  <fills count="32">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1C1"/>
        <bgColor indexed="64"/>
      </patternFill>
    </fill>
    <fill>
      <patternFill patternType="solid">
        <fgColor theme="1" tint="0.249977111117893"/>
        <bgColor indexed="64"/>
      </patternFill>
    </fill>
    <fill>
      <patternFill patternType="solid">
        <fgColor rgb="FFFF79DD"/>
        <bgColor indexed="64"/>
      </patternFill>
    </fill>
    <fill>
      <patternFill patternType="solid">
        <fgColor rgb="FFFFB5FA"/>
        <bgColor indexed="64"/>
      </patternFill>
    </fill>
    <fill>
      <patternFill patternType="solid">
        <fgColor rgb="FF24F2E6"/>
        <bgColor indexed="64"/>
      </patternFill>
    </fill>
    <fill>
      <patternFill patternType="solid">
        <fgColor rgb="FFA3F8F8"/>
        <bgColor indexed="64"/>
      </patternFill>
    </fill>
    <fill>
      <patternFill patternType="solid">
        <fgColor rgb="FFE2FF00"/>
        <bgColor indexed="64"/>
      </patternFill>
    </fill>
    <fill>
      <patternFill patternType="solid">
        <fgColor rgb="FFE9FB8C"/>
        <bgColor indexed="64"/>
      </patternFill>
    </fill>
    <fill>
      <patternFill patternType="solid">
        <fgColor rgb="FFFFFFFF"/>
        <bgColor indexed="64"/>
      </patternFill>
    </fill>
    <fill>
      <patternFill patternType="solid">
        <fgColor rgb="FF8A8B82"/>
        <bgColor indexed="64"/>
      </patternFill>
    </fill>
    <fill>
      <patternFill patternType="solid">
        <fgColor rgb="FFDFE2D5"/>
        <bgColor indexed="64"/>
      </patternFill>
    </fill>
    <fill>
      <patternFill patternType="solid">
        <fgColor rgb="FF3B00FF"/>
        <bgColor indexed="64"/>
      </patternFill>
    </fill>
    <fill>
      <patternFill patternType="solid">
        <fgColor rgb="FFA9B5E6"/>
        <bgColor indexed="64"/>
      </patternFill>
    </fill>
    <fill>
      <patternFill patternType="solid">
        <fgColor theme="1" tint="0.14999847407452621"/>
        <bgColor indexed="64"/>
      </patternFill>
    </fill>
    <fill>
      <patternFill patternType="solid">
        <fgColor theme="4" tint="0.79998168889431442"/>
        <bgColor indexed="64"/>
      </patternFill>
    </fill>
  </fills>
  <borders count="51">
    <border>
      <left/>
      <right/>
      <top/>
      <bottom/>
      <diagonal/>
    </border>
    <border>
      <left style="thin">
        <color auto="1"/>
      </left>
      <right style="thin">
        <color auto="1"/>
      </right>
      <top style="thin">
        <color auto="1"/>
      </top>
      <bottom style="thin">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style="medium">
        <color auto="1"/>
      </left>
      <right/>
      <top style="hair">
        <color auto="1"/>
      </top>
      <bottom/>
      <diagonal/>
    </border>
    <border>
      <left/>
      <right/>
      <top style="hair">
        <color auto="1"/>
      </top>
      <bottom/>
      <diagonal/>
    </border>
    <border>
      <left style="medium">
        <color auto="1"/>
      </left>
      <right/>
      <top style="hair">
        <color auto="1"/>
      </top>
      <bottom style="hair">
        <color auto="1"/>
      </bottom>
      <diagonal/>
    </border>
    <border>
      <left/>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style="thick">
        <color rgb="FFC00000"/>
      </left>
      <right/>
      <top/>
      <bottom/>
      <diagonal/>
    </border>
    <border>
      <left style="thin">
        <color auto="1"/>
      </left>
      <right style="thin">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thin">
        <color auto="1"/>
      </right>
      <top/>
      <bottom style="thin">
        <color auto="1"/>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
      <left/>
      <right style="thick">
        <color rgb="FFC00000"/>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theme="7" tint="-0.249977111117893"/>
      </left>
      <right style="medium">
        <color theme="7" tint="-0.249977111117893"/>
      </right>
      <top style="medium">
        <color theme="7" tint="-0.249977111117893"/>
      </top>
      <bottom/>
      <diagonal/>
    </border>
    <border>
      <left style="medium">
        <color theme="7" tint="-0.249977111117893"/>
      </left>
      <right style="medium">
        <color theme="7" tint="-0.249977111117893"/>
      </right>
      <top/>
      <bottom/>
      <diagonal/>
    </border>
    <border>
      <left style="medium">
        <color theme="7" tint="-0.249977111117893"/>
      </left>
      <right style="medium">
        <color theme="7" tint="-0.249977111117893"/>
      </right>
      <top/>
      <bottom style="medium">
        <color theme="7" tint="-0.249977111117893"/>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s>
  <cellStyleXfs count="8">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6" fillId="0" borderId="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cellStyleXfs>
  <cellXfs count="324">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0" fontId="3" fillId="2" borderId="0" xfId="0" applyFont="1" applyFill="1"/>
    <xf numFmtId="0" fontId="3" fillId="2" borderId="0" xfId="0" applyFont="1" applyFill="1" applyAlignment="1">
      <alignment horizontal="center" vertical="center"/>
    </xf>
    <xf numFmtId="0" fontId="3" fillId="2" borderId="0" xfId="0" applyFont="1" applyFill="1" applyAlignment="1">
      <alignment horizontal="right" vertical="center" wrapText="1"/>
    </xf>
    <xf numFmtId="0" fontId="3" fillId="2" borderId="0" xfId="0" applyFont="1" applyFill="1" applyAlignment="1">
      <alignment horizontal="right" vertical="center"/>
    </xf>
    <xf numFmtId="0" fontId="4" fillId="0" borderId="0" xfId="0" applyFont="1" applyAlignment="1">
      <alignment horizontal="center" vertical="center" wrapText="1"/>
    </xf>
    <xf numFmtId="0" fontId="4" fillId="0" borderId="0" xfId="0" applyFont="1" applyAlignment="1">
      <alignment vertical="center" wrapText="1"/>
    </xf>
    <xf numFmtId="0" fontId="4" fillId="0" borderId="0" xfId="0" applyFont="1" applyAlignment="1">
      <alignment horizontal="center" vertical="center"/>
    </xf>
    <xf numFmtId="0" fontId="4" fillId="0" borderId="0" xfId="0" applyFont="1" applyAlignment="1">
      <alignment vertical="center"/>
    </xf>
    <xf numFmtId="9" fontId="0" fillId="0" borderId="0" xfId="1" applyFont="1" applyAlignment="1">
      <alignment vertical="center"/>
    </xf>
    <xf numFmtId="0" fontId="4"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vertical="center"/>
    </xf>
    <xf numFmtId="0" fontId="4" fillId="0" borderId="0" xfId="0" applyFont="1" applyFill="1" applyAlignment="1">
      <alignment vertical="center" wrapText="1"/>
    </xf>
    <xf numFmtId="0" fontId="6" fillId="0" borderId="0" xfId="3" applyAlignment="1">
      <alignment vertical="center"/>
    </xf>
    <xf numFmtId="0" fontId="7" fillId="0" borderId="0" xfId="3" applyFont="1" applyAlignment="1">
      <alignment vertical="center"/>
    </xf>
    <xf numFmtId="0" fontId="0" fillId="0" borderId="0" xfId="0" applyAlignment="1">
      <alignment wrapText="1"/>
    </xf>
    <xf numFmtId="0" fontId="8" fillId="4" borderId="0" xfId="0" applyFont="1" applyFill="1" applyAlignment="1">
      <alignment horizontal="center" vertical="center" wrapText="1"/>
    </xf>
    <xf numFmtId="0" fontId="4" fillId="4" borderId="0" xfId="0" applyFont="1" applyFill="1" applyAlignment="1">
      <alignment horizontal="center" vertical="center" wrapText="1"/>
    </xf>
    <xf numFmtId="0" fontId="4" fillId="0" borderId="0" xfId="0" applyFont="1" applyAlignment="1">
      <alignment horizontal="left" vertical="center" wrapText="1"/>
    </xf>
    <xf numFmtId="0" fontId="10" fillId="0" borderId="0" xfId="0" applyFont="1" applyAlignment="1">
      <alignment horizontal="left" vertical="center" wrapText="1"/>
    </xf>
    <xf numFmtId="0" fontId="12" fillId="0" borderId="0" xfId="0" applyFont="1" applyAlignment="1">
      <alignment horizontal="left" vertical="center" wrapText="1"/>
    </xf>
    <xf numFmtId="0" fontId="13" fillId="0" borderId="0" xfId="0" applyFont="1" applyAlignment="1">
      <alignment horizontal="left" vertical="center" wrapText="1"/>
    </xf>
    <xf numFmtId="0" fontId="14" fillId="0" borderId="0" xfId="0" applyFont="1" applyAlignment="1">
      <alignment horizontal="left" vertical="center" wrapText="1"/>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5" fillId="5" borderId="7"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5" fillId="6" borderId="5"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14" borderId="5" xfId="0" applyFont="1" applyFill="1" applyBorder="1" applyAlignment="1">
      <alignment horizontal="center" vertical="center" wrapText="1"/>
    </xf>
    <xf numFmtId="0" fontId="5" fillId="14" borderId="7" xfId="0" applyFont="1" applyFill="1" applyBorder="1" applyAlignment="1">
      <alignment horizontal="center" vertical="center" wrapText="1"/>
    </xf>
    <xf numFmtId="0" fontId="5" fillId="14" borderId="9" xfId="0" applyFont="1" applyFill="1" applyBorder="1" applyAlignment="1">
      <alignment horizontal="center" vertical="center" wrapText="1"/>
    </xf>
    <xf numFmtId="0" fontId="5" fillId="14" borderId="9" xfId="0" applyFont="1" applyFill="1" applyBorder="1" applyAlignment="1">
      <alignment vertical="center" wrapText="1"/>
    </xf>
    <xf numFmtId="0" fontId="5" fillId="15" borderId="3" xfId="0" applyFont="1" applyFill="1" applyBorder="1" applyAlignment="1">
      <alignment horizontal="center" vertical="center" wrapText="1"/>
    </xf>
    <xf numFmtId="0" fontId="5" fillId="15" borderId="9" xfId="0" applyFont="1" applyFill="1" applyBorder="1" applyAlignment="1">
      <alignment horizontal="center" vertical="center" wrapText="1"/>
    </xf>
    <xf numFmtId="0" fontId="5" fillId="15" borderId="5"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7" borderId="7" xfId="0" applyFont="1" applyFill="1" applyBorder="1" applyAlignment="1">
      <alignment horizontal="center" vertical="center" wrapText="1"/>
    </xf>
    <xf numFmtId="0" fontId="5" fillId="13" borderId="7"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7" borderId="4"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13" borderId="3" xfId="0" applyFont="1" applyFill="1" applyBorder="1" applyAlignment="1">
      <alignment horizontal="center" vertical="center" wrapText="1"/>
    </xf>
    <xf numFmtId="0" fontId="5" fillId="13" borderId="5"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13" borderId="9" xfId="0" applyFont="1" applyFill="1" applyBorder="1" applyAlignment="1">
      <alignment horizontal="center" vertical="center" wrapText="1"/>
    </xf>
    <xf numFmtId="0" fontId="5" fillId="9" borderId="10" xfId="0" applyFont="1" applyFill="1" applyBorder="1" applyAlignment="1">
      <alignment horizontal="center" vertical="center" wrapText="1"/>
    </xf>
    <xf numFmtId="0" fontId="5" fillId="9" borderId="11" xfId="0" applyFont="1" applyFill="1" applyBorder="1" applyAlignment="1">
      <alignment horizontal="center" vertical="center" wrapText="1"/>
    </xf>
    <xf numFmtId="0" fontId="5" fillId="9" borderId="12" xfId="0" applyFont="1" applyFill="1" applyBorder="1" applyAlignment="1">
      <alignment horizontal="center" vertical="center" wrapText="1"/>
    </xf>
    <xf numFmtId="0" fontId="5" fillId="9" borderId="13"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5" fillId="16" borderId="11" xfId="0" applyFont="1" applyFill="1" applyBorder="1" applyAlignment="1">
      <alignment horizontal="center" vertical="center" wrapText="1"/>
    </xf>
    <xf numFmtId="0" fontId="5" fillId="16" borderId="13" xfId="0" applyFont="1" applyFill="1" applyBorder="1" applyAlignment="1">
      <alignment horizontal="center" vertical="center" wrapText="1"/>
    </xf>
    <xf numFmtId="0" fontId="5" fillId="16" borderId="15" xfId="0" applyFont="1" applyFill="1" applyBorder="1" applyAlignment="1">
      <alignment horizontal="center" vertical="center" wrapText="1"/>
    </xf>
    <xf numFmtId="0" fontId="5" fillId="16" borderId="17" xfId="0" applyFont="1" applyFill="1" applyBorder="1" applyAlignment="1">
      <alignment horizontal="center" vertical="center" wrapText="1"/>
    </xf>
    <xf numFmtId="0" fontId="5" fillId="9" borderId="2"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9" borderId="8" xfId="0" applyFont="1" applyFill="1" applyBorder="1" applyAlignment="1">
      <alignment horizontal="center" vertical="center" wrapText="1"/>
    </xf>
    <xf numFmtId="0" fontId="5" fillId="9" borderId="9"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9" borderId="5" xfId="0" applyFont="1" applyFill="1" applyBorder="1" applyAlignment="1">
      <alignment horizontal="center" vertical="center" wrapText="1"/>
    </xf>
    <xf numFmtId="0" fontId="5" fillId="16" borderId="3" xfId="0" applyFont="1" applyFill="1" applyBorder="1" applyAlignment="1">
      <alignment horizontal="center" vertical="center" wrapText="1"/>
    </xf>
    <xf numFmtId="0" fontId="5" fillId="16" borderId="9" xfId="0" applyFont="1" applyFill="1" applyBorder="1" applyAlignment="1">
      <alignment horizontal="center" vertical="center" wrapText="1"/>
    </xf>
    <xf numFmtId="0" fontId="5" fillId="16" borderId="5"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5" fillId="10" borderId="9" xfId="0" applyFont="1" applyFill="1" applyBorder="1" applyAlignment="1">
      <alignment horizontal="center" vertical="center" wrapText="1"/>
    </xf>
    <xf numFmtId="0" fontId="5" fillId="10" borderId="5" xfId="0" applyFont="1" applyFill="1" applyBorder="1" applyAlignment="1">
      <alignment horizontal="center" vertical="center" wrapText="1"/>
    </xf>
    <xf numFmtId="0" fontId="5" fillId="12" borderId="2" xfId="0" applyFont="1" applyFill="1" applyBorder="1" applyAlignment="1">
      <alignment horizontal="center" vertical="center" wrapText="1"/>
    </xf>
    <xf numFmtId="0" fontId="5" fillId="12" borderId="3" xfId="0"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12" borderId="5" xfId="0" applyFont="1" applyFill="1" applyBorder="1" applyAlignment="1">
      <alignment horizontal="center" vertical="center" wrapText="1"/>
    </xf>
    <xf numFmtId="0" fontId="5" fillId="17" borderId="3" xfId="0" applyFont="1" applyFill="1" applyBorder="1" applyAlignment="1">
      <alignment horizontal="center" vertical="center" wrapText="1"/>
    </xf>
    <xf numFmtId="0" fontId="5" fillId="17" borderId="5" xfId="0" applyFont="1" applyFill="1" applyBorder="1" applyAlignment="1">
      <alignment horizontal="center" vertical="center" wrapText="1"/>
    </xf>
    <xf numFmtId="0" fontId="5" fillId="14" borderId="5" xfId="0" applyFont="1" applyFill="1" applyBorder="1" applyAlignment="1">
      <alignment vertical="center" wrapText="1"/>
    </xf>
    <xf numFmtId="0" fontId="4" fillId="0"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0" xfId="0" applyFont="1" applyFill="1" applyAlignment="1">
      <alignment horizontal="right" vertical="center" wrapText="1"/>
    </xf>
    <xf numFmtId="0" fontId="15" fillId="2" borderId="0" xfId="0" applyFont="1" applyFill="1" applyAlignment="1">
      <alignment vertical="center"/>
    </xf>
    <xf numFmtId="10" fontId="16" fillId="18" borderId="0" xfId="0" applyNumberFormat="1" applyFont="1" applyFill="1" applyAlignment="1">
      <alignment vertical="center"/>
    </xf>
    <xf numFmtId="0" fontId="5" fillId="14" borderId="5" xfId="0" applyFont="1" applyFill="1" applyBorder="1" applyAlignment="1">
      <alignment horizontal="center" vertical="center" wrapText="1"/>
    </xf>
    <xf numFmtId="0" fontId="4" fillId="0" borderId="0" xfId="0" applyFont="1" applyAlignment="1">
      <alignment horizontal="center" vertical="center" wrapText="1"/>
    </xf>
    <xf numFmtId="49" fontId="0" fillId="0" borderId="1" xfId="0" applyNumberFormat="1" applyFill="1" applyBorder="1" applyAlignment="1">
      <alignment horizontal="left" vertical="top" wrapText="1"/>
    </xf>
    <xf numFmtId="49" fontId="0" fillId="0" borderId="1" xfId="0" applyNumberFormat="1" applyFill="1" applyBorder="1" applyAlignment="1">
      <alignment horizontal="left" vertical="top"/>
    </xf>
    <xf numFmtId="9" fontId="0" fillId="0" borderId="0" xfId="0" applyNumberFormat="1" applyBorder="1" applyAlignment="1">
      <alignment horizontal="left" vertical="top" wrapText="1"/>
    </xf>
    <xf numFmtId="9" fontId="0" fillId="0" borderId="0" xfId="0" applyNumberFormat="1" applyBorder="1" applyAlignment="1">
      <alignment horizontal="left" vertical="center" wrapText="1"/>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0" fontId="5" fillId="9" borderId="18" xfId="0" applyFont="1" applyFill="1" applyBorder="1" applyAlignment="1">
      <alignment horizontal="center" vertical="center" wrapText="1"/>
    </xf>
    <xf numFmtId="0" fontId="5" fillId="9" borderId="19" xfId="0" applyFont="1" applyFill="1" applyBorder="1" applyAlignment="1">
      <alignment horizontal="center" vertical="center" wrapText="1"/>
    </xf>
    <xf numFmtId="0" fontId="5" fillId="16" borderId="19" xfId="0" applyFont="1" applyFill="1" applyBorder="1" applyAlignment="1">
      <alignment horizontal="center" vertical="center" wrapText="1"/>
    </xf>
    <xf numFmtId="9" fontId="0" fillId="0" borderId="23" xfId="0" applyNumberFormat="1" applyBorder="1" applyAlignment="1">
      <alignment horizontal="left" vertical="top"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0" borderId="7" xfId="0" applyFont="1" applyFill="1" applyBorder="1" applyAlignment="1">
      <alignment horizontal="center" vertical="center" wrapText="1"/>
    </xf>
    <xf numFmtId="9" fontId="0" fillId="0" borderId="0" xfId="0" applyNumberFormat="1" applyFill="1" applyBorder="1" applyAlignment="1">
      <alignment horizontal="left" vertical="top" wrapText="1"/>
    </xf>
    <xf numFmtId="9" fontId="21" fillId="0" borderId="0" xfId="0" applyNumberFormat="1" applyFont="1" applyFill="1" applyBorder="1" applyAlignment="1">
      <alignment horizontal="left" vertical="top" wrapText="1"/>
    </xf>
    <xf numFmtId="9" fontId="21" fillId="0" borderId="0" xfId="0" applyNumberFormat="1" applyFont="1" applyFill="1" applyBorder="1" applyAlignment="1">
      <alignment vertical="top"/>
    </xf>
    <xf numFmtId="49" fontId="0" fillId="0" borderId="0" xfId="0" applyNumberFormat="1" applyFill="1" applyBorder="1" applyAlignment="1">
      <alignment horizontal="left" vertical="top"/>
    </xf>
    <xf numFmtId="0" fontId="4" fillId="0" borderId="0" xfId="0" applyFont="1" applyAlignment="1">
      <alignment horizontal="center" vertical="center" wrapText="1"/>
    </xf>
    <xf numFmtId="0" fontId="5" fillId="12" borderId="6" xfId="0" applyFont="1" applyFill="1" applyBorder="1" applyAlignment="1">
      <alignment horizontal="center" vertical="center" wrapText="1"/>
    </xf>
    <xf numFmtId="0" fontId="5" fillId="12" borderId="7" xfId="0" applyFont="1" applyFill="1" applyBorder="1" applyAlignment="1">
      <alignment horizontal="center" vertical="center" wrapText="1"/>
    </xf>
    <xf numFmtId="0" fontId="5" fillId="17" borderId="7" xfId="0" applyFont="1" applyFill="1" applyBorder="1" applyAlignment="1">
      <alignment horizontal="center" vertical="center" wrapText="1"/>
    </xf>
    <xf numFmtId="0" fontId="5" fillId="12" borderId="24" xfId="0" applyFont="1" applyFill="1" applyBorder="1" applyAlignment="1">
      <alignment horizontal="center" vertical="center" wrapText="1"/>
    </xf>
    <xf numFmtId="0" fontId="5" fillId="12" borderId="25" xfId="0" applyFont="1" applyFill="1" applyBorder="1" applyAlignment="1">
      <alignment horizontal="center" vertical="center" wrapText="1"/>
    </xf>
    <xf numFmtId="0" fontId="5" fillId="17" borderId="25" xfId="0" applyFont="1" applyFill="1" applyBorder="1" applyAlignment="1">
      <alignment horizontal="center" vertical="center" wrapText="1"/>
    </xf>
    <xf numFmtId="0" fontId="5" fillId="12" borderId="8" xfId="0" applyFont="1" applyFill="1" applyBorder="1" applyAlignment="1">
      <alignment horizontal="center" vertical="center" wrapText="1"/>
    </xf>
    <xf numFmtId="0" fontId="5" fillId="12" borderId="9" xfId="0" applyFont="1" applyFill="1" applyBorder="1" applyAlignment="1">
      <alignment horizontal="center" vertical="center" wrapText="1"/>
    </xf>
    <xf numFmtId="0" fontId="5" fillId="17" borderId="9" xfId="0" applyFont="1" applyFill="1" applyBorder="1" applyAlignment="1">
      <alignment horizontal="center" vertical="center" wrapText="1"/>
    </xf>
    <xf numFmtId="0" fontId="9" fillId="8" borderId="6" xfId="0" applyFont="1" applyFill="1" applyBorder="1" applyAlignment="1">
      <alignment horizontal="center" vertical="center" wrapText="1"/>
    </xf>
    <xf numFmtId="0" fontId="9" fillId="8" borderId="7" xfId="0" applyFont="1" applyFill="1" applyBorder="1" applyAlignment="1">
      <alignment horizontal="center" vertical="center" wrapText="1"/>
    </xf>
    <xf numFmtId="0" fontId="9" fillId="13" borderId="7" xfId="0" applyFont="1" applyFill="1" applyBorder="1" applyAlignment="1">
      <alignment horizontal="center" vertical="center" wrapText="1"/>
    </xf>
    <xf numFmtId="0" fontId="9" fillId="8" borderId="8" xfId="0" applyFont="1" applyFill="1" applyBorder="1" applyAlignment="1">
      <alignment horizontal="center" vertical="center" wrapText="1"/>
    </xf>
    <xf numFmtId="0" fontId="9" fillId="8" borderId="4" xfId="0" applyFont="1" applyFill="1" applyBorder="1" applyAlignment="1">
      <alignment horizontal="center" vertical="center" wrapText="1"/>
    </xf>
    <xf numFmtId="0" fontId="9" fillId="8" borderId="5" xfId="0" applyFont="1" applyFill="1" applyBorder="1" applyAlignment="1">
      <alignment horizontal="center" vertical="center" wrapText="1"/>
    </xf>
    <xf numFmtId="0" fontId="9" fillId="8" borderId="26" xfId="0" applyFont="1" applyFill="1" applyBorder="1" applyAlignment="1">
      <alignment horizontal="center" vertical="center" wrapText="1"/>
    </xf>
    <xf numFmtId="0" fontId="9" fillId="8" borderId="27" xfId="0" applyFont="1" applyFill="1" applyBorder="1" applyAlignment="1">
      <alignment horizontal="center" vertical="center" wrapText="1"/>
    </xf>
    <xf numFmtId="0" fontId="9" fillId="8" borderId="28" xfId="0" applyFont="1" applyFill="1" applyBorder="1" applyAlignment="1">
      <alignment horizontal="center" vertical="center" wrapText="1"/>
    </xf>
    <xf numFmtId="0" fontId="9" fillId="8" borderId="29" xfId="0" applyFont="1" applyFill="1" applyBorder="1" applyAlignment="1">
      <alignment horizontal="center" vertical="center" wrapText="1"/>
    </xf>
    <xf numFmtId="0" fontId="9" fillId="8" borderId="9" xfId="0" applyFont="1" applyFill="1" applyBorder="1" applyAlignment="1">
      <alignment horizontal="center" vertical="center" wrapText="1"/>
    </xf>
    <xf numFmtId="0" fontId="3" fillId="13" borderId="27" xfId="0" applyFont="1" applyFill="1" applyBorder="1" applyAlignment="1">
      <alignment horizontal="center" vertical="center" wrapText="1"/>
    </xf>
    <xf numFmtId="0" fontId="3" fillId="13" borderId="9" xfId="0" applyFont="1" applyFill="1" applyBorder="1" applyAlignment="1">
      <alignment horizontal="center" vertical="center" wrapText="1"/>
    </xf>
    <xf numFmtId="0" fontId="3" fillId="13" borderId="29" xfId="0" applyFont="1" applyFill="1" applyBorder="1" applyAlignment="1">
      <alignment horizontal="center" vertical="center" wrapText="1"/>
    </xf>
    <xf numFmtId="0" fontId="3" fillId="13" borderId="5"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9" borderId="18" xfId="0" applyFont="1" applyFill="1" applyBorder="1" applyAlignment="1">
      <alignment horizontal="center" vertical="center" wrapText="1"/>
    </xf>
    <xf numFmtId="0" fontId="5" fillId="19" borderId="19" xfId="0" applyFont="1" applyFill="1" applyBorder="1" applyAlignment="1">
      <alignment horizontal="center" vertical="center" wrapText="1"/>
    </xf>
    <xf numFmtId="0" fontId="5" fillId="20" borderId="19" xfId="0" applyFont="1" applyFill="1" applyBorder="1" applyAlignment="1">
      <alignment horizontal="center" vertical="center" wrapText="1"/>
    </xf>
    <xf numFmtId="0" fontId="5" fillId="19" borderId="2" xfId="0" applyFont="1" applyFill="1" applyBorder="1" applyAlignment="1">
      <alignment horizontal="center" vertical="center" wrapText="1"/>
    </xf>
    <xf numFmtId="0" fontId="5" fillId="19" borderId="3" xfId="0" applyFont="1" applyFill="1" applyBorder="1" applyAlignment="1">
      <alignment horizontal="center" vertical="center" wrapText="1"/>
    </xf>
    <xf numFmtId="0" fontId="5" fillId="20" borderId="3" xfId="0" applyFont="1" applyFill="1" applyBorder="1" applyAlignment="1">
      <alignment horizontal="center" vertical="center" wrapText="1"/>
    </xf>
    <xf numFmtId="0" fontId="5" fillId="19" borderId="4" xfId="0" applyFont="1" applyFill="1" applyBorder="1" applyAlignment="1">
      <alignment horizontal="center" vertical="center" wrapText="1"/>
    </xf>
    <xf numFmtId="0" fontId="5" fillId="19" borderId="5" xfId="0" applyFont="1" applyFill="1" applyBorder="1" applyAlignment="1">
      <alignment horizontal="center" vertical="center" wrapText="1"/>
    </xf>
    <xf numFmtId="0" fontId="5" fillId="20" borderId="5" xfId="0" applyFont="1" applyFill="1" applyBorder="1" applyAlignment="1">
      <alignment horizontal="center" vertical="center" wrapText="1"/>
    </xf>
    <xf numFmtId="0" fontId="5" fillId="19" borderId="8" xfId="0" applyFont="1" applyFill="1" applyBorder="1" applyAlignment="1">
      <alignment horizontal="center" vertical="center" wrapText="1"/>
    </xf>
    <xf numFmtId="0" fontId="5" fillId="19" borderId="26" xfId="0" applyFont="1" applyFill="1" applyBorder="1" applyAlignment="1">
      <alignment horizontal="center" vertical="center" wrapText="1"/>
    </xf>
    <xf numFmtId="0" fontId="5" fillId="19" borderId="27" xfId="0" applyFont="1" applyFill="1" applyBorder="1" applyAlignment="1">
      <alignment horizontal="center" vertical="center" wrapText="1"/>
    </xf>
    <xf numFmtId="0" fontId="5" fillId="20" borderId="27" xfId="0" applyFont="1" applyFill="1" applyBorder="1" applyAlignment="1">
      <alignment horizontal="center" vertical="center" wrapText="1"/>
    </xf>
    <xf numFmtId="0" fontId="5" fillId="19" borderId="28" xfId="0" applyFont="1" applyFill="1" applyBorder="1" applyAlignment="1">
      <alignment horizontal="center" vertical="center" wrapText="1"/>
    </xf>
    <xf numFmtId="0" fontId="5" fillId="19" borderId="29" xfId="0" applyFont="1" applyFill="1" applyBorder="1" applyAlignment="1">
      <alignment horizontal="center" vertical="center" wrapText="1"/>
    </xf>
    <xf numFmtId="0" fontId="5" fillId="20" borderId="29" xfId="0" applyFont="1" applyFill="1" applyBorder="1" applyAlignment="1">
      <alignment horizontal="center" vertical="center" wrapText="1"/>
    </xf>
    <xf numFmtId="0" fontId="5" fillId="19" borderId="9" xfId="0" applyFont="1" applyFill="1" applyBorder="1" applyAlignment="1">
      <alignment horizontal="center" vertical="center" wrapText="1"/>
    </xf>
    <xf numFmtId="0" fontId="5" fillId="20" borderId="9" xfId="0" applyFont="1" applyFill="1" applyBorder="1" applyAlignment="1">
      <alignment horizontal="center" vertical="center" wrapText="1"/>
    </xf>
    <xf numFmtId="0" fontId="5" fillId="19" borderId="6" xfId="0" applyFont="1" applyFill="1" applyBorder="1" applyAlignment="1">
      <alignment horizontal="center" vertical="center" wrapText="1"/>
    </xf>
    <xf numFmtId="0" fontId="5" fillId="19" borderId="7"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1" borderId="26" xfId="0" applyFont="1" applyFill="1" applyBorder="1" applyAlignment="1">
      <alignment horizontal="center" vertical="center" wrapText="1"/>
    </xf>
    <xf numFmtId="0" fontId="5" fillId="21" borderId="27" xfId="0" applyFont="1" applyFill="1" applyBorder="1" applyAlignment="1">
      <alignment horizontal="center" vertical="center" wrapText="1"/>
    </xf>
    <xf numFmtId="0" fontId="5" fillId="21" borderId="8" xfId="0" applyFont="1" applyFill="1" applyBorder="1" applyAlignment="1">
      <alignment horizontal="center" vertical="center" wrapText="1"/>
    </xf>
    <xf numFmtId="0" fontId="5" fillId="21" borderId="9" xfId="0" applyFont="1" applyFill="1" applyBorder="1" applyAlignment="1">
      <alignment horizontal="center" vertical="center" wrapText="1"/>
    </xf>
    <xf numFmtId="0" fontId="5" fillId="21" borderId="4" xfId="0" applyFont="1" applyFill="1" applyBorder="1" applyAlignment="1">
      <alignment horizontal="center" vertical="center" wrapText="1"/>
    </xf>
    <xf numFmtId="0" fontId="5" fillId="21" borderId="5" xfId="0" applyFont="1" applyFill="1" applyBorder="1" applyAlignment="1">
      <alignment horizontal="center" vertical="center" wrapText="1"/>
    </xf>
    <xf numFmtId="0" fontId="5" fillId="22" borderId="27" xfId="0" applyFont="1" applyFill="1" applyBorder="1" applyAlignment="1">
      <alignment horizontal="center" vertical="center" wrapText="1"/>
    </xf>
    <xf numFmtId="0" fontId="5" fillId="22" borderId="9" xfId="0" applyFont="1" applyFill="1" applyBorder="1" applyAlignment="1">
      <alignment horizontal="center" vertical="center" wrapText="1"/>
    </xf>
    <xf numFmtId="0" fontId="5" fillId="22" borderId="5" xfId="0" applyFont="1" applyFill="1" applyBorder="1" applyAlignment="1">
      <alignment horizontal="center" vertical="center" wrapText="1"/>
    </xf>
    <xf numFmtId="0" fontId="5" fillId="21" borderId="6" xfId="0" applyFont="1" applyFill="1" applyBorder="1" applyAlignment="1">
      <alignment horizontal="center" vertical="center" wrapText="1"/>
    </xf>
    <xf numFmtId="0" fontId="5" fillId="21" borderId="7" xfId="0" applyFont="1" applyFill="1" applyBorder="1" applyAlignment="1">
      <alignment horizontal="center" vertical="center" wrapText="1"/>
    </xf>
    <xf numFmtId="0" fontId="5" fillId="22" borderId="7" xfId="0" applyFont="1" applyFill="1" applyBorder="1" applyAlignment="1">
      <alignment horizontal="center" vertical="center" wrapText="1"/>
    </xf>
    <xf numFmtId="0" fontId="5" fillId="21" borderId="2" xfId="0" applyFont="1" applyFill="1" applyBorder="1" applyAlignment="1">
      <alignment horizontal="center" vertical="center" wrapText="1"/>
    </xf>
    <xf numFmtId="0" fontId="5" fillId="21" borderId="3" xfId="0" applyFont="1" applyFill="1" applyBorder="1" applyAlignment="1">
      <alignment horizontal="center" vertical="center" wrapText="1"/>
    </xf>
    <xf numFmtId="0" fontId="5" fillId="22" borderId="3" xfId="0" applyFont="1" applyFill="1" applyBorder="1" applyAlignment="1">
      <alignment horizontal="center" vertical="center" wrapText="1"/>
    </xf>
    <xf numFmtId="49" fontId="21" fillId="0" borderId="0" xfId="0" applyNumberFormat="1" applyFont="1" applyFill="1" applyBorder="1" applyAlignment="1">
      <alignment horizontal="left" vertical="top" wrapText="1"/>
    </xf>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5" fillId="23" borderId="8" xfId="0" applyFont="1" applyFill="1" applyBorder="1" applyAlignment="1">
      <alignment horizontal="center" vertical="center" wrapText="1"/>
    </xf>
    <xf numFmtId="0" fontId="5" fillId="23" borderId="9" xfId="0" applyFont="1" applyFill="1" applyBorder="1" applyAlignment="1">
      <alignment horizontal="center" vertical="center" wrapText="1"/>
    </xf>
    <xf numFmtId="0" fontId="5" fillId="23" borderId="24" xfId="0" applyFont="1" applyFill="1" applyBorder="1" applyAlignment="1">
      <alignment horizontal="center" vertical="center" wrapText="1"/>
    </xf>
    <xf numFmtId="0" fontId="5" fillId="23" borderId="25" xfId="0" applyFont="1" applyFill="1" applyBorder="1" applyAlignment="1">
      <alignment horizontal="center" vertical="center" wrapText="1"/>
    </xf>
    <xf numFmtId="0" fontId="5" fillId="24" borderId="3" xfId="0" applyFont="1" applyFill="1" applyBorder="1" applyAlignment="1">
      <alignment horizontal="center" vertical="center" wrapText="1"/>
    </xf>
    <xf numFmtId="0" fontId="5" fillId="24" borderId="9" xfId="0" applyFont="1" applyFill="1" applyBorder="1" applyAlignment="1">
      <alignment horizontal="center" vertical="center" wrapText="1"/>
    </xf>
    <xf numFmtId="0" fontId="5" fillId="24" borderId="25" xfId="0" applyFont="1" applyFill="1" applyBorder="1" applyAlignment="1">
      <alignment horizontal="center" vertical="center" wrapText="1"/>
    </xf>
    <xf numFmtId="0" fontId="5" fillId="23" borderId="4" xfId="0" applyFont="1" applyFill="1" applyBorder="1" applyAlignment="1">
      <alignment horizontal="center" vertical="center" wrapText="1"/>
    </xf>
    <xf numFmtId="0" fontId="5" fillId="23" borderId="5" xfId="0" applyFont="1" applyFill="1" applyBorder="1" applyAlignment="1">
      <alignment horizontal="center" vertical="center" wrapText="1"/>
    </xf>
    <xf numFmtId="0" fontId="5" fillId="24" borderId="5" xfId="0" applyFont="1" applyFill="1" applyBorder="1" applyAlignment="1">
      <alignment horizontal="center" vertical="center" wrapText="1"/>
    </xf>
    <xf numFmtId="49" fontId="0" fillId="0" borderId="23" xfId="0" applyNumberFormat="1" applyBorder="1" applyAlignment="1">
      <alignment horizontal="left" vertical="top" wrapText="1"/>
    </xf>
    <xf numFmtId="0" fontId="5" fillId="23" borderId="6" xfId="0" applyFont="1" applyFill="1" applyBorder="1" applyAlignment="1">
      <alignment horizontal="center" vertical="center" wrapText="1"/>
    </xf>
    <xf numFmtId="0" fontId="5" fillId="23" borderId="7" xfId="0" applyFont="1" applyFill="1" applyBorder="1" applyAlignment="1">
      <alignment horizontal="center" vertical="center" wrapText="1"/>
    </xf>
    <xf numFmtId="0" fontId="5" fillId="24" borderId="7" xfId="0" applyFont="1" applyFill="1" applyBorder="1" applyAlignment="1">
      <alignment horizontal="center" vertical="center" wrapText="1"/>
    </xf>
    <xf numFmtId="9" fontId="0" fillId="0" borderId="19" xfId="0" applyNumberFormat="1" applyBorder="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0" borderId="0" xfId="0" applyFill="1" applyBorder="1" applyAlignment="1">
      <alignment horizontal="center" vertical="center"/>
    </xf>
    <xf numFmtId="0" fontId="5" fillId="0" borderId="0" xfId="0" applyFont="1" applyFill="1" applyBorder="1" applyAlignment="1">
      <alignment horizontal="center" vertical="center" wrapText="1"/>
    </xf>
    <xf numFmtId="0" fontId="23" fillId="25" borderId="1" xfId="0" applyFont="1" applyFill="1" applyBorder="1" applyAlignment="1">
      <alignment horizontal="left" vertical="top" wrapText="1"/>
    </xf>
    <xf numFmtId="0" fontId="23" fillId="25" borderId="0" xfId="0" applyFont="1" applyFill="1" applyBorder="1" applyAlignment="1">
      <alignment horizontal="left" vertical="top" wrapText="1"/>
    </xf>
    <xf numFmtId="0" fontId="5" fillId="0" borderId="8" xfId="0" applyFont="1" applyFill="1" applyBorder="1" applyAlignment="1">
      <alignment horizontal="center" vertical="center" wrapText="1"/>
    </xf>
    <xf numFmtId="0" fontId="5" fillId="0" borderId="9" xfId="0" applyFont="1" applyFill="1" applyBorder="1" applyAlignment="1">
      <alignment horizontal="center" vertical="center" wrapText="1"/>
    </xf>
    <xf numFmtId="0" fontId="5" fillId="7" borderId="26" xfId="0" applyFont="1" applyFill="1" applyBorder="1" applyAlignment="1">
      <alignment horizontal="center" vertical="center" wrapText="1"/>
    </xf>
    <xf numFmtId="0" fontId="5" fillId="7" borderId="27" xfId="0" applyFont="1" applyFill="1" applyBorder="1" applyAlignment="1">
      <alignment horizontal="center" vertical="center" wrapText="1"/>
    </xf>
    <xf numFmtId="0" fontId="5" fillId="13" borderId="27" xfId="0" applyFont="1" applyFill="1" applyBorder="1" applyAlignment="1">
      <alignment horizontal="center" vertical="center" wrapText="1"/>
    </xf>
    <xf numFmtId="0" fontId="23" fillId="25" borderId="30" xfId="0" applyFont="1" applyFill="1" applyBorder="1" applyAlignment="1">
      <alignment horizontal="left" vertical="top" wrapText="1"/>
    </xf>
    <xf numFmtId="0" fontId="9" fillId="26" borderId="26" xfId="0" applyFont="1" applyFill="1" applyBorder="1" applyAlignment="1">
      <alignment horizontal="center" vertical="center" wrapText="1"/>
    </xf>
    <xf numFmtId="0" fontId="9" fillId="26" borderId="27" xfId="0" applyFont="1" applyFill="1" applyBorder="1" applyAlignment="1">
      <alignment horizontal="center" vertical="center" wrapText="1"/>
    </xf>
    <xf numFmtId="0" fontId="9" fillId="26" borderId="8" xfId="0" applyFont="1" applyFill="1" applyBorder="1" applyAlignment="1">
      <alignment horizontal="center" vertical="center" wrapText="1"/>
    </xf>
    <xf numFmtId="0" fontId="9" fillId="26" borderId="9" xfId="0" applyFont="1" applyFill="1" applyBorder="1" applyAlignment="1">
      <alignment horizontal="center" vertical="center" wrapText="1"/>
    </xf>
    <xf numFmtId="0" fontId="9" fillId="26" borderId="4" xfId="0" applyFont="1" applyFill="1" applyBorder="1" applyAlignment="1">
      <alignment horizontal="center" vertical="center" wrapText="1"/>
    </xf>
    <xf numFmtId="0" fontId="9" fillId="26" borderId="5" xfId="0" applyFont="1" applyFill="1" applyBorder="1" applyAlignment="1">
      <alignment horizontal="center" vertical="center" wrapText="1"/>
    </xf>
    <xf numFmtId="0" fontId="3" fillId="27" borderId="27" xfId="0" applyFont="1" applyFill="1" applyBorder="1" applyAlignment="1">
      <alignment horizontal="center" vertical="center" wrapText="1"/>
    </xf>
    <xf numFmtId="0" fontId="3" fillId="27" borderId="9" xfId="0" applyFont="1" applyFill="1" applyBorder="1" applyAlignment="1">
      <alignment horizontal="center" vertical="center" wrapText="1"/>
    </xf>
    <xf numFmtId="0" fontId="3" fillId="27" borderId="5" xfId="0" applyFont="1" applyFill="1" applyBorder="1" applyAlignment="1">
      <alignment horizontal="center" vertical="center" wrapText="1"/>
    </xf>
    <xf numFmtId="49" fontId="24" fillId="0" borderId="30" xfId="0" applyNumberFormat="1" applyFont="1" applyBorder="1" applyAlignment="1">
      <alignment horizontal="left" vertical="top" wrapText="1"/>
    </xf>
    <xf numFmtId="0" fontId="9" fillId="26" borderId="6" xfId="0" applyFont="1" applyFill="1" applyBorder="1" applyAlignment="1">
      <alignment horizontal="center" vertical="center" wrapText="1"/>
    </xf>
    <xf numFmtId="0" fontId="9" fillId="26" borderId="7" xfId="0" applyFont="1" applyFill="1" applyBorder="1" applyAlignment="1">
      <alignment horizontal="center" vertical="center" wrapText="1"/>
    </xf>
    <xf numFmtId="0" fontId="3" fillId="27" borderId="7" xfId="0" applyFont="1" applyFill="1" applyBorder="1" applyAlignment="1">
      <alignment horizontal="center" vertical="center" wrapText="1"/>
    </xf>
    <xf numFmtId="0" fontId="9" fillId="28" borderId="8" xfId="0" applyFont="1" applyFill="1" applyBorder="1" applyAlignment="1">
      <alignment horizontal="center" vertical="center" wrapText="1"/>
    </xf>
    <xf numFmtId="0" fontId="9" fillId="28" borderId="9" xfId="0" applyFont="1" applyFill="1" applyBorder="1" applyAlignment="1">
      <alignment horizontal="center" vertical="center" wrapText="1"/>
    </xf>
    <xf numFmtId="0" fontId="9" fillId="28" borderId="4" xfId="0" applyFont="1" applyFill="1" applyBorder="1" applyAlignment="1">
      <alignment horizontal="center" vertical="center" wrapText="1"/>
    </xf>
    <xf numFmtId="0" fontId="9" fillId="28" borderId="5" xfId="0" applyFont="1" applyFill="1" applyBorder="1" applyAlignment="1">
      <alignment horizontal="center" vertical="center" wrapText="1"/>
    </xf>
    <xf numFmtId="0" fontId="3" fillId="29" borderId="9" xfId="0" applyFont="1" applyFill="1" applyBorder="1" applyAlignment="1">
      <alignment horizontal="center" vertical="center" wrapText="1"/>
    </xf>
    <xf numFmtId="0" fontId="3" fillId="29" borderId="5" xfId="0" applyFont="1" applyFill="1" applyBorder="1" applyAlignment="1">
      <alignment horizontal="center" vertical="center" wrapText="1"/>
    </xf>
    <xf numFmtId="0" fontId="9" fillId="28" borderId="2" xfId="0" applyFont="1" applyFill="1" applyBorder="1" applyAlignment="1">
      <alignment horizontal="center" vertical="center" wrapText="1"/>
    </xf>
    <xf numFmtId="0" fontId="9" fillId="28" borderId="3" xfId="0" applyFont="1" applyFill="1" applyBorder="1" applyAlignment="1">
      <alignment horizontal="center" vertical="center" wrapText="1"/>
    </xf>
    <xf numFmtId="0" fontId="3" fillId="29" borderId="3" xfId="0" applyFont="1" applyFill="1" applyBorder="1" applyAlignment="1">
      <alignment horizontal="center" vertical="center" wrapText="1"/>
    </xf>
    <xf numFmtId="0" fontId="4" fillId="0" borderId="0" xfId="0" applyFont="1" applyAlignment="1">
      <alignment horizontal="center" vertical="center" wrapText="1"/>
    </xf>
    <xf numFmtId="9" fontId="4" fillId="0" borderId="0" xfId="1" applyFont="1" applyAlignment="1">
      <alignment horizontal="center" vertical="center"/>
    </xf>
    <xf numFmtId="0" fontId="4" fillId="0" borderId="0" xfId="0" applyFont="1" applyAlignment="1">
      <alignment horizontal="left" vertical="center"/>
    </xf>
    <xf numFmtId="0" fontId="27" fillId="0" borderId="0" xfId="0" applyFont="1" applyFill="1"/>
    <xf numFmtId="9" fontId="28" fillId="30" borderId="0" xfId="1" applyFont="1" applyFill="1"/>
    <xf numFmtId="0" fontId="25" fillId="4" borderId="31" xfId="0" applyFont="1" applyFill="1" applyBorder="1" applyAlignment="1">
      <alignment horizontal="center" vertical="center"/>
    </xf>
    <xf numFmtId="0" fontId="0" fillId="4" borderId="34" xfId="0" applyFill="1" applyBorder="1"/>
    <xf numFmtId="0" fontId="25" fillId="4" borderId="22" xfId="0" applyFont="1" applyFill="1" applyBorder="1" applyAlignment="1">
      <alignment horizontal="center" vertical="center"/>
    </xf>
    <xf numFmtId="0" fontId="33" fillId="4" borderId="9" xfId="2" applyFont="1" applyFill="1" applyBorder="1" applyAlignment="1">
      <alignment horizontal="center" vertical="center"/>
    </xf>
    <xf numFmtId="0" fontId="0" fillId="31" borderId="0" xfId="0" applyFill="1"/>
    <xf numFmtId="0" fontId="29" fillId="31" borderId="0" xfId="0" applyFont="1" applyFill="1"/>
    <xf numFmtId="0" fontId="34" fillId="4" borderId="31" xfId="0" applyFont="1" applyFill="1" applyBorder="1" applyAlignment="1">
      <alignment horizontal="center" vertical="center"/>
    </xf>
    <xf numFmtId="0" fontId="0" fillId="14" borderId="41" xfId="0" applyFill="1" applyBorder="1"/>
    <xf numFmtId="0" fontId="21" fillId="0" borderId="0" xfId="0" applyFont="1" applyFill="1" applyBorder="1" applyAlignment="1">
      <alignment horizontal="left" vertical="center" wrapText="1"/>
    </xf>
    <xf numFmtId="0" fontId="21" fillId="0" borderId="0" xfId="0" applyFont="1" applyFill="1" applyBorder="1" applyAlignment="1">
      <alignment wrapText="1"/>
    </xf>
    <xf numFmtId="0" fontId="35" fillId="0" borderId="0" xfId="0" applyFont="1" applyFill="1" applyBorder="1" applyAlignment="1">
      <alignment horizontal="left" vertical="center" wrapText="1"/>
    </xf>
    <xf numFmtId="0" fontId="36" fillId="0" borderId="0" xfId="0" applyFont="1" applyFill="1" applyBorder="1" applyAlignment="1">
      <alignment horizontal="left" vertical="center" wrapText="1"/>
    </xf>
    <xf numFmtId="0" fontId="37" fillId="0" borderId="0" xfId="0" applyFont="1" applyFill="1" applyBorder="1" applyAlignment="1">
      <alignment horizontal="left" vertical="center" wrapText="1"/>
    </xf>
    <xf numFmtId="0" fontId="38" fillId="0" borderId="0" xfId="2" applyFont="1" applyFill="1" applyBorder="1" applyAlignment="1">
      <alignment horizontal="left" vertical="center" wrapText="1"/>
    </xf>
    <xf numFmtId="0" fontId="38" fillId="0" borderId="0" xfId="2" applyFont="1" applyFill="1" applyBorder="1" applyAlignment="1">
      <alignment horizontal="center" vertical="center" wrapText="1"/>
    </xf>
    <xf numFmtId="0" fontId="37" fillId="0" borderId="0" xfId="0" applyFont="1" applyFill="1" applyBorder="1" applyAlignment="1">
      <alignment horizontal="left" vertical="top" wrapText="1"/>
    </xf>
    <xf numFmtId="0" fontId="37" fillId="0" borderId="0" xfId="0" applyFont="1" applyFill="1" applyBorder="1" applyAlignment="1">
      <alignment vertical="center" wrapText="1"/>
    </xf>
    <xf numFmtId="0" fontId="39" fillId="0" borderId="0" xfId="0" applyFont="1" applyFill="1" applyBorder="1" applyAlignment="1">
      <alignment horizontal="left" vertical="center" wrapText="1"/>
    </xf>
    <xf numFmtId="0" fontId="21" fillId="0" borderId="0" xfId="0" applyFont="1" applyFill="1" applyBorder="1" applyAlignment="1">
      <alignment horizontal="center" wrapText="1"/>
    </xf>
    <xf numFmtId="0" fontId="40" fillId="0" borderId="0" xfId="0" applyFont="1" applyFill="1" applyBorder="1" applyAlignment="1">
      <alignment horizontal="left" vertical="center" wrapText="1"/>
    </xf>
    <xf numFmtId="0" fontId="38" fillId="0" borderId="0" xfId="2" applyFont="1" applyFill="1" applyBorder="1" applyAlignment="1">
      <alignment vertical="center" wrapText="1"/>
    </xf>
    <xf numFmtId="0" fontId="35" fillId="0" borderId="0" xfId="0" applyFont="1" applyFill="1" applyBorder="1" applyAlignment="1">
      <alignment vertical="center" wrapText="1"/>
    </xf>
    <xf numFmtId="0" fontId="21" fillId="0" borderId="0" xfId="0" applyFont="1" applyFill="1" applyBorder="1" applyAlignment="1">
      <alignment vertical="center" wrapText="1"/>
    </xf>
    <xf numFmtId="0" fontId="41" fillId="0" borderId="0" xfId="0" applyFont="1" applyFill="1" applyBorder="1" applyAlignment="1">
      <alignment horizontal="center" vertical="center" wrapText="1"/>
    </xf>
    <xf numFmtId="0" fontId="41" fillId="0" borderId="0" xfId="0" applyFont="1" applyFill="1" applyBorder="1" applyAlignment="1">
      <alignment vertical="center" wrapText="1"/>
    </xf>
    <xf numFmtId="0" fontId="4" fillId="0" borderId="0" xfId="0" applyFont="1" applyAlignment="1">
      <alignment horizontal="center" vertical="center" wrapText="1"/>
    </xf>
    <xf numFmtId="0" fontId="6" fillId="0" borderId="0" xfId="3" applyAlignment="1">
      <alignment vertical="center" wrapText="1"/>
    </xf>
    <xf numFmtId="0" fontId="31" fillId="4" borderId="35" xfId="0" applyFont="1" applyFill="1" applyBorder="1" applyAlignment="1">
      <alignment horizontal="center" wrapText="1"/>
    </xf>
    <xf numFmtId="0" fontId="25" fillId="4" borderId="32" xfId="0" applyFont="1" applyFill="1" applyBorder="1" applyAlignment="1">
      <alignment horizontal="center" vertical="center"/>
    </xf>
    <xf numFmtId="14" fontId="30" fillId="3" borderId="32" xfId="0" applyNumberFormat="1" applyFont="1" applyFill="1" applyBorder="1" applyAlignment="1">
      <alignment horizontal="center" vertical="center"/>
    </xf>
    <xf numFmtId="0" fontId="30" fillId="3" borderId="32" xfId="0" applyFont="1" applyFill="1" applyBorder="1" applyAlignment="1">
      <alignment horizontal="center" vertical="center"/>
    </xf>
    <xf numFmtId="0" fontId="30" fillId="3" borderId="33" xfId="0" applyFont="1" applyFill="1" applyBorder="1" applyAlignment="1">
      <alignment horizontal="center" vertical="center"/>
    </xf>
    <xf numFmtId="14" fontId="30" fillId="3" borderId="0" xfId="0" applyNumberFormat="1" applyFont="1" applyFill="1" applyBorder="1" applyAlignment="1">
      <alignment horizontal="center" vertical="center"/>
    </xf>
    <xf numFmtId="0" fontId="30" fillId="3" borderId="0" xfId="0" applyFont="1" applyFill="1" applyBorder="1" applyAlignment="1">
      <alignment horizontal="center" vertical="center"/>
    </xf>
    <xf numFmtId="0" fontId="30" fillId="3" borderId="37" xfId="0" applyFont="1" applyFill="1" applyBorder="1" applyAlignment="1">
      <alignment horizontal="center" vertical="center"/>
    </xf>
    <xf numFmtId="0" fontId="30" fillId="3" borderId="35" xfId="0" applyFont="1" applyFill="1" applyBorder="1" applyAlignment="1">
      <alignment horizontal="center" vertical="center"/>
    </xf>
    <xf numFmtId="0" fontId="30" fillId="3" borderId="36" xfId="0" applyFont="1" applyFill="1" applyBorder="1" applyAlignment="1">
      <alignment horizontal="center" vertical="center"/>
    </xf>
    <xf numFmtId="0" fontId="34" fillId="14" borderId="40" xfId="0" applyFont="1" applyFill="1" applyBorder="1" applyAlignment="1">
      <alignment horizontal="left" vertical="center" wrapText="1"/>
    </xf>
    <xf numFmtId="0" fontId="34" fillId="14" borderId="41" xfId="0" applyFont="1" applyFill="1" applyBorder="1" applyAlignment="1">
      <alignment horizontal="left" vertical="center" wrapText="1"/>
    </xf>
    <xf numFmtId="0" fontId="30" fillId="14" borderId="41" xfId="0" applyFont="1" applyFill="1" applyBorder="1" applyAlignment="1">
      <alignment horizontal="center" vertical="top" wrapText="1"/>
    </xf>
    <xf numFmtId="0" fontId="30" fillId="14" borderId="42" xfId="0" applyFont="1" applyFill="1" applyBorder="1" applyAlignment="1">
      <alignment horizontal="center" vertical="top" wrapText="1"/>
    </xf>
    <xf numFmtId="0" fontId="33" fillId="4" borderId="38" xfId="2" applyFont="1" applyFill="1" applyBorder="1" applyAlignment="1">
      <alignment horizontal="center" vertical="center"/>
    </xf>
    <xf numFmtId="0" fontId="33" fillId="4" borderId="15" xfId="2" applyFont="1" applyFill="1" applyBorder="1" applyAlignment="1">
      <alignment horizontal="center" vertical="center"/>
    </xf>
    <xf numFmtId="0" fontId="33" fillId="4" borderId="39" xfId="2" applyFont="1" applyFill="1" applyBorder="1" applyAlignment="1">
      <alignment horizontal="center" vertical="center"/>
    </xf>
    <xf numFmtId="0" fontId="34" fillId="4" borderId="32"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0" xfId="0" applyFont="1" applyAlignment="1">
      <alignment horizontal="center" vertical="center" wrapText="1"/>
    </xf>
    <xf numFmtId="0" fontId="25" fillId="0" borderId="0" xfId="0" applyFont="1" applyAlignment="1">
      <alignment horizontal="center" vertical="center" wrapText="1"/>
    </xf>
    <xf numFmtId="0" fontId="4" fillId="0" borderId="21" xfId="0" applyFont="1" applyBorder="1" applyAlignment="1">
      <alignment horizontal="center" vertical="center" wrapText="1"/>
    </xf>
    <xf numFmtId="0" fontId="5" fillId="14" borderId="5" xfId="0" applyFont="1" applyFill="1" applyBorder="1" applyAlignment="1">
      <alignment horizontal="center" vertical="center" wrapText="1"/>
    </xf>
    <xf numFmtId="9" fontId="4" fillId="0" borderId="0" xfId="1" applyFont="1" applyAlignment="1">
      <alignment horizontal="center" vertical="center" wrapText="1"/>
    </xf>
    <xf numFmtId="9" fontId="4" fillId="0" borderId="0" xfId="1" applyFont="1" applyAlignment="1">
      <alignment horizontal="center" vertical="center"/>
    </xf>
    <xf numFmtId="9" fontId="25" fillId="0" borderId="0" xfId="1" applyFont="1" applyAlignment="1">
      <alignment horizontal="center" vertical="center" wrapText="1"/>
    </xf>
    <xf numFmtId="9" fontId="0" fillId="0" borderId="0" xfId="1" applyFont="1" applyAlignment="1">
      <alignment horizontal="center" vertical="center"/>
    </xf>
    <xf numFmtId="0" fontId="4" fillId="0" borderId="0" xfId="0" applyFont="1" applyAlignment="1">
      <alignment horizontal="left" vertical="center" wrapText="1"/>
    </xf>
    <xf numFmtId="0" fontId="25" fillId="0" borderId="0" xfId="0" applyFont="1" applyAlignment="1">
      <alignment horizontal="left" vertical="center" wrapText="1"/>
    </xf>
    <xf numFmtId="0" fontId="38" fillId="0" borderId="0" xfId="2" applyFont="1" applyFill="1" applyBorder="1" applyAlignment="1">
      <alignment horizontal="center" vertical="center" wrapText="1"/>
    </xf>
    <xf numFmtId="0" fontId="38" fillId="0" borderId="0" xfId="2" applyFont="1" applyFill="1" applyBorder="1" applyAlignment="1">
      <alignment horizontal="left" vertical="center" wrapText="1"/>
    </xf>
    <xf numFmtId="0" fontId="42" fillId="0" borderId="0" xfId="0" applyFont="1" applyFill="1" applyBorder="1" applyAlignment="1">
      <alignment wrapText="1"/>
    </xf>
    <xf numFmtId="0" fontId="4" fillId="0" borderId="0" xfId="0" applyFont="1" applyFill="1" applyBorder="1" applyAlignment="1">
      <alignment vertical="center" wrapText="1"/>
    </xf>
    <xf numFmtId="0" fontId="4" fillId="0" borderId="0" xfId="0" applyFont="1" applyFill="1" applyBorder="1" applyAlignment="1">
      <alignment horizontal="left" vertical="center" wrapText="1" indent="1"/>
    </xf>
    <xf numFmtId="0" fontId="42" fillId="0" borderId="0" xfId="0" applyFont="1" applyFill="1" applyBorder="1" applyAlignment="1">
      <alignment wrapText="1"/>
    </xf>
    <xf numFmtId="0" fontId="42" fillId="0" borderId="0" xfId="0" applyFont="1" applyFill="1" applyBorder="1" applyAlignment="1">
      <alignment horizontal="left" vertical="center" wrapText="1"/>
    </xf>
    <xf numFmtId="0" fontId="42" fillId="0" borderId="0" xfId="0" applyFont="1" applyFill="1" applyBorder="1" applyAlignment="1">
      <alignment vertical="center" wrapText="1"/>
    </xf>
    <xf numFmtId="0" fontId="42" fillId="0" borderId="0" xfId="0" applyFont="1" applyFill="1" applyBorder="1" applyAlignment="1">
      <alignment vertical="top" wrapText="1"/>
    </xf>
    <xf numFmtId="0" fontId="0" fillId="31" borderId="0" xfId="0" applyFill="1" applyBorder="1"/>
    <xf numFmtId="0" fontId="25" fillId="31" borderId="43" xfId="0" applyFont="1" applyFill="1" applyBorder="1" applyAlignment="1">
      <alignment horizontal="center" vertical="center"/>
    </xf>
    <xf numFmtId="0" fontId="25" fillId="31" borderId="44" xfId="0" applyFont="1" applyFill="1" applyBorder="1" applyAlignment="1">
      <alignment horizontal="center" vertical="center"/>
    </xf>
    <xf numFmtId="0" fontId="25" fillId="31" borderId="45" xfId="0" applyFont="1" applyFill="1" applyBorder="1" applyAlignment="1">
      <alignment horizontal="center" vertical="center"/>
    </xf>
    <xf numFmtId="0" fontId="25" fillId="31" borderId="46" xfId="0" applyFont="1" applyFill="1" applyBorder="1" applyAlignment="1">
      <alignment horizontal="center" vertical="center"/>
    </xf>
    <xf numFmtId="0" fontId="25" fillId="31" borderId="0" xfId="0" applyFont="1" applyFill="1" applyBorder="1" applyAlignment="1">
      <alignment horizontal="center" vertical="center"/>
    </xf>
    <xf numFmtId="0" fontId="25" fillId="31" borderId="47" xfId="0" applyFont="1" applyFill="1" applyBorder="1" applyAlignment="1">
      <alignment horizontal="center" vertical="center"/>
    </xf>
    <xf numFmtId="0" fontId="43" fillId="31" borderId="48" xfId="0" applyFont="1" applyFill="1" applyBorder="1" applyAlignment="1">
      <alignment horizontal="center" vertical="center"/>
    </xf>
    <xf numFmtId="0" fontId="43" fillId="31" borderId="49" xfId="0" applyFont="1" applyFill="1" applyBorder="1" applyAlignment="1">
      <alignment horizontal="center" vertical="center"/>
    </xf>
    <xf numFmtId="0" fontId="43" fillId="31" borderId="50" xfId="0" applyFont="1" applyFill="1" applyBorder="1" applyAlignment="1">
      <alignment horizontal="center" vertical="center"/>
    </xf>
    <xf numFmtId="0" fontId="25" fillId="31" borderId="0" xfId="0" applyFont="1" applyFill="1" applyBorder="1" applyAlignment="1">
      <alignment horizontal="center" vertical="center"/>
    </xf>
    <xf numFmtId="0" fontId="43" fillId="31" borderId="0" xfId="0" applyFont="1" applyFill="1" applyBorder="1" applyAlignment="1">
      <alignment horizontal="center" vertical="center"/>
    </xf>
    <xf numFmtId="0" fontId="44" fillId="31"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cellXfs>
  <cellStyles count="8">
    <cellStyle name="Followed Hyperlink" xfId="4" builtinId="9" hidden="1"/>
    <cellStyle name="Followed Hyperlink" xfId="5" builtinId="9" hidden="1"/>
    <cellStyle name="Followed Hyperlink" xfId="6" builtinId="9" hidden="1"/>
    <cellStyle name="Followed Hyperlink" xfId="7" builtinId="9" hidden="1"/>
    <cellStyle name="Hyperlink" xfId="2" builtinId="8"/>
    <cellStyle name="Normal" xfId="0" builtinId="0"/>
    <cellStyle name="Normal 2" xfId="3"/>
    <cellStyle name="Percent" xfId="1" builtinId="5"/>
  </cellStyles>
  <dxfs count="2">
    <dxf>
      <fill>
        <patternFill>
          <bgColor theme="0" tint="-0.34998626667073579"/>
        </patternFill>
      </fill>
    </dxf>
    <dxf>
      <fill>
        <patternFill>
          <bgColor theme="0" tint="-0.499984740745262"/>
        </patternFill>
      </fill>
    </dxf>
  </dxfs>
  <tableStyles count="0" defaultTableStyle="TableStyleMedium2" defaultPivotStyle="PivotStyleLight16"/>
  <colors>
    <mruColors>
      <color rgb="FFA9B5E6"/>
      <color rgb="FF3B00FF"/>
      <color rgb="FFDFE2D5"/>
      <color rgb="FF8A8B82"/>
      <color rgb="FFE9FB8C"/>
      <color rgb="FFD9FB00"/>
      <color rgb="FFE2FF00"/>
      <color rgb="FFED2000"/>
      <color rgb="FFCD1E00"/>
      <color rgb="FFF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9</xdr:row>
          <xdr:rowOff>9525</xdr:rowOff>
        </xdr:from>
        <xdr:to>
          <xdr:col>9</xdr:col>
          <xdr:colOff>647700</xdr:colOff>
          <xdr:row>12</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Bell MT"/>
                </a:rPr>
                <a:t>Extract Criterias Checklists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14</xdr:row>
          <xdr:rowOff>28575</xdr:rowOff>
        </xdr:from>
        <xdr:to>
          <xdr:col>9</xdr:col>
          <xdr:colOff>647700</xdr:colOff>
          <xdr:row>16</xdr:row>
          <xdr:rowOff>419100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Bell MT"/>
                </a:rPr>
                <a:t>Import Equipements Register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templates\Template%20Equipment%20Register.xls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1" Type="http://schemas.openxmlformats.org/officeDocument/2006/relationships/hyperlink" Target="https://extranet.who.int/lqsi/content/write-biosafety-manual-and-make-sure-it-read-and-signed-all-staff" TargetMode="External"/><Relationship Id="rId170" Type="http://schemas.openxmlformats.org/officeDocument/2006/relationships/hyperlink" Target="https://extranet.who.int/lqsi/fr/content/enseigner-au-personnel-les-principes-de-base-de-la-gestion-de-la-qualit%C3%A9-et-proposer-un" TargetMode="External"/><Relationship Id="rId268"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5" Type="http://schemas.openxmlformats.org/officeDocument/2006/relationships/hyperlink" Target="https://extranet.who.int/lqsi/content/write-sop-procurement-and-reception-equipment" TargetMode="External"/><Relationship Id="rId682" Type="http://schemas.openxmlformats.org/officeDocument/2006/relationships/hyperlink" Target="https://extranet.who.int/lqsi/content/determine-turnaround-time-each-examination-performed-laboratory" TargetMode="External"/><Relationship Id="rId128" Type="http://schemas.openxmlformats.org/officeDocument/2006/relationships/hyperlink" Target="https://extranet.who.int/lqsi/fr/content/r%C3%A9diger-un-manuel-de-s%C3%A9curit%C3%A9-biologique-et-sassurer-que-tout-le-personnel-la-lu-et-sign%C3%A9" TargetMode="External"/><Relationship Id="rId335" Type="http://schemas.openxmlformats.org/officeDocument/2006/relationships/hyperlink" Target="https://extranet.who.int/lqsi/es/content/redactar-un-manual-de-bioseguridad-y-asegurarse-de-que-todo-el-personal-lo-lee-y-lo-firma" TargetMode="External"/><Relationship Id="rId542" Type="http://schemas.openxmlformats.org/officeDocument/2006/relationships/hyperlink" Target="https://extranet.who.int/lqsi/content/develop-sops-entire-primary-process" TargetMode="External"/><Relationship Id="rId987" Type="http://schemas.openxmlformats.org/officeDocument/2006/relationships/hyperlink" Target="https://extranet.who.int/lqsi/es/content/crear-un-laboratorio-de-presi%C3%B3n-negativa-cuando-el-laboratorio-trabaje-con-agentes-pat%C3%B3genos" TargetMode="External"/><Relationship Id="rId1172" Type="http://schemas.openxmlformats.org/officeDocument/2006/relationships/hyperlink" Target="https://extranet.who.int/lqsi/fr/content/valider-toutes-les-unit%C3%A9s-d%C3%A9quipement-utilis%C3%A9es-pour-les-examens-r%C3%A9alis%C3%A9s-dans-le" TargetMode="External"/><Relationship Id="rId402" Type="http://schemas.openxmlformats.org/officeDocument/2006/relationships/hyperlink" Target="https://extranet.who.int/lqsi/es/content/redactar-procedimientos-para-operar-los-equipos" TargetMode="External"/><Relationship Id="rId847" Type="http://schemas.openxmlformats.org/officeDocument/2006/relationships/hyperlink" Target="https://extranet.who.int/lqsi/fr/content/formuler-un-plan-daction-fond%C3%A9-sur-le-rapport-daudit-et-suivre-sa-mise-en-%C5%93uvre" TargetMode="External"/><Relationship Id="rId1032" Type="http://schemas.openxmlformats.org/officeDocument/2006/relationships/hyperlink" Target="https://extranet.who.int/lqsi/es/content/traducir-el-plan-anual-de-calidad-en-un-plan-de-acci%C3%B3n-smart" TargetMode="External"/><Relationship Id="rId707" Type="http://schemas.openxmlformats.org/officeDocument/2006/relationships/hyperlink" Target="https://extranet.who.int/lqsi/content/arrange-quality-officer-and-other-staff-members-are-trained-internal-auditors" TargetMode="External"/><Relationship Id="rId914"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43" Type="http://schemas.openxmlformats.org/officeDocument/2006/relationships/hyperlink" Target="https://extranet.who.int/lqsi/content/make-and-use-action-plans-smart-action-points" TargetMode="External"/><Relationship Id="rId192" Type="http://schemas.openxmlformats.org/officeDocument/2006/relationships/hyperlink" Target="https://extranet.who.int/lqsi/fr/content/r%C3%A9diger-des-proc%C3%A9dures-pour-lutilisation-de-l%C3%A9quipement" TargetMode="External"/><Relationship Id="rId497" Type="http://schemas.openxmlformats.org/officeDocument/2006/relationships/hyperlink" Target="https://extranet.who.int/lqsi/content/establish-preventive-maintenance-program-equipment" TargetMode="External"/><Relationship Id="rId357" Type="http://schemas.openxmlformats.org/officeDocument/2006/relationships/hyperlink" Target="https://extranet.who.int/lqsi/es/content/empezar-organizar-reuniones-de-personal-regulares-semanales" TargetMode="External"/><Relationship Id="rId1194" Type="http://schemas.openxmlformats.org/officeDocument/2006/relationships/hyperlink" Target="https://extranet.who.int/lqsi/content/identify-and-start-monitoring-critical-parameters-quality-indicators" TargetMode="External"/><Relationship Id="rId21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564" Type="http://schemas.openxmlformats.org/officeDocument/2006/relationships/hyperlink" Target="https://extranet.who.int/lqsi/content/design-document-revision-form" TargetMode="External"/><Relationship Id="rId771" Type="http://schemas.openxmlformats.org/officeDocument/2006/relationships/hyperlink" Target="https://extranet.who.int/lqsi/fr/content/formuler-le-premier-plan-annuel-qualit%C3%A9" TargetMode="External"/><Relationship Id="rId869"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424" Type="http://schemas.openxmlformats.org/officeDocument/2006/relationships/hyperlink" Target="https://extranet.who.int/lqsi/content/separate-laboratory-areas-prevent-cross-contamination-and-optimize-floor-plan" TargetMode="External"/><Relationship Id="rId631" Type="http://schemas.openxmlformats.org/officeDocument/2006/relationships/hyperlink" Target="https://extranet.who.int/lqsi/content/formulate-quality-policy" TargetMode="External"/><Relationship Id="rId729" Type="http://schemas.openxmlformats.org/officeDocument/2006/relationships/hyperlink" Target="https://extranet.who.int/lqsi/fr/content/quand-le-laboratoire-travaille-avec-des-organismes-pathog%C3%A8nes-n%C3%A9cessitant-un-b%C3%A2timent-de" TargetMode="External"/><Relationship Id="rId1054" Type="http://schemas.openxmlformats.org/officeDocument/2006/relationships/hyperlink" Target="https://extranet.who.int/lqsi/es/content/realizar-un-an%C3%A1lisis-financiero-de-los-recursos-necesarios-para-asegurar-un-laboratorio-de" TargetMode="External"/><Relationship Id="rId1261"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936"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1" Type="http://schemas.openxmlformats.org/officeDocument/2006/relationships/hyperlink" Target="https://extranet.who.int/lqsi/content/assess-education-needs-every-staff-member" TargetMode="External"/><Relationship Id="rId1219" Type="http://schemas.openxmlformats.org/officeDocument/2006/relationships/hyperlink" Target="https://extranet.who.int/lqsi/es/content/realizar-un-seguimiento-del-transporte-de-las-muestras" TargetMode="External"/><Relationship Id="rId65" Type="http://schemas.openxmlformats.org/officeDocument/2006/relationships/hyperlink" Target="https://extranet.who.int/lqsi/content/create-commitment-go-accreditation-0" TargetMode="External"/><Relationship Id="rId281" Type="http://schemas.openxmlformats.org/officeDocument/2006/relationships/hyperlink" Target="https://extranet.who.int/lqsi/ru/content/%D1%81%D0%B4%D0%B5%D0%BB%D0%B0%D0%B9%D1%82%D0%B5-%C2%AB%D1%82%D0%B0%D0%B1%D0%BB%D0%B8%D1%86%D1%83-%D0%BF%D0%BE%D0%BB%D0%BD%D0%BE%D0%BC%D0%BE%D1%87%D0%B8%D0%B9%C2%BB" TargetMode="External"/><Relationship Id="rId141" Type="http://schemas.openxmlformats.org/officeDocument/2006/relationships/hyperlink" Target="https://extranet.who.int/lqsi/fr/content/acheter-des-trousses-de-premiers-secours-et-donner-%C3%A0-un-groupe-de-membres-du-personnel-une" TargetMode="External"/><Relationship Id="rId379" Type="http://schemas.openxmlformats.org/officeDocument/2006/relationships/hyperlink" Target="https://extranet.who.int/lqsi/es/content/proporcionar-al-personal-unas-pautas-generales-sobre-los-principios-b%C3%A1sicos-de-la-gesti%C3%B3n-de" TargetMode="External"/><Relationship Id="rId586" Type="http://schemas.openxmlformats.org/officeDocument/2006/relationships/hyperlink" Target="https://extranet.who.int/lqsi/content/write-laboratory-service-manual-and-start-follow-procedures-formulated-manual" TargetMode="External"/><Relationship Id="rId793" Type="http://schemas.openxmlformats.org/officeDocument/2006/relationships/hyperlink" Target="https://extranet.who.int/lqsi/fr/content/cr%C3%A9er-une-grille-de-remplacement-du-personnel" TargetMode="External"/><Relationship Id="rId7" Type="http://schemas.openxmlformats.org/officeDocument/2006/relationships/hyperlink" Target="https://extranet.who.int/lqsi/content/perform-facility-and-safety-assessment" TargetMode="External"/><Relationship Id="rId239"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6" Type="http://schemas.openxmlformats.org/officeDocument/2006/relationships/hyperlink" Target="https://extranet.who.int/lqsi/content/create-daily-routine-work-schedules" TargetMode="External"/><Relationship Id="rId653" Type="http://schemas.openxmlformats.org/officeDocument/2006/relationships/hyperlink" Target="https://extranet.who.int/lqsi/content/start-monitoring-functioning-quality-management-system-and-produce-quarterly-reports" TargetMode="External"/><Relationship Id="rId1076" Type="http://schemas.openxmlformats.org/officeDocument/2006/relationships/hyperlink" Target="https://extranet.who.int/lqsi/es/content/validar-todos-los-procedimientos-anal%C3%ADticos-que-se-realizan-en-el-laboratorio" TargetMode="External"/><Relationship Id="rId1283" Type="http://schemas.openxmlformats.org/officeDocument/2006/relationships/hyperlink" Target="https://extranet.who.int/lqsi/fr/content/identifier-les-situations-durgence-potentielles-qui-pourraient-survenir-dans-le-laboratoire" TargetMode="External"/><Relationship Id="rId306"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860"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958"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3"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7" Type="http://schemas.openxmlformats.org/officeDocument/2006/relationships/hyperlink" Target="https://extranet.who.int/lqsi/content/write-procedures-operating-equipment" TargetMode="External"/><Relationship Id="rId513" Type="http://schemas.openxmlformats.org/officeDocument/2006/relationships/hyperlink" Target="https://extranet.who.int/lqsi/content/store-supplies-appropriately" TargetMode="External"/><Relationship Id="rId720" Type="http://schemas.openxmlformats.org/officeDocument/2006/relationships/hyperlink" Target="https://extranet.who.int/lqsi/content/formulate-action-plan-based-audit-report-and-monitor-its-implementation" TargetMode="External"/><Relationship Id="rId818" Type="http://schemas.openxmlformats.org/officeDocument/2006/relationships/hyperlink" Target="https://extranet.who.int/lqsi/fr/content/valider-toutes-les-proc%C3%A9dures-dexamen-r%C3%A9alis%C3%A9es-dans-le-laboratoire" TargetMode="External"/><Relationship Id="rId1003" Type="http://schemas.openxmlformats.org/officeDocument/2006/relationships/hyperlink" Target="https://extranet.who.int/lqsi/es/content/definir-el-tiempo-de-almacenamientoarchivo-de-diferentes-art%C3%ADculos-en-una-lista-de-retenci%C3%B3n" TargetMode="External"/><Relationship Id="rId1210" Type="http://schemas.openxmlformats.org/officeDocument/2006/relationships/hyperlink" Target="https://extranet.who.int/lqsi/ru/content/%D1%81%D0%BB%D0%B5%D0%B4%D0%B8%D1%82%D0%B5-%D0%B7%D0%B0-%D1%82%D1%80%D0%B0%D0%BD%D1%81%D0%BF%D0%BE%D1%80%D1%82%D0%B8%D1%80%D0%BE%D0%B2%D0%BA%D0%BE%D0%B9-%D0%BF%D1%80%D0%BE%D0%B1" TargetMode="External"/><Relationship Id="rId1308" Type="http://schemas.openxmlformats.org/officeDocument/2006/relationships/hyperlink" Target="https://extranet.who.int/lqsi/content/evaluate-effectiveness-preventive-actions-control-steps-and-corrective-actions-implemented" TargetMode="External"/><Relationship Id="rId14" Type="http://schemas.openxmlformats.org/officeDocument/2006/relationships/hyperlink" Target="https://extranet.who.int/lqsi/content/write-and-implement-sop-waste-segregation-and-disposal" TargetMode="External"/><Relationship Id="rId163" Type="http://schemas.openxmlformats.org/officeDocument/2006/relationships/hyperlink" Target="https://extranet.who.int/lqsi/fr/content/d%C3%A9signer-un-membre-du-personnel-responsable-du-suivi-du-stock-et-de-la-commande-de" TargetMode="External"/><Relationship Id="rId370" Type="http://schemas.openxmlformats.org/officeDocument/2006/relationships/hyperlink" Target="https://extranet.who.int/lqsi/es/content/designar-un-miembro-del-personal-responsable-de-realizar-el-seguimiento-de-las-existencias-y" TargetMode="External"/><Relationship Id="rId230"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68" Type="http://schemas.openxmlformats.org/officeDocument/2006/relationships/hyperlink" Target="https://extranet.who.int/lqsi/content/develop-personnel-files-all-staff-members" TargetMode="External"/><Relationship Id="rId675" Type="http://schemas.openxmlformats.org/officeDocument/2006/relationships/hyperlink" Target="https://extranet.who.int/lqsi/content/make-procedure-selection-and-regular-monitoring-functioning-referral-laboratories" TargetMode="External"/><Relationship Id="rId882"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8" Type="http://schemas.openxmlformats.org/officeDocument/2006/relationships/hyperlink" Target="https://extranet.who.int/lqsi/es/content/disponer-que-el-encargado-de-la-calidad-y-otros-miembros-de-personal-reciban-formaci%C3%B3n-para" TargetMode="External"/><Relationship Id="rId328" Type="http://schemas.openxmlformats.org/officeDocument/2006/relationships/hyperlink" Target="https://extranet.who.int/lqsi/es/content/redactar-e-implementar-un-poe-de-separaci%C3%B3n-y-eliminaci%C3%B3n-de-residuos" TargetMode="External"/><Relationship Id="rId535" Type="http://schemas.openxmlformats.org/officeDocument/2006/relationships/hyperlink" Target="https://extranet.who.int/lqsi/content/formulate-and-start-monitoring-internal-quality-controls" TargetMode="External"/><Relationship Id="rId742" Type="http://schemas.openxmlformats.org/officeDocument/2006/relationships/hyperlink" Target="https://extranet.who.int/lqsi/fr/content/am%C3%A9nager-et-surveiller-un-espace-et-des-conditions-de-stockage-appropri%C3%A9s-pour-les" TargetMode="External"/><Relationship Id="rId1165" Type="http://schemas.openxmlformats.org/officeDocument/2006/relationships/hyperlink" Target="https://extranet.who.int/lqsi/es/content/facilitar-al-encargado-de-calidad-una-formaci%C3%B3n-en-an%C3%A1lisis-modal-de-fallos-y-efectos" TargetMode="External"/><Relationship Id="rId602" Type="http://schemas.openxmlformats.org/officeDocument/2006/relationships/hyperlink" Target="https://extranet.who.int/lqsi/content/when-laboratory-works-pathogens-requiring-biosafety-level-bsl-iii-facility-create-negative" TargetMode="External"/><Relationship Id="rId1025" Type="http://schemas.openxmlformats.org/officeDocument/2006/relationships/hyperlink" Target="https://extranet.who.int/lqsi/es/content/formular-el-primer-plan-anual-de-calidad" TargetMode="External"/><Relationship Id="rId1232" Type="http://schemas.openxmlformats.org/officeDocument/2006/relationships/hyperlink" Target="https://extranet.who.int/lqsi/fr/content/d%C3%A9signer-un-membre-du-personnel-%C3%A0-qui-les-clients-pourront-sadresser-pour-recevoir-un" TargetMode="External"/><Relationship Id="rId907"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6" Type="http://schemas.openxmlformats.org/officeDocument/2006/relationships/hyperlink" Target="https://extranet.who.int/lqsi/content/purchase-first-aid-kits-and-train-selection-personnel-members-become-first-aid-providers" TargetMode="External"/><Relationship Id="rId185" Type="http://schemas.openxmlformats.org/officeDocument/2006/relationships/hyperlink" Target="https://extranet.who.int/lqsi/fr/content/sassurer-que-le-personnel-les-qualifications-requises" TargetMode="External"/><Relationship Id="rId392" Type="http://schemas.openxmlformats.org/officeDocument/2006/relationships/hyperlink" Target="https://extranet.who.int/lqsi/es/content/elaborar-una-descripci%C3%B3n-del-puesto-de-trabajo-personal-espec%C3%ADfica-para-cada-miembro-del" TargetMode="External"/><Relationship Id="rId697" Type="http://schemas.openxmlformats.org/officeDocument/2006/relationships/hyperlink" Target="https://extranet.who.int/lqsi/content/make-access-digital-data-laboratory-restricted-both-physically-and-virtually" TargetMode="External"/><Relationship Id="rId252"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1187" Type="http://schemas.openxmlformats.org/officeDocument/2006/relationships/hyperlink" Target="https://extranet.who.int/lqsi/content/monitor-transportation-samples" TargetMode="External"/><Relationship Id="rId112" Type="http://schemas.openxmlformats.org/officeDocument/2006/relationships/hyperlink" Target="https://extranet.who.int/lqsi/fr/content/r%C3%A9diger-et-mettre-en-%C5%93uvre-une-pos-pour-la-s%C3%A9paration-des-d%C3%A9chets-et-leur-%C3%A9limination" TargetMode="External"/><Relationship Id="rId557" Type="http://schemas.openxmlformats.org/officeDocument/2006/relationships/hyperlink" Target="https://extranet.who.int/lqsi/content/develop-signature-list-all-staff-members" TargetMode="External"/><Relationship Id="rId764" Type="http://schemas.openxmlformats.org/officeDocument/2006/relationships/hyperlink" Target="https://extranet.who.int/lqsi/fr/content/planifier-lachat-dun-nouvel-%C3%A9quipement-et-le-co%C3%BBt-de-sa-maintenance-dans-le-budget-annuel" TargetMode="External"/><Relationship Id="rId971" Type="http://schemas.openxmlformats.org/officeDocument/2006/relationships/hyperlink" Target="https://extranet.who.int/lqsi/ru/content/%D1%81%D0%BE%D1%81%D1%82%D0%B0%D0%B2%D1%8C%D1%82%D0%B5-%D0%BF%D0%BB%D0%B0%D0%BD-%D0%B2%D0%BD%D1%83%D1%82%D1%80%D0%B5%D0%BD%D0%BD%D0%B8%D1%85-%D0%B0%D1%83%D0%B4%D0%B8%D1%82%D0%BE%D0%B2-%D0%BD%D0%B0-%D0%B1%D0%BB%D0%B8%D0%B6%D0%B0%D0%B9%D1%88%D0%B8%D0%B5-12-%D0%BC%D0%B5%D1%81%D1%8F%D1%86%D0%B5%D0%B2" TargetMode="External"/><Relationship Id="rId417" Type="http://schemas.openxmlformats.org/officeDocument/2006/relationships/hyperlink" Target="https://extranet.who.int/lqsi/content/install-system-prevent-access-unauthorized-persons-laboratory" TargetMode="External"/><Relationship Id="rId624" Type="http://schemas.openxmlformats.org/officeDocument/2006/relationships/hyperlink" Target="https://extranet.who.int/lqsi/content/formulate-long-term-goals-laboratory" TargetMode="External"/><Relationship Id="rId831" Type="http://schemas.openxmlformats.org/officeDocument/2006/relationships/hyperlink" Target="https://extranet.who.int/lqsi/fr/content/mesurer-la-satisfaction-des-clients-du-laboratoire" TargetMode="External"/><Relationship Id="rId1047" Type="http://schemas.openxmlformats.org/officeDocument/2006/relationships/hyperlink" Target="https://extranet.who.int/lqsi/es/content/normalizar-y-documentar-en-poe-el-ciclo-de-la-pol%C3%ADtica" TargetMode="External"/><Relationship Id="rId1254" Type="http://schemas.openxmlformats.org/officeDocument/2006/relationships/hyperlink" Target="https://extranet.who.int/lqsi/fr/content/organiser-un-audit-externe-pour-identifier-les-derni%C3%A8res-am%C3%A9liorations-n%C3%A9cessaires-en-vue" TargetMode="External"/><Relationship Id="rId929"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4" Type="http://schemas.openxmlformats.org/officeDocument/2006/relationships/hyperlink" Target="https://extranet.who.int/lqsi/es/content/actualizar-el-m%C3%A9todo-que-usa-la-direcci%C3%B3n-para-realizar-revisiones" TargetMode="External"/><Relationship Id="rId1321" Type="http://schemas.openxmlformats.org/officeDocument/2006/relationships/hyperlink" Target="https://extranet.who.int/lqsi/es/content/realizar-un-an%C3%A1lisis-modal-de-fallos-y-efectos-de-todos-los-procesos-del-laboratorio" TargetMode="External"/><Relationship Id="rId58" Type="http://schemas.openxmlformats.org/officeDocument/2006/relationships/hyperlink" Target="https://extranet.who.int/lqsi/content/appoint-staff-member-who-responsible-monitoring-stocks-and-ordering-supplies-and-reagents" TargetMode="External"/><Relationship Id="rId274"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481" Type="http://schemas.openxmlformats.org/officeDocument/2006/relationships/hyperlink" Target="https://extranet.who.int/lqsi/content/determine-which-staff-members-are-authorized-and-which-are-responsible-use-each-piece" TargetMode="External"/><Relationship Id="rId134" Type="http://schemas.openxmlformats.org/officeDocument/2006/relationships/hyperlink" Target="https://extranet.who.int/lqsi/fr/content/organiser-un-nettoyage-standardis%C3%A9-r%C3%A9gulier-du-laboratoire" TargetMode="External"/><Relationship Id="rId579" Type="http://schemas.openxmlformats.org/officeDocument/2006/relationships/hyperlink" Target="https://extranet.who.int/lqsi/content/amend-equipment-sops-developed-phase-1" TargetMode="External"/><Relationship Id="rId786" Type="http://schemas.openxmlformats.org/officeDocument/2006/relationships/hyperlink" Target="https://extranet.who.int/lqsi/fr/content/%C3%A9laborer-un-plan-annuel-qualit%C3%A9-pour-lann%C3%A9e-suivante-sur-la-base-des-conclusions-de-la-revue" TargetMode="External"/><Relationship Id="rId993" Type="http://schemas.openxmlformats.org/officeDocument/2006/relationships/hyperlink" Target="https://extranet.who.int/lqsi/es/content/crear-una-instalaci%C3%B3n-de-obtenci%C3%B3n-de-muestras-primarias-separada-del-laboratorio" TargetMode="External"/><Relationship Id="rId341" Type="http://schemas.openxmlformats.org/officeDocument/2006/relationships/hyperlink" Target="https://extranet.who.int/lqsi/es/content/organizar-la-limpieza-peri%C3%B3dica-y-normalizada-del-laboratorio" TargetMode="External"/><Relationship Id="rId439" Type="http://schemas.openxmlformats.org/officeDocument/2006/relationships/hyperlink" Target="https://extranet.who.int/lqsi/content/appoint-quality-officer" TargetMode="External"/><Relationship Id="rId646" Type="http://schemas.openxmlformats.org/officeDocument/2006/relationships/hyperlink" Target="https://extranet.who.int/lqsi/content/translate-quality-year-plan-smart-action-plan" TargetMode="External"/><Relationship Id="rId1069" Type="http://schemas.openxmlformats.org/officeDocument/2006/relationships/hyperlink" Target="https://extranet.who.int/lqsi/es/content/realizar-el-seguimiento-del-cumplimiento-de-los-plazos-de-entrega-determinados-para-cada" TargetMode="External"/><Relationship Id="rId1276" Type="http://schemas.openxmlformats.org/officeDocument/2006/relationships/hyperlink" Target="https://extranet.who.int/lqsi/fr/content/%C3%A9laborer-une-pos-relative-au-traitement-des-non-conformit%C3%A9s-et-commencer-%C3%A0-les-enregistrer" TargetMode="External"/><Relationship Id="rId201" Type="http://schemas.openxmlformats.org/officeDocument/2006/relationships/hyperlink" Target="https://extranet.who.int/lqsi/fr/content/%C3%A9tablir-une-liste-de-tous-les-examens-r%C3%A9alis%C3%A9s-dans-le-laboratoire" TargetMode="External"/><Relationship Id="rId506" Type="http://schemas.openxmlformats.org/officeDocument/2006/relationships/hyperlink" Target="https://extranet.who.int/lqsi/content/standardize-stock-and-ordering-system-sop" TargetMode="External"/><Relationship Id="rId853"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136" Type="http://schemas.openxmlformats.org/officeDocument/2006/relationships/hyperlink" Target="https://extranet.who.int/lqsi/fr/content/mettre-en-place-un-programme-de-formation-continue" TargetMode="External"/><Relationship Id="rId713" Type="http://schemas.openxmlformats.org/officeDocument/2006/relationships/hyperlink" Target="https://extranet.who.int/lqsi/content/arrange-quality-officer-and-other-staff-members-are-trained-internal-auditors" TargetMode="External"/><Relationship Id="rId920"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203" Type="http://schemas.openxmlformats.org/officeDocument/2006/relationships/hyperlink" Target="https://extranet.who.int/lqsi/fr/content/identifier-et-commencer-%C3%A0-suivre-les-param%C3%A8tres-critiques-indicateurs-de-qualit%C3%A9" TargetMode="External"/><Relationship Id="rId296"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156" Type="http://schemas.openxmlformats.org/officeDocument/2006/relationships/hyperlink" Target="https://extranet.who.int/lqsi/fr/content/d%C3%A9signer-un-responsable-de-la-s%C3%A9curit%C3%A9-biologique" TargetMode="External"/><Relationship Id="rId363" Type="http://schemas.openxmlformats.org/officeDocument/2006/relationships/hyperlink" Target="https://extranet.who.int/lqsi/es/content/designar-un-encargado-de-bioseguridad" TargetMode="External"/><Relationship Id="rId570" Type="http://schemas.openxmlformats.org/officeDocument/2006/relationships/hyperlink" Target="https://extranet.who.int/lqsi/content/roll-out-document-control-system" TargetMode="External"/><Relationship Id="rId223"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0" Type="http://schemas.openxmlformats.org/officeDocument/2006/relationships/hyperlink" Target="https://extranet.who.int/lqsi/content/install-visual-indicator-directional-airflow-laboratory-rooms" TargetMode="External"/><Relationship Id="rId668" Type="http://schemas.openxmlformats.org/officeDocument/2006/relationships/hyperlink" Target="https://extranet.who.int/lqsi/content/perform-financial-analysis-resources-needed-ensure-quality-laboratory" TargetMode="External"/><Relationship Id="rId875"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060" Type="http://schemas.openxmlformats.org/officeDocument/2006/relationships/hyperlink" Target="https://extranet.who.int/lqsi/es/content/crear-un-procedimiento-para-la-selecci%C3%B3n-y-el-seguimiento-peri%C3%B3dico-del-funcionamiento-de" TargetMode="External"/><Relationship Id="rId1298" Type="http://schemas.openxmlformats.org/officeDocument/2006/relationships/hyperlink" Target="https://extranet.who.int/lqsi/es/content/redactar-un-poe-de-gesti%C3%B3n-de-reclamaciones-y-empezar-realizar-un-seguimiento-de-las" TargetMode="External"/><Relationship Id="rId528" Type="http://schemas.openxmlformats.org/officeDocument/2006/relationships/hyperlink" Target="https://extranet.who.int/lqsi/content/describe-procedure-rejecting-sample-make-sample-rejection-form-and-send-requester-when" TargetMode="External"/><Relationship Id="rId735" Type="http://schemas.openxmlformats.org/officeDocument/2006/relationships/hyperlink" Target="https://extranet.who.int/lqsi/fr/content/am%C3%A9nager-un-local-destin%C3%A9-au-pr%C3%A9l%C3%A8vement-d%C3%A9chantillons-primaires-s%C3%A9par%C3%A9-du-laboratoire" TargetMode="External"/><Relationship Id="rId942"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158" Type="http://schemas.openxmlformats.org/officeDocument/2006/relationships/hyperlink" Target="https://extranet.who.int/lqsi/es/content/evaluar-las-necesidades-de-formaci%C3%B3n-de-cada-miembro-del-personal" TargetMode="External"/><Relationship Id="rId1018" Type="http://schemas.openxmlformats.org/officeDocument/2006/relationships/hyperlink" Target="https://extranet.who.int/lqsi/es/content/formular-la-pol%C3%ADtica-de-la-calidad" TargetMode="External"/><Relationship Id="rId1225" Type="http://schemas.openxmlformats.org/officeDocument/2006/relationships/hyperlink" Target="https://extranet.who.int/lqsi/es/content/identificar-y-empezar-realizar-el-seguimiento-de-los-par%C3%A1metros-cr%C3%ADticos-indicadores-de" TargetMode="External"/><Relationship Id="rId71" Type="http://schemas.openxmlformats.org/officeDocument/2006/relationships/hyperlink" Target="https://extranet.who.int/lqsi/content/make-authorization-matrix" TargetMode="External"/><Relationship Id="rId802" Type="http://schemas.openxmlformats.org/officeDocument/2006/relationships/hyperlink" Target="https://extranet.who.int/lqsi/fr/content/%C3%A9tablir-une-proc%C3%A9dure-pour-la-s%C3%A9lection-et-le-suivi-r%C3%A9gulier-du-fonctionnement-de" TargetMode="External"/><Relationship Id="rId29" Type="http://schemas.openxmlformats.org/officeDocument/2006/relationships/hyperlink" Target="https://extranet.who.int/lqsi/content/arrange-standardized-regular-cleaning-laboratory" TargetMode="External"/><Relationship Id="rId178" Type="http://schemas.openxmlformats.org/officeDocument/2006/relationships/hyperlink" Target="https://extranet.who.int/lqsi/fr/content/faire-une-grille-dautorisation" TargetMode="External"/><Relationship Id="rId385" Type="http://schemas.openxmlformats.org/officeDocument/2006/relationships/hyperlink" Target="https://extranet.who.int/lqsi/es/content/crear-una-matriz-de-autorizaci%C3%B3n" TargetMode="External"/><Relationship Id="rId592" Type="http://schemas.openxmlformats.org/officeDocument/2006/relationships/hyperlink" Target="https://extranet.who.int/lqsi/content/write-sop-external-quality-assessment-procedures" TargetMode="External"/><Relationship Id="rId245"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452" Type="http://schemas.openxmlformats.org/officeDocument/2006/relationships/hyperlink" Target="https://extranet.who.int/lqsi/content/perform-staff-competency-assessments" TargetMode="External"/><Relationship Id="rId897"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2" Type="http://schemas.openxmlformats.org/officeDocument/2006/relationships/hyperlink" Target="https://extranet.who.int/lqsi/es/content/restringir-el-acceso-los-datos-digitales-del-laboratorio-tanto-f%C3%ADsicos-como-virtuales" TargetMode="External"/><Relationship Id="rId105" Type="http://schemas.openxmlformats.org/officeDocument/2006/relationships/hyperlink" Target="https://extranet.who.int/lqsi/fr/content/former-le-personnel-afin-quil-puisse-reconna%C3%AEtre-les-sympt%C3%B4mes-dinfections-pouvant-%C3%AAtre" TargetMode="External"/><Relationship Id="rId312" Type="http://schemas.openxmlformats.org/officeDocument/2006/relationships/hyperlink" Target="https://extranet.who.int/lqsi/es/content/formar-al-personal-para-que-reconozca-los-s%C3%ADntomas-de-infecciones-asociadas-un-laboratorio-y" TargetMode="External"/><Relationship Id="rId757" Type="http://schemas.openxmlformats.org/officeDocument/2006/relationships/hyperlink" Target="https://extranet.who.int/lqsi/fr/content/formuler-la-politique-de-la-qualit%C3%A9" TargetMode="External"/><Relationship Id="rId964"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3" Type="http://schemas.openxmlformats.org/officeDocument/2006/relationships/hyperlink" Target="https://extranet.who.int/lqsi/content/prepare-stock-cards-and-set-inventory-management-system" TargetMode="External"/><Relationship Id="rId617" Type="http://schemas.openxmlformats.org/officeDocument/2006/relationships/hyperlink" Target="https://extranet.who.int/lqsi/content/arrange-and-monitor-adequate-storage-space-and-conditions-samples-documents-records" TargetMode="External"/><Relationship Id="rId824" Type="http://schemas.openxmlformats.org/officeDocument/2006/relationships/hyperlink" Target="https://extranet.who.int/lqsi/fr/content/restreindre-lacc%C3%A8s-aux-donn%C3%A9es-informatis%C3%A9es-du-laboratoire-acc%C3%A8s-physique-et-virtuel" TargetMode="External"/><Relationship Id="rId1247" Type="http://schemas.openxmlformats.org/officeDocument/2006/relationships/hyperlink" Target="https://extranet.who.int/lqsi/es/content/participar-en-rondas-cl%C3%ADnicas-y-programar-debates-peri%C3%B3dicos-con-personal-cl%C3%ADnico-para" TargetMode="External"/><Relationship Id="rId1107" Type="http://schemas.openxmlformats.org/officeDocument/2006/relationships/hyperlink" Target="https://extranet.who.int/lqsi/es/content/escribir-un-poe-para-la-auditor%C3%ADa-interna" TargetMode="External"/><Relationship Id="rId1314" Type="http://schemas.openxmlformats.org/officeDocument/2006/relationships/hyperlink" Target="https://extranet.who.int/lqsi/fr/content/%C3%A9valuer-lefficacit%C3%A9-des-actions-pr%C3%A9ventives-des-%C3%A9tapes-de-contr%C3%B4le-et-des-actions" TargetMode="External"/><Relationship Id="rId20" Type="http://schemas.openxmlformats.org/officeDocument/2006/relationships/hyperlink" Target="https://extranet.who.int/lqsi/content/write-and-implement-sop-waste-segregation-and-disposal" TargetMode="External"/><Relationship Id="rId267"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4" Type="http://schemas.openxmlformats.org/officeDocument/2006/relationships/hyperlink" Target="https://extranet.who.int/lqsi/content/write-sop-procurement-and-reception-equipment" TargetMode="External"/><Relationship Id="rId127" Type="http://schemas.openxmlformats.org/officeDocument/2006/relationships/hyperlink" Target="https://extranet.who.int/lqsi/fr/content/r%C3%A9diger-un-manuel-de-s%C3%A9curit%C3%A9-biologique-et-sassurer-que-tout-le-personnel-la-lu-et-sign%C3%A9" TargetMode="External"/><Relationship Id="rId681" Type="http://schemas.openxmlformats.org/officeDocument/2006/relationships/hyperlink" Target="https://extranet.who.int/lqsi/content/determine-turnaround-time-each-examination-performed-laboratory" TargetMode="External"/><Relationship Id="rId779" Type="http://schemas.openxmlformats.org/officeDocument/2006/relationships/hyperlink" Target="https://extranet.who.int/lqsi/fr/content/commencer-%C3%A0-assurer-le-suivi-du-fonctionnement-du-syst%C3%A8me-de-gestion-de-la-qualit%C3%A9-et" TargetMode="External"/><Relationship Id="rId986" Type="http://schemas.openxmlformats.org/officeDocument/2006/relationships/hyperlink" Target="https://extranet.who.int/lqsi/es/content/crear-un-laboratorio-de-presi%C3%B3n-negativa-cuando-el-laboratorio-trabaje-con-agentes-pat%C3%B3genos" TargetMode="External"/><Relationship Id="rId334" Type="http://schemas.openxmlformats.org/officeDocument/2006/relationships/hyperlink" Target="https://extranet.who.int/lqsi/es/content/redactar-un-manual-de-bioseguridad-y-asegurarse-de-que-todo-el-personal-lo-lee-y-lo-firma" TargetMode="External"/><Relationship Id="rId541" Type="http://schemas.openxmlformats.org/officeDocument/2006/relationships/hyperlink" Target="https://extranet.who.int/lqsi/content/develop-sops-entire-primary-process" TargetMode="External"/><Relationship Id="rId639" Type="http://schemas.openxmlformats.org/officeDocument/2006/relationships/hyperlink" Target="https://extranet.who.int/lqsi/content/plan-purchasing-new-equipment-and-equipment-maintenance-annual-budget-planning" TargetMode="External"/><Relationship Id="rId1171" Type="http://schemas.openxmlformats.org/officeDocument/2006/relationships/hyperlink" Target="https://extranet.who.int/lqsi/content/when-equipment-appears-be-defective-determine-and-correct-potential-negative-influence" TargetMode="External"/><Relationship Id="rId1269" Type="http://schemas.openxmlformats.org/officeDocument/2006/relationships/hyperlink" Target="https://extranet.who.int/lqsi/content/write-sop-handling-complaints-and-start-follow-complaints-standardized-way" TargetMode="External"/><Relationship Id="rId401" Type="http://schemas.openxmlformats.org/officeDocument/2006/relationships/hyperlink" Target="https://extranet.who.int/lqsi/es/content/redactar-procedimientos-para-operar-los-equipos" TargetMode="External"/><Relationship Id="rId846" Type="http://schemas.openxmlformats.org/officeDocument/2006/relationships/hyperlink" Target="https://extranet.who.int/lqsi/fr/content/formuler-un-plan-daction-fond%C3%A9-sur-le-rapport-daudit-et-suivre-sa-mise-en-%C5%93uvre" TargetMode="External"/><Relationship Id="rId1031" Type="http://schemas.openxmlformats.org/officeDocument/2006/relationships/hyperlink" Target="https://extranet.who.int/lqsi/es/content/traducir-el-plan-anual-de-calidad-en-un-plan-de-acci%C3%B3n-smart" TargetMode="External"/><Relationship Id="rId1129" Type="http://schemas.openxmlformats.org/officeDocument/2006/relationships/hyperlink" Target="https://extranet.who.int/lqsi/fr/content/cr%C3%A9er-une-proc%C3%A9dure-pour-recruter-un-nouveau-membre-du-personnel-un-agent-temporaire-et" TargetMode="External"/><Relationship Id="rId706" Type="http://schemas.openxmlformats.org/officeDocument/2006/relationships/hyperlink" Target="https://extranet.who.int/lqsi/content/standardize-method-developing-reviewing-and-evaluating-contract-service-delivery" TargetMode="External"/><Relationship Id="rId913"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42" Type="http://schemas.openxmlformats.org/officeDocument/2006/relationships/hyperlink" Target="https://extranet.who.int/lqsi/content/make-and-use-action-plans-smart-action-points" TargetMode="External"/><Relationship Id="rId191" Type="http://schemas.openxmlformats.org/officeDocument/2006/relationships/hyperlink" Target="https://extranet.who.int/lqsi/fr/content/r%C3%A9diger-des-proc%C3%A9dures-pour-lutilisation-de-l%C3%A9quipement" TargetMode="External"/><Relationship Id="rId289"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496" Type="http://schemas.openxmlformats.org/officeDocument/2006/relationships/hyperlink" Target="https://extranet.who.int/lqsi/content/establish-preventive-maintenance-program-equipment" TargetMode="External"/><Relationship Id="rId149" Type="http://schemas.openxmlformats.org/officeDocument/2006/relationships/hyperlink" Target="https://extranet.who.int/lqsi/fr/content/commencer-%C3%A0-organiser-des-r%C3%A9unions-r%C3%A9guli%C3%A8res-hebdomadaires-du-personnel" TargetMode="External"/><Relationship Id="rId356" Type="http://schemas.openxmlformats.org/officeDocument/2006/relationships/hyperlink" Target="https://extranet.who.int/lqsi/es/content/formular-y-utilizar-planes-de-acci%C3%B3n-con-puntos-de-acci%C3%B3n-smart" TargetMode="External"/><Relationship Id="rId563" Type="http://schemas.openxmlformats.org/officeDocument/2006/relationships/hyperlink" Target="https://extranet.who.int/lqsi/content/create-folders-storing-sops-most-convenient-locations-staff-have-access-sops-when-needed" TargetMode="External"/><Relationship Id="rId770" Type="http://schemas.openxmlformats.org/officeDocument/2006/relationships/hyperlink" Target="https://extranet.who.int/lqsi/fr/content/formuler-le-premier-plan-annuel-qualit%C3%A9" TargetMode="External"/><Relationship Id="rId1193" Type="http://schemas.openxmlformats.org/officeDocument/2006/relationships/hyperlink" Target="https://extranet.who.int/lqsi/content/identify-and-start-monitoring-critical-parameters-quality-indicators" TargetMode="External"/><Relationship Id="rId21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3" Type="http://schemas.openxmlformats.org/officeDocument/2006/relationships/hyperlink" Target="https://extranet.who.int/lqsi/content/separate-laboratory-areas-prevent-cross-contamination-and-optimize-floor-plan" TargetMode="External"/><Relationship Id="rId868"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53" Type="http://schemas.openxmlformats.org/officeDocument/2006/relationships/hyperlink" Target="https://extranet.who.int/lqsi/es/content/crear-una-matriz-de-sustituci%C3%B3n-de-personal" TargetMode="External"/><Relationship Id="rId1260"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630" Type="http://schemas.openxmlformats.org/officeDocument/2006/relationships/hyperlink" Target="https://extranet.who.int/lqsi/content/formulate-quality-policy" TargetMode="External"/><Relationship Id="rId728" Type="http://schemas.openxmlformats.org/officeDocument/2006/relationships/hyperlink" Target="https://extranet.who.int/lqsi/fr/content/quand-le-laboratoire-travaille-avec-des-organismes-pathog%C3%A8nes-n%C3%A9cessitant-un-b%C3%A2timent-de" TargetMode="External"/><Relationship Id="rId935"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4" Type="http://schemas.openxmlformats.org/officeDocument/2006/relationships/hyperlink" Target="https://extranet.who.int/lqsi/content/make-organizational-charts" TargetMode="External"/><Relationship Id="rId1120" Type="http://schemas.openxmlformats.org/officeDocument/2006/relationships/hyperlink" Target="https://extranet.who.int/lqsi/content/assess-education-needs-every-staff-member" TargetMode="External"/><Relationship Id="rId1218" Type="http://schemas.openxmlformats.org/officeDocument/2006/relationships/hyperlink" Target="https://extranet.who.int/lqsi/es/content/realizar-un-seguimiento-del-transporte-de-las-muestras" TargetMode="External"/><Relationship Id="rId280" Type="http://schemas.openxmlformats.org/officeDocument/2006/relationships/hyperlink" Target="https://extranet.who.int/lqsi/ru/content/%D1%81%D0%B4%D0%B5%D0%BB%D0%B0%D0%B9%D1%82%D0%B5-%C2%AB%D1%82%D0%B0%D0%B1%D0%BB%D0%B8%D1%86%D1%83-%D0%BF%D0%BE%D0%BB%D0%BD%D0%BE%D0%BC%D0%BE%D1%87%D0%B8%D0%B9%C2%BB" TargetMode="External"/><Relationship Id="rId140" Type="http://schemas.openxmlformats.org/officeDocument/2006/relationships/hyperlink" Target="https://extranet.who.int/lqsi/fr/content/acheter-des-trousses-de-premiers-secours-et-donner-%C3%A0-un-groupe-de-membres-du-personnel-une" TargetMode="External"/><Relationship Id="rId378" Type="http://schemas.openxmlformats.org/officeDocument/2006/relationships/hyperlink" Target="https://extranet.who.int/lqsi/es/content/proporcionar-al-personal-unas-pautas-generales-sobre-los-principios-b%C3%A1sicos-de-la-gesti%C3%B3n-de" TargetMode="External"/><Relationship Id="rId585" Type="http://schemas.openxmlformats.org/officeDocument/2006/relationships/hyperlink" Target="https://extranet.who.int/lqsi/content/write-laboratory-service-manual-and-start-follow-procedures-formulated-manual" TargetMode="External"/><Relationship Id="rId792" Type="http://schemas.openxmlformats.org/officeDocument/2006/relationships/hyperlink" Target="https://extranet.who.int/lqsi/fr/content/cr%C3%A9er-une-grille-de-remplacement-du-personnel" TargetMode="External"/><Relationship Id="rId6" Type="http://schemas.openxmlformats.org/officeDocument/2006/relationships/hyperlink" Target="https://extranet.who.int/lqsi/content/perform-facility-and-safety-assessment" TargetMode="External"/><Relationship Id="rId238"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5" Type="http://schemas.openxmlformats.org/officeDocument/2006/relationships/hyperlink" Target="https://extranet.who.int/lqsi/content/create-daily-routine-work-schedules" TargetMode="External"/><Relationship Id="rId652" Type="http://schemas.openxmlformats.org/officeDocument/2006/relationships/hyperlink" Target="https://extranet.who.int/lqsi/content/develop-quality-manual" TargetMode="External"/><Relationship Id="rId1075" Type="http://schemas.openxmlformats.org/officeDocument/2006/relationships/hyperlink" Target="https://extranet.who.int/lqsi/es/content/validar-todos-los-procedimientos-anal%C3%ADticos-que-se-realizan-en-el-laboratorio" TargetMode="External"/><Relationship Id="rId1282" Type="http://schemas.openxmlformats.org/officeDocument/2006/relationships/hyperlink" Target="https://extranet.who.int/lqsi/fr/content/identifier-les-situations-durgence-potentielles-qui-pourraient-survenir-dans-le-laboratoire" TargetMode="External"/><Relationship Id="rId291"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5" Type="http://schemas.openxmlformats.org/officeDocument/2006/relationships/hyperlink" Target="https://extranet.who.int/lqsi/ru/content/%D1%81%D0%BE%D1%81%D1%82%D0%B0%D0%B2%D1%8C%D1%82%D0%B5-%D1%81%D0%BF%D0%B8%D1%81%D0%BE%D0%BA-%D0%B2%D1%81%D0%B5%D1%85-%D0%B8%D1%81%D1%81%D0%BB%D0%B5%D0%B4%D0%BE%D0%B2%D0%B0%D0%BD%D0%B8%D0%B9-%D0%B2%D1%8B%D0%BF%D0%BE%D0%BB%D0%BD%D1%8F%D0%B5%D0%BC%D1%8B%D1%85-%D0%B2-%D0%BB%D0%B0%D0%B1%D0%BE%D1%80%D0%B0%D1%82%D0%BE%D1%80%D0%B8%D0%B8" TargetMode="External"/><Relationship Id="rId512" Type="http://schemas.openxmlformats.org/officeDocument/2006/relationships/hyperlink" Target="https://extranet.who.int/lqsi/content/store-supplies-appropriately" TargetMode="External"/><Relationship Id="rId957"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2"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6" Type="http://schemas.openxmlformats.org/officeDocument/2006/relationships/hyperlink" Target="https://extranet.who.int/lqsi/content/make-equipment-register-and-check-proper-functioning-equipment" TargetMode="External"/><Relationship Id="rId151" Type="http://schemas.openxmlformats.org/officeDocument/2006/relationships/hyperlink" Target="https://extranet.who.int/lqsi/fr/content/commencer-%C3%A0-organiser-des-r%C3%A9unions-r%C3%A9guli%C3%A8res-hebdomadaires-du-personnel" TargetMode="External"/><Relationship Id="rId389" Type="http://schemas.openxmlformats.org/officeDocument/2006/relationships/hyperlink" Target="https://extranet.who.int/lqsi/es/content/elaborar-una-descripci%C3%B3n-del-puesto-de-trabajo-de-cada-uno-de-los-puestos-del-laboratorio" TargetMode="External"/><Relationship Id="rId596" Type="http://schemas.openxmlformats.org/officeDocument/2006/relationships/hyperlink" Target="https://extranet.who.int/lqsi/content/make-sure-enough-staff-members-are-trained-providing-first-aid-or-access-first-aid-ensured" TargetMode="External"/><Relationship Id="rId817" Type="http://schemas.openxmlformats.org/officeDocument/2006/relationships/hyperlink" Target="https://extranet.who.int/lqsi/fr/content/valider-toutes-les-proc%C3%A9dures-dexamen-r%C3%A9alis%C3%A9es-dans-le-laboratoire" TargetMode="External"/><Relationship Id="rId1002" Type="http://schemas.openxmlformats.org/officeDocument/2006/relationships/hyperlink" Target="https://extranet.who.int/lqsi/es/content/definir-el-tiempo-de-almacenamientoarchivo-de-diferentes-art%C3%ADculos-en-una-lista-de-retenci%C3%B3n" TargetMode="External"/><Relationship Id="rId249"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6" Type="http://schemas.openxmlformats.org/officeDocument/2006/relationships/hyperlink" Target="https://extranet.who.int/lqsi/content/perform-staff-competency-assessments" TargetMode="External"/><Relationship Id="rId663" Type="http://schemas.openxmlformats.org/officeDocument/2006/relationships/hyperlink" Target="https://extranet.who.int/lqsi/content/standardize-and-document-policy-cycle-sops" TargetMode="External"/><Relationship Id="rId870"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6" Type="http://schemas.openxmlformats.org/officeDocument/2006/relationships/hyperlink" Target="https://extranet.who.int/lqsi/es/content/escribir-un-poe-sobre-gesti%C3%B3n-de-la-informaci%C3%B3n" TargetMode="External"/><Relationship Id="rId1293"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7" Type="http://schemas.openxmlformats.org/officeDocument/2006/relationships/hyperlink" Target="https://extranet.who.int/lqsi/content/perform-failure-mode-and-effect-analyses-all-processes-laboratory" TargetMode="External"/><Relationship Id="rId13" Type="http://schemas.openxmlformats.org/officeDocument/2006/relationships/hyperlink" Target="https://extranet.who.int/lqsi/content/write-and-implement-sop-waste-segregation-and-disposal" TargetMode="External"/><Relationship Id="rId109" Type="http://schemas.openxmlformats.org/officeDocument/2006/relationships/hyperlink" Target="https://extranet.who.int/lqsi/fr/content/effectuer-une-%C3%A9valuation-des-b%C3%A2timents-et-de-la-s%C3%A9curit%C3%A9" TargetMode="External"/><Relationship Id="rId316" Type="http://schemas.openxmlformats.org/officeDocument/2006/relationships/hyperlink" Target="https://extranet.who.int/lqsi/es/content/realizar-una-evaluaci%C3%B3n-de-las-instalaciones-y-las-condiciones-de-seguridad" TargetMode="External"/><Relationship Id="rId523" Type="http://schemas.openxmlformats.org/officeDocument/2006/relationships/hyperlink" Target="https://extranet.who.int/lqsi/content/develop-sop-sample-reception-and-processing-and-start-registering-all-samples-received" TargetMode="External"/><Relationship Id="rId968"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3"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7" Type="http://schemas.openxmlformats.org/officeDocument/2006/relationships/hyperlink" Target="https://extranet.who.int/lqsi/content/make-list-all-tests-performed-laboratory" TargetMode="External"/><Relationship Id="rId730" Type="http://schemas.openxmlformats.org/officeDocument/2006/relationships/hyperlink" Target="https://extranet.who.int/lqsi/fr/content/quand-le-laboratoire-travaille-avec-des-organismes-pathog%C3%A8nes-n%C3%A9cessitant-un-b%C3%A2timent-de" TargetMode="External"/><Relationship Id="rId828" Type="http://schemas.openxmlformats.org/officeDocument/2006/relationships/hyperlink" Target="https://extranet.who.int/lqsi/fr/content/r%C3%A9diger-une-pos-relative-%C3%A0-la-gestion-de-linformation" TargetMode="External"/><Relationship Id="rId1013" Type="http://schemas.openxmlformats.org/officeDocument/2006/relationships/hyperlink" Target="https://extranet.who.int/lqsi/es/content/formular-la-pol%C3%ADtica-de-la-calidad" TargetMode="External"/><Relationship Id="rId162" Type="http://schemas.openxmlformats.org/officeDocument/2006/relationships/hyperlink" Target="https://extranet.who.int/lqsi/fr/content/d%C3%A9signer-un-membre-du-personnel-responsable-du-suivi-du-stock-et-de-la-commande-de" TargetMode="External"/><Relationship Id="rId467" Type="http://schemas.openxmlformats.org/officeDocument/2006/relationships/hyperlink" Target="https://extranet.who.int/lqsi/content/develop-personnel-files-all-staff-members" TargetMode="External"/><Relationship Id="rId1097" Type="http://schemas.openxmlformats.org/officeDocument/2006/relationships/hyperlink" Target="https://extranet.who.int/lqsi/es/content/disponer-que-el-encargado-de-la-calidad-y-otros-miembros-de-personal-reciban-formaci%C3%B3n-para" TargetMode="External"/><Relationship Id="rId1220" Type="http://schemas.openxmlformats.org/officeDocument/2006/relationships/hyperlink" Target="https://extranet.who.int/lqsi/es/content/realizar-un-seguimiento-del-transporte-de-las-muestras" TargetMode="External"/><Relationship Id="rId1318"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674" Type="http://schemas.openxmlformats.org/officeDocument/2006/relationships/hyperlink" Target="https://extranet.who.int/lqsi/content/make-procedure-selection-and-regular-monitoring-functioning-referral-laboratories" TargetMode="External"/><Relationship Id="rId881"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979" Type="http://schemas.openxmlformats.org/officeDocument/2006/relationships/hyperlink" Target="https://extranet.who.int/lqsi/es/content/garantizar-la-disponibilidad-de-suficientes-miembros-del-personal-capacitados-para-prestar" TargetMode="External"/><Relationship Id="rId24" Type="http://schemas.openxmlformats.org/officeDocument/2006/relationships/hyperlink" Target="https://extranet.who.int/lqsi/content/write-biosafety-manual-and-make-sure-it-read-and-signed-all-staff" TargetMode="External"/><Relationship Id="rId327" Type="http://schemas.openxmlformats.org/officeDocument/2006/relationships/hyperlink" Target="https://extranet.who.int/lqsi/es/content/redactar-e-implementar-un-poe-de-separaci%C3%B3n-y-eliminaci%C3%B3n-de-residuos" TargetMode="External"/><Relationship Id="rId534" Type="http://schemas.openxmlformats.org/officeDocument/2006/relationships/hyperlink" Target="https://extranet.who.int/lqsi/content/formulate-and-start-monitoring-internal-quality-controls" TargetMode="External"/><Relationship Id="rId741" Type="http://schemas.openxmlformats.org/officeDocument/2006/relationships/hyperlink" Target="https://extranet.who.int/lqsi/fr/content/am%C3%A9nager-et-surveiller-un-espace-et-des-conditions-de-stockage-appropri%C3%A9s-pour-les" TargetMode="External"/><Relationship Id="rId839" Type="http://schemas.openxmlformats.org/officeDocument/2006/relationships/hyperlink" Target="https://extranet.who.int/lqsi/fr/content/organiser-la-formation-du-responsable-qualit%C3%A9-et-dautres-membres-du-personnel-en-tant" TargetMode="External"/><Relationship Id="rId1164" Type="http://schemas.openxmlformats.org/officeDocument/2006/relationships/hyperlink" Target="https://extranet.who.int/lqsi/es/content/asegurar-que-todo-el-personal-participa-en-los-programas-de-garant%C3%ADa-de-calidad-relevantes" TargetMode="External"/><Relationship Id="rId173" Type="http://schemas.openxmlformats.org/officeDocument/2006/relationships/hyperlink" Target="https://extranet.who.int/lqsi/fr/content/assurer-au-responsable-de-la-s%C3%A9curit%C3%A9-biologique-une-formation-lui-permettant-de-r%C3%A9aliser" TargetMode="External"/><Relationship Id="rId380" Type="http://schemas.openxmlformats.org/officeDocument/2006/relationships/hyperlink" Target="https://extranet.who.int/lqsi/es/content/formar-al-encargado-de-bioseguridad-en-materia-de-bioseguridad-para-que-pueda-desempe%C3%B1ar" TargetMode="External"/><Relationship Id="rId601" Type="http://schemas.openxmlformats.org/officeDocument/2006/relationships/hyperlink" Target="https://extranet.who.int/lqsi/content/when-laboratory-works-pathogens-requiring-biosafety-level-bsl-iii-facility-create-negative" TargetMode="External"/><Relationship Id="rId1024" Type="http://schemas.openxmlformats.org/officeDocument/2006/relationships/hyperlink" Target="https://extranet.who.int/lqsi/es/content/formular-los-objetivos-del-pr%C3%B3ximo-a%C3%B1o-concretamente-con-respecto-al-sistema-de-gesti%C3%B3n-de" TargetMode="External"/><Relationship Id="rId1231" Type="http://schemas.openxmlformats.org/officeDocument/2006/relationships/hyperlink" Target="https://extranet.who.int/lqsi/content/participate-clinical-roundsschedule-regular-discussions-clinical-staff-harmonize-services" TargetMode="External"/><Relationship Id="rId240"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8" Type="http://schemas.openxmlformats.org/officeDocument/2006/relationships/hyperlink" Target="https://extranet.who.int/lqsi/content/label-all-equipment-accordance-codes-inventory-list-made-phase-1-under-equipment" TargetMode="External"/><Relationship Id="rId685" Type="http://schemas.openxmlformats.org/officeDocument/2006/relationships/hyperlink" Target="https://extranet.who.int/lqsi/content/monitor-adherence-turnaround-times-determined-each-examination" TargetMode="External"/><Relationship Id="rId892"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6"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5" Type="http://schemas.openxmlformats.org/officeDocument/2006/relationships/hyperlink" Target="https://extranet.who.int/lqsi/content/purchase-spill-kits-and-write-and-implement-sop-dealing-spills" TargetMode="External"/><Relationship Id="rId100" Type="http://schemas.openxmlformats.org/officeDocument/2006/relationships/hyperlink" Target="https://extranet.who.int/lqsi/content/make-sops-all-tests-performed-laboratory" TargetMode="External"/><Relationship Id="rId338" Type="http://schemas.openxmlformats.org/officeDocument/2006/relationships/hyperlink" Target="https://extranet.who.int/lqsi/es/content/redactar-un-manual-de-bioseguridad-y-asegurarse-de-que-todo-el-personal-lo-lee-y-lo-firma" TargetMode="External"/><Relationship Id="rId545" Type="http://schemas.openxmlformats.org/officeDocument/2006/relationships/hyperlink" Target="https://extranet.who.int/lqsi/content/make-fixed-format-result-reports" TargetMode="External"/><Relationship Id="rId752" Type="http://schemas.openxmlformats.org/officeDocument/2006/relationships/hyperlink" Target="https://extranet.who.int/lqsi/fr/content/formuler-les-objectifs-%C3%A0-long-terme-du-laboratoire" TargetMode="External"/><Relationship Id="rId1175" Type="http://schemas.openxmlformats.org/officeDocument/2006/relationships/hyperlink" Target="https://extranet.who.int/lqsi/fr/content/quand-il-sav%C3%A8re-quun-%C3%A9quipement-est-d%C3%A9fectueux-d%C3%A9terminer-et-corriger-leffet-n%C3%A9gatif" TargetMode="External"/><Relationship Id="rId184" Type="http://schemas.openxmlformats.org/officeDocument/2006/relationships/hyperlink" Target="https://extranet.who.int/lqsi/fr/content/%C3%A9tablir-un-descriptif-personnalis%C3%A9-de-poste-sp%C3%A9cifique-%C3%A0-chaque-membre-du-personnel" TargetMode="External"/><Relationship Id="rId391" Type="http://schemas.openxmlformats.org/officeDocument/2006/relationships/hyperlink" Target="https://extranet.who.int/lqsi/es/content/elaborar-una-descripci%C3%B3n-del-puesto-de-trabajo-personal-espec%C3%ADfica-para-cada-miembro-del" TargetMode="External"/><Relationship Id="rId405" Type="http://schemas.openxmlformats.org/officeDocument/2006/relationships/hyperlink" Target="https://extranet.who.int/lqsi/es/content/preparar-tarjetas-de-existencias-y-establecer-el-sistema-de-gesti%C3%B3n-del-inventario" TargetMode="External"/><Relationship Id="rId612" Type="http://schemas.openxmlformats.org/officeDocument/2006/relationships/hyperlink" Target="https://extranet.who.int/lqsi/content/arrange-and-monitor-adequate-storage-space-and-conditions-samples-documents-records" TargetMode="External"/><Relationship Id="rId1035" Type="http://schemas.openxmlformats.org/officeDocument/2006/relationships/hyperlink" Target="https://extranet.who.int/lqsi/es/content/elaborar-un-manual-de-calidad" TargetMode="External"/><Relationship Id="rId1242"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1"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9" Type="http://schemas.openxmlformats.org/officeDocument/2006/relationships/hyperlink" Target="https://extranet.who.int/lqsi/content/write-sop-explaining-system-used-identification-and-management-equipment" TargetMode="External"/><Relationship Id="rId696" Type="http://schemas.openxmlformats.org/officeDocument/2006/relationships/hyperlink" Target="https://extranet.who.int/lqsi/content/make-access-digital-data-laboratory-restricted-both-physically-and-virtually" TargetMode="External"/><Relationship Id="rId917"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2" Type="http://schemas.openxmlformats.org/officeDocument/2006/relationships/hyperlink" Target="https://extranet.who.int/lqsi/es/content/empezar-llevar-cabo-todas-las-auditor%C3%ADas-internas-y-escribir-informes-de-auditor%C3%ADa" TargetMode="External"/><Relationship Id="rId46" Type="http://schemas.openxmlformats.org/officeDocument/2006/relationships/hyperlink" Target="https://extranet.who.int/lqsi/content/start-organizing-regular-weekly-staff-meetings" TargetMode="External"/><Relationship Id="rId349" Type="http://schemas.openxmlformats.org/officeDocument/2006/relationships/hyperlink" Target="https://extranet.who.int/lqsi/es/content/adquirir-botiquines-de-primeros-auxilios-y-formar-un-grupo-de-miembros-del-personal-para-la" TargetMode="External"/><Relationship Id="rId556" Type="http://schemas.openxmlformats.org/officeDocument/2006/relationships/hyperlink" Target="https://extranet.who.int/lqsi/content/write-sop-recording-reporting-and-archiving-results" TargetMode="External"/><Relationship Id="rId763" Type="http://schemas.openxmlformats.org/officeDocument/2006/relationships/hyperlink" Target="https://extranet.who.int/lqsi/fr/content/planifier-lachat-dun-nouvel-%C3%A9quipement-et-le-co%C3%BBt-de-sa-maintenance-dans-le-budget-annuel" TargetMode="External"/><Relationship Id="rId1186" Type="http://schemas.openxmlformats.org/officeDocument/2006/relationships/hyperlink" Target="https://extranet.who.int/lqsi/content/make-sop-covering-various-support-activities-are-carried-out-such-cleaning-laboratory-and" TargetMode="External"/><Relationship Id="rId111" Type="http://schemas.openxmlformats.org/officeDocument/2006/relationships/hyperlink" Target="https://extranet.who.int/lqsi/fr/content/effectuer-une-%C3%A9valuation-des-b%C3%A2timents-et-de-la-s%C3%A9curit%C3%A9" TargetMode="External"/><Relationship Id="rId195" Type="http://schemas.openxmlformats.org/officeDocument/2006/relationships/hyperlink" Target="https://extranet.who.int/lqsi/fr/content/pr%C3%A9parer-des-fiches-de-stock-et-%C3%A9laborer-un-syst%C3%A8me-de-gestion-de-stock" TargetMode="External"/><Relationship Id="rId209"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6" Type="http://schemas.openxmlformats.org/officeDocument/2006/relationships/hyperlink" Target="https://extranet.who.int/lqsi/content/install-system-prevent-access-unauthorized-persons-laboratory" TargetMode="External"/><Relationship Id="rId970"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046" Type="http://schemas.openxmlformats.org/officeDocument/2006/relationships/hyperlink" Target="https://extranet.who.int/lqsi/es/content/desarrollar-un-plan-anual-de-calidad-para-el-pr%C3%B3ximo-a%C3%B1o-partir-de-las-conclusiones-de-la" TargetMode="External"/><Relationship Id="rId1253" Type="http://schemas.openxmlformats.org/officeDocument/2006/relationships/hyperlink" Target="https://extranet.who.int/lqsi/content/make-action-plan-following-report-external-audit-and-monitor-its-implementation" TargetMode="External"/><Relationship Id="rId623" Type="http://schemas.openxmlformats.org/officeDocument/2006/relationships/hyperlink" Target="https://extranet.who.int/lqsi/content/formulate-mission-laboratory" TargetMode="External"/><Relationship Id="rId830" Type="http://schemas.openxmlformats.org/officeDocument/2006/relationships/hyperlink" Target="https://extranet.who.int/lqsi/fr/content/mesurer-la-satisfaction-des-clients-du-laboratoire" TargetMode="External"/><Relationship Id="rId928"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57" Type="http://schemas.openxmlformats.org/officeDocument/2006/relationships/hyperlink" Target="https://extranet.who.int/lqsi/content/appoint-staff-member-who-responsible-monitoring-stocks-and-ordering-supplies-and-reagents" TargetMode="External"/><Relationship Id="rId262"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567" Type="http://schemas.openxmlformats.org/officeDocument/2006/relationships/hyperlink" Target="https://extranet.who.int/lqsi/content/make-document-control-log" TargetMode="External"/><Relationship Id="rId1113" Type="http://schemas.openxmlformats.org/officeDocument/2006/relationships/hyperlink" Target="https://extranet.who.int/lqsi/ru/content/%D0%BE%D0%B1%D0%BD%D0%BE%D0%B2%D0%B8%D1%82%D0%B5-%D0%BC%D0%B5%D1%82%D0%BE%D0%B4-%D0%BF%D1%80%D0%BE%D0%B2%D0%B5%D0%B4%D0%B5%D0%BD%D0%B8%D1%8F-%D0%B0%D0%BD%D0%B0%D0%BB%D0%B8%D0%B7%D0%B0-%D1%80%D1%83%D0%BA%D0%BE%D0%B2%D0%BE%D0%B4%D1%81%D1%82%D0%B2%D0%BE%D0%BC" TargetMode="External"/><Relationship Id="rId1197" Type="http://schemas.openxmlformats.org/officeDocument/2006/relationships/hyperlink" Target="https://extranet.who.int/lqsi/fr/content/surveiller-le-transport-des-%C3%A9chantillons" TargetMode="External"/><Relationship Id="rId1320"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122" Type="http://schemas.openxmlformats.org/officeDocument/2006/relationships/hyperlink" Target="https://extranet.who.int/lqsi/fr/content/r%C3%A9diger-et-mettre-en-%C5%93uvre-une-pos-pour-la-s%C3%A9paration-des-d%C3%A9chets-et-leur-%C3%A9limination" TargetMode="External"/><Relationship Id="rId774" Type="http://schemas.openxmlformats.org/officeDocument/2006/relationships/hyperlink" Target="https://extranet.who.int/lqsi/fr/content/transcrire-le-plan-annuel-qualit%C3%A9-en-actions-%C3%A0-mener-selon-la-m%C3%A9thode-smart" TargetMode="External"/><Relationship Id="rId981" Type="http://schemas.openxmlformats.org/officeDocument/2006/relationships/hyperlink" Target="https://extranet.who.int/lqsi/es/content/garantizar-la-disponibilidad-de-suficientes-miembros-del-personal-capacitados-para-prestar" TargetMode="External"/><Relationship Id="rId1057" Type="http://schemas.openxmlformats.org/officeDocument/2006/relationships/hyperlink" Target="https://extranet.who.int/lqsi/es/content/normalizar-el-m%C3%A9todo-para-escoger-proveedores-y-para-evaluar-los-contratos-de-compra-y" TargetMode="External"/><Relationship Id="rId427" Type="http://schemas.openxmlformats.org/officeDocument/2006/relationships/hyperlink" Target="https://extranet.who.int/lqsi/content/optimize-communication-channels-within-laboratory-building-appropriate-size-building" TargetMode="External"/><Relationship Id="rId634" Type="http://schemas.openxmlformats.org/officeDocument/2006/relationships/hyperlink" Target="https://extranet.who.int/lqsi/content/formulate-quality-policy" TargetMode="External"/><Relationship Id="rId841" Type="http://schemas.openxmlformats.org/officeDocument/2006/relationships/hyperlink" Target="https://extranet.who.int/lqsi/fr/content/organiser-la-formation-du-responsable-qualit%C3%A9-et-dautres-membres-du-personnel-en-tant" TargetMode="External"/><Relationship Id="rId1264" Type="http://schemas.openxmlformats.org/officeDocument/2006/relationships/hyperlink" Target="https://extranet.who.int/lqsi/es/content/crear-un-plan-de-acci%C3%B3n-tras-el-informe-de-la-auditor%C3%ADa-externa-y-realizar-un-seguimiento-de" TargetMode="External"/><Relationship Id="rId273" Type="http://schemas.openxmlformats.org/officeDocument/2006/relationships/hyperlink" Target="https://extranet.who.int/lqsi/ru/content/%D1%81%D0%BE%D0%B7%D0%B4%D0%B0%D0%B9%D1%82%D0%B5-%D0%BF%D1%80%D0%B8%D0%B2%D0%B5%D1%80%D0%B6%D0%B5%D0%BD%D0%BD%D0%BE%D1%81%D1%82%D1%8C-%D1%86%D0%B5%D0%BB%D0%B8-%D0%B4%D0%BE%D0%B1%D0%B8%D1%82%D1%8C%D1%81%D1%8F-%D0%B0%D0%BA%D0%BA%D1%80%D0%B5%D0%B4%D0%B8%D1%82%D0%B0%D1%86%D0%B8%D0%B8-1" TargetMode="External"/><Relationship Id="rId480" Type="http://schemas.openxmlformats.org/officeDocument/2006/relationships/hyperlink" Target="https://extranet.who.int/lqsi/content/determine-which-staff-members-are-authorized-and-which-are-responsible-use-each-piece" TargetMode="External"/><Relationship Id="rId701" Type="http://schemas.openxmlformats.org/officeDocument/2006/relationships/hyperlink" Target="https://extranet.who.int/lqsi/content/write-sop-information-management" TargetMode="External"/><Relationship Id="rId939"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4" Type="http://schemas.openxmlformats.org/officeDocument/2006/relationships/hyperlink" Target="https://extranet.who.int/lqsi/content/establish-continuous-education-programme" TargetMode="External"/><Relationship Id="rId68" Type="http://schemas.openxmlformats.org/officeDocument/2006/relationships/hyperlink" Target="https://extranet.who.int/lqsi/content/provide-biosafety-officer-biosafety-training-so-heshe-capable-fully-perform-hisher-job-tasks" TargetMode="External"/><Relationship Id="rId133" Type="http://schemas.openxmlformats.org/officeDocument/2006/relationships/hyperlink" Target="https://extranet.who.int/lqsi/fr/content/organiser-un-nettoyage-standardis%C3%A9-r%C3%A9gulier-du-laboratoire" TargetMode="External"/><Relationship Id="rId340" Type="http://schemas.openxmlformats.org/officeDocument/2006/relationships/hyperlink" Target="https://extranet.who.int/lqsi/es/content/redactar-un-manual-de-bioseguridad-y-asegurarse-de-que-todo-el-personal-lo-lee-y-lo-firma" TargetMode="External"/><Relationship Id="rId578" Type="http://schemas.openxmlformats.org/officeDocument/2006/relationships/hyperlink" Target="https://extranet.who.int/lqsi/content/write-sop-document-control-including-document-retention-list" TargetMode="External"/><Relationship Id="rId785" Type="http://schemas.openxmlformats.org/officeDocument/2006/relationships/hyperlink" Target="https://extranet.who.int/lqsi/fr/content/%C3%A9laborer-un-plan-annuel-qualit%C3%A9-pour-lann%C3%A9e-suivante-sur-la-base-des-conclusions-de-la-revue" TargetMode="External"/><Relationship Id="rId992" Type="http://schemas.openxmlformats.org/officeDocument/2006/relationships/hyperlink" Target="https://extranet.who.int/lqsi/es/content/crear-una-instalaci%C3%B3n-de-obtenci%C3%B3n-de-muestras-primarias-separada-del-laboratorio" TargetMode="External"/><Relationship Id="rId200" Type="http://schemas.openxmlformats.org/officeDocument/2006/relationships/hyperlink" Target="https://extranet.who.int/lqsi/fr/content/%C3%A9laborer-un-formulaire-de-demande-dexamen-de-laboratoire" TargetMode="External"/><Relationship Id="rId438" Type="http://schemas.openxmlformats.org/officeDocument/2006/relationships/hyperlink" Target="https://extranet.who.int/lqsi/content/appoint-quality-officer" TargetMode="External"/><Relationship Id="rId645" Type="http://schemas.openxmlformats.org/officeDocument/2006/relationships/hyperlink" Target="https://extranet.who.int/lqsi/content/formulate-first-quality-year-plan" TargetMode="External"/><Relationship Id="rId852"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068" Type="http://schemas.openxmlformats.org/officeDocument/2006/relationships/hyperlink" Target="https://extranet.who.int/lqsi/es/content/determinar-el-plazo-de-entrega-de-cada-an%C3%A1lisis-que-se-realice-en-el-laboratorio" TargetMode="External"/><Relationship Id="rId1275" Type="http://schemas.openxmlformats.org/officeDocument/2006/relationships/hyperlink" Target="https://extranet.who.int/lqsi/content/identify-potential-emergencies-could-take-place-and-around-laboratory-and-could-affect-need" TargetMode="External"/><Relationship Id="rId284"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491" Type="http://schemas.openxmlformats.org/officeDocument/2006/relationships/hyperlink" Target="https://extranet.who.int/lqsi/content/prepare-bench-aids-each-piece-equipment-including-daily-maintenance-instructions" TargetMode="External"/><Relationship Id="rId505" Type="http://schemas.openxmlformats.org/officeDocument/2006/relationships/hyperlink" Target="https://extranet.who.int/lqsi/content/start-performing-acceptance-tests-upon-delivery-new-supplies" TargetMode="External"/><Relationship Id="rId712" Type="http://schemas.openxmlformats.org/officeDocument/2006/relationships/hyperlink" Target="https://extranet.who.int/lqsi/content/arrange-quality-officer-and-other-staff-members-are-trained-internal-auditors" TargetMode="External"/><Relationship Id="rId1135" Type="http://schemas.openxmlformats.org/officeDocument/2006/relationships/hyperlink" Target="https://extranet.who.int/lqsi/fr/content/mettre-en-place-un-programme-de-formation-continue" TargetMode="External"/><Relationship Id="rId79" Type="http://schemas.openxmlformats.org/officeDocument/2006/relationships/hyperlink" Target="https://extranet.who.int/lqsi/content/make-personal-job-description-specific-each-staff-member" TargetMode="External"/><Relationship Id="rId144" Type="http://schemas.openxmlformats.org/officeDocument/2006/relationships/hyperlink" Target="https://extranet.who.int/lqsi/fr/content/constituer-une-%C3%A9quipe-de-projet-qualit%C3%A9-le-chef-de-cette-%C3%A9quipe-sera-d%C3%A9sign%C3%A9-point-focal" TargetMode="External"/><Relationship Id="rId589" Type="http://schemas.openxmlformats.org/officeDocument/2006/relationships/hyperlink" Target="https://extranet.who.int/lqsi/content/participate-proficiency-testing-scheme-each-examination-performed-laboratory" TargetMode="External"/><Relationship Id="rId796" Type="http://schemas.openxmlformats.org/officeDocument/2006/relationships/hyperlink" Target="https://extranet.who.int/lqsi/fr/content/effectuer-une-analyse-financi%C3%A8re-des-ressources-n%C3%A9cessaires-pour-garantir-la-qualit%C3%A9-au" TargetMode="External"/><Relationship Id="rId1202" Type="http://schemas.openxmlformats.org/officeDocument/2006/relationships/hyperlink" Target="https://extranet.who.int/lqsi/fr/content/identifier-et-commencer-%C3%A0-suivre-les-param%C3%A8tres-critiques-indicateurs-de-qualit%C3%A9" TargetMode="External"/><Relationship Id="rId351" Type="http://schemas.openxmlformats.org/officeDocument/2006/relationships/hyperlink" Target="https://extranet.who.int/lqsi/es/content/crear-un-equipo-del-proyecto-de-calidad-al-coordinador-de-este-equipo-se-le-designar%C3%A1-como" TargetMode="External"/><Relationship Id="rId449" Type="http://schemas.openxmlformats.org/officeDocument/2006/relationships/hyperlink" Target="https://extranet.who.int/lqsi/content/ensure-laboratory-legally-identifiable-and-recognized-national-or-regional-if-applicable" TargetMode="External"/><Relationship Id="rId656" Type="http://schemas.openxmlformats.org/officeDocument/2006/relationships/hyperlink" Target="https://extranet.who.int/lqsi/content/perform-management-review-end-quality-year" TargetMode="External"/><Relationship Id="rId863"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79" Type="http://schemas.openxmlformats.org/officeDocument/2006/relationships/hyperlink" Target="https://extranet.who.int/lqsi/es/content/establecer-un-archivo-para-asegurar-la-protecci%C3%B3n-de-la-informaci%C3%B3n-del-laboratorio-pero-que" TargetMode="External"/><Relationship Id="rId1286" Type="http://schemas.openxmlformats.org/officeDocument/2006/relationships/hyperlink" Target="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TargetMode="External"/><Relationship Id="rId211"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95"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309" Type="http://schemas.openxmlformats.org/officeDocument/2006/relationships/hyperlink" Target="https://extranet.who.int/lqsi/ru/content/%D0%BF%D0%BE%D0%B4%D0%B3%D0%BE%D1%82%D0%BE%D0%B2%D1%8C%D1%82%D0%B5-%C2%AB%D0%BE%D0%B1%D1%80%D0%B0%D0%B7%D0%B5%D1%86-%D1%81%D0%BE%D0%BF%C2%BB" TargetMode="External"/><Relationship Id="rId516" Type="http://schemas.openxmlformats.org/officeDocument/2006/relationships/hyperlink" Target="https://extranet.who.int/lqsi/content/store-supplies-appropriately" TargetMode="External"/><Relationship Id="rId1146"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723" Type="http://schemas.openxmlformats.org/officeDocument/2006/relationships/hyperlink" Target="https://extranet.who.int/lqsi/fr/content/veiller-%C3%A0-ce-quun-nombre-suffisant-de-membres-du-personnel-poss%C3%A8dent-une-formation-de" TargetMode="External"/><Relationship Id="rId930"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006" Type="http://schemas.openxmlformats.org/officeDocument/2006/relationships/hyperlink" Target="https://extranet.who.int/lqsi/es/content/formular-la-misi%C3%B3n-del-laboratorio" TargetMode="External"/><Relationship Id="rId155" Type="http://schemas.openxmlformats.org/officeDocument/2006/relationships/hyperlink" Target="https://extranet.who.int/lqsi/fr/content/d%C3%A9signer-un-responsable-de-la-s%C3%A9curit%C3%A9-biologique" TargetMode="External"/><Relationship Id="rId362" Type="http://schemas.openxmlformats.org/officeDocument/2006/relationships/hyperlink" Target="https://extranet.who.int/lqsi/es/content/designar-un-encargado-de-bioseguridad" TargetMode="External"/><Relationship Id="rId1213"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97" Type="http://schemas.openxmlformats.org/officeDocument/2006/relationships/hyperlink" Target="https://extranet.who.int/lqsi/es/content/redactar-un-poe-de-gesti%C3%B3n-de-reclamaciones-y-empezar-realizar-un-seguimiento-de-las" TargetMode="External"/><Relationship Id="rId222"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667" Type="http://schemas.openxmlformats.org/officeDocument/2006/relationships/hyperlink" Target="https://extranet.who.int/lqsi/content/create-personnel-replacement-matrix" TargetMode="External"/><Relationship Id="rId874"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7" Type="http://schemas.openxmlformats.org/officeDocument/2006/relationships/hyperlink" Target="https://extranet.who.int/lqsi/content/write-and-implement-sop-waste-segregation-and-disposal" TargetMode="External"/><Relationship Id="rId527" Type="http://schemas.openxmlformats.org/officeDocument/2006/relationships/hyperlink" Target="https://extranet.who.int/lqsi/content/develop-sop-sample-reception-and-processing-and-start-registering-all-samples-received" TargetMode="External"/><Relationship Id="rId734" Type="http://schemas.openxmlformats.org/officeDocument/2006/relationships/hyperlink" Target="https://extranet.who.int/lqsi/fr/content/am%C3%A9nager-un-local-destin%C3%A9-au-pr%C3%A9l%C3%A8vement-d%C3%A9chantillons-primaires-s%C3%A9par%C3%A9-du-laboratoire" TargetMode="External"/><Relationship Id="rId941"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157" Type="http://schemas.openxmlformats.org/officeDocument/2006/relationships/hyperlink" Target="https://extranet.who.int/lqsi/es/content/crear-un-procedimiento-para-la-contrataci%C3%B3n-de-nuevo-personal-permanente-o-temporal-y-para" TargetMode="External"/><Relationship Id="rId70" Type="http://schemas.openxmlformats.org/officeDocument/2006/relationships/hyperlink" Target="https://extranet.who.int/lqsi/content/make-authorization-matrix" TargetMode="External"/><Relationship Id="rId166" Type="http://schemas.openxmlformats.org/officeDocument/2006/relationships/hyperlink" Target="https://extranet.who.int/lqsi/fr/content/r%C3%A9aliser-des-organigrammes" TargetMode="External"/><Relationship Id="rId373" Type="http://schemas.openxmlformats.org/officeDocument/2006/relationships/hyperlink" Target="https://extranet.who.int/lqsi/es/content/crear-organigramas" TargetMode="External"/><Relationship Id="rId580" Type="http://schemas.openxmlformats.org/officeDocument/2006/relationships/hyperlink" Target="https://extranet.who.int/lqsi/content/make-inventory-clients-your-laboratory-services" TargetMode="External"/><Relationship Id="rId801" Type="http://schemas.openxmlformats.org/officeDocument/2006/relationships/hyperlink" Target="https://extranet.who.int/lqsi/fr/content/standardiser-la-m%C3%A9thode-permettant-de-choisir-les-fournisseurs-et-d%C3%A9valuer-les-contrats" TargetMode="External"/><Relationship Id="rId1017" Type="http://schemas.openxmlformats.org/officeDocument/2006/relationships/hyperlink" Target="https://extranet.who.int/lqsi/es/content/formular-la-pol%C3%ADtica-de-la-calidad" TargetMode="External"/><Relationship Id="rId1224" Type="http://schemas.openxmlformats.org/officeDocument/2006/relationships/hyperlink" Target="https://extranet.who.int/lqsi/es/content/identificar-y-empezar-realizar-el-seguimiento-de-los-par%C3%A1metros-cr%C3%ADticos-indicadores-de" TargetMode="External"/><Relationship Id="rId1" Type="http://schemas.openxmlformats.org/officeDocument/2006/relationships/hyperlink" Target="https://extranet.who.int/lqsi/content/train-staff-recognize-symptoms-laboratory-associated-infections-and-facilitate-access" TargetMode="External"/><Relationship Id="rId233"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0" Type="http://schemas.openxmlformats.org/officeDocument/2006/relationships/hyperlink" Target="https://extranet.who.int/lqsi/content/appoint-quality-officer" TargetMode="External"/><Relationship Id="rId678" Type="http://schemas.openxmlformats.org/officeDocument/2006/relationships/hyperlink" Target="https://extranet.who.int/lqsi/content/determine-turnaround-time-each-examination-performed-laboratory" TargetMode="External"/><Relationship Id="rId885"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0" Type="http://schemas.openxmlformats.org/officeDocument/2006/relationships/hyperlink" Target="https://extranet.who.int/lqsi/es/content/realizar-el-seguimiento-del-cumplimiento-de-los-plazos-de-entrega-determinados-para-cada" TargetMode="External"/><Relationship Id="rId28" Type="http://schemas.openxmlformats.org/officeDocument/2006/relationships/hyperlink" Target="https://extranet.who.int/lqsi/content/write-biosafety-manual-and-make-sure-it-read-and-signed-all-staff" TargetMode="External"/><Relationship Id="rId300"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538" Type="http://schemas.openxmlformats.org/officeDocument/2006/relationships/hyperlink" Target="https://extranet.who.int/lqsi/content/monitor-and-investigate-failure-internal-controls-and-improve-accordingly" TargetMode="External"/><Relationship Id="rId745" Type="http://schemas.openxmlformats.org/officeDocument/2006/relationships/hyperlink" Target="https://extranet.who.int/lqsi/fr/content/dresser-une-liste-de-dur%C3%A9es-de-stockagearchivage-de-diff%C3%A9rents-%C3%A9l%C3%A9ments" TargetMode="External"/><Relationship Id="rId952"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68" Type="http://schemas.openxmlformats.org/officeDocument/2006/relationships/hyperlink" Target="https://extranet.who.int/lqsi/content/validate-all-pieces-equipment-used-examination-laboratory-including-software-systems" TargetMode="External"/><Relationship Id="rId81" Type="http://schemas.openxmlformats.org/officeDocument/2006/relationships/hyperlink" Target="https://extranet.who.int/lqsi/content/ensure-adequately-qualified-staff" TargetMode="External"/><Relationship Id="rId177" Type="http://schemas.openxmlformats.org/officeDocument/2006/relationships/hyperlink" Target="https://extranet.who.int/lqsi/fr/content/faire-une-grille-dautorisation" TargetMode="External"/><Relationship Id="rId384" Type="http://schemas.openxmlformats.org/officeDocument/2006/relationships/hyperlink" Target="https://extranet.who.int/lqsi/es/content/crear-una-matriz-de-autorizaci%C3%B3n" TargetMode="External"/><Relationship Id="rId591" Type="http://schemas.openxmlformats.org/officeDocument/2006/relationships/hyperlink" Target="https://extranet.who.int/lqsi/content/participate-proficiency-testing-scheme-each-examination-performed-laboratory" TargetMode="External"/><Relationship Id="rId605" Type="http://schemas.openxmlformats.org/officeDocument/2006/relationships/hyperlink" Target="https://extranet.who.int/lqsi/content/when-laboratory-works-pathogens-requiring-biosafety-level-bsl-iii-facility-create-negative" TargetMode="External"/><Relationship Id="rId812" Type="http://schemas.openxmlformats.org/officeDocument/2006/relationships/hyperlink" Target="https://extranet.who.int/lqsi/fr/content/surveiller-les-temps-dobtention-des-r%C3%A9sultats-de-chaque-examen" TargetMode="External"/><Relationship Id="rId1028" Type="http://schemas.openxmlformats.org/officeDocument/2006/relationships/hyperlink" Target="https://extranet.who.int/lqsi/es/content/formular-el-primer-plan-anual-de-calidad" TargetMode="External"/><Relationship Id="rId1235" Type="http://schemas.openxmlformats.org/officeDocument/2006/relationships/hyperlink" Target="https://extranet.who.int/lqsi/fr/content/participer-aux-sessions-cliniques%C3%A0-des-discussions-r%C3%A9guli%C3%A8rement-organis%C3%A9es-avec-le" TargetMode="External"/><Relationship Id="rId244"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689" Type="http://schemas.openxmlformats.org/officeDocument/2006/relationships/hyperlink" Target="https://extranet.who.int/lqsi/content/validate-all-examination-procedures-performed-laboratory" TargetMode="External"/><Relationship Id="rId896"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1" Type="http://schemas.openxmlformats.org/officeDocument/2006/relationships/hyperlink" Target="https://extranet.who.int/lqsi/es/content/restringir-el-acceso-los-datos-digitales-del-laboratorio-tanto-f%C3%ADsicos-como-virtuales" TargetMode="External"/><Relationship Id="rId1302" Type="http://schemas.openxmlformats.org/officeDocument/2006/relationships/hyperlink" Target="https://extranet.who.int/lqsi/es/content/identificar-posibles-emergencias-que-se-puedan-producir-en-el-laboratorio-y-sus-alrededores" TargetMode="External"/><Relationship Id="rId39" Type="http://schemas.openxmlformats.org/officeDocument/2006/relationships/hyperlink" Target="https://extranet.who.int/lqsi/content/appoint-quality-project-team-chair-team-appointed-quality-focal-point" TargetMode="External"/><Relationship Id="rId451" Type="http://schemas.openxmlformats.org/officeDocument/2006/relationships/hyperlink" Target="https://extranet.who.int/lqsi/content/phase-1-organizational-chart-laboratory-was-developed-revise-situation-created-phase-2" TargetMode="External"/><Relationship Id="rId549" Type="http://schemas.openxmlformats.org/officeDocument/2006/relationships/hyperlink" Target="https://extranet.who.int/lqsi/content/establish-system-immediate-notification-requester-samples-marked-urgent-and-results-fall" TargetMode="External"/><Relationship Id="rId756" Type="http://schemas.openxmlformats.org/officeDocument/2006/relationships/hyperlink" Target="https://extranet.who.int/lqsi/fr/content/formuler-la-politique-de-la-qualit%C3%A9" TargetMode="External"/><Relationship Id="rId1179"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104" Type="http://schemas.openxmlformats.org/officeDocument/2006/relationships/hyperlink" Target="https://extranet.who.int/lqsi/fr/content/former-le-personnel-afin-quil-puisse-reconna%C3%AEtre-les-sympt%C3%B4mes-dinfections-pouvant-%C3%AAtre" TargetMode="External"/><Relationship Id="rId188" Type="http://schemas.openxmlformats.org/officeDocument/2006/relationships/hyperlink" Target="https://extranet.who.int/lqsi/fr/content/cr%C3%A9er-un-registre-de-l%C3%A9quipement-et-v%C3%A9rifier-le-bon-fonctionnement-de-l%C3%A9quipement" TargetMode="External"/><Relationship Id="rId311" Type="http://schemas.openxmlformats.org/officeDocument/2006/relationships/hyperlink" Target="https://extranet.who.int/lqsi/ru/content/%D0%BF%D1%80%D0%BE%D0%B2%D0%B5%D0%B4%D0%B8%D1%82%D0%B5-%D0%BE%D1%86%D0%B5%D0%BD%D0%BA%D1%83-%D0%BD%D1%8B%D0%BD%D0%B5%D1%88%D0%BD%D0%B5%D0%B3%D0%BE-%D1%81%D0%BE%D1%81%D1%82%D0%BE%D1%8F%D0%BD%D0%B8%D1%8F-%D0%BB%D0%B0%D0%B1%D0%BE%D1%80%D0%B0%D1%82%D0%BE%D1%80%D0%B8%D0%B8" TargetMode="External"/><Relationship Id="rId395" Type="http://schemas.openxmlformats.org/officeDocument/2006/relationships/hyperlink" Target="https://extranet.who.int/lqsi/es/content/crear-un-registro-de-equipos-y-comprobar-el-adecuado-funcionamiento-de-los-equipos" TargetMode="External"/><Relationship Id="rId409" Type="http://schemas.openxmlformats.org/officeDocument/2006/relationships/hyperlink" Target="https://extranet.who.int/lqsi/es/content/elaborar-una-lista-con-todas-las-pruebas-realizadas-en-el-laboratorio" TargetMode="External"/><Relationship Id="rId963"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039" Type="http://schemas.openxmlformats.org/officeDocument/2006/relationships/hyperlink" Target="https://extranet.who.int/lqsi/es/content/realizar-una-revisi%C3%B3n-por-parte-de-la-direcci%C3%B3n-al-final-del-a%C3%B1o-de-calidad" TargetMode="External"/><Relationship Id="rId1246" Type="http://schemas.openxmlformats.org/officeDocument/2006/relationships/hyperlink" Target="https://extranet.who.int/lqsi/es/content/participar-en-rondas-cl%C3%ADnicas-y-programar-debates-peri%C3%B3dicos-con-personal-cl%C3%ADnico-para" TargetMode="External"/><Relationship Id="rId92" Type="http://schemas.openxmlformats.org/officeDocument/2006/relationships/hyperlink" Target="https://extranet.who.int/lqsi/content/prepare-stock-cards-and-set-inventory-management-system" TargetMode="External"/><Relationship Id="rId616" Type="http://schemas.openxmlformats.org/officeDocument/2006/relationships/hyperlink" Target="https://extranet.who.int/lqsi/content/arrange-and-monitor-adequate-storage-space-and-conditions-samples-documents-records" TargetMode="External"/><Relationship Id="rId823" Type="http://schemas.openxmlformats.org/officeDocument/2006/relationships/hyperlink" Target="https://extranet.who.int/lqsi/fr/content/restreindre-lacc%C3%A8s-aux-donn%C3%A9es-informatis%C3%A9es-du-laboratoire-acc%C3%A8s-physique-et-virtuel" TargetMode="External"/><Relationship Id="rId255"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462" Type="http://schemas.openxmlformats.org/officeDocument/2006/relationships/hyperlink" Target="https://extranet.who.int/lqsi/content/develop-appropriate-documented-induction-program-new-personnel" TargetMode="External"/><Relationship Id="rId1092" Type="http://schemas.openxmlformats.org/officeDocument/2006/relationships/hyperlink" Target="https://extranet.who.int/lqsi/es/content/normalizar-el-m%C3%A9todo-de-elaboraci%C3%B3n-revisi%C3%B3n-y-evaluaci%C3%B3n-de-un-contrato-de-prestaci%C3%B3n-de" TargetMode="External"/><Relationship Id="rId1106" Type="http://schemas.openxmlformats.org/officeDocument/2006/relationships/hyperlink" Target="https://extranet.who.int/lqsi/es/content/formular-un-plan-de-acci%C3%B3n-partir-del-informe-de-la-auditor%C3%ADa-y-realizar-el-seguimiento-de" TargetMode="External"/><Relationship Id="rId1313" Type="http://schemas.openxmlformats.org/officeDocument/2006/relationships/hyperlink" Target="https://extranet.who.int/lqsi/fr/content/%C3%A9valuer-lefficacit%C3%A9-des-actions-pr%C3%A9ventives-des-%C3%A9tapes-de-contr%C3%B4le-et-des-actions" TargetMode="External"/><Relationship Id="rId115" Type="http://schemas.openxmlformats.org/officeDocument/2006/relationships/hyperlink" Target="https://extranet.who.int/lqsi/fr/content/r%C3%A9diger-et-mettre-en-%C5%93uvre-une-pos-pour-la-s%C3%A9paration-des-d%C3%A9chets-et-leur-%C3%A9limination" TargetMode="External"/><Relationship Id="rId322" Type="http://schemas.openxmlformats.org/officeDocument/2006/relationships/hyperlink" Target="https://extranet.who.int/lqsi/es/content/redactar-e-implementar-un-poe-de-separaci%C3%B3n-y-eliminaci%C3%B3n-de-residuos" TargetMode="External"/><Relationship Id="rId767" Type="http://schemas.openxmlformats.org/officeDocument/2006/relationships/hyperlink" Target="https://extranet.who.int/lqsi/fr/content/formuler-le-premier-plan-annuel-qualit%C3%A9" TargetMode="External"/><Relationship Id="rId974"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99" Type="http://schemas.openxmlformats.org/officeDocument/2006/relationships/hyperlink" Target="https://extranet.who.int/lqsi/fr/content/%C3%A9laborer-un-formulaire-de-demande-dexamen-de-laboratoire" TargetMode="External"/><Relationship Id="rId627" Type="http://schemas.openxmlformats.org/officeDocument/2006/relationships/hyperlink" Target="https://extranet.who.int/lqsi/content/formulate-long-term-goals-laboratory" TargetMode="External"/><Relationship Id="rId834" Type="http://schemas.openxmlformats.org/officeDocument/2006/relationships/hyperlink" Target="https://extranet.who.int/lqsi/fr/content/standardiser-la-m%C3%A9thode-destin%C3%A9e-%C3%A0-%C3%A9tablir-r%C3%A9viser-et-%C3%A9valuer-un-contrat-de-prestation-de" TargetMode="External"/><Relationship Id="rId1257" Type="http://schemas.openxmlformats.org/officeDocument/2006/relationships/hyperlink" Target="https://extranet.who.int/lqsi/fr/content/%C3%A9tablir-un-plan-daction-suite-au-rapport-daudit-externe-et-suivre-sa-mise-en-%C5%93uvre" TargetMode="External"/><Relationship Id="rId266"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3" Type="http://schemas.openxmlformats.org/officeDocument/2006/relationships/hyperlink" Target="https://extranet.who.int/lqsi/content/write-sop-procurement-and-reception-equipment" TargetMode="External"/><Relationship Id="rId680" Type="http://schemas.openxmlformats.org/officeDocument/2006/relationships/hyperlink" Target="https://extranet.who.int/lqsi/content/determine-turnaround-time-each-examination-performed-laboratory" TargetMode="External"/><Relationship Id="rId901"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1117" Type="http://schemas.openxmlformats.org/officeDocument/2006/relationships/hyperlink" Target="https://extranet.who.int/lqsi/content/create-procedure-hiring-new-staff-hiring-temporary-staff-and-having-guests" TargetMode="External"/><Relationship Id="rId1324" Type="http://schemas.openxmlformats.org/officeDocument/2006/relationships/hyperlink" Target="https://extranet.who.int/lqsi/es/content/evaluar-la-eficacia-de-las-acciones-preventivas-pasos-de-control-y-acciones-correctivas-que" TargetMode="External"/><Relationship Id="rId30" Type="http://schemas.openxmlformats.org/officeDocument/2006/relationships/hyperlink" Target="https://extranet.who.int/lqsi/content/arrange-standardized-regular-cleaning-laboratory" TargetMode="External"/><Relationship Id="rId126" Type="http://schemas.openxmlformats.org/officeDocument/2006/relationships/hyperlink" Target="https://extranet.who.int/lqsi/fr/content/r%C3%A9diger-un-manuel-de-s%C3%A9curit%C3%A9-biologique-et-sassurer-que-tout-le-personnel-la-lu-et-sign%C3%A9" TargetMode="External"/><Relationship Id="rId333" Type="http://schemas.openxmlformats.org/officeDocument/2006/relationships/hyperlink" Target="https://extranet.who.int/lqsi/es/content/redactar-un-manual-de-bioseguridad-y-asegurarse-de-que-todo-el-personal-lo-lee-y-lo-firma" TargetMode="External"/><Relationship Id="rId540" Type="http://schemas.openxmlformats.org/officeDocument/2006/relationships/hyperlink" Target="https://extranet.who.int/lqsi/content/define-which-sops-are-necessary-based-process-flowcharts-made-earlier-phase" TargetMode="External"/><Relationship Id="rId778" Type="http://schemas.openxmlformats.org/officeDocument/2006/relationships/hyperlink" Target="https://extranet.who.int/lqsi/fr/content/%C3%A9laborer-un-manuel-de-la-qualit%C3%A9" TargetMode="External"/><Relationship Id="rId985" Type="http://schemas.openxmlformats.org/officeDocument/2006/relationships/hyperlink" Target="https://extranet.who.int/lqsi/es/content/crear-un-laboratorio-de-presi%C3%B3n-negativa-cuando-el-laboratorio-trabaje-con-agentes-pat%C3%B3genos" TargetMode="External"/><Relationship Id="rId1170" Type="http://schemas.openxmlformats.org/officeDocument/2006/relationships/hyperlink" Target="https://extranet.who.int/lqsi/content/when-equipment-appears-be-defective-determine-and-correct-potential-negative-influence" TargetMode="External"/><Relationship Id="rId638" Type="http://schemas.openxmlformats.org/officeDocument/2006/relationships/hyperlink" Target="https://extranet.who.int/lqsi/content/plan-purchasing-new-equipment-and-equipment-maintenance-annual-budget-planning" TargetMode="External"/><Relationship Id="rId845" Type="http://schemas.openxmlformats.org/officeDocument/2006/relationships/hyperlink" Target="https://extranet.who.int/lqsi/fr/content/commencer-%C3%A0-effectuer-tous-les-audits-internes-et-r%C3%A9diger-des-rapports-daudit" TargetMode="External"/><Relationship Id="rId1030" Type="http://schemas.openxmlformats.org/officeDocument/2006/relationships/hyperlink" Target="https://extranet.who.int/lqsi/es/content/traducir-el-plan-anual-de-calidad-en-un-plan-de-acci%C3%B3n-smart" TargetMode="External"/><Relationship Id="rId1268" Type="http://schemas.openxmlformats.org/officeDocument/2006/relationships/hyperlink" Target="https://extranet.who.int/lqsi/content/write-sop-handling-complaints-and-start-follow-complaints-standardized-way" TargetMode="External"/><Relationship Id="rId277"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00" Type="http://schemas.openxmlformats.org/officeDocument/2006/relationships/hyperlink" Target="https://extranet.who.int/lqsi/es/content/redactar-procedimientos-para-operar-los-equipos" TargetMode="External"/><Relationship Id="rId484" Type="http://schemas.openxmlformats.org/officeDocument/2006/relationships/hyperlink" Target="https://extranet.who.int/lqsi/content/develop-maintenance-and-usage-log-sheetslogbooks-each-piece-equipment" TargetMode="External"/><Relationship Id="rId705" Type="http://schemas.openxmlformats.org/officeDocument/2006/relationships/hyperlink" Target="https://extranet.who.int/lqsi/content/standardize-method-developing-reviewing-and-evaluating-contract-service-delivery" TargetMode="External"/><Relationship Id="rId1128" Type="http://schemas.openxmlformats.org/officeDocument/2006/relationships/hyperlink" Target="https://extranet.who.int/lqsi/fr/content/d%C3%A9terminer-si-les-membres-du-personnel-sont-en-nombre-suffisant-pour-assurer-la-continuit%C3%A9" TargetMode="External"/><Relationship Id="rId137" Type="http://schemas.openxmlformats.org/officeDocument/2006/relationships/hyperlink" Target="https://extranet.who.int/lqsi/fr/content/organiser-un-nettoyage-standardis%C3%A9-r%C3%A9gulier-du-laboratoire" TargetMode="External"/><Relationship Id="rId344" Type="http://schemas.openxmlformats.org/officeDocument/2006/relationships/hyperlink" Target="https://extranet.who.int/lqsi/es/content/organizar-la-limpieza-peri%C3%B3dica-y-normalizada-del-laboratorio" TargetMode="External"/><Relationship Id="rId691" Type="http://schemas.openxmlformats.org/officeDocument/2006/relationships/hyperlink" Target="https://extranet.who.int/lqsi/content/establish-archive-ensuring-protection-laboratory-information-also-enables-quick-retrieval" TargetMode="External"/><Relationship Id="rId789" Type="http://schemas.openxmlformats.org/officeDocument/2006/relationships/hyperlink" Target="https://extranet.who.int/lqsi/fr/content/standardiser-et-d%C3%A9crire-le-cycle-d%C3%A9laboration-de-politiques-dans-des-pos" TargetMode="External"/><Relationship Id="rId912"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96" Type="http://schemas.openxmlformats.org/officeDocument/2006/relationships/hyperlink" Target="https://extranet.who.int/lqsi/es/content/disponer-un-espacio-de-almacenamiento-adecuado-y-unas-condiciones-correctas-para-las" TargetMode="External"/><Relationship Id="rId41" Type="http://schemas.openxmlformats.org/officeDocument/2006/relationships/hyperlink" Target="https://extranet.who.int/lqsi/content/appoint-quality-project-team-chair-team-appointed-quality-focal-point" TargetMode="External"/><Relationship Id="rId551" Type="http://schemas.openxmlformats.org/officeDocument/2006/relationships/hyperlink" Target="https://extranet.who.int/lqsi/content/discuss-clients-laboratory-best-method-assure-result-reports-are-always-received-requester" TargetMode="External"/><Relationship Id="rId649" Type="http://schemas.openxmlformats.org/officeDocument/2006/relationships/hyperlink" Target="https://extranet.who.int/lqsi/content/translate-quality-year-plan-smart-action-plan" TargetMode="External"/><Relationship Id="rId856"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181" Type="http://schemas.openxmlformats.org/officeDocument/2006/relationships/hyperlink" Target="https://extranet.who.int/lqsi/es/content/validar-todas-las-partes-de-los-equipos-que-se-utilizan-para-los-an%C3%A1lisis-del-laboratorio" TargetMode="External"/><Relationship Id="rId1279" Type="http://schemas.openxmlformats.org/officeDocument/2006/relationships/hyperlink" Target="https://extranet.who.int/lqsi/fr/content/r%C3%A9diger-une-pos-relative-au-traitement-des-plaintes-et-initier-le-suivi-des-plaintes-dune" TargetMode="External"/><Relationship Id="rId190" Type="http://schemas.openxmlformats.org/officeDocument/2006/relationships/hyperlink" Target="https://extranet.who.int/lqsi/fr/content/cr%C3%A9er-un-registre-de-l%C3%A9quipement-et-v%C3%A9rifier-le-bon-fonctionnement-de-l%C3%A9quipement" TargetMode="External"/><Relationship Id="rId204" Type="http://schemas.openxmlformats.org/officeDocument/2006/relationships/hyperlink" Target="https://extranet.who.int/lqsi/fr/content/faire-des-pos-pour-tous-les-examens-r%C3%A9alis%C3%A9s-par-le-laboratoire" TargetMode="External"/><Relationship Id="rId288"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1" Type="http://schemas.openxmlformats.org/officeDocument/2006/relationships/hyperlink" Target="https://extranet.who.int/lqsi/es/content/redactar-poe-para-todas-las-pruebas-que-se-realizan-en-el-laboratorio" TargetMode="External"/><Relationship Id="rId509" Type="http://schemas.openxmlformats.org/officeDocument/2006/relationships/hyperlink" Target="https://extranet.who.int/lqsi/content/store-supplies-appropriately" TargetMode="External"/><Relationship Id="rId1041" Type="http://schemas.openxmlformats.org/officeDocument/2006/relationships/hyperlink" Target="https://extranet.who.int/lqsi/es/content/realizar-una-revisi%C3%B3n-por-parte-de-la-direcci%C3%B3n-al-final-del-a%C3%B1o-de-calidad" TargetMode="External"/><Relationship Id="rId1139" Type="http://schemas.openxmlformats.org/officeDocument/2006/relationships/hyperlink" Target="https://extranet.who.int/lqsi/fr/content/convier-le-responsable-qualit%C3%A9-%C3%A0-une-formation-sur-lanalyse-des-modes-de-d%C3%A9faillance-et-de" TargetMode="External"/><Relationship Id="rId495" Type="http://schemas.openxmlformats.org/officeDocument/2006/relationships/hyperlink" Target="https://extranet.who.int/lqsi/content/decide-method-maintenance-and-calibration-each-piece-equipment" TargetMode="External"/><Relationship Id="rId716" Type="http://schemas.openxmlformats.org/officeDocument/2006/relationships/hyperlink" Target="https://extranet.who.int/lqsi/content/start-carry-out-all-internal-audits-and-write-audit-reports" TargetMode="External"/><Relationship Id="rId923" Type="http://schemas.openxmlformats.org/officeDocument/2006/relationships/hyperlink" Target="https://extranet.who.int/lqsi/ru/content/%D0%BF%D0%BE%D0%B4%D0%B3%D0%BE%D1%82%D0%BE%D0%B2%D1%8C%D1%82%D0%B5-%D1%82%D0%B0%D0%B1%D0%BB%D0%B8%D1%86%D1%83-%D0%B7%D0%B0%D0%BC%D0%B5%D0%BD-%D0%BF%D0%B5%D1%80%D1%81%D0%BE%D0%BD%D0%B0%D0%BB%D0%B0" TargetMode="External"/><Relationship Id="rId52" Type="http://schemas.openxmlformats.org/officeDocument/2006/relationships/hyperlink" Target="https://extranet.who.int/lqsi/content/appoint-biosafety-officer" TargetMode="External"/><Relationship Id="rId148" Type="http://schemas.openxmlformats.org/officeDocument/2006/relationships/hyperlink" Target="https://extranet.who.int/lqsi/fr/content/%C3%A9laborer-et-utiliser-des-plans-daction-d%C3%A9finissant-les-actions-%C3%A0-mener-selon-la-m%C3%A9thode" TargetMode="External"/><Relationship Id="rId355" Type="http://schemas.openxmlformats.org/officeDocument/2006/relationships/hyperlink" Target="https://extranet.who.int/lqsi/es/content/formular-y-utilizar-planes-de-acci%C3%B3n-con-puntos-de-acci%C3%B3n-smart" TargetMode="External"/><Relationship Id="rId562" Type="http://schemas.openxmlformats.org/officeDocument/2006/relationships/hyperlink" Target="https://extranet.who.int/lqsi/content/create-document-retention-list-determine-storage-time-and-location-all-types-documents-used" TargetMode="External"/><Relationship Id="rId1192" Type="http://schemas.openxmlformats.org/officeDocument/2006/relationships/hyperlink" Target="https://extranet.who.int/lqsi/content/identify-and-start-monitoring-critical-parameters-quality-indicators" TargetMode="External"/><Relationship Id="rId1206" Type="http://schemas.openxmlformats.org/officeDocument/2006/relationships/hyperlink" Target="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TargetMode="External"/><Relationship Id="rId215"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422" Type="http://schemas.openxmlformats.org/officeDocument/2006/relationships/hyperlink" Target="https://extranet.who.int/lqsi/content/separate-laboratory-areas-prevent-cross-contamination-and-optimize-floor-plan" TargetMode="External"/><Relationship Id="rId867"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52" Type="http://schemas.openxmlformats.org/officeDocument/2006/relationships/hyperlink" Target="https://extranet.who.int/lqsi/es/content/crear-una-matriz-de-sustituci%C3%B3n-de-personal" TargetMode="External"/><Relationship Id="rId299"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727" Type="http://schemas.openxmlformats.org/officeDocument/2006/relationships/hyperlink" Target="https://extranet.who.int/lqsi/fr/content/veiller-%C3%A0-ce-quun-nombre-suffisant-de-membres-du-personnel-poss%C3%A8dent-une-formation-de" TargetMode="External"/><Relationship Id="rId934"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63" Type="http://schemas.openxmlformats.org/officeDocument/2006/relationships/hyperlink" Target="https://extranet.who.int/lqsi/content/make-organizational-charts" TargetMode="External"/><Relationship Id="rId159" Type="http://schemas.openxmlformats.org/officeDocument/2006/relationships/hyperlink" Target="https://extranet.who.int/lqsi/fr/content/d%C3%A9signer-un-responsable-de-l%C3%A9quipement-de-laboratoire" TargetMode="External"/><Relationship Id="rId366" Type="http://schemas.openxmlformats.org/officeDocument/2006/relationships/hyperlink" Target="https://extranet.who.int/lqsi/es/content/designar-un-encargado-de-equipos" TargetMode="External"/><Relationship Id="rId573" Type="http://schemas.openxmlformats.org/officeDocument/2006/relationships/hyperlink" Target="https://extranet.who.int/lqsi/content/roll-out-document-control-system" TargetMode="External"/><Relationship Id="rId780" Type="http://schemas.openxmlformats.org/officeDocument/2006/relationships/hyperlink" Target="https://extranet.who.int/lqsi/fr/content/r%C3%A9aliser-une-revue-de-direction-%C3%A0-la-fin-de-lann%C3%A9e-couverte-par-le-plan-qualit%C3%A9" TargetMode="External"/><Relationship Id="rId1217" Type="http://schemas.openxmlformats.org/officeDocument/2006/relationships/hyperlink" Target="https://extranet.who.int/lqsi/es/content/realizar-un-seguimiento-del-transporte-de-las-muestras" TargetMode="External"/><Relationship Id="rId22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3" Type="http://schemas.openxmlformats.org/officeDocument/2006/relationships/hyperlink" Target="https://extranet.who.int/lqsi/content/make-inventory-list-all-hazardous-materials-and-their-location-within-facility" TargetMode="External"/><Relationship Id="rId878" Type="http://schemas.openxmlformats.org/officeDocument/2006/relationships/hyperlink" Target="https://extranet.who.int/lqsi/ru/content/%D1%81%D1%84%D0%BE%D1%80%D0%BC%D1%83%D0%BB%D0%B8%D1%80%D1%83%D0%B9%D1%82%D0%B5-%D0%BC%D0%B8%D1%81%D1%81%D0%B8%D1%8E-%D0%BB%D0%B0%D0%B1%D0%BE%D1%80%D0%B0%D1%82%D0%BE%D1%80%D0%B8%D1%8E" TargetMode="External"/><Relationship Id="rId1063" Type="http://schemas.openxmlformats.org/officeDocument/2006/relationships/hyperlink" Target="https://extranet.who.int/lqsi/es/content/crear-un-procedimiento-para-la-selecci%C3%B3n-y-el-seguimiento-peri%C3%B3dico-del-funcionamiento-de" TargetMode="External"/><Relationship Id="rId1270" Type="http://schemas.openxmlformats.org/officeDocument/2006/relationships/hyperlink" Target="https://extranet.who.int/lqsi/content/identify-potential-emergencies-could-take-place-and-around-laboratory-and-could-affect-need" TargetMode="External"/><Relationship Id="rId640" Type="http://schemas.openxmlformats.org/officeDocument/2006/relationships/hyperlink" Target="https://extranet.who.int/lqsi/content/formulate-goals-coming-year-specifically-respect-quality-management-system" TargetMode="External"/><Relationship Id="rId738" Type="http://schemas.openxmlformats.org/officeDocument/2006/relationships/hyperlink" Target="https://extranet.who.int/lqsi/fr/content/am%C3%A9nager-et-surveiller-un-espace-et-des-conditions-de-stockage-appropri%C3%A9s-pour-les" TargetMode="External"/><Relationship Id="rId945" Type="http://schemas.openxmlformats.org/officeDocument/2006/relationships/hyperlink" Target="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TargetMode="External"/><Relationship Id="rId74" Type="http://schemas.openxmlformats.org/officeDocument/2006/relationships/hyperlink" Target="https://extranet.who.int/lqsi/content/make-authorization-matrix" TargetMode="External"/><Relationship Id="rId377" Type="http://schemas.openxmlformats.org/officeDocument/2006/relationships/hyperlink" Target="https://extranet.who.int/lqsi/es/content/generar-compromiso-para-obtener-la-acreditaci%C3%B3n" TargetMode="External"/><Relationship Id="rId500" Type="http://schemas.openxmlformats.org/officeDocument/2006/relationships/hyperlink" Target="https://extranet.who.int/lqsi/content/ensure-defective-equipment-taken-out-service-clearly-labeled-and-disinfected-and-proper" TargetMode="External"/><Relationship Id="rId584" Type="http://schemas.openxmlformats.org/officeDocument/2006/relationships/hyperlink" Target="https://extranet.who.int/lqsi/content/write-laboratory-service-manual-and-start-follow-procedures-formulated-manual" TargetMode="External"/><Relationship Id="rId805" Type="http://schemas.openxmlformats.org/officeDocument/2006/relationships/hyperlink" Target="https://extranet.who.int/lqsi/fr/content/%C3%A9tablir-une-proc%C3%A9dure-pour-la-s%C3%A9lection-et-le-suivi-r%C3%A9gulier-du-fonctionnement-de" TargetMode="External"/><Relationship Id="rId1130" Type="http://schemas.openxmlformats.org/officeDocument/2006/relationships/hyperlink" Target="https://extranet.who.int/lqsi/fr/content/cr%C3%A9er-une-proc%C3%A9dure-pour-recruter-un-nouveau-membre-du-personnel-un-agent-temporaire-et" TargetMode="External"/><Relationship Id="rId1228" Type="http://schemas.openxmlformats.org/officeDocument/2006/relationships/hyperlink" Target="https://extranet.who.int/lqsi/content/participate-clinical-roundsschedule-regular-discussions-clinical-staff-harmonize-services" TargetMode="External"/><Relationship Id="rId5" Type="http://schemas.openxmlformats.org/officeDocument/2006/relationships/hyperlink" Target="https://extranet.who.int/lqsi/content/perform-facility-and-safety-assessment" TargetMode="External"/><Relationship Id="rId237"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791" Type="http://schemas.openxmlformats.org/officeDocument/2006/relationships/hyperlink" Target="https://extranet.who.int/lqsi/fr/content/identifier-les-conflits-dint%C3%A9r%C3%AAts-potentiels-pour-chaque-membre-du-personnel" TargetMode="External"/><Relationship Id="rId889"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4" Type="http://schemas.openxmlformats.org/officeDocument/2006/relationships/hyperlink" Target="https://extranet.who.int/lqsi/es/content/redactar-un-poe-de-validaci%C3%B3n-de-los-an%C3%A1lisis-y-los-equipos" TargetMode="External"/><Relationship Id="rId444" Type="http://schemas.openxmlformats.org/officeDocument/2006/relationships/hyperlink" Target="https://extranet.who.int/lqsi/content/it-strongly-advised-laboratory-manager-trained-change-management" TargetMode="External"/><Relationship Id="rId651" Type="http://schemas.openxmlformats.org/officeDocument/2006/relationships/hyperlink" Target="https://extranet.who.int/lqsi/content/develop-quality-manual" TargetMode="External"/><Relationship Id="rId749" Type="http://schemas.openxmlformats.org/officeDocument/2006/relationships/hyperlink" Target="https://extranet.who.int/lqsi/fr/content/formuler-la-mission-du-laboratoire" TargetMode="External"/><Relationship Id="rId1281" Type="http://schemas.openxmlformats.org/officeDocument/2006/relationships/hyperlink" Target="https://extranet.who.int/lqsi/fr/content/identifier-les-situations-durgence-potentielles-qui-pourraient-survenir-dans-le-laboratoire" TargetMode="External"/><Relationship Id="rId290"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304"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88" Type="http://schemas.openxmlformats.org/officeDocument/2006/relationships/hyperlink" Target="https://extranet.who.int/lqsi/es/content/elaborar-una-descripci%C3%B3n-del-puesto-de-trabajo-de-cada-uno-de-los-puestos-del-laboratorio" TargetMode="External"/><Relationship Id="rId511" Type="http://schemas.openxmlformats.org/officeDocument/2006/relationships/hyperlink" Target="https://extranet.who.int/lqsi/content/store-supplies-appropriately" TargetMode="External"/><Relationship Id="rId609" Type="http://schemas.openxmlformats.org/officeDocument/2006/relationships/hyperlink" Target="https://extranet.who.int/lqsi/content/create-primary-sample-collection-facility-separate-laboratory" TargetMode="External"/><Relationship Id="rId956" Type="http://schemas.openxmlformats.org/officeDocument/2006/relationships/hyperlink" Target="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TargetMode="External"/><Relationship Id="rId1141" Type="http://schemas.openxmlformats.org/officeDocument/2006/relationships/hyperlink" Target="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TargetMode="External"/><Relationship Id="rId1239"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85" Type="http://schemas.openxmlformats.org/officeDocument/2006/relationships/hyperlink" Target="https://extranet.who.int/lqsi/content/make-equipment-register-and-check-proper-functioning-equipment" TargetMode="External"/><Relationship Id="rId150" Type="http://schemas.openxmlformats.org/officeDocument/2006/relationships/hyperlink" Target="https://extranet.who.int/lqsi/fr/content/commencer-%C3%A0-organiser-des-r%C3%A9unions-r%C3%A9guli%C3%A8res-hebdomadaires-du-personnel" TargetMode="External"/><Relationship Id="rId595" Type="http://schemas.openxmlformats.org/officeDocument/2006/relationships/hyperlink" Target="https://extranet.who.int/lqsi/content/make-sure-enough-staff-members-are-trained-providing-first-aid-or-access-first-aid-ensured" TargetMode="External"/><Relationship Id="rId816" Type="http://schemas.openxmlformats.org/officeDocument/2006/relationships/hyperlink" Target="https://extranet.who.int/lqsi/fr/content/r%C3%A9diger-une-pos-relative-%C3%A0-la-validation-des-examens-et-de-l%C3%A9quipement" TargetMode="External"/><Relationship Id="rId1001" Type="http://schemas.openxmlformats.org/officeDocument/2006/relationships/hyperlink" Target="https://extranet.who.int/lqsi/es/content/disponer-un-espacio-de-almacenamiento-adecuado-y-unas-condiciones-correctas-para-las" TargetMode="External"/><Relationship Id="rId248"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5" Type="http://schemas.openxmlformats.org/officeDocument/2006/relationships/hyperlink" Target="https://extranet.who.int/lqsi/content/perform-staff-competency-assessments" TargetMode="External"/><Relationship Id="rId662" Type="http://schemas.openxmlformats.org/officeDocument/2006/relationships/hyperlink" Target="https://extranet.who.int/lqsi/content/develop-quality-year-plan-following-year-based-conclusions-management-review" TargetMode="External"/><Relationship Id="rId1085" Type="http://schemas.openxmlformats.org/officeDocument/2006/relationships/hyperlink" Target="https://extranet.who.int/lqsi/es/content/crear-un-plan-de-contingencia-que-asegure-la-disponibilidad-de-la-informaci%C3%B3n-del" TargetMode="External"/><Relationship Id="rId1292"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6" Type="http://schemas.openxmlformats.org/officeDocument/2006/relationships/hyperlink" Target="https://extranet.who.int/lqsi/content/perform-failure-mode-and-effect-analyses-all-processes-laboratory" TargetMode="External"/><Relationship Id="rId12" Type="http://schemas.openxmlformats.org/officeDocument/2006/relationships/hyperlink" Target="https://extranet.who.int/lqsi/content/write-and-implement-sop-waste-segregation-and-disposal" TargetMode="External"/><Relationship Id="rId108" Type="http://schemas.openxmlformats.org/officeDocument/2006/relationships/hyperlink" Target="https://extranet.who.int/lqsi/fr/content/effectuer-une-%C3%A9valuation-des-b%C3%A2timents-et-de-la-s%C3%A9curit%C3%A9" TargetMode="External"/><Relationship Id="rId315" Type="http://schemas.openxmlformats.org/officeDocument/2006/relationships/hyperlink" Target="https://extranet.who.int/lqsi/es/content/realizar-una-evaluaci%C3%B3n-de-las-instalaciones-y-las-condiciones-de-seguridad" TargetMode="External"/><Relationship Id="rId522" Type="http://schemas.openxmlformats.org/officeDocument/2006/relationships/hyperlink" Target="https://extranet.who.int/lqsi/content/develop-sop-sample-reception-and-processing-and-start-registering-all-samples-received" TargetMode="External"/><Relationship Id="rId967"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2"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6" Type="http://schemas.openxmlformats.org/officeDocument/2006/relationships/hyperlink" Target="https://extranet.who.int/lqsi/content/develop-request-form-laboratory-testing" TargetMode="External"/><Relationship Id="rId161" Type="http://schemas.openxmlformats.org/officeDocument/2006/relationships/hyperlink" Target="https://extranet.who.int/lqsi/fr/content/d%C3%A9signer-un-membre-du-personnel-responsable-du-suivi-du-stock-et-de-la-commande-de" TargetMode="External"/><Relationship Id="rId399" Type="http://schemas.openxmlformats.org/officeDocument/2006/relationships/hyperlink" Target="https://extranet.who.int/lqsi/es/content/redactar-procedimientos-para-operar-los-equipos" TargetMode="External"/><Relationship Id="rId827" Type="http://schemas.openxmlformats.org/officeDocument/2006/relationships/hyperlink" Target="https://extranet.who.int/lqsi/fr/content/si-les-donn%C3%A9es-du-laboratoire-sont-conserv%C3%A9es-uniquement-sous-forme-num%C3%A9rique-%C3%A9tablir-un" TargetMode="External"/><Relationship Id="rId1012" Type="http://schemas.openxmlformats.org/officeDocument/2006/relationships/hyperlink" Target="https://extranet.who.int/lqsi/es/content/formular-la-pol%C3%ADtica-de-la-calidad" TargetMode="External"/><Relationship Id="rId259"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6" Type="http://schemas.openxmlformats.org/officeDocument/2006/relationships/hyperlink" Target="https://extranet.who.int/lqsi/content/organize-performance-appraisals-staff-members" TargetMode="External"/><Relationship Id="rId673" Type="http://schemas.openxmlformats.org/officeDocument/2006/relationships/hyperlink" Target="https://extranet.who.int/lqsi/content/standardize-method-choosing-suppliers-and-evaluating-contracts-purchasing-and-delivery-goods" TargetMode="External"/><Relationship Id="rId880"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6" Type="http://schemas.openxmlformats.org/officeDocument/2006/relationships/hyperlink" Target="https://extranet.who.int/lqsi/es/content/disponer-que-el-encargado-de-la-calidad-y-otros-miembros-de-personal-reciban-formaci%C3%B3n-para" TargetMode="External"/><Relationship Id="rId1317"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3" Type="http://schemas.openxmlformats.org/officeDocument/2006/relationships/hyperlink" Target="https://extranet.who.int/lqsi/content/write-biosafety-manual-and-make-sure-it-read-and-signed-all-staff" TargetMode="External"/><Relationship Id="rId119" Type="http://schemas.openxmlformats.org/officeDocument/2006/relationships/hyperlink" Target="https://extranet.who.int/lqsi/fr/content/r%C3%A9diger-et-mettre-en-%C5%93uvre-une-pos-pour-la-s%C3%A9paration-des-d%C3%A9chets-et-leur-%C3%A9limination" TargetMode="External"/><Relationship Id="rId326" Type="http://schemas.openxmlformats.org/officeDocument/2006/relationships/hyperlink" Target="https://extranet.who.int/lqsi/es/content/redactar-e-implementar-un-poe-de-separaci%C3%B3n-y-eliminaci%C3%B3n-de-residuos" TargetMode="External"/><Relationship Id="rId533" Type="http://schemas.openxmlformats.org/officeDocument/2006/relationships/hyperlink" Target="https://extranet.who.int/lqsi/content/formulate-and-start-monitoring-internal-quality-controls" TargetMode="External"/><Relationship Id="rId978" Type="http://schemas.openxmlformats.org/officeDocument/2006/relationships/hyperlink" Target="https://extranet.who.int/lqsi/ru/content/%D0%BD%D0%B0%D0%BF%D0%B8%D1%88%D0%B8%D1%82%D0%B5-%D1%81%D0%BE%D0%BF-%C2%AB%D0%B2%D0%BD%D1%83%D1%82%D1%80%D0%B5%D0%BD%D0%BD%D0%B8%D0%B9-%D0%B0%D1%83%D0%B4%D0%B8%D1%82%C2%BB" TargetMode="External"/><Relationship Id="rId1163" Type="http://schemas.openxmlformats.org/officeDocument/2006/relationships/hyperlink" Target="https://extranet.who.int/lqsi/es/content/establecer-un-programa-de-formaci%C3%B3n-continua" TargetMode="External"/><Relationship Id="rId740" Type="http://schemas.openxmlformats.org/officeDocument/2006/relationships/hyperlink" Target="https://extranet.who.int/lqsi/fr/content/am%C3%A9nager-et-surveiller-un-espace-et-des-conditions-de-stockage-appropri%C3%A9s-pour-les" TargetMode="External"/><Relationship Id="rId838" Type="http://schemas.openxmlformats.org/officeDocument/2006/relationships/hyperlink" Target="https://extranet.who.int/lqsi/fr/content/organiser-la-formation-du-responsable-qualit%C3%A9-et-dautres-membres-du-personnel-en-tant" TargetMode="External"/><Relationship Id="rId1023" Type="http://schemas.openxmlformats.org/officeDocument/2006/relationships/hyperlink" Target="https://extranet.who.int/lqsi/es/content/realizar-la-previsi%C3%B3n-de-compras-de-nuevos-equipos-y-de-mantenimiento-de-equipos-en-la" TargetMode="External"/><Relationship Id="rId172" Type="http://schemas.openxmlformats.org/officeDocument/2006/relationships/hyperlink" Target="https://extranet.who.int/lqsi/fr/content/assurer-au-responsable-de-la-s%C3%A9curit%C3%A9-biologique-une-formation-lui-permettant-de-r%C3%A9aliser" TargetMode="External"/><Relationship Id="rId477" Type="http://schemas.openxmlformats.org/officeDocument/2006/relationships/hyperlink" Target="https://extranet.who.int/lqsi/content/label-all-equipment-accordance-codes-inventory-list-made-phase-1-under-equipment" TargetMode="External"/><Relationship Id="rId600" Type="http://schemas.openxmlformats.org/officeDocument/2006/relationships/hyperlink" Target="https://extranet.who.int/lqsi/content/make-sure-enough-staff-members-are-trained-providing-first-aid-or-access-first-aid-ensured" TargetMode="External"/><Relationship Id="rId684" Type="http://schemas.openxmlformats.org/officeDocument/2006/relationships/hyperlink" Target="https://extranet.who.int/lqsi/content/monitor-adherence-turnaround-times-determined-each-examination" TargetMode="External"/><Relationship Id="rId1230" Type="http://schemas.openxmlformats.org/officeDocument/2006/relationships/hyperlink" Target="https://extranet.who.int/lqsi/content/participate-clinical-roundsschedule-regular-discussions-clinical-staff-harmonize-services" TargetMode="External"/><Relationship Id="rId337" Type="http://schemas.openxmlformats.org/officeDocument/2006/relationships/hyperlink" Target="https://extranet.who.int/lqsi/es/content/redactar-un-manual-de-bioseguridad-y-asegurarse-de-que-todo-el-personal-lo-lee-y-lo-firma" TargetMode="External"/><Relationship Id="rId891"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5"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89" Type="http://schemas.openxmlformats.org/officeDocument/2006/relationships/hyperlink" Target="https://extranet.who.int/lqsi/es/content/crear-un-laboratorio-de-presi%C3%B3n-negativa-cuando-el-laboratorio-trabaje-con-agentes-pat%C3%B3genos" TargetMode="External"/><Relationship Id="rId34" Type="http://schemas.openxmlformats.org/officeDocument/2006/relationships/hyperlink" Target="https://extranet.who.int/lqsi/content/purchase-spill-kits-and-write-and-implement-sop-dealing-spills" TargetMode="External"/><Relationship Id="rId544" Type="http://schemas.openxmlformats.org/officeDocument/2006/relationships/hyperlink" Target="https://extranet.who.int/lqsi/content/make-fixed-format-result-reports" TargetMode="External"/><Relationship Id="rId751" Type="http://schemas.openxmlformats.org/officeDocument/2006/relationships/hyperlink" Target="https://extranet.who.int/lqsi/fr/content/formuler-les-objectifs-%C3%A0-long-terme-du-laboratoire" TargetMode="External"/><Relationship Id="rId849" Type="http://schemas.openxmlformats.org/officeDocument/2006/relationships/hyperlink" Target="https://extranet.who.int/lqsi/fr/content/r%C3%A9diger-une-pos-relative-aux-audits-internes" TargetMode="External"/><Relationship Id="rId1174" Type="http://schemas.openxmlformats.org/officeDocument/2006/relationships/hyperlink" Target="https://extranet.who.int/lqsi/fr/content/quand-il-sav%C3%A8re-quun-%C3%A9quipement-est-d%C3%A9fectueux-d%C3%A9terminer-et-corriger-leffet-n%C3%A9gatif" TargetMode="External"/><Relationship Id="rId183" Type="http://schemas.openxmlformats.org/officeDocument/2006/relationships/hyperlink" Target="https://extranet.who.int/lqsi/fr/content/%C3%A9tablir-un-descriptif-personnalis%C3%A9-de-poste-sp%C3%A9cifique-%C3%A0-chaque-membre-du-personnel" TargetMode="External"/><Relationship Id="rId390" Type="http://schemas.openxmlformats.org/officeDocument/2006/relationships/hyperlink" Target="https://extranet.who.int/lqsi/es/content/elaborar-una-descripci%C3%B3n-del-puesto-de-trabajo-personal-espec%C3%ADfica-para-cada-miembro-del" TargetMode="External"/><Relationship Id="rId404" Type="http://schemas.openxmlformats.org/officeDocument/2006/relationships/hyperlink" Target="https://extranet.who.int/lqsi/es/content/preparar-tarjetas-de-existencias-y-establecer-el-sistema-de-gesti%C3%B3n-del-inventario" TargetMode="External"/><Relationship Id="rId611" Type="http://schemas.openxmlformats.org/officeDocument/2006/relationships/hyperlink" Target="https://extranet.who.int/lqsi/content/arrange-and-monitor-adequate-storage-space-and-conditions-samples-documents-records" TargetMode="External"/><Relationship Id="rId1034" Type="http://schemas.openxmlformats.org/officeDocument/2006/relationships/hyperlink" Target="https://extranet.who.int/lqsi/es/content/elaborar-un-manual-de-calidad" TargetMode="External"/><Relationship Id="rId1241"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0"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8" Type="http://schemas.openxmlformats.org/officeDocument/2006/relationships/hyperlink" Target="https://extranet.who.int/lqsi/content/collect-all-equipment-documents-and-records-and-store-these-equipment-archive" TargetMode="External"/><Relationship Id="rId695" Type="http://schemas.openxmlformats.org/officeDocument/2006/relationships/hyperlink" Target="https://extranet.who.int/lqsi/content/make-access-digital-data-laboratory-restricted-both-physically-and-virtually" TargetMode="External"/><Relationship Id="rId709" Type="http://schemas.openxmlformats.org/officeDocument/2006/relationships/hyperlink" Target="https://extranet.who.int/lqsi/content/arrange-quality-officer-and-other-staff-members-are-trained-internal-auditors" TargetMode="External"/><Relationship Id="rId916"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1" Type="http://schemas.openxmlformats.org/officeDocument/2006/relationships/hyperlink" Target="https://extranet.who.int/lqsi/es/content/empezar-llevar-cabo-todas-las-auditor%C3%ADas-internas-y-escribir-informes-de-auditor%C3%ADa" TargetMode="External"/><Relationship Id="rId45" Type="http://schemas.openxmlformats.org/officeDocument/2006/relationships/hyperlink" Target="https://extranet.who.int/lqsi/content/start-organizing-regular-weekly-staff-meetings" TargetMode="External"/><Relationship Id="rId110" Type="http://schemas.openxmlformats.org/officeDocument/2006/relationships/hyperlink" Target="https://extranet.who.int/lqsi/fr/content/effectuer-une-%C3%A9valuation-des-b%C3%A2timents-et-de-la-s%C3%A9curit%C3%A9" TargetMode="External"/><Relationship Id="rId348" Type="http://schemas.openxmlformats.org/officeDocument/2006/relationships/hyperlink" Target="https://extranet.who.int/lqsi/es/content/adquirir-botiquines-de-primeros-auxilios-y-formar-un-grupo-de-miembros-del-personal-para-la" TargetMode="External"/><Relationship Id="rId555" Type="http://schemas.openxmlformats.org/officeDocument/2006/relationships/hyperlink" Target="https://extranet.who.int/lqsi/content/write-sop-recording-reporting-and-archiving-results" TargetMode="External"/><Relationship Id="rId762" Type="http://schemas.openxmlformats.org/officeDocument/2006/relationships/hyperlink" Target="https://extranet.who.int/lqsi/fr/content/formuler-la-politique-de-la-qualit%C3%A9" TargetMode="External"/><Relationship Id="rId1185" Type="http://schemas.openxmlformats.org/officeDocument/2006/relationships/hyperlink" Target="https://extranet.who.int/lqsi/es/content/determinar-y-corregir-la-posible-influencia-negativa-sobre-los-resultados-de-an%C3%A1lisis" TargetMode="External"/><Relationship Id="rId194" Type="http://schemas.openxmlformats.org/officeDocument/2006/relationships/hyperlink" Target="https://extranet.who.int/lqsi/fr/content/r%C3%A9diger-des-proc%C3%A9dures-pour-lutilisation-de-l%C3%A9quipement" TargetMode="External"/><Relationship Id="rId208"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5" Type="http://schemas.openxmlformats.org/officeDocument/2006/relationships/hyperlink" Target="https://extranet.who.int/lqsi/es/content/evaluar-la-situaci%C3%B3n-inicial-del-laboratorio" TargetMode="External"/><Relationship Id="rId622" Type="http://schemas.openxmlformats.org/officeDocument/2006/relationships/hyperlink" Target="https://extranet.who.int/lqsi/content/formulate-mission-laboratory" TargetMode="External"/><Relationship Id="rId1045" Type="http://schemas.openxmlformats.org/officeDocument/2006/relationships/hyperlink" Target="https://extranet.who.int/lqsi/es/content/desarrollar-un-plan-anual-de-calidad-para-el-pr%C3%B3ximo-a%C3%B1o-partir-de-las-conclusiones-de-la" TargetMode="External"/><Relationship Id="rId1252" Type="http://schemas.openxmlformats.org/officeDocument/2006/relationships/hyperlink" Target="https://extranet.who.int/lqsi/content/make-action-plan-following-report-external-audit-and-monitor-its-implementation" TargetMode="External"/><Relationship Id="rId261"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99" Type="http://schemas.openxmlformats.org/officeDocument/2006/relationships/hyperlink" Target="https://extranet.who.int/lqsi/content/ensure-defective-equipment-taken-out-service-clearly-labeled-and-disinfected-and-proper" TargetMode="External"/><Relationship Id="rId927"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2" Type="http://schemas.openxmlformats.org/officeDocument/2006/relationships/hyperlink" Target="https://extranet.who.int/lqsi/fr/content/actualiser-la-m%C3%A9thode-utilis%C3%A9e-pour-effectuer-une-revue-de-direction" TargetMode="External"/><Relationship Id="rId56" Type="http://schemas.openxmlformats.org/officeDocument/2006/relationships/hyperlink" Target="https://extranet.who.int/lqsi/content/appoint-staff-member-who-responsible-monitoring-stocks-and-ordering-supplies-and-reagents" TargetMode="External"/><Relationship Id="rId359" Type="http://schemas.openxmlformats.org/officeDocument/2006/relationships/hyperlink" Target="https://extranet.who.int/lqsi/es/content/empezar-organizar-reuniones-de-personal-regulares-semanales" TargetMode="External"/><Relationship Id="rId566" Type="http://schemas.openxmlformats.org/officeDocument/2006/relationships/hyperlink" Target="https://extranet.who.int/lqsi/content/design-document-revision-form" TargetMode="External"/><Relationship Id="rId773" Type="http://schemas.openxmlformats.org/officeDocument/2006/relationships/hyperlink" Target="https://extranet.who.int/lqsi/fr/content/transcrire-le-plan-annuel-qualit%C3%A9-en-actions-%C3%A0-mener-selon-la-m%C3%A9thode-smart" TargetMode="External"/><Relationship Id="rId1196" Type="http://schemas.openxmlformats.org/officeDocument/2006/relationships/hyperlink" Target="https://extranet.who.int/lqsi/fr/content/r%C3%A9diger-une-pos-couvrant-les-diff%C3%A9rentes-activit%C3%A9s-dappui-qui-sont-r%C3%A9alis%C3%A9es-dans-le" TargetMode="External"/><Relationship Id="rId121" Type="http://schemas.openxmlformats.org/officeDocument/2006/relationships/hyperlink" Target="https://extranet.who.int/lqsi/fr/content/r%C3%A9diger-et-mettre-en-%C5%93uvre-une-pos-pour-la-s%C3%A9paration-des-d%C3%A9chets-et-leur-%C3%A9limination" TargetMode="External"/><Relationship Id="rId219"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6" Type="http://schemas.openxmlformats.org/officeDocument/2006/relationships/hyperlink" Target="https://extranet.who.int/lqsi/content/optimize-communication-channels-within-laboratory-building-appropriate-size-building" TargetMode="External"/><Relationship Id="rId633" Type="http://schemas.openxmlformats.org/officeDocument/2006/relationships/hyperlink" Target="https://extranet.who.int/lqsi/content/formulate-quality-policy" TargetMode="External"/><Relationship Id="rId980" Type="http://schemas.openxmlformats.org/officeDocument/2006/relationships/hyperlink" Target="https://extranet.who.int/lqsi/es/content/garantizar-la-disponibilidad-de-suficientes-miembros-del-personal-capacitados-para-prestar" TargetMode="External"/><Relationship Id="rId1056" Type="http://schemas.openxmlformats.org/officeDocument/2006/relationships/hyperlink" Target="https://extranet.who.int/lqsi/es/content/normalizar-el-m%C3%A9todo-para-escoger-proveedores-y-para-evaluar-los-contratos-de-compra-y" TargetMode="External"/><Relationship Id="rId1263" Type="http://schemas.openxmlformats.org/officeDocument/2006/relationships/hyperlink" Target="https://extranet.who.int/lqsi/es/content/crear-un-plan-de-acci%C3%B3n-tras-el-informe-de-la-auditor%C3%ADa-externa-y-realizar-un-seguimiento-de" TargetMode="External"/><Relationship Id="rId840" Type="http://schemas.openxmlformats.org/officeDocument/2006/relationships/hyperlink" Target="https://extranet.who.int/lqsi/fr/content/organiser-la-formation-du-responsable-qualit%C3%A9-et-dautres-membres-du-personnel-en-tant" TargetMode="External"/><Relationship Id="rId938"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7" Type="http://schemas.openxmlformats.org/officeDocument/2006/relationships/hyperlink" Target="https://extranet.who.int/lqsi/content/provide-staff-basic-orientation-principles-quality-management-and-quality-management-system" TargetMode="External"/><Relationship Id="rId272"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577" Type="http://schemas.openxmlformats.org/officeDocument/2006/relationships/hyperlink" Target="https://extranet.who.int/lqsi/content/write-sop-document-control-including-document-retention-list" TargetMode="External"/><Relationship Id="rId700" Type="http://schemas.openxmlformats.org/officeDocument/2006/relationships/hyperlink" Target="https://extranet.who.int/lqsi/content/write-sop-information-management" TargetMode="External"/><Relationship Id="rId1123" Type="http://schemas.openxmlformats.org/officeDocument/2006/relationships/hyperlink" Target="https://extranet.who.int/lqsi/content/establish-continuous-education-programme" TargetMode="External"/><Relationship Id="rId132" Type="http://schemas.openxmlformats.org/officeDocument/2006/relationships/hyperlink" Target="https://extranet.who.int/lqsi/fr/content/r%C3%A9diger-un-manuel-de-s%C3%A9curit%C3%A9-biologique-et-sassurer-que-tout-le-personnel-la-lu-et-sign%C3%A9" TargetMode="External"/><Relationship Id="rId784" Type="http://schemas.openxmlformats.org/officeDocument/2006/relationships/hyperlink" Target="https://extranet.who.int/lqsi/fr/content/r%C3%A9aliser-une-revue-de-direction-%C3%A0-la-fin-de-lann%C3%A9e-couverte-par-le-plan-qualit%C3%A9" TargetMode="External"/><Relationship Id="rId991" Type="http://schemas.openxmlformats.org/officeDocument/2006/relationships/hyperlink" Target="https://extranet.who.int/lqsi/es/content/crear-una-instalaci%C3%B3n-de-obtenci%C3%B3n-de-muestras-primarias-separada-del-laboratorio" TargetMode="External"/><Relationship Id="rId1067" Type="http://schemas.openxmlformats.org/officeDocument/2006/relationships/hyperlink" Target="https://extranet.who.int/lqsi/es/content/determinar-el-plazo-de-entrega-de-cada-an%C3%A1lisis-que-se-realice-en-el-laboratorio" TargetMode="External"/><Relationship Id="rId437" Type="http://schemas.openxmlformats.org/officeDocument/2006/relationships/hyperlink" Target="https://extranet.who.int/lqsi/content/monitor-and-record-environmental-parameters-and-equipment-parameters" TargetMode="External"/><Relationship Id="rId644" Type="http://schemas.openxmlformats.org/officeDocument/2006/relationships/hyperlink" Target="https://extranet.who.int/lqsi/content/formulate-first-quality-year-plan" TargetMode="External"/><Relationship Id="rId851"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274" Type="http://schemas.openxmlformats.org/officeDocument/2006/relationships/hyperlink" Target="https://extranet.who.int/lqsi/content/identify-potential-emergencies-could-take-place-and-around-laboratory-and-could-affect-need" TargetMode="External"/><Relationship Id="rId283" Type="http://schemas.openxmlformats.org/officeDocument/2006/relationships/hyperlink" Target="https://extranet.who.int/lqsi/ru/content/%D1%81%D0%B4%D0%B5%D0%BB%D0%B0%D0%B9%D1%82%D0%B5-%C2%AB%D1%82%D0%B0%D0%B1%D0%BB%D0%B8%D1%86%D1%83-%D0%BF%D0%BE%D0%BB%D0%BD%D0%BE%D0%BC%D0%BE%D1%87%D0%B8%D0%B9%C2%BB" TargetMode="External"/><Relationship Id="rId490" Type="http://schemas.openxmlformats.org/officeDocument/2006/relationships/hyperlink" Target="https://extranet.who.int/lqsi/content/prepare-bench-aids-each-piece-equipment-including-daily-maintenance-instructions" TargetMode="External"/><Relationship Id="rId504" Type="http://schemas.openxmlformats.org/officeDocument/2006/relationships/hyperlink" Target="https://extranet.who.int/lqsi/content/make-inventory-control-register" TargetMode="External"/><Relationship Id="rId711" Type="http://schemas.openxmlformats.org/officeDocument/2006/relationships/hyperlink" Target="https://extranet.who.int/lqsi/content/arrange-quality-officer-and-other-staff-members-are-trained-internal-auditors" TargetMode="External"/><Relationship Id="rId949"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4" Type="http://schemas.openxmlformats.org/officeDocument/2006/relationships/hyperlink" Target="https://extranet.who.int/lqsi/fr/content/%C3%A9valuer-les-besoins-en-termes-de-formation-de-chaque-membre-du-personnel" TargetMode="External"/><Relationship Id="rId78" Type="http://schemas.openxmlformats.org/officeDocument/2006/relationships/hyperlink" Target="https://extranet.who.int/lqsi/content/make-personal-job-description-specific-each-staff-member" TargetMode="External"/><Relationship Id="rId143" Type="http://schemas.openxmlformats.org/officeDocument/2006/relationships/hyperlink" Target="https://extranet.who.int/lqsi/fr/content/constituer-une-%C3%A9quipe-de-projet-qualit%C3%A9-le-chef-de-cette-%C3%A9quipe-sera-d%C3%A9sign%C3%A9-point-focal" TargetMode="External"/><Relationship Id="rId350" Type="http://schemas.openxmlformats.org/officeDocument/2006/relationships/hyperlink" Target="https://extranet.who.int/lqsi/es/content/crear-un-equipo-del-proyecto-de-calidad-al-coordinador-de-este-equipo-se-le-designar%C3%A1-como" TargetMode="External"/><Relationship Id="rId588" Type="http://schemas.openxmlformats.org/officeDocument/2006/relationships/hyperlink" Target="https://extranet.who.int/lqsi/content/write-laboratory-service-manual-and-start-follow-procedures-formulated-manual" TargetMode="External"/><Relationship Id="rId795" Type="http://schemas.openxmlformats.org/officeDocument/2006/relationships/hyperlink" Target="https://extranet.who.int/lqsi/fr/content/cr%C3%A9er-une-grille-de-remplacement-du-personnel" TargetMode="External"/><Relationship Id="rId809" Type="http://schemas.openxmlformats.org/officeDocument/2006/relationships/hyperlink" Target="https://extranet.who.int/lqsi/fr/content/d%C3%A9terminer-les-temps-dobtention-des-r%C3%A9sultats-de-chaque-examen-r%C3%A9alis%C3%A9-dans-le-laboratoire" TargetMode="External"/><Relationship Id="rId1201" Type="http://schemas.openxmlformats.org/officeDocument/2006/relationships/hyperlink" Target="https://extranet.who.int/lqsi/fr/content/surveiller-le-transport-des-%C3%A9chantillons" TargetMode="External"/><Relationship Id="rId9" Type="http://schemas.openxmlformats.org/officeDocument/2006/relationships/hyperlink" Target="https://extranet.who.int/lqsi/content/write-and-implement-sop-waste-segregation-and-disposal" TargetMode="External"/><Relationship Id="rId210" Type="http://schemas.openxmlformats.org/officeDocument/2006/relationships/hyperlink" Target="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TargetMode="External"/><Relationship Id="rId448" Type="http://schemas.openxmlformats.org/officeDocument/2006/relationships/hyperlink" Target="https://extranet.who.int/lqsi/content/ensure-laboratory-legally-identifiable-and-recognized-national-or-regional-if-applicable" TargetMode="External"/><Relationship Id="rId655" Type="http://schemas.openxmlformats.org/officeDocument/2006/relationships/hyperlink" Target="https://extranet.who.int/lqsi/content/perform-management-review-end-quality-year" TargetMode="External"/><Relationship Id="rId862"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78" Type="http://schemas.openxmlformats.org/officeDocument/2006/relationships/hyperlink" Target="https://extranet.who.int/lqsi/es/content/establecer-un-archivo-para-asegurar-la-protecci%C3%B3n-de-la-informaci%C3%B3n-del-laboratorio-pero-que" TargetMode="External"/><Relationship Id="rId1285" Type="http://schemas.openxmlformats.org/officeDocument/2006/relationships/hyperlink" Target="https://extranet.who.int/lqsi/fr/content/identifier-les-situations-durgence-potentielles-qui-pourraient-survenir-dans-le-laboratoire" TargetMode="External"/><Relationship Id="rId294"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8"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5" Type="http://schemas.openxmlformats.org/officeDocument/2006/relationships/hyperlink" Target="https://extranet.who.int/lqsi/content/store-supplies-appropriately" TargetMode="External"/><Relationship Id="rId722" Type="http://schemas.openxmlformats.org/officeDocument/2006/relationships/hyperlink" Target="https://extranet.who.int/lqsi/fr/content/veiller-%C3%A0-ce-quun-nombre-suffisant-de-membres-du-personnel-poss%C3%A8dent-une-formation-de" TargetMode="External"/><Relationship Id="rId1145"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89" Type="http://schemas.openxmlformats.org/officeDocument/2006/relationships/hyperlink" Target="https://extranet.who.int/lqsi/content/write-procedures-operating-equipment" TargetMode="External"/><Relationship Id="rId154" Type="http://schemas.openxmlformats.org/officeDocument/2006/relationships/hyperlink" Target="https://extranet.who.int/lqsi/fr/content/d%C3%A9signer-un-responsable-de-la-s%C3%A9curit%C3%A9-biologique" TargetMode="External"/><Relationship Id="rId361" Type="http://schemas.openxmlformats.org/officeDocument/2006/relationships/hyperlink" Target="https://extranet.who.int/lqsi/es/content/designar-un-encargado-de-bioseguridad" TargetMode="External"/><Relationship Id="rId599" Type="http://schemas.openxmlformats.org/officeDocument/2006/relationships/hyperlink" Target="https://extranet.who.int/lqsi/content/make-sure-enough-staff-members-are-trained-providing-first-aid-or-access-first-aid-ensured" TargetMode="External"/><Relationship Id="rId1005" Type="http://schemas.openxmlformats.org/officeDocument/2006/relationships/hyperlink" Target="https://extranet.who.int/lqsi/es/content/formular-la-visi%C3%B3n-del-laboratorio-la-raz%C3%B3n-de-que-exista-el-laboratorio" TargetMode="External"/><Relationship Id="rId1212"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459" Type="http://schemas.openxmlformats.org/officeDocument/2006/relationships/hyperlink" Target="https://extranet.who.int/lqsi/content/perform-staff-competency-assessments" TargetMode="External"/><Relationship Id="rId666" Type="http://schemas.openxmlformats.org/officeDocument/2006/relationships/hyperlink" Target="https://extranet.who.int/lqsi/content/create-personnel-replacement-matrix" TargetMode="External"/><Relationship Id="rId873"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089" Type="http://schemas.openxmlformats.org/officeDocument/2006/relationships/hyperlink" Target="https://extranet.who.int/lqsi/es/content/medir-la-satisfacci%C3%B3n-de-los-clientes-del-laboratorio" TargetMode="External"/><Relationship Id="rId1296" Type="http://schemas.openxmlformats.org/officeDocument/2006/relationships/hyperlink" Target="https://extranet.who.int/lqsi/es/content/desarrollar-un-poe-de-gesti%C3%B3n-de-las-no-conformidades-y-empezar-registrarlas-y" TargetMode="External"/><Relationship Id="rId16" Type="http://schemas.openxmlformats.org/officeDocument/2006/relationships/hyperlink" Target="https://extranet.who.int/lqsi/content/write-and-implement-sop-waste-segregation-and-disposal" TargetMode="External"/><Relationship Id="rId221"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319" Type="http://schemas.openxmlformats.org/officeDocument/2006/relationships/hyperlink" Target="https://extranet.who.int/lqsi/es/content/realizar-una-evaluaci%C3%B3n-de-las-instalaciones-y-las-condiciones-de-seguridad" TargetMode="External"/><Relationship Id="rId526" Type="http://schemas.openxmlformats.org/officeDocument/2006/relationships/hyperlink" Target="https://extranet.who.int/lqsi/content/develop-sop-sample-reception-and-processing-and-start-registering-all-samples-received" TargetMode="External"/><Relationship Id="rId1156" Type="http://schemas.openxmlformats.org/officeDocument/2006/relationships/hyperlink" Target="https://extranet.who.int/lqsi/es/content/crear-un-procedimiento-para-la-contrataci%C3%B3n-de-nuevo-personal-permanente-o-temporal-y-para" TargetMode="External"/><Relationship Id="rId733" Type="http://schemas.openxmlformats.org/officeDocument/2006/relationships/hyperlink" Target="https://extranet.who.int/lqsi/fr/content/am%C3%A9nager-un-local-destin%C3%A9-au-pr%C3%A9l%C3%A8vement-d%C3%A9chantillons-primaires-s%C3%A9par%C3%A9-du-laboratoire" TargetMode="External"/><Relationship Id="rId940"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016" Type="http://schemas.openxmlformats.org/officeDocument/2006/relationships/hyperlink" Target="https://extranet.who.int/lqsi/es/content/formular-la-pol%C3%ADtica-de-la-calidad" TargetMode="External"/><Relationship Id="rId165" Type="http://schemas.openxmlformats.org/officeDocument/2006/relationships/hyperlink" Target="https://extranet.who.int/lqsi/fr/content/r%C3%A9aliser-des-organigrammes" TargetMode="External"/><Relationship Id="rId372" Type="http://schemas.openxmlformats.org/officeDocument/2006/relationships/hyperlink" Target="https://extranet.who.int/lqsi/es/content/crear-organigramas" TargetMode="External"/><Relationship Id="rId677" Type="http://schemas.openxmlformats.org/officeDocument/2006/relationships/hyperlink" Target="https://extranet.who.int/lqsi/content/make-procedure-selection-and-regular-monitoring-functioning-referral-laboratories" TargetMode="External"/><Relationship Id="rId800" Type="http://schemas.openxmlformats.org/officeDocument/2006/relationships/hyperlink" Target="https://extranet.who.int/lqsi/fr/content/standardiser-la-m%C3%A9thode-permettant-de-choisir-les-fournisseurs-et-d%C3%A9valuer-les-contrats" TargetMode="External"/><Relationship Id="rId1223" Type="http://schemas.openxmlformats.org/officeDocument/2006/relationships/hyperlink" Target="https://extranet.who.int/lqsi/es/content/identificar-y-empezar-realizar-el-seguimiento-de-los-par%C3%A1metros-cr%C3%ADticos-indicadores-de" TargetMode="External"/><Relationship Id="rId232"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884"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7" Type="http://schemas.openxmlformats.org/officeDocument/2006/relationships/hyperlink" Target="https://extranet.who.int/lqsi/content/write-biosafety-manual-and-make-sure-it-read-and-signed-all-staff" TargetMode="External"/><Relationship Id="rId537" Type="http://schemas.openxmlformats.org/officeDocument/2006/relationships/hyperlink" Target="https://extranet.who.int/lqsi/content/monitor-and-investigate-failure-internal-controls-and-improve-accordingly" TargetMode="External"/><Relationship Id="rId744" Type="http://schemas.openxmlformats.org/officeDocument/2006/relationships/hyperlink" Target="https://extranet.who.int/lqsi/fr/content/am%C3%A9nager-et-surveiller-un-espace-et-des-conditions-de-stockage-appropri%C3%A9s-pour-les" TargetMode="External"/><Relationship Id="rId951"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67" Type="http://schemas.openxmlformats.org/officeDocument/2006/relationships/hyperlink" Target="https://extranet.who.int/lqsi/content/validate-all-pieces-equipment-used-examination-laboratory-including-software-systems" TargetMode="External"/><Relationship Id="rId80" Type="http://schemas.openxmlformats.org/officeDocument/2006/relationships/hyperlink" Target="https://extranet.who.int/lqsi/content/make-personal-job-description-specific-each-staff-member" TargetMode="External"/><Relationship Id="rId176" Type="http://schemas.openxmlformats.org/officeDocument/2006/relationships/hyperlink" Target="https://extranet.who.int/lqsi/fr/content/faire-une-grille-dautorisation" TargetMode="External"/><Relationship Id="rId383" Type="http://schemas.openxmlformats.org/officeDocument/2006/relationships/hyperlink" Target="https://extranet.who.int/lqsi/es/content/crear-una-matriz-de-autorizaci%C3%B3n" TargetMode="External"/><Relationship Id="rId590" Type="http://schemas.openxmlformats.org/officeDocument/2006/relationships/hyperlink" Target="https://extranet.who.int/lqsi/content/participate-proficiency-testing-scheme-each-examination-performed-laboratory" TargetMode="External"/><Relationship Id="rId604" Type="http://schemas.openxmlformats.org/officeDocument/2006/relationships/hyperlink" Target="https://extranet.who.int/lqsi/content/when-laboratory-works-pathogens-requiring-biosafety-level-bsl-iii-facility-create-negative" TargetMode="External"/><Relationship Id="rId811" Type="http://schemas.openxmlformats.org/officeDocument/2006/relationships/hyperlink" Target="https://extranet.who.int/lqsi/fr/content/surveiller-les-temps-dobtention-des-r%C3%A9sultats-de-chaque-examen" TargetMode="External"/><Relationship Id="rId1027" Type="http://schemas.openxmlformats.org/officeDocument/2006/relationships/hyperlink" Target="https://extranet.who.int/lqsi/es/content/formular-el-primer-plan-anual-de-calidad" TargetMode="External"/><Relationship Id="rId1234" Type="http://schemas.openxmlformats.org/officeDocument/2006/relationships/hyperlink" Target="https://extranet.who.int/lqsi/fr/content/participer-aux-sessions-cliniques%C3%A0-des-discussions-r%C3%A9guli%C3%A8rement-organis%C3%A9es-avec-le" TargetMode="External"/><Relationship Id="rId243"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450" Type="http://schemas.openxmlformats.org/officeDocument/2006/relationships/hyperlink" Target="https://extranet.who.int/lqsi/content/phase-1-organizational-chart-laboratory-was-developed-revise-situation-created-phase-2" TargetMode="External"/><Relationship Id="rId688" Type="http://schemas.openxmlformats.org/officeDocument/2006/relationships/hyperlink" Target="https://extranet.who.int/lqsi/content/write-sop-validation-examinations-and-equipment" TargetMode="External"/><Relationship Id="rId895" Type="http://schemas.openxmlformats.org/officeDocument/2006/relationships/hyperlink" Target="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TargetMode="External"/><Relationship Id="rId909"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080" Type="http://schemas.openxmlformats.org/officeDocument/2006/relationships/hyperlink" Target="https://extranet.who.int/lqsi/es/content/establecer-un-archivo-para-asegurar-la-protecci%C3%B3n-de-la-informaci%C3%B3n-del-laboratorio-pero-que" TargetMode="External"/><Relationship Id="rId1301" Type="http://schemas.openxmlformats.org/officeDocument/2006/relationships/hyperlink" Target="https://extranet.who.int/lqsi/es/content/identificar-posibles-emergencias-que-se-puedan-producir-en-el-laboratorio-y-sus-alrededores" TargetMode="External"/><Relationship Id="rId38" Type="http://schemas.openxmlformats.org/officeDocument/2006/relationships/hyperlink" Target="https://extranet.who.int/lqsi/content/appoint-quality-project-team-chair-team-appointed-quality-focal-point" TargetMode="External"/><Relationship Id="rId103" Type="http://schemas.openxmlformats.org/officeDocument/2006/relationships/hyperlink" Target="https://extranet.who.int/lqsi/content/conduct-baseline-assessment-laboratory" TargetMode="External"/><Relationship Id="rId310" Type="http://schemas.openxmlformats.org/officeDocument/2006/relationships/hyperlink" Target="https://extranet.who.int/lqsi/ru/content/%D0%BF%D0%BE%D0%B4%D0%B3%D0%BE%D1%82%D0%BE%D0%B2%D1%8C%D1%82%D0%B5-%C2%AB%D0%BE%D0%B1%D1%80%D0%B0%D0%B7%D0%B5%D1%86-%D1%81%D0%BE%D0%BF%C2%BB" TargetMode="External"/><Relationship Id="rId548" Type="http://schemas.openxmlformats.org/officeDocument/2006/relationships/hyperlink" Target="https://extranet.who.int/lqsi/content/establish-system-immediate-notification-requester-samples-marked-urgent-and-results-fall" TargetMode="External"/><Relationship Id="rId755" Type="http://schemas.openxmlformats.org/officeDocument/2006/relationships/hyperlink" Target="https://extranet.who.int/lqsi/fr/content/formuler-la-politique-de-la-qualit%C3%A9" TargetMode="External"/><Relationship Id="rId962"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178"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91" Type="http://schemas.openxmlformats.org/officeDocument/2006/relationships/hyperlink" Target="https://extranet.who.int/lqsi/content/prepare-stock-cards-and-set-inventory-management-system" TargetMode="External"/><Relationship Id="rId187" Type="http://schemas.openxmlformats.org/officeDocument/2006/relationships/hyperlink" Target="https://extranet.who.int/lqsi/fr/content/cr%C3%A9er-un-registre-de-l%C3%A9quipement-et-v%C3%A9rifier-le-bon-fonctionnement-de-l%C3%A9quipement" TargetMode="External"/><Relationship Id="rId394" Type="http://schemas.openxmlformats.org/officeDocument/2006/relationships/hyperlink" Target="https://extranet.who.int/lqsi/es/content/garantizar-que-el-personal-est%C3%A1-debidamente-cualificado" TargetMode="External"/><Relationship Id="rId408" Type="http://schemas.openxmlformats.org/officeDocument/2006/relationships/hyperlink" Target="https://extranet.who.int/lqsi/es/content/elaborar-una-hoja-de-petici%C3%B3n-para-pruebas-anal%C3%ADticas" TargetMode="External"/><Relationship Id="rId615" Type="http://schemas.openxmlformats.org/officeDocument/2006/relationships/hyperlink" Target="https://extranet.who.int/lqsi/content/arrange-and-monitor-adequate-storage-space-and-conditions-samples-documents-records" TargetMode="External"/><Relationship Id="rId822" Type="http://schemas.openxmlformats.org/officeDocument/2006/relationships/hyperlink" Target="https://extranet.who.int/lqsi/fr/content/%C3%A9tablir-un-syst%C3%A8me-darchivage-assurant-la-protection-des-informations-du-laboratoire-mais" TargetMode="External"/><Relationship Id="rId1038" Type="http://schemas.openxmlformats.org/officeDocument/2006/relationships/hyperlink" Target="https://extranet.who.int/lqsi/es/content/realizar-una-revisi%C3%B3n-por-parte-de-la-direcci%C3%B3n-al-final-del-a%C3%B1o-de-calidad" TargetMode="External"/><Relationship Id="rId1245" Type="http://schemas.openxmlformats.org/officeDocument/2006/relationships/hyperlink" Target="https://extranet.who.int/lqsi/es/content/participar-en-rondas-cl%C3%ADnicas-y-programar-debates-peri%C3%B3dicos-con-personal-cl%C3%ADnico-para" TargetMode="External"/><Relationship Id="rId254"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699" Type="http://schemas.openxmlformats.org/officeDocument/2006/relationships/hyperlink" Target="https://extranet.who.int/lqsi/content/if-laboratory-information-only-stored-digitally-create-contingency-plan-ensures-availability" TargetMode="External"/><Relationship Id="rId1091" Type="http://schemas.openxmlformats.org/officeDocument/2006/relationships/hyperlink" Target="https://extranet.who.int/lqsi/es/content/normalizar-el-m%C3%A9todo-de-elaboraci%C3%B3n-revisi%C3%B3n-y-evaluaci%C3%B3n-de-un-contrato-de-prestaci%C3%B3n-de" TargetMode="External"/><Relationship Id="rId1105" Type="http://schemas.openxmlformats.org/officeDocument/2006/relationships/hyperlink" Target="https://extranet.who.int/lqsi/es/content/formular-un-plan-de-acci%C3%B3n-partir-del-informe-de-la-auditor%C3%ADa-y-realizar-el-seguimiento-de" TargetMode="External"/><Relationship Id="rId1312" Type="http://schemas.openxmlformats.org/officeDocument/2006/relationships/hyperlink" Target="https://extranet.who.int/lqsi/fr/content/effectuer-des-analyses-des-modes-de-d%C3%A9faillance-et-de-leurs-effets-sur-tous-les-processus-du" TargetMode="External"/><Relationship Id="rId49" Type="http://schemas.openxmlformats.org/officeDocument/2006/relationships/hyperlink" Target="https://extranet.who.int/lqsi/content/appoint-biosafety-officer" TargetMode="External"/><Relationship Id="rId114" Type="http://schemas.openxmlformats.org/officeDocument/2006/relationships/hyperlink" Target="https://extranet.who.int/lqsi/fr/content/r%C3%A9diger-et-mettre-en-%C5%93uvre-une-pos-pour-la-s%C3%A9paration-des-d%C3%A9chets-et-leur-%C3%A9limination" TargetMode="External"/><Relationship Id="rId461" Type="http://schemas.openxmlformats.org/officeDocument/2006/relationships/hyperlink" Target="https://extranet.who.int/lqsi/content/develop-appropriate-documented-induction-program-new-personnel" TargetMode="External"/><Relationship Id="rId559" Type="http://schemas.openxmlformats.org/officeDocument/2006/relationships/hyperlink" Target="https://extranet.who.int/lqsi/content/organize-regular-backup-computerized-systems" TargetMode="External"/><Relationship Id="rId766" Type="http://schemas.openxmlformats.org/officeDocument/2006/relationships/hyperlink" Target="https://extranet.who.int/lqsi/fr/content/formuler-les-objectifs-pour-lann%C3%A9e-suivante-en-se-conformant-sp%C3%A9cifiquement-au-syst%C3%A8me-de" TargetMode="External"/><Relationship Id="rId1189" Type="http://schemas.openxmlformats.org/officeDocument/2006/relationships/hyperlink" Target="https://extranet.who.int/lqsi/content/monitor-transportation-samples" TargetMode="External"/><Relationship Id="rId198" Type="http://schemas.openxmlformats.org/officeDocument/2006/relationships/hyperlink" Target="https://extranet.who.int/lqsi/fr/content/%C3%A9laborer-un-formulaire-de-demande-dexamen-de-laboratoire" TargetMode="External"/><Relationship Id="rId321" Type="http://schemas.openxmlformats.org/officeDocument/2006/relationships/hyperlink" Target="https://extranet.who.int/lqsi/es/content/redactar-e-implementar-un-poe-de-separaci%C3%B3n-y-eliminaci%C3%B3n-de-residuos" TargetMode="External"/><Relationship Id="rId419" Type="http://schemas.openxmlformats.org/officeDocument/2006/relationships/hyperlink" Target="https://extranet.who.int/lqsi/content/separate-laboratory-areas-prevent-cross-contamination-and-optimize-floor-plan" TargetMode="External"/><Relationship Id="rId626" Type="http://schemas.openxmlformats.org/officeDocument/2006/relationships/hyperlink" Target="https://extranet.who.int/lqsi/content/formulate-long-term-goals-laboratory" TargetMode="External"/><Relationship Id="rId973"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49" Type="http://schemas.openxmlformats.org/officeDocument/2006/relationships/hyperlink" Target="https://extranet.who.int/lqsi/es/content/identificar-los-posibles-conflictos-de-intereses-de-todos-los-miembros-del-personal" TargetMode="External"/><Relationship Id="rId1256" Type="http://schemas.openxmlformats.org/officeDocument/2006/relationships/hyperlink" Target="https://extranet.who.int/lqsi/fr/content/%C3%A9tablir-un-plan-daction-suite-au-rapport-daudit-externe-et-suivre-sa-mise-en-%C5%93uvre" TargetMode="External"/><Relationship Id="rId833" Type="http://schemas.openxmlformats.org/officeDocument/2006/relationships/hyperlink" Target="https://extranet.who.int/lqsi/fr/content/standardiser-la-m%C3%A9thode-destin%C3%A9e-%C3%A0-%C3%A9tablir-r%C3%A9viser-et-%C3%A9valuer-un-contrat-de-prestation-de" TargetMode="External"/><Relationship Id="rId1116" Type="http://schemas.openxmlformats.org/officeDocument/2006/relationships/hyperlink" Target="https://extranet.who.int/lqsi/content/create-procedure-hiring-new-staff-hiring-temporary-staff-and-having-guests" TargetMode="External"/><Relationship Id="rId265"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2" Type="http://schemas.openxmlformats.org/officeDocument/2006/relationships/hyperlink" Target="https://extranet.who.int/lqsi/content/write-sop-procurement-and-reception-equipment" TargetMode="External"/><Relationship Id="rId900"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323" Type="http://schemas.openxmlformats.org/officeDocument/2006/relationships/hyperlink" Target="https://extranet.who.int/lqsi/es/content/evaluar-la-eficacia-de-las-acciones-preventivas-pasos-de-control-y-acciones-correctivas-que" TargetMode="External"/><Relationship Id="rId125" Type="http://schemas.openxmlformats.org/officeDocument/2006/relationships/hyperlink" Target="https://extranet.who.int/lqsi/fr/content/r%C3%A9diger-un-manuel-de-s%C3%A9curit%C3%A9-biologique-et-sassurer-que-tout-le-personnel-la-lu-et-sign%C3%A9" TargetMode="External"/><Relationship Id="rId332" Type="http://schemas.openxmlformats.org/officeDocument/2006/relationships/hyperlink" Target="https://extranet.who.int/lqsi/es/content/redactar-e-implementar-un-poe-de-separaci%C3%B3n-y-eliminaci%C3%B3n-de-residuos" TargetMode="External"/><Relationship Id="rId777" Type="http://schemas.openxmlformats.org/officeDocument/2006/relationships/hyperlink" Target="https://extranet.who.int/lqsi/fr/content/%C3%A9laborer-un-manuel-de-la-qualit%C3%A9" TargetMode="External"/><Relationship Id="rId984" Type="http://schemas.openxmlformats.org/officeDocument/2006/relationships/hyperlink" Target="https://extranet.who.int/lqsi/es/content/garantizar-la-disponibilidad-de-suficientes-miembros-del-personal-capacitados-para-prestar" TargetMode="External"/><Relationship Id="rId637" Type="http://schemas.openxmlformats.org/officeDocument/2006/relationships/hyperlink" Target="https://extranet.who.int/lqsi/content/plan-purchasing-new-equipment-and-equipment-maintenance-annual-budget-planning" TargetMode="External"/><Relationship Id="rId844" Type="http://schemas.openxmlformats.org/officeDocument/2006/relationships/hyperlink" Target="https://extranet.who.int/lqsi/fr/content/commencer-%C3%A0-effectuer-tous-les-audits-internes-et-r%C3%A9diger-des-rapports-daudit" TargetMode="External"/><Relationship Id="rId1267" Type="http://schemas.openxmlformats.org/officeDocument/2006/relationships/hyperlink" Target="https://extranet.who.int/lqsi/content/write-sop-handling-complaints-and-start-follow-complaints-standardized-way" TargetMode="External"/><Relationship Id="rId276"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83" Type="http://schemas.openxmlformats.org/officeDocument/2006/relationships/hyperlink" Target="https://extranet.who.int/lqsi/content/develop-maintenance-and-usage-log-sheetslogbooks-each-piece-equipment" TargetMode="External"/><Relationship Id="rId690" Type="http://schemas.openxmlformats.org/officeDocument/2006/relationships/hyperlink" Target="https://extranet.who.int/lqsi/content/validate-all-examination-procedures-performed-laboratory" TargetMode="External"/><Relationship Id="rId704" Type="http://schemas.openxmlformats.org/officeDocument/2006/relationships/hyperlink" Target="https://extranet.who.int/lqsi/content/measure-satisfaction-clients-laboratory" TargetMode="External"/><Relationship Id="rId911"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127" Type="http://schemas.openxmlformats.org/officeDocument/2006/relationships/hyperlink" Target="https://extranet.who.int/lqsi/content/send-quality-officer-training-failure-mode-effect-analysis" TargetMode="External"/><Relationship Id="rId40" Type="http://schemas.openxmlformats.org/officeDocument/2006/relationships/hyperlink" Target="https://extranet.who.int/lqsi/content/appoint-quality-project-team-chair-team-appointed-quality-focal-point" TargetMode="External"/><Relationship Id="rId136" Type="http://schemas.openxmlformats.org/officeDocument/2006/relationships/hyperlink" Target="https://extranet.who.int/lqsi/fr/content/organiser-un-nettoyage-standardis%C3%A9-r%C3%A9gulier-du-laboratoire" TargetMode="External"/><Relationship Id="rId343" Type="http://schemas.openxmlformats.org/officeDocument/2006/relationships/hyperlink" Target="https://extranet.who.int/lqsi/es/content/organizar-la-limpieza-peri%C3%B3dica-y-normalizada-del-laboratorio" TargetMode="External"/><Relationship Id="rId550" Type="http://schemas.openxmlformats.org/officeDocument/2006/relationships/hyperlink" Target="https://extranet.who.int/lqsi/content/discuss-clients-laboratory-best-method-assure-result-reports-are-always-received-requester" TargetMode="External"/><Relationship Id="rId788" Type="http://schemas.openxmlformats.org/officeDocument/2006/relationships/hyperlink" Target="https://extranet.who.int/lqsi/fr/content/%C3%A9laborer-un-plan-annuel-qualit%C3%A9-pour-lann%C3%A9e-suivante-sur-la-base-des-conclusions-de-la-revue" TargetMode="External"/><Relationship Id="rId995" Type="http://schemas.openxmlformats.org/officeDocument/2006/relationships/hyperlink" Target="https://extranet.who.int/lqsi/es/content/disponer-un-espacio-de-almacenamiento-adecuado-y-unas-condiciones-correctas-para-las" TargetMode="External"/><Relationship Id="rId1180"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203" Type="http://schemas.openxmlformats.org/officeDocument/2006/relationships/hyperlink" Target="https://extranet.who.int/lqsi/fr/content/faire-des-pos-pour-tous-les-examens-r%C3%A9alis%C3%A9s-par-le-laboratoire" TargetMode="External"/><Relationship Id="rId648" Type="http://schemas.openxmlformats.org/officeDocument/2006/relationships/hyperlink" Target="https://extranet.who.int/lqsi/content/translate-quality-year-plan-smart-action-plan" TargetMode="External"/><Relationship Id="rId855"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040" Type="http://schemas.openxmlformats.org/officeDocument/2006/relationships/hyperlink" Target="https://extranet.who.int/lqsi/es/content/realizar-una-revisi%C3%B3n-por-parte-de-la-direcci%C3%B3n-al-final-del-a%C3%B1o-de-calidad" TargetMode="External"/><Relationship Id="rId1278" Type="http://schemas.openxmlformats.org/officeDocument/2006/relationships/hyperlink" Target="https://extranet.who.int/lqsi/fr/content/r%C3%A9diger-une-pos-relative-au-traitement-des-plaintes-et-initier-le-suivi-des-plaintes-dune" TargetMode="External"/><Relationship Id="rId287"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0" Type="http://schemas.openxmlformats.org/officeDocument/2006/relationships/hyperlink" Target="https://extranet.who.int/lqsi/es/content/redactar-poe-para-todas-las-pruebas-que-se-realizan-en-el-laboratorio" TargetMode="External"/><Relationship Id="rId494" Type="http://schemas.openxmlformats.org/officeDocument/2006/relationships/hyperlink" Target="https://extranet.who.int/lqsi/content/decide-method-maintenance-and-calibration-each-piece-equipment" TargetMode="External"/><Relationship Id="rId508" Type="http://schemas.openxmlformats.org/officeDocument/2006/relationships/hyperlink" Target="https://extranet.who.int/lqsi/content/store-supplies-appropriately" TargetMode="External"/><Relationship Id="rId715" Type="http://schemas.openxmlformats.org/officeDocument/2006/relationships/hyperlink" Target="https://extranet.who.int/lqsi/content/start-carry-out-all-internal-audits-and-write-audit-reports" TargetMode="External"/><Relationship Id="rId922"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8" Type="http://schemas.openxmlformats.org/officeDocument/2006/relationships/hyperlink" Target="https://extranet.who.int/lqsi/fr/content/veiller-%C3%A0-ce-que-lensemble-des-membres-du-personnel-participe-aux-programmes-dassurance-de" TargetMode="External"/><Relationship Id="rId147" Type="http://schemas.openxmlformats.org/officeDocument/2006/relationships/hyperlink" Target="https://extranet.who.int/lqsi/fr/content/%C3%A9laborer-et-utiliser-des-plans-daction-d%C3%A9finissant-les-actions-%C3%A0-mener-selon-la-m%C3%A9thode" TargetMode="External"/><Relationship Id="rId354" Type="http://schemas.openxmlformats.org/officeDocument/2006/relationships/hyperlink" Target="https://extranet.who.int/lqsi/es/content/formular-y-utilizar-planes-de-acci%C3%B3n-con-puntos-de-acci%C3%B3n-smart" TargetMode="External"/><Relationship Id="rId799" Type="http://schemas.openxmlformats.org/officeDocument/2006/relationships/hyperlink" Target="https://extranet.who.int/lqsi/fr/content/standardiser-la-m%C3%A9thode-permettant-de-choisir-les-fournisseurs-et-d%C3%A9valuer-les-contrats" TargetMode="External"/><Relationship Id="rId1191" Type="http://schemas.openxmlformats.org/officeDocument/2006/relationships/hyperlink" Target="https://extranet.who.int/lqsi/content/monitor-transportation-samples" TargetMode="External"/><Relationship Id="rId1205" Type="http://schemas.openxmlformats.org/officeDocument/2006/relationships/hyperlink" Target="https://extranet.who.int/lqsi/fr/content/identifier-et-commencer-%C3%A0-suivre-les-param%C3%A8tres-critiques-indicateurs-de-qualit%C3%A9" TargetMode="External"/><Relationship Id="rId51" Type="http://schemas.openxmlformats.org/officeDocument/2006/relationships/hyperlink" Target="https://extranet.who.int/lqsi/content/appoint-biosafety-officer" TargetMode="External"/><Relationship Id="rId561" Type="http://schemas.openxmlformats.org/officeDocument/2006/relationships/hyperlink" Target="https://extranet.who.int/lqsi/content/create-document-retention-list-determine-storage-time-and-location-all-types-documents-used" TargetMode="External"/><Relationship Id="rId659" Type="http://schemas.openxmlformats.org/officeDocument/2006/relationships/hyperlink" Target="https://extranet.who.int/lqsi/content/develop-quality-year-plan-following-year-based-conclusions-management-review" TargetMode="External"/><Relationship Id="rId866"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289"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4"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98"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21" Type="http://schemas.openxmlformats.org/officeDocument/2006/relationships/hyperlink" Target="https://extranet.who.int/lqsi/content/separate-laboratory-areas-prevent-cross-contamination-and-optimize-floor-plan" TargetMode="External"/><Relationship Id="rId519" Type="http://schemas.openxmlformats.org/officeDocument/2006/relationships/hyperlink" Target="https://extranet.who.int/lqsi/content/develop-sample-acceptationrejection-criteria" TargetMode="External"/><Relationship Id="rId1051" Type="http://schemas.openxmlformats.org/officeDocument/2006/relationships/hyperlink" Target="https://extranet.who.int/lqsi/es/content/crear-una-matriz-de-sustituci%C3%B3n-de-personal" TargetMode="External"/><Relationship Id="rId1149"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58" Type="http://schemas.openxmlformats.org/officeDocument/2006/relationships/hyperlink" Target="https://extranet.who.int/lqsi/fr/content/d%C3%A9signer-un-responsable-de-l%C3%A9quipement-de-laboratoire" TargetMode="External"/><Relationship Id="rId726" Type="http://schemas.openxmlformats.org/officeDocument/2006/relationships/hyperlink" Target="https://extranet.who.int/lqsi/fr/content/veiller-%C3%A0-ce-quun-nombre-suffisant-de-membres-du-personnel-poss%C3%A8dent-une-formation-de" TargetMode="External"/><Relationship Id="rId933"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09" Type="http://schemas.openxmlformats.org/officeDocument/2006/relationships/hyperlink" Target="https://extranet.who.int/lqsi/es/content/formular-los-objetivos-largo-plazo-del-laboratorio" TargetMode="External"/><Relationship Id="rId62" Type="http://schemas.openxmlformats.org/officeDocument/2006/relationships/hyperlink" Target="https://extranet.who.int/lqsi/content/make-organizational-charts" TargetMode="External"/><Relationship Id="rId365" Type="http://schemas.openxmlformats.org/officeDocument/2006/relationships/hyperlink" Target="https://extranet.who.int/lqsi/es/content/designar-un-encargado-de-equipos" TargetMode="External"/><Relationship Id="rId572" Type="http://schemas.openxmlformats.org/officeDocument/2006/relationships/hyperlink" Target="https://extranet.who.int/lqsi/content/roll-out-document-control-system" TargetMode="External"/><Relationship Id="rId1216" Type="http://schemas.openxmlformats.org/officeDocument/2006/relationships/hyperlink" Target="https://extranet.who.int/lqsi/es/content/elaborar-un-poe-que-cubra-las-diversas-actividades-de-apoyo-como-la-limpieza-del-laboratorio" TargetMode="External"/><Relationship Id="rId225"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2" Type="http://schemas.openxmlformats.org/officeDocument/2006/relationships/hyperlink" Target="https://extranet.who.int/lqsi/content/make-inventory-list-all-hazardous-materials-and-their-location-within-facility" TargetMode="External"/><Relationship Id="rId877" Type="http://schemas.openxmlformats.org/officeDocument/2006/relationships/hyperlink" Target="https://extranet.who.int/lqsi/ru/content/%D1%81%D1%84%D0%BE%D1%80%D0%BC%D1%83%D0%BB%D0%B8%D1%80%D1%83%D0%B9%D1%82%D0%B5-%D0%BC%D0%B8%D1%81%D1%81%D0%B8%D1%8E-%D0%BB%D0%B0%D0%B1%D0%BE%D1%80%D0%B0%D1%82%D0%BE%D1%80%D0%B8%D1%8E" TargetMode="External"/><Relationship Id="rId1062" Type="http://schemas.openxmlformats.org/officeDocument/2006/relationships/hyperlink" Target="https://extranet.who.int/lqsi/es/content/crear-un-procedimiento-para-la-selecci%C3%B3n-y-el-seguimiento-peri%C3%B3dico-del-funcionamiento-de" TargetMode="External"/><Relationship Id="rId737" Type="http://schemas.openxmlformats.org/officeDocument/2006/relationships/hyperlink" Target="https://extranet.who.int/lqsi/fr/content/am%C3%A9nager-un-local-destin%C3%A9-au-pr%C3%A9l%C3%A8vement-d%C3%A9chantillons-primaires-s%C3%A9par%C3%A9-du-laboratoire" TargetMode="External"/><Relationship Id="rId944"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73" Type="http://schemas.openxmlformats.org/officeDocument/2006/relationships/hyperlink" Target="https://extranet.who.int/lqsi/content/make-authorization-matrix" TargetMode="External"/><Relationship Id="rId169" Type="http://schemas.openxmlformats.org/officeDocument/2006/relationships/hyperlink" Target="https://extranet.who.int/lqsi/fr/content/susciter-lengagement-en-vue-de-lobtention-de-laccr%C3%A9ditation" TargetMode="External"/><Relationship Id="rId376" Type="http://schemas.openxmlformats.org/officeDocument/2006/relationships/hyperlink" Target="https://extranet.who.int/lqsi/es/content/crear-organigramas" TargetMode="External"/><Relationship Id="rId583" Type="http://schemas.openxmlformats.org/officeDocument/2006/relationships/hyperlink" Target="https://extranet.who.int/lqsi/content/document-biological-reference-intervalsdecision-values-all-examinations-performed" TargetMode="External"/><Relationship Id="rId790" Type="http://schemas.openxmlformats.org/officeDocument/2006/relationships/hyperlink" Target="https://extranet.who.int/lqsi/fr/content/identifier-les-conflits-dint%C3%A9r%C3%AAts-potentiels-pour-chaque-membre-du-personnel" TargetMode="External"/><Relationship Id="rId804" Type="http://schemas.openxmlformats.org/officeDocument/2006/relationships/hyperlink" Target="https://extranet.who.int/lqsi/fr/content/%C3%A9tablir-une-proc%C3%A9dure-pour-la-s%C3%A9lection-et-le-suivi-r%C3%A9gulier-du-fonctionnement-de" TargetMode="External"/><Relationship Id="rId1227" Type="http://schemas.openxmlformats.org/officeDocument/2006/relationships/hyperlink" Target="https://extranet.who.int/lqsi/content/participate-clinical-roundsschedule-regular-discussions-clinical-staff-harmonize-services" TargetMode="External"/><Relationship Id="rId4" Type="http://schemas.openxmlformats.org/officeDocument/2006/relationships/hyperlink" Target="https://extranet.who.int/lqsi/content/perform-facility-and-safety-assessment" TargetMode="External"/><Relationship Id="rId236"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3" Type="http://schemas.openxmlformats.org/officeDocument/2006/relationships/hyperlink" Target="https://extranet.who.int/lqsi/content/appoint-quality-officer" TargetMode="External"/><Relationship Id="rId650" Type="http://schemas.openxmlformats.org/officeDocument/2006/relationships/hyperlink" Target="https://extranet.who.int/lqsi/content/develop-quality-manual" TargetMode="External"/><Relationship Id="rId888"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3" Type="http://schemas.openxmlformats.org/officeDocument/2006/relationships/hyperlink" Target="https://extranet.who.int/lqsi/es/content/realizar-el-seguimiento-del-cumplimiento-de-los-plazos-de-entrega-determinados-para-cada" TargetMode="External"/><Relationship Id="rId1280" Type="http://schemas.openxmlformats.org/officeDocument/2006/relationships/hyperlink" Target="https://extranet.who.int/lqsi/fr/content/identifier-les-situations-durgence-potentielles-qui-pourraient-survenir-dans-le-laboratoire" TargetMode="External"/><Relationship Id="rId303"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748" Type="http://schemas.openxmlformats.org/officeDocument/2006/relationships/hyperlink" Target="https://extranet.who.int/lqsi/fr/content/formuler-la-vision-du-laboratoire-sa-raison-d%C3%AAtre" TargetMode="External"/><Relationship Id="rId955"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40" Type="http://schemas.openxmlformats.org/officeDocument/2006/relationships/hyperlink" Target="https://extranet.who.int/lqsi/fr/content/convier-le-responsable-qualit%C3%A9-%C3%A0-une-formation-sur-lanalyse-des-modes-de-d%C3%A9faillance-et-de" TargetMode="External"/><Relationship Id="rId84" Type="http://schemas.openxmlformats.org/officeDocument/2006/relationships/hyperlink" Target="https://extranet.who.int/lqsi/content/make-equipment-register-and-check-proper-functioning-equipment" TargetMode="External"/><Relationship Id="rId387" Type="http://schemas.openxmlformats.org/officeDocument/2006/relationships/hyperlink" Target="https://extranet.who.int/lqsi/es/content/crear-una-matriz-de-autorizaci%C3%B3n" TargetMode="External"/><Relationship Id="rId510" Type="http://schemas.openxmlformats.org/officeDocument/2006/relationships/hyperlink" Target="https://extranet.who.int/lqsi/content/store-supplies-appropriately" TargetMode="External"/><Relationship Id="rId594" Type="http://schemas.openxmlformats.org/officeDocument/2006/relationships/hyperlink" Target="https://extranet.who.int/lqsi/content/write-sop-external-quality-assessment-procedures" TargetMode="External"/><Relationship Id="rId608" Type="http://schemas.openxmlformats.org/officeDocument/2006/relationships/hyperlink" Target="https://extranet.who.int/lqsi/content/create-primary-sample-collection-facility-separate-laboratory" TargetMode="External"/><Relationship Id="rId815" Type="http://schemas.openxmlformats.org/officeDocument/2006/relationships/hyperlink" Target="https://extranet.who.int/lqsi/fr/content/surveiller-les-temps-dobtention-des-r%C3%A9sultats-de-chaque-examen" TargetMode="External"/><Relationship Id="rId1238" Type="http://schemas.openxmlformats.org/officeDocument/2006/relationships/hyperlink" Target="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TargetMode="External"/><Relationship Id="rId247"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899"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00" Type="http://schemas.openxmlformats.org/officeDocument/2006/relationships/hyperlink" Target="https://extranet.who.int/lqsi/es/content/disponer-un-espacio-de-almacenamiento-adecuado-y-unas-condiciones-correctas-para-las" TargetMode="External"/><Relationship Id="rId1084" Type="http://schemas.openxmlformats.org/officeDocument/2006/relationships/hyperlink" Target="https://extranet.who.int/lqsi/es/content/restringir-el-acceso-los-datos-digitales-del-laboratorio-tanto-f%C3%ADsicos-como-virtuales" TargetMode="External"/><Relationship Id="rId1305" Type="http://schemas.openxmlformats.org/officeDocument/2006/relationships/hyperlink" Target="https://extranet.who.int/lqsi/es/content/identificar-posibles-emergencias-que-se-puedan-producir-en-el-laboratorio-y-sus-alrededores" TargetMode="External"/><Relationship Id="rId107" Type="http://schemas.openxmlformats.org/officeDocument/2006/relationships/hyperlink" Target="https://extranet.who.int/lqsi/fr/content/effectuer-une-%C3%A9valuation-des-b%C3%A2timents-et-de-la-s%C3%A9curit%C3%A9" TargetMode="External"/><Relationship Id="rId454" Type="http://schemas.openxmlformats.org/officeDocument/2006/relationships/hyperlink" Target="https://extranet.who.int/lqsi/content/perform-staff-competency-assessments" TargetMode="External"/><Relationship Id="rId661" Type="http://schemas.openxmlformats.org/officeDocument/2006/relationships/hyperlink" Target="https://extranet.who.int/lqsi/content/develop-quality-year-plan-following-year-based-conclusions-management-review" TargetMode="External"/><Relationship Id="rId759" Type="http://schemas.openxmlformats.org/officeDocument/2006/relationships/hyperlink" Target="https://extranet.who.int/lqsi/fr/content/formuler-la-politique-de-la-qualit%C3%A9" TargetMode="External"/><Relationship Id="rId966"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291"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1" Type="http://schemas.openxmlformats.org/officeDocument/2006/relationships/hyperlink" Target="https://extranet.who.int/lqsi/content/write-and-implement-sop-waste-segregation-and-disposal" TargetMode="External"/><Relationship Id="rId314" Type="http://schemas.openxmlformats.org/officeDocument/2006/relationships/hyperlink" Target="https://extranet.who.int/lqsi/es/content/determinar-el-nivel-de-bioseguridad-que-deben-cumplir-las-instalaciones" TargetMode="External"/><Relationship Id="rId398" Type="http://schemas.openxmlformats.org/officeDocument/2006/relationships/hyperlink" Target="https://extranet.who.int/lqsi/es/content/crear-un-registro-de-equipos-y-comprobar-el-adecuado-funcionamiento-de-los-equipos" TargetMode="External"/><Relationship Id="rId521" Type="http://schemas.openxmlformats.org/officeDocument/2006/relationships/hyperlink" Target="https://extranet.who.int/lqsi/content/write-sop-sample-collection" TargetMode="External"/><Relationship Id="rId619" Type="http://schemas.openxmlformats.org/officeDocument/2006/relationships/hyperlink" Target="https://extranet.who.int/lqsi/content/define-length-storagearchiving-different-items-retention-list" TargetMode="External"/><Relationship Id="rId1151" Type="http://schemas.openxmlformats.org/officeDocument/2006/relationships/hyperlink" Target="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TargetMode="External"/><Relationship Id="rId1249" Type="http://schemas.openxmlformats.org/officeDocument/2006/relationships/hyperlink" Target="https://extranet.who.int/lqsi/es/content/participar-en-rondas-cl%C3%ADnicas-y-programar-debates-peri%C3%B3dicos-con-personal-cl%C3%ADnico-para" TargetMode="External"/><Relationship Id="rId95" Type="http://schemas.openxmlformats.org/officeDocument/2006/relationships/hyperlink" Target="https://extranet.who.int/lqsi/content/develop-request-form-laboratory-testing" TargetMode="External"/><Relationship Id="rId160" Type="http://schemas.openxmlformats.org/officeDocument/2006/relationships/hyperlink" Target="https://extranet.who.int/lqsi/fr/content/d%C3%A9signer-un-membre-du-personnel-responsable-du-suivi-du-stock-et-de-la-commande-de" TargetMode="External"/><Relationship Id="rId826" Type="http://schemas.openxmlformats.org/officeDocument/2006/relationships/hyperlink" Target="https://extranet.who.int/lqsi/fr/content/restreindre-lacc%C3%A8s-aux-donn%C3%A9es-informatis%C3%A9es-du-laboratoire-acc%C3%A8s-physique-et-virtuel" TargetMode="External"/><Relationship Id="rId1011" Type="http://schemas.openxmlformats.org/officeDocument/2006/relationships/hyperlink" Target="https://extranet.who.int/lqsi/es/content/formular-los-objetivos-largo-plazo-del-laboratorio" TargetMode="External"/><Relationship Id="rId1109" Type="http://schemas.openxmlformats.org/officeDocument/2006/relationships/hyperlink" Target="https://extranet.who.int/lqsi/content/identify-potential-conflicts-interest-every-staff-member" TargetMode="External"/><Relationship Id="rId258"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5" Type="http://schemas.openxmlformats.org/officeDocument/2006/relationships/hyperlink" Target="https://extranet.who.int/lqsi/content/organize-performance-appraisals-staff-members" TargetMode="External"/><Relationship Id="rId672" Type="http://schemas.openxmlformats.org/officeDocument/2006/relationships/hyperlink" Target="https://extranet.who.int/lqsi/content/standardize-method-choosing-suppliers-and-evaluating-contracts-purchasing-and-delivery-goods" TargetMode="External"/><Relationship Id="rId1095" Type="http://schemas.openxmlformats.org/officeDocument/2006/relationships/hyperlink" Target="https://extranet.who.int/lqsi/es/content/disponer-que-el-encargado-de-la-calidad-y-otros-miembros-de-personal-reciban-formaci%C3%B3n-para" TargetMode="External"/><Relationship Id="rId1316"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2" Type="http://schemas.openxmlformats.org/officeDocument/2006/relationships/hyperlink" Target="https://extranet.who.int/lqsi/content/write-biosafety-manual-and-make-sure-it-read-and-signed-all-staff" TargetMode="External"/><Relationship Id="rId118" Type="http://schemas.openxmlformats.org/officeDocument/2006/relationships/hyperlink" Target="https://extranet.who.int/lqsi/fr/content/r%C3%A9diger-et-mettre-en-%C5%93uvre-une-pos-pour-la-s%C3%A9paration-des-d%C3%A9chets-et-leur-%C3%A9limination" TargetMode="External"/><Relationship Id="rId325" Type="http://schemas.openxmlformats.org/officeDocument/2006/relationships/hyperlink" Target="https://extranet.who.int/lqsi/es/content/redactar-e-implementar-un-poe-de-separaci%C3%B3n-y-eliminaci%C3%B3n-de-residuos" TargetMode="External"/><Relationship Id="rId532" Type="http://schemas.openxmlformats.org/officeDocument/2006/relationships/hyperlink" Target="https://extranet.who.int/lqsi/content/formulate-and-start-monitoring-internal-quality-controls" TargetMode="External"/><Relationship Id="rId977"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2" Type="http://schemas.openxmlformats.org/officeDocument/2006/relationships/hyperlink" Target="https://extranet.who.int/lqsi/es/content/establecer-un-programa-de-formaci%C3%B3n-continua" TargetMode="External"/><Relationship Id="rId171" Type="http://schemas.openxmlformats.org/officeDocument/2006/relationships/hyperlink" Target="https://extranet.who.int/lqsi/fr/content/enseigner-au-personnel-les-principes-de-base-de-la-gestion-de-la-qualit%C3%A9-et-proposer-un" TargetMode="External"/><Relationship Id="rId837" Type="http://schemas.openxmlformats.org/officeDocument/2006/relationships/hyperlink" Target="https://extranet.who.int/lqsi/fr/content/organiser-la-formation-du-responsable-qualit%C3%A9-et-dautres-membres-du-personnel-en-tant" TargetMode="External"/><Relationship Id="rId1022" Type="http://schemas.openxmlformats.org/officeDocument/2006/relationships/hyperlink" Target="https://extranet.who.int/lqsi/es/content/realizar-la-previsi%C3%B3n-de-compras-de-nuevos-equipos-y-de-mantenimiento-de-equipos-en-la" TargetMode="External"/><Relationship Id="rId269"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6" Type="http://schemas.openxmlformats.org/officeDocument/2006/relationships/hyperlink" Target="https://extranet.who.int/lqsi/content/write-sop-procurement-and-reception-equipment" TargetMode="External"/><Relationship Id="rId683" Type="http://schemas.openxmlformats.org/officeDocument/2006/relationships/hyperlink" Target="https://extranet.who.int/lqsi/content/monitor-adherence-turnaround-times-determined-each-examination" TargetMode="External"/><Relationship Id="rId890"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4"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3" Type="http://schemas.openxmlformats.org/officeDocument/2006/relationships/hyperlink" Target="https://extranet.who.int/lqsi/content/arrange-standardized-regular-cleaning-laboratory" TargetMode="External"/><Relationship Id="rId129" Type="http://schemas.openxmlformats.org/officeDocument/2006/relationships/hyperlink" Target="https://extranet.who.int/lqsi/fr/content/r%C3%A9diger-un-manuel-de-s%C3%A9curit%C3%A9-biologique-et-sassurer-que-tout-le-personnel-la-lu-et-sign%C3%A9" TargetMode="External"/><Relationship Id="rId336" Type="http://schemas.openxmlformats.org/officeDocument/2006/relationships/hyperlink" Target="https://extranet.who.int/lqsi/es/content/redactar-un-manual-de-bioseguridad-y-asegurarse-de-que-todo-el-personal-lo-lee-y-lo-firma" TargetMode="External"/><Relationship Id="rId543" Type="http://schemas.openxmlformats.org/officeDocument/2006/relationships/hyperlink" Target="https://extranet.who.int/lqsi/content/make-fixed-format-result-reports" TargetMode="External"/><Relationship Id="rId988" Type="http://schemas.openxmlformats.org/officeDocument/2006/relationships/hyperlink" Target="https://extranet.who.int/lqsi/es/content/crear-un-laboratorio-de-presi%C3%B3n-negativa-cuando-el-laboratorio-trabaje-con-agentes-pat%C3%B3genos" TargetMode="External"/><Relationship Id="rId1173" Type="http://schemas.openxmlformats.org/officeDocument/2006/relationships/hyperlink" Target="https://extranet.who.int/lqsi/fr/content/valider-toutes-les-unit%C3%A9s-d%C3%A9quipement-utilis%C3%A9es-pour-les-examens-r%C3%A9alis%C3%A9s-dans-le" TargetMode="External"/><Relationship Id="rId182" Type="http://schemas.openxmlformats.org/officeDocument/2006/relationships/hyperlink" Target="https://extranet.who.int/lqsi/fr/content/%C3%A9tablir-un-descriptif-personnalis%C3%A9-de-poste-sp%C3%A9cifique-%C3%A0-chaque-membre-du-personnel" TargetMode="External"/><Relationship Id="rId403" Type="http://schemas.openxmlformats.org/officeDocument/2006/relationships/hyperlink" Target="https://extranet.who.int/lqsi/es/content/preparar-tarjetas-de-existencias-y-establecer-el-sistema-de-gesti%C3%B3n-del-inventario" TargetMode="External"/><Relationship Id="rId750" Type="http://schemas.openxmlformats.org/officeDocument/2006/relationships/hyperlink" Target="https://extranet.who.int/lqsi/fr/content/formuler-la-mission-du-laboratoire" TargetMode="External"/><Relationship Id="rId848" Type="http://schemas.openxmlformats.org/officeDocument/2006/relationships/hyperlink" Target="https://extranet.who.int/lqsi/fr/content/formuler-un-plan-daction-fond%C3%A9-sur-le-rapport-daudit-et-suivre-sa-mise-en-%C5%93uvre" TargetMode="External"/><Relationship Id="rId1033" Type="http://schemas.openxmlformats.org/officeDocument/2006/relationships/hyperlink" Target="https://extranet.who.int/lqsi/es/content/traducir-el-plan-anual-de-calidad-en-un-plan-de-acci%C3%B3n-smart" TargetMode="External"/><Relationship Id="rId487" Type="http://schemas.openxmlformats.org/officeDocument/2006/relationships/hyperlink" Target="https://extranet.who.int/lqsi/content/develop-maintenance-and-usage-log-sheetslogbooks-each-piece-equipment" TargetMode="External"/><Relationship Id="rId610" Type="http://schemas.openxmlformats.org/officeDocument/2006/relationships/hyperlink" Target="https://extranet.who.int/lqsi/content/create-primary-sample-collection-facility-separate-laboratory" TargetMode="External"/><Relationship Id="rId694" Type="http://schemas.openxmlformats.org/officeDocument/2006/relationships/hyperlink" Target="https://extranet.who.int/lqsi/content/establish-archive-ensuring-protection-laboratory-information-also-enables-quick-retrieval" TargetMode="External"/><Relationship Id="rId708" Type="http://schemas.openxmlformats.org/officeDocument/2006/relationships/hyperlink" Target="https://extranet.who.int/lqsi/content/arrange-quality-officer-and-other-staff-members-are-trained-internal-auditors" TargetMode="External"/><Relationship Id="rId915"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240"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47" Type="http://schemas.openxmlformats.org/officeDocument/2006/relationships/hyperlink" Target="https://extranet.who.int/lqsi/es/content/adquirir-kits-para-derrames-y-redactar-e-implementar-un-poe-de-control-de-derrames" TargetMode="External"/><Relationship Id="rId999" Type="http://schemas.openxmlformats.org/officeDocument/2006/relationships/hyperlink" Target="https://extranet.who.int/lqsi/es/content/disponer-un-espacio-de-almacenamiento-adecuado-y-unas-condiciones-correctas-para-las" TargetMode="External"/><Relationship Id="rId1100" Type="http://schemas.openxmlformats.org/officeDocument/2006/relationships/hyperlink" Target="https://extranet.who.int/lqsi/es/content/hacer-un-plan-de-auditor%C3%ADa-interna-para-los-pr%C3%B3ximos-12%C2%A0meses" TargetMode="External"/><Relationship Id="rId1184" Type="http://schemas.openxmlformats.org/officeDocument/2006/relationships/hyperlink" Target="https://extranet.who.int/lqsi/es/content/determinar-y-corregir-la-posible-influencia-negativa-sobre-los-resultados-de-an%C3%A1lisis" TargetMode="External"/><Relationship Id="rId44" Type="http://schemas.openxmlformats.org/officeDocument/2006/relationships/hyperlink" Target="https://extranet.who.int/lqsi/content/make-and-use-action-plans-smart-action-points" TargetMode="External"/><Relationship Id="rId554" Type="http://schemas.openxmlformats.org/officeDocument/2006/relationships/hyperlink" Target="https://extranet.who.int/lqsi/content/write-sop-recording-reporting-and-archiving-results" TargetMode="External"/><Relationship Id="rId761" Type="http://schemas.openxmlformats.org/officeDocument/2006/relationships/hyperlink" Target="https://extranet.who.int/lqsi/fr/content/formuler-la-politique-de-la-qualit%C3%A9" TargetMode="External"/><Relationship Id="rId859"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93" Type="http://schemas.openxmlformats.org/officeDocument/2006/relationships/hyperlink" Target="https://extranet.who.int/lqsi/fr/content/r%C3%A9diger-des-proc%C3%A9dures-pour-lutilisation-de-l%C3%A9quipement" TargetMode="External"/><Relationship Id="rId207" Type="http://schemas.openxmlformats.org/officeDocument/2006/relationships/hyperlink" Target="https://extranet.who.int/lqsi/fr/content/effectuer-une-%C3%A9valuation-de-la-situation-initiale-du-laboratoire" TargetMode="External"/><Relationship Id="rId414" Type="http://schemas.openxmlformats.org/officeDocument/2006/relationships/hyperlink" Target="https://extranet.who.int/lqsi/es/content/redactar-un-poe-principal" TargetMode="External"/><Relationship Id="rId498" Type="http://schemas.openxmlformats.org/officeDocument/2006/relationships/hyperlink" Target="https://extranet.who.int/lqsi/content/define-sop-maintenance-schedule-all-listed-equipment" TargetMode="External"/><Relationship Id="rId621" Type="http://schemas.openxmlformats.org/officeDocument/2006/relationships/hyperlink" Target="https://extranet.who.int/lqsi/content/formulate-vision-laboratory-reason-why-laboratory-exists" TargetMode="External"/><Relationship Id="rId1044" Type="http://schemas.openxmlformats.org/officeDocument/2006/relationships/hyperlink" Target="https://extranet.who.int/lqsi/es/content/desarrollar-un-plan-anual-de-calidad-para-el-pr%C3%B3ximo-a%C3%B1o-partir-de-las-conclusiones-de-la" TargetMode="External"/><Relationship Id="rId1251" Type="http://schemas.openxmlformats.org/officeDocument/2006/relationships/hyperlink" Target="https://extranet.who.int/lqsi/content/make-action-plan-following-report-external-audit-and-monitor-its-implementation" TargetMode="External"/><Relationship Id="rId260"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719" Type="http://schemas.openxmlformats.org/officeDocument/2006/relationships/hyperlink" Target="https://extranet.who.int/lqsi/content/formulate-action-plan-based-audit-report-and-monitor-its-implementation" TargetMode="External"/><Relationship Id="rId926"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1" Type="http://schemas.openxmlformats.org/officeDocument/2006/relationships/hyperlink" Target="https://extranet.who.int/lqsi/content/update-method-performing-management-review" TargetMode="External"/><Relationship Id="rId55" Type="http://schemas.openxmlformats.org/officeDocument/2006/relationships/hyperlink" Target="https://extranet.who.int/lqsi/content/appoint-equipment-officer" TargetMode="External"/><Relationship Id="rId120" Type="http://schemas.openxmlformats.org/officeDocument/2006/relationships/hyperlink" Target="https://extranet.who.int/lqsi/fr/content/r%C3%A9diger-et-mettre-en-%C5%93uvre-une-pos-pour-la-s%C3%A9paration-des-d%C3%A9chets-et-leur-%C3%A9limination" TargetMode="External"/><Relationship Id="rId358" Type="http://schemas.openxmlformats.org/officeDocument/2006/relationships/hyperlink" Target="https://extranet.who.int/lqsi/es/content/empezar-organizar-reuniones-de-personal-regulares-semanales" TargetMode="External"/><Relationship Id="rId565" Type="http://schemas.openxmlformats.org/officeDocument/2006/relationships/hyperlink" Target="https://extranet.who.int/lqsi/content/design-document-revision-form" TargetMode="External"/><Relationship Id="rId772" Type="http://schemas.openxmlformats.org/officeDocument/2006/relationships/hyperlink" Target="https://extranet.who.int/lqsi/fr/content/transcrire-le-plan-annuel-qualit%C3%A9-en-actions-%C3%A0-mener-selon-la-m%C3%A9thode-smart" TargetMode="External"/><Relationship Id="rId1195" Type="http://schemas.openxmlformats.org/officeDocument/2006/relationships/hyperlink" Target="https://extranet.who.int/lqsi/content/identify-and-start-monitoring-critical-parameters-quality-indicators" TargetMode="External"/><Relationship Id="rId1209" Type="http://schemas.openxmlformats.org/officeDocument/2006/relationships/hyperlink" Target="https://extranet.who.int/lqsi/ru/content/%D1%81%D0%BB%D0%B5%D0%B4%D0%B8%D1%82%D0%B5-%D0%B7%D0%B0-%D1%82%D1%80%D0%B0%D0%BD%D1%81%D0%BF%D0%BE%D1%80%D1%82%D0%B8%D1%80%D0%BE%D0%B2%D0%BA%D0%BE%D0%B9-%D0%BF%D1%80%D0%BE%D0%B1" TargetMode="External"/><Relationship Id="rId21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5" Type="http://schemas.openxmlformats.org/officeDocument/2006/relationships/hyperlink" Target="https://extranet.who.int/lqsi/content/optimize-communication-channels-within-laboratory-building-appropriate-size-building" TargetMode="External"/><Relationship Id="rId632" Type="http://schemas.openxmlformats.org/officeDocument/2006/relationships/hyperlink" Target="https://extranet.who.int/lqsi/content/formulate-quality-policy" TargetMode="External"/><Relationship Id="rId1055" Type="http://schemas.openxmlformats.org/officeDocument/2006/relationships/hyperlink" Target="https://extranet.who.int/lqsi/es/content/normalizar-el-m%C3%A9todo-para-escoger-proveedores-y-para-evaluar-los-contratos-de-compra-y" TargetMode="External"/><Relationship Id="rId1262" Type="http://schemas.openxmlformats.org/officeDocument/2006/relationships/hyperlink" Target="https://extranet.who.int/lqsi/es/content/organizar-una-auditor%C3%ADa-externa-para-identificar-las-%C3%BAltimas-mejoras-necesarias-para-la" TargetMode="External"/><Relationship Id="rId271"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7"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2" Type="http://schemas.openxmlformats.org/officeDocument/2006/relationships/hyperlink" Target="https://extranet.who.int/lqsi/content/establish-continuous-education-programme" TargetMode="External"/><Relationship Id="rId66" Type="http://schemas.openxmlformats.org/officeDocument/2006/relationships/hyperlink" Target="https://extranet.who.int/lqsi/content/provide-staff-basic-orientation-principles-quality-management-and-quality-management-system" TargetMode="External"/><Relationship Id="rId131" Type="http://schemas.openxmlformats.org/officeDocument/2006/relationships/hyperlink" Target="https://extranet.who.int/lqsi/fr/content/r%C3%A9diger-un-manuel-de-s%C3%A9curit%C3%A9-biologique-et-sassurer-que-tout-le-personnel-la-lu-et-sign%C3%A9" TargetMode="External"/><Relationship Id="rId369" Type="http://schemas.openxmlformats.org/officeDocument/2006/relationships/hyperlink" Target="https://extranet.who.int/lqsi/es/content/designar-un-miembro-del-personal-responsable-de-realizar-el-seguimiento-de-las-existencias-y" TargetMode="External"/><Relationship Id="rId576" Type="http://schemas.openxmlformats.org/officeDocument/2006/relationships/hyperlink" Target="https://extranet.who.int/lqsi/content/create-archive-dedicated-quality-management-documentation" TargetMode="External"/><Relationship Id="rId783" Type="http://schemas.openxmlformats.org/officeDocument/2006/relationships/hyperlink" Target="https://extranet.who.int/lqsi/fr/content/r%C3%A9aliser-une-revue-de-direction-%C3%A0-la-fin-de-lann%C3%A9e-couverte-par-le-plan-qualit%C3%A9" TargetMode="External"/><Relationship Id="rId990" Type="http://schemas.openxmlformats.org/officeDocument/2006/relationships/hyperlink" Target="https://extranet.who.int/lqsi/es/content/crear-una-instalaci%C3%B3n-de-obtenci%C3%B3n-de-muestras-primarias-separada-del-laboratorio" TargetMode="External"/><Relationship Id="rId229"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36" Type="http://schemas.openxmlformats.org/officeDocument/2006/relationships/hyperlink" Target="https://extranet.who.int/lqsi/content/monitor-and-record-environmental-parameters-and-equipment-parameters" TargetMode="External"/><Relationship Id="rId643" Type="http://schemas.openxmlformats.org/officeDocument/2006/relationships/hyperlink" Target="https://extranet.who.int/lqsi/content/formulate-first-quality-year-plan" TargetMode="External"/><Relationship Id="rId1066" Type="http://schemas.openxmlformats.org/officeDocument/2006/relationships/hyperlink" Target="https://extranet.who.int/lqsi/es/content/determinar-el-plazo-de-entrega-de-cada-an%C3%A1lisis-que-se-realice-en-el-laboratorio" TargetMode="External"/><Relationship Id="rId1273" Type="http://schemas.openxmlformats.org/officeDocument/2006/relationships/hyperlink" Target="https://extranet.who.int/lqsi/content/identify-potential-emergencies-could-take-place-and-around-laboratory-and-could-affect-need" TargetMode="External"/><Relationship Id="rId850"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48"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3" Type="http://schemas.openxmlformats.org/officeDocument/2006/relationships/hyperlink" Target="https://extranet.who.int/lqsi/fr/content/%C3%A9valuer-les-besoins-en-termes-de-formation-de-chaque-membre-du-personnel" TargetMode="External"/><Relationship Id="rId77" Type="http://schemas.openxmlformats.org/officeDocument/2006/relationships/hyperlink" Target="https://extranet.who.int/lqsi/content/make-job-description-each-position-laboratory" TargetMode="External"/><Relationship Id="rId282" Type="http://schemas.openxmlformats.org/officeDocument/2006/relationships/hyperlink" Target="https://extranet.who.int/lqsi/ru/content/%D1%81%D0%B4%D0%B5%D0%BB%D0%B0%D0%B9%D1%82%D0%B5-%C2%AB%D1%82%D0%B0%D0%B1%D0%BB%D0%B8%D1%86%D1%83-%D0%BF%D0%BE%D0%BB%D0%BD%D0%BE%D0%BC%D0%BE%D1%87%D0%B8%D0%B9%C2%BB" TargetMode="External"/><Relationship Id="rId503" Type="http://schemas.openxmlformats.org/officeDocument/2006/relationships/hyperlink" Target="https://extranet.who.int/lqsi/content/make-inventory-control-register" TargetMode="External"/><Relationship Id="rId587" Type="http://schemas.openxmlformats.org/officeDocument/2006/relationships/hyperlink" Target="https://extranet.who.int/lqsi/content/write-laboratory-service-manual-and-start-follow-procedures-formulated-manual" TargetMode="External"/><Relationship Id="rId710" Type="http://schemas.openxmlformats.org/officeDocument/2006/relationships/hyperlink" Target="https://extranet.who.int/lqsi/content/arrange-quality-officer-and-other-staff-members-are-trained-internal-auditors" TargetMode="External"/><Relationship Id="rId808" Type="http://schemas.openxmlformats.org/officeDocument/2006/relationships/hyperlink" Target="https://extranet.who.int/lqsi/fr/content/d%C3%A9terminer-les-temps-dobtention-des-r%C3%A9sultats-de-chaque-examen-r%C3%A9alis%C3%A9-dans-le-laboratoire" TargetMode="External"/><Relationship Id="rId8" Type="http://schemas.openxmlformats.org/officeDocument/2006/relationships/hyperlink" Target="https://extranet.who.int/lqsi/content/write-and-implement-sop-waste-segregation-and-disposal" TargetMode="External"/><Relationship Id="rId142" Type="http://schemas.openxmlformats.org/officeDocument/2006/relationships/hyperlink" Target="https://extranet.who.int/lqsi/fr/content/constituer-une-%C3%A9quipe-de-projet-qualit%C3%A9-le-chef-de-cette-%C3%A9quipe-sera-d%C3%A9sign%C3%A9-point-focal" TargetMode="External"/><Relationship Id="rId447" Type="http://schemas.openxmlformats.org/officeDocument/2006/relationships/hyperlink" Target="https://extranet.who.int/lqsi/content/create-daily-routine-work-schedules" TargetMode="External"/><Relationship Id="rId794" Type="http://schemas.openxmlformats.org/officeDocument/2006/relationships/hyperlink" Target="https://extranet.who.int/lqsi/fr/content/cr%C3%A9er-une-grille-de-remplacement-du-personnel" TargetMode="External"/><Relationship Id="rId1077" Type="http://schemas.openxmlformats.org/officeDocument/2006/relationships/hyperlink" Target="https://extranet.who.int/lqsi/es/content/establecer-un-archivo-para-asegurar-la-protecci%C3%B3n-de-la-informaci%C3%B3n-del-laboratorio-pero-que" TargetMode="External"/><Relationship Id="rId1200" Type="http://schemas.openxmlformats.org/officeDocument/2006/relationships/hyperlink" Target="https://extranet.who.int/lqsi/fr/content/surveiller-le-transport-des-%C3%A9chantillons" TargetMode="External"/><Relationship Id="rId654" Type="http://schemas.openxmlformats.org/officeDocument/2006/relationships/hyperlink" Target="https://extranet.who.int/lqsi/content/perform-management-review-end-quality-year" TargetMode="External"/><Relationship Id="rId861"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959"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84" Type="http://schemas.openxmlformats.org/officeDocument/2006/relationships/hyperlink" Target="https://extranet.who.int/lqsi/fr/content/identifier-les-situations-durgence-potentielles-qui-pourraient-survenir-dans-le-laboratoire" TargetMode="External"/><Relationship Id="rId293"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7"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4" Type="http://schemas.openxmlformats.org/officeDocument/2006/relationships/hyperlink" Target="https://extranet.who.int/lqsi/content/store-supplies-appropriately" TargetMode="External"/><Relationship Id="rId721" Type="http://schemas.openxmlformats.org/officeDocument/2006/relationships/hyperlink" Target="https://extranet.who.int/lqsi/content/write-sop-internal-audit" TargetMode="External"/><Relationship Id="rId1144"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8" Type="http://schemas.openxmlformats.org/officeDocument/2006/relationships/hyperlink" Target="https://extranet.who.int/lqsi/content/write-procedures-operating-equipment" TargetMode="External"/><Relationship Id="rId153" Type="http://schemas.openxmlformats.org/officeDocument/2006/relationships/hyperlink" Target="https://extranet.who.int/lqsi/fr/content/d%C3%A9signer-un-responsable-de-la-s%C3%A9curit%C3%A9-biologique" TargetMode="External"/><Relationship Id="rId360" Type="http://schemas.openxmlformats.org/officeDocument/2006/relationships/hyperlink" Target="https://extranet.who.int/lqsi/es/content/empezar-organizar-reuniones-de-personal-regulares-semanales" TargetMode="External"/><Relationship Id="rId598" Type="http://schemas.openxmlformats.org/officeDocument/2006/relationships/hyperlink" Target="https://extranet.who.int/lqsi/content/make-sure-enough-staff-members-are-trained-providing-first-aid-or-access-first-aid-ensured" TargetMode="External"/><Relationship Id="rId819" Type="http://schemas.openxmlformats.org/officeDocument/2006/relationships/hyperlink" Target="https://extranet.who.int/lqsi/fr/content/%C3%A9tablir-un-syst%C3%A8me-darchivage-assurant-la-protection-des-informations-du-laboratoire-mais" TargetMode="External"/><Relationship Id="rId1004" Type="http://schemas.openxmlformats.org/officeDocument/2006/relationships/hyperlink" Target="https://extranet.who.int/lqsi/es/content/formular-la-visi%C3%B3n-del-laboratorio-la-raz%C3%B3n-de-que-exista-el-laboratorio" TargetMode="External"/><Relationship Id="rId1211" Type="http://schemas.openxmlformats.org/officeDocument/2006/relationships/hyperlink" Target="https://extranet.who.int/lqsi/ru/content/%D1%81%D0%BB%D0%B5%D0%B4%D0%B8%D1%82%D0%B5-%D0%B7%D0%B0-%D1%82%D1%80%D0%B0%D0%BD%D1%81%D0%BF%D0%BE%D1%80%D1%82%D0%B8%D1%80%D0%BE%D0%B2%D0%BA%D0%BE%D0%B9-%D0%BF%D1%80%D0%BE%D0%B1" TargetMode="External"/><Relationship Id="rId220"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58" Type="http://schemas.openxmlformats.org/officeDocument/2006/relationships/hyperlink" Target="https://extranet.who.int/lqsi/content/perform-staff-competency-assessments" TargetMode="External"/><Relationship Id="rId665" Type="http://schemas.openxmlformats.org/officeDocument/2006/relationships/hyperlink" Target="https://extranet.who.int/lqsi/content/create-personnel-replacement-matrix" TargetMode="External"/><Relationship Id="rId872"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8" Type="http://schemas.openxmlformats.org/officeDocument/2006/relationships/hyperlink" Target="https://extranet.who.int/lqsi/es/content/medir-la-satisfacci%C3%B3n-de-los-clientes-del-laboratorio" TargetMode="External"/><Relationship Id="rId1295"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9" Type="http://schemas.openxmlformats.org/officeDocument/2006/relationships/hyperlink" Target="https://extranet.who.int/lqsi/content/evaluate-effectiveness-preventive-actions-control-steps-and-corrective-actions-implemented" TargetMode="External"/><Relationship Id="rId15" Type="http://schemas.openxmlformats.org/officeDocument/2006/relationships/hyperlink" Target="https://extranet.who.int/lqsi/content/write-and-implement-sop-waste-segregation-and-disposal" TargetMode="External"/><Relationship Id="rId318" Type="http://schemas.openxmlformats.org/officeDocument/2006/relationships/hyperlink" Target="https://extranet.who.int/lqsi/es/content/realizar-una-evaluaci%C3%B3n-de-las-instalaciones-y-las-condiciones-de-seguridad" TargetMode="External"/><Relationship Id="rId525" Type="http://schemas.openxmlformats.org/officeDocument/2006/relationships/hyperlink" Target="https://extranet.who.int/lqsi/content/develop-sop-sample-reception-and-processing-and-start-registering-all-samples-received" TargetMode="External"/><Relationship Id="rId732" Type="http://schemas.openxmlformats.org/officeDocument/2006/relationships/hyperlink" Target="https://extranet.who.int/lqsi/fr/content/quand-le-laboratoire-travaille-avec-des-organismes-pathog%C3%A8nes-n%C3%A9cessitant-un-b%C3%A2timent-de" TargetMode="External"/><Relationship Id="rId1155" Type="http://schemas.openxmlformats.org/officeDocument/2006/relationships/hyperlink" Target="https://extranet.who.int/lqsi/es/content/crear-un-procedimiento-para-la-contrataci%C3%B3n-de-nuevo-personal-permanente-o-temporal-y-para" TargetMode="External"/><Relationship Id="rId99" Type="http://schemas.openxmlformats.org/officeDocument/2006/relationships/hyperlink" Target="https://extranet.who.int/lqsi/content/make-sops-all-tests-performed-laboratory" TargetMode="External"/><Relationship Id="rId164" Type="http://schemas.openxmlformats.org/officeDocument/2006/relationships/hyperlink" Target="https://extranet.who.int/lqsi/fr/content/r%C3%A9aliser-des-organigrammes" TargetMode="External"/><Relationship Id="rId371" Type="http://schemas.openxmlformats.org/officeDocument/2006/relationships/hyperlink" Target="https://extranet.who.int/lqsi/es/content/designar-un-miembro-del-personal-responsable-de-realizar-el-seguimiento-de-las-existencias-y" TargetMode="External"/><Relationship Id="rId1015" Type="http://schemas.openxmlformats.org/officeDocument/2006/relationships/hyperlink" Target="https://extranet.who.int/lqsi/es/content/formular-la-pol%C3%ADtica-de-la-calidad" TargetMode="External"/><Relationship Id="rId1222" Type="http://schemas.openxmlformats.org/officeDocument/2006/relationships/hyperlink" Target="https://extranet.who.int/lqsi/es/content/identificar-y-empezar-realizar-el-seguimiento-de-los-par%C3%A1metros-cr%C3%ADticos-indicadores-de" TargetMode="External"/><Relationship Id="rId469" Type="http://schemas.openxmlformats.org/officeDocument/2006/relationships/hyperlink" Target="https://extranet.who.int/lqsi/content/develop-personnel-files-all-staff-members" TargetMode="External"/><Relationship Id="rId676" Type="http://schemas.openxmlformats.org/officeDocument/2006/relationships/hyperlink" Target="https://extranet.who.int/lqsi/content/make-procedure-selection-and-regular-monitoring-functioning-referral-laboratories" TargetMode="External"/><Relationship Id="rId883"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99" Type="http://schemas.openxmlformats.org/officeDocument/2006/relationships/hyperlink" Target="https://extranet.who.int/lqsi/es/content/disponer-que-el-encargado-de-la-calidad-y-otros-miembros-de-personal-reciban-formaci%C3%B3n-para" TargetMode="External"/><Relationship Id="rId26" Type="http://schemas.openxmlformats.org/officeDocument/2006/relationships/hyperlink" Target="https://extranet.who.int/lqsi/content/write-biosafety-manual-and-make-sure-it-read-and-signed-all-staff" TargetMode="External"/><Relationship Id="rId231"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329" Type="http://schemas.openxmlformats.org/officeDocument/2006/relationships/hyperlink" Target="https://extranet.who.int/lqsi/es/content/redactar-e-implementar-un-poe-de-separaci%C3%B3n-y-eliminaci%C3%B3n-de-residuos" TargetMode="External"/><Relationship Id="rId536" Type="http://schemas.openxmlformats.org/officeDocument/2006/relationships/hyperlink" Target="https://extranet.who.int/lqsi/content/formulate-and-start-monitoring-internal-quality-controls" TargetMode="External"/><Relationship Id="rId1166" Type="http://schemas.openxmlformats.org/officeDocument/2006/relationships/hyperlink" Target="https://extranet.who.int/lqsi/es/content/facilitar-al-encargado-de-calidad-una-formaci%C3%B3n-en-an%C3%A1lisis-modal-de-fallos-y-efectos" TargetMode="External"/><Relationship Id="rId175" Type="http://schemas.openxmlformats.org/officeDocument/2006/relationships/hyperlink" Target="https://extranet.who.int/lqsi/fr/content/faire-une-grille-dautorisation" TargetMode="External"/><Relationship Id="rId743" Type="http://schemas.openxmlformats.org/officeDocument/2006/relationships/hyperlink" Target="https://extranet.who.int/lqsi/fr/content/am%C3%A9nager-et-surveiller-un-espace-et-des-conditions-de-stockage-appropri%C3%A9s-pour-les" TargetMode="External"/><Relationship Id="rId950"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026" Type="http://schemas.openxmlformats.org/officeDocument/2006/relationships/hyperlink" Target="https://extranet.who.int/lqsi/es/content/formular-el-primer-plan-anual-de-calidad" TargetMode="External"/><Relationship Id="rId382" Type="http://schemas.openxmlformats.org/officeDocument/2006/relationships/hyperlink" Target="https://extranet.who.int/lqsi/es/content/crear-una-matriz-de-autorizaci%C3%B3n" TargetMode="External"/><Relationship Id="rId603" Type="http://schemas.openxmlformats.org/officeDocument/2006/relationships/hyperlink" Target="https://extranet.who.int/lqsi/content/when-laboratory-works-pathogens-requiring-biosafety-level-bsl-iii-facility-create-negative" TargetMode="External"/><Relationship Id="rId687" Type="http://schemas.openxmlformats.org/officeDocument/2006/relationships/hyperlink" Target="https://extranet.who.int/lqsi/content/monitor-adherence-turnaround-times-determined-each-examination" TargetMode="External"/><Relationship Id="rId810" Type="http://schemas.openxmlformats.org/officeDocument/2006/relationships/hyperlink" Target="https://extranet.who.int/lqsi/fr/content/d%C3%A9terminer-les-temps-dobtention-des-r%C3%A9sultats-de-chaque-examen-r%C3%A9alis%C3%A9-dans-le-laboratoire" TargetMode="External"/><Relationship Id="rId908" Type="http://schemas.openxmlformats.org/officeDocument/2006/relationships/hyperlink" Target="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TargetMode="External"/><Relationship Id="rId1233" Type="http://schemas.openxmlformats.org/officeDocument/2006/relationships/hyperlink" Target="https://extranet.who.int/lqsi/fr/content/participer-aux-sessions-cliniques%C3%A0-des-discussions-r%C3%A9guli%C3%A8rement-organis%C3%A9es-avec-le" TargetMode="External"/><Relationship Id="rId242"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894"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1177"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300" Type="http://schemas.openxmlformats.org/officeDocument/2006/relationships/hyperlink" Target="https://extranet.who.int/lqsi/es/content/identificar-posibles-emergencias-que-se-puedan-producir-en-el-laboratorio-y-sus-alrededores" TargetMode="External"/><Relationship Id="rId37" Type="http://schemas.openxmlformats.org/officeDocument/2006/relationships/hyperlink" Target="https://extranet.who.int/lqsi/content/purchase-first-aid-kits-and-train-selection-personnel-members-become-first-aid-providers" TargetMode="External"/><Relationship Id="rId102" Type="http://schemas.openxmlformats.org/officeDocument/2006/relationships/hyperlink" Target="https://extranet.who.int/lqsi/content/write-master-sop" TargetMode="External"/><Relationship Id="rId547" Type="http://schemas.openxmlformats.org/officeDocument/2006/relationships/hyperlink" Target="https://extranet.who.int/lqsi/content/start-reviewing-and-authorizing-results-ie-validation-results-releasing-report" TargetMode="External"/><Relationship Id="rId754" Type="http://schemas.openxmlformats.org/officeDocument/2006/relationships/hyperlink" Target="https://extranet.who.int/lqsi/fr/content/formuler-les-objectifs-%C3%A0-long-terme-du-laboratoire" TargetMode="External"/><Relationship Id="rId961"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90" Type="http://schemas.openxmlformats.org/officeDocument/2006/relationships/hyperlink" Target="https://extranet.who.int/lqsi/content/write-procedures-operating-equipment" TargetMode="External"/><Relationship Id="rId186" Type="http://schemas.openxmlformats.org/officeDocument/2006/relationships/hyperlink" Target="https://extranet.who.int/lqsi/fr/content/sassurer-que-le-personnel-les-qualifications-requises" TargetMode="External"/><Relationship Id="rId393" Type="http://schemas.openxmlformats.org/officeDocument/2006/relationships/hyperlink" Target="https://extranet.who.int/lqsi/es/content/garantizar-que-el-personal-est%C3%A1-debidamente-cualificado" TargetMode="External"/><Relationship Id="rId407" Type="http://schemas.openxmlformats.org/officeDocument/2006/relationships/hyperlink" Target="https://extranet.who.int/lqsi/es/content/elaborar-una-hoja-de-petici%C3%B3n-para-pruebas-anal%C3%ADticas" TargetMode="External"/><Relationship Id="rId614" Type="http://schemas.openxmlformats.org/officeDocument/2006/relationships/hyperlink" Target="https://extranet.who.int/lqsi/content/arrange-and-monitor-adequate-storage-space-and-conditions-samples-documents-records" TargetMode="External"/><Relationship Id="rId821" Type="http://schemas.openxmlformats.org/officeDocument/2006/relationships/hyperlink" Target="https://extranet.who.int/lqsi/fr/content/%C3%A9tablir-un-syst%C3%A8me-darchivage-assurant-la-protection-des-informations-du-laboratoire-mais" TargetMode="External"/><Relationship Id="rId1037" Type="http://schemas.openxmlformats.org/officeDocument/2006/relationships/hyperlink" Target="https://extranet.who.int/lqsi/es/content/comenzar-realizar-el-seguimiento-del-funcionamiento-del-sistema-de-gesti%C3%B3n-de-la-calidad-y" TargetMode="External"/><Relationship Id="rId1244" Type="http://schemas.openxmlformats.org/officeDocument/2006/relationships/hyperlink" Target="https://extranet.who.int/lqsi/es/content/designar-un-miembro-del-personal-al-que-los-clientes-puedan-solicitar-asesoramiento" TargetMode="External"/><Relationship Id="rId253"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460" Type="http://schemas.openxmlformats.org/officeDocument/2006/relationships/hyperlink" Target="https://extranet.who.int/lqsi/content/develop-appropriate-documented-induction-program-new-personnel" TargetMode="External"/><Relationship Id="rId698" Type="http://schemas.openxmlformats.org/officeDocument/2006/relationships/hyperlink" Target="https://extranet.who.int/lqsi/content/make-access-digital-data-laboratory-restricted-both-physically-and-virtually" TargetMode="External"/><Relationship Id="rId919"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090" Type="http://schemas.openxmlformats.org/officeDocument/2006/relationships/hyperlink" Target="https://extranet.who.int/lqsi/es/content/medir-la-satisfacci%C3%B3n-de-los-clientes-del-laboratorio" TargetMode="External"/><Relationship Id="rId1104" Type="http://schemas.openxmlformats.org/officeDocument/2006/relationships/hyperlink" Target="https://extranet.who.int/lqsi/es/content/formular-un-plan-de-acci%C3%B3n-partir-del-informe-de-la-auditor%C3%ADa-y-realizar-el-seguimiento-de" TargetMode="External"/><Relationship Id="rId1311" Type="http://schemas.openxmlformats.org/officeDocument/2006/relationships/hyperlink" Target="https://extranet.who.int/lqsi/fr/content/effectuer-des-analyses-des-modes-de-d%C3%A9faillance-et-de-leurs-effets-sur-tous-les-processus-du" TargetMode="External"/><Relationship Id="rId48" Type="http://schemas.openxmlformats.org/officeDocument/2006/relationships/hyperlink" Target="https://extranet.who.int/lqsi/content/start-organizing-regular-weekly-staff-meetings" TargetMode="External"/><Relationship Id="rId113" Type="http://schemas.openxmlformats.org/officeDocument/2006/relationships/hyperlink" Target="https://extranet.who.int/lqsi/fr/content/r%C3%A9diger-et-mettre-en-%C5%93uvre-une-pos-pour-la-s%C3%A9paration-des-d%C3%A9chets-et-leur-%C3%A9limination" TargetMode="External"/><Relationship Id="rId320" Type="http://schemas.openxmlformats.org/officeDocument/2006/relationships/hyperlink" Target="https://extranet.who.int/lqsi/es/content/redactar-e-implementar-un-poe-de-separaci%C3%B3n-y-eliminaci%C3%B3n-de-residuos" TargetMode="External"/><Relationship Id="rId558" Type="http://schemas.openxmlformats.org/officeDocument/2006/relationships/hyperlink" Target="https://extranet.who.int/lqsi/content/ensure-confidentiality-patient-information-maintained-all-personnel" TargetMode="External"/><Relationship Id="rId765" Type="http://schemas.openxmlformats.org/officeDocument/2006/relationships/hyperlink" Target="https://extranet.who.int/lqsi/fr/content/planifier-lachat-dun-nouvel-%C3%A9quipement-et-le-co%C3%BBt-de-sa-maintenance-dans-le-budget-annuel" TargetMode="External"/><Relationship Id="rId972"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188" Type="http://schemas.openxmlformats.org/officeDocument/2006/relationships/hyperlink" Target="https://extranet.who.int/lqsi/content/monitor-transportation-samples" TargetMode="External"/><Relationship Id="rId197" Type="http://schemas.openxmlformats.org/officeDocument/2006/relationships/hyperlink" Target="https://extranet.who.int/lqsi/fr/content/pr%C3%A9parer-des-fiches-de-stock-et-%C3%A9laborer-un-syst%C3%A8me-de-gestion-de-stock" TargetMode="External"/><Relationship Id="rId418" Type="http://schemas.openxmlformats.org/officeDocument/2006/relationships/hyperlink" Target="https://extranet.who.int/lqsi/content/separate-laboratory-areas-prevent-cross-contamination-and-optimize-floor-plan" TargetMode="External"/><Relationship Id="rId625" Type="http://schemas.openxmlformats.org/officeDocument/2006/relationships/hyperlink" Target="https://extranet.who.int/lqsi/content/formulate-long-term-goals-laboratory" TargetMode="External"/><Relationship Id="rId832" Type="http://schemas.openxmlformats.org/officeDocument/2006/relationships/hyperlink" Target="https://extranet.who.int/lqsi/fr/content/mesurer-la-satisfaction-des-clients-du-laboratoire" TargetMode="External"/><Relationship Id="rId1048" Type="http://schemas.openxmlformats.org/officeDocument/2006/relationships/hyperlink" Target="https://extranet.who.int/lqsi/es/content/identificar-los-posibles-conflictos-de-intereses-de-todos-los-miembros-del-personal" TargetMode="External"/><Relationship Id="rId1255" Type="http://schemas.openxmlformats.org/officeDocument/2006/relationships/hyperlink" Target="https://extranet.who.int/lqsi/fr/content/%C3%A9tablir-un-plan-daction-suite-au-rapport-daudit-externe-et-suivre-sa-mise-en-%C5%93uvre" TargetMode="External"/><Relationship Id="rId264"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1" Type="http://schemas.openxmlformats.org/officeDocument/2006/relationships/hyperlink" Target="https://extranet.who.int/lqsi/content/write-sop-procurement-and-reception-equipment" TargetMode="External"/><Relationship Id="rId1115" Type="http://schemas.openxmlformats.org/officeDocument/2006/relationships/hyperlink" Target="https://extranet.who.int/lqsi/content/assess-if-number-staff-still-sufficient-assure-continuity-work-without-overburdening-staff" TargetMode="External"/><Relationship Id="rId1322" Type="http://schemas.openxmlformats.org/officeDocument/2006/relationships/hyperlink" Target="https://extranet.who.int/lqsi/es/content/realizar-un-an%C3%A1lisis-modal-de-fallos-y-efectos-de-todos-los-procesos-del-laboratorio" TargetMode="External"/><Relationship Id="rId59" Type="http://schemas.openxmlformats.org/officeDocument/2006/relationships/hyperlink" Target="https://extranet.who.int/lqsi/content/appoint-staff-member-who-responsible-monitoring-stocks-and-ordering-supplies-and-reagents" TargetMode="External"/><Relationship Id="rId124" Type="http://schemas.openxmlformats.org/officeDocument/2006/relationships/hyperlink" Target="https://extranet.who.int/lqsi/fr/content/r%C3%A9diger-et-mettre-en-%C5%93uvre-une-pos-pour-la-s%C3%A9paration-des-d%C3%A9chets-et-leur-%C3%A9limination" TargetMode="External"/><Relationship Id="rId569" Type="http://schemas.openxmlformats.org/officeDocument/2006/relationships/hyperlink" Target="https://extranet.who.int/lqsi/content/roll-out-document-control-system" TargetMode="External"/><Relationship Id="rId776" Type="http://schemas.openxmlformats.org/officeDocument/2006/relationships/hyperlink" Target="https://extranet.who.int/lqsi/fr/content/%C3%A9laborer-un-manuel-de-la-qualit%C3%A9" TargetMode="External"/><Relationship Id="rId983" Type="http://schemas.openxmlformats.org/officeDocument/2006/relationships/hyperlink" Target="https://extranet.who.int/lqsi/es/content/garantizar-la-disponibilidad-de-suficientes-miembros-del-personal-capacitados-para-prestar" TargetMode="External"/><Relationship Id="rId1199" Type="http://schemas.openxmlformats.org/officeDocument/2006/relationships/hyperlink" Target="https://extranet.who.int/lqsi/fr/content/surveiller-le-transport-des-%C3%A9chantillons" TargetMode="External"/><Relationship Id="rId331" Type="http://schemas.openxmlformats.org/officeDocument/2006/relationships/hyperlink" Target="https://extranet.who.int/lqsi/es/content/redactar-e-implementar-un-poe-de-separaci%C3%B3n-y-eliminaci%C3%B3n-de-residuos" TargetMode="External"/><Relationship Id="rId429" Type="http://schemas.openxmlformats.org/officeDocument/2006/relationships/hyperlink" Target="https://extranet.who.int/lqsi/content/ensure-uninterrupted-supply-electricity" TargetMode="External"/><Relationship Id="rId636" Type="http://schemas.openxmlformats.org/officeDocument/2006/relationships/hyperlink" Target="https://extranet.who.int/lqsi/content/formulate-quality-policy" TargetMode="External"/><Relationship Id="rId1059" Type="http://schemas.openxmlformats.org/officeDocument/2006/relationships/hyperlink" Target="https://extranet.who.int/lqsi/es/content/normalizar-el-m%C3%A9todo-para-escoger-proveedores-y-para-evaluar-los-contratos-de-compra-y" TargetMode="External"/><Relationship Id="rId1266" Type="http://schemas.openxmlformats.org/officeDocument/2006/relationships/hyperlink" Target="https://extranet.who.int/lqsi/content/develop-sop-handling-nonconformities-and-start-recording-and-solvingcorrecting-them" TargetMode="External"/><Relationship Id="rId843" Type="http://schemas.openxmlformats.org/officeDocument/2006/relationships/hyperlink" Target="https://extranet.who.int/lqsi/fr/content/commencer-%C3%A0-effectuer-tous-les-audits-internes-et-r%C3%A9diger-des-rapports-daudit" TargetMode="External"/><Relationship Id="rId1126" Type="http://schemas.openxmlformats.org/officeDocument/2006/relationships/hyperlink" Target="https://extranet.who.int/lqsi/content/send-quality-officer-training-failure-mode-effect-analysis" TargetMode="External"/><Relationship Id="rId275"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482" Type="http://schemas.openxmlformats.org/officeDocument/2006/relationships/hyperlink" Target="https://extranet.who.int/lqsi/content/determine-which-staff-members-are-authorized-and-which-are-responsible-use-each-piece" TargetMode="External"/><Relationship Id="rId703" Type="http://schemas.openxmlformats.org/officeDocument/2006/relationships/hyperlink" Target="https://extranet.who.int/lqsi/content/measure-satisfaction-clients-laboratory" TargetMode="External"/><Relationship Id="rId910"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35" Type="http://schemas.openxmlformats.org/officeDocument/2006/relationships/hyperlink" Target="https://extranet.who.int/lqsi/fr/content/organiser-un-nettoyage-standardis%C3%A9-r%C3%A9gulier-du-laboratoire" TargetMode="External"/><Relationship Id="rId342" Type="http://schemas.openxmlformats.org/officeDocument/2006/relationships/hyperlink" Target="https://extranet.who.int/lqsi/es/content/organizar-la-limpieza-peri%C3%B3dica-y-normalizada-del-laboratorio" TargetMode="External"/><Relationship Id="rId787" Type="http://schemas.openxmlformats.org/officeDocument/2006/relationships/hyperlink" Target="https://extranet.who.int/lqsi/fr/content/%C3%A9laborer-un-plan-annuel-qualit%C3%A9-pour-lann%C3%A9e-suivante-sur-la-base-des-conclusions-de-la-revue" TargetMode="External"/><Relationship Id="rId994" Type="http://schemas.openxmlformats.org/officeDocument/2006/relationships/hyperlink" Target="https://extranet.who.int/lqsi/es/content/crear-una-instalaci%C3%B3n-de-obtenci%C3%B3n-de-muestras-primarias-separada-del-laboratorio" TargetMode="External"/><Relationship Id="rId202" Type="http://schemas.openxmlformats.org/officeDocument/2006/relationships/hyperlink" Target="https://extranet.who.int/lqsi/fr/content/faire-des-pos-pour-tous-les-examens-r%C3%A9alis%C3%A9s-par-le-laboratoire" TargetMode="External"/><Relationship Id="rId647" Type="http://schemas.openxmlformats.org/officeDocument/2006/relationships/hyperlink" Target="https://extranet.who.int/lqsi/content/translate-quality-year-plan-smart-action-plan" TargetMode="External"/><Relationship Id="rId854"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277" Type="http://schemas.openxmlformats.org/officeDocument/2006/relationships/hyperlink" Target="https://extranet.who.int/lqsi/fr/content/r%C3%A9diger-une-pos-relative-au-traitement-des-plaintes-et-initier-le-suivi-des-plaintes-dune" TargetMode="External"/><Relationship Id="rId286"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93" Type="http://schemas.openxmlformats.org/officeDocument/2006/relationships/hyperlink" Target="https://extranet.who.int/lqsi/content/decide-method-maintenance-and-calibration-each-piece-equipment" TargetMode="External"/><Relationship Id="rId507" Type="http://schemas.openxmlformats.org/officeDocument/2006/relationships/hyperlink" Target="https://extranet.who.int/lqsi/content/standardize-stock-and-ordering-system-sop" TargetMode="External"/><Relationship Id="rId714" Type="http://schemas.openxmlformats.org/officeDocument/2006/relationships/hyperlink" Target="https://extranet.who.int/lqsi/content/make-internal-audit-plan-coming-12-months" TargetMode="External"/><Relationship Id="rId921"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7" Type="http://schemas.openxmlformats.org/officeDocument/2006/relationships/hyperlink" Target="https://extranet.who.int/lqsi/fr/content/mettre-en-place-un-programme-de-formation-continue" TargetMode="External"/><Relationship Id="rId50" Type="http://schemas.openxmlformats.org/officeDocument/2006/relationships/hyperlink" Target="https://extranet.who.int/lqsi/content/appoint-biosafety-officer" TargetMode="External"/><Relationship Id="rId146" Type="http://schemas.openxmlformats.org/officeDocument/2006/relationships/hyperlink" Target="https://extranet.who.int/lqsi/fr/content/%C3%A9laborer-et-utiliser-des-plans-daction-d%C3%A9finissant-les-actions-%C3%A0-mener-selon-la-m%C3%A9thode" TargetMode="External"/><Relationship Id="rId353" Type="http://schemas.openxmlformats.org/officeDocument/2006/relationships/hyperlink" Target="https://extranet.who.int/lqsi/es/content/crear-un-equipo-del-proyecto-de-calidad-al-coordinador-de-este-equipo-se-le-designar%C3%A1-como" TargetMode="External"/><Relationship Id="rId560" Type="http://schemas.openxmlformats.org/officeDocument/2006/relationships/hyperlink" Target="https://extranet.who.int/lqsi/content/organize-regular-backup-computerized-systems" TargetMode="External"/><Relationship Id="rId798" Type="http://schemas.openxmlformats.org/officeDocument/2006/relationships/hyperlink" Target="https://extranet.who.int/lqsi/fr/content/standardiser-la-m%C3%A9thode-permettant-de-choisir-les-fournisseurs-et-d%C3%A9valuer-les-contrats" TargetMode="External"/><Relationship Id="rId1190" Type="http://schemas.openxmlformats.org/officeDocument/2006/relationships/hyperlink" Target="https://extranet.who.int/lqsi/content/monitor-transportation-samples" TargetMode="External"/><Relationship Id="rId1204" Type="http://schemas.openxmlformats.org/officeDocument/2006/relationships/hyperlink" Target="https://extranet.who.int/lqsi/fr/content/identifier-et-commencer-%C3%A0-suivre-les-param%C3%A8tres-critiques-indicateurs-de-qualit%C3%A9" TargetMode="External"/><Relationship Id="rId213"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420" Type="http://schemas.openxmlformats.org/officeDocument/2006/relationships/hyperlink" Target="https://extranet.who.int/lqsi/content/separate-laboratory-areas-prevent-cross-contamination-and-optimize-floor-plan" TargetMode="External"/><Relationship Id="rId658" Type="http://schemas.openxmlformats.org/officeDocument/2006/relationships/hyperlink" Target="https://extranet.who.int/lqsi/content/perform-management-review-end-quality-year" TargetMode="External"/><Relationship Id="rId865"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50" Type="http://schemas.openxmlformats.org/officeDocument/2006/relationships/hyperlink" Target="https://extranet.who.int/lqsi/es/content/crear-una-matriz-de-sustituci%C3%B3n-de-personal" TargetMode="External"/><Relationship Id="rId1288"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97"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518" Type="http://schemas.openxmlformats.org/officeDocument/2006/relationships/hyperlink" Target="https://extranet.who.int/lqsi/content/store-supplies-appropriately" TargetMode="External"/><Relationship Id="rId725" Type="http://schemas.openxmlformats.org/officeDocument/2006/relationships/hyperlink" Target="https://extranet.who.int/lqsi/fr/content/veiller-%C3%A0-ce-quun-nombre-suffisant-de-membres-du-personnel-poss%C3%A8dent-une-formation-de" TargetMode="External"/><Relationship Id="rId932"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148"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57" Type="http://schemas.openxmlformats.org/officeDocument/2006/relationships/hyperlink" Target="https://extranet.who.int/lqsi/fr/content/d%C3%A9signer-un-responsable-de-l%C3%A9quipement-de-laboratoire" TargetMode="External"/><Relationship Id="rId364" Type="http://schemas.openxmlformats.org/officeDocument/2006/relationships/hyperlink" Target="https://extranet.who.int/lqsi/es/content/designar-un-encargado-de-bioseguridad" TargetMode="External"/><Relationship Id="rId1008" Type="http://schemas.openxmlformats.org/officeDocument/2006/relationships/hyperlink" Target="https://extranet.who.int/lqsi/es/content/formular-los-objetivos-largo-plazo-del-laboratorio" TargetMode="External"/><Relationship Id="rId1215"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61" Type="http://schemas.openxmlformats.org/officeDocument/2006/relationships/hyperlink" Target="https://extranet.who.int/lqsi/content/make-organizational-charts" TargetMode="External"/><Relationship Id="rId571" Type="http://schemas.openxmlformats.org/officeDocument/2006/relationships/hyperlink" Target="https://extranet.who.int/lqsi/content/roll-out-document-control-system" TargetMode="External"/><Relationship Id="rId669" Type="http://schemas.openxmlformats.org/officeDocument/2006/relationships/hyperlink" Target="https://extranet.who.int/lqsi/content/standardize-method-choosing-suppliers-and-evaluating-contracts-purchasing-and-delivery-goods" TargetMode="External"/><Relationship Id="rId876"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299" Type="http://schemas.openxmlformats.org/officeDocument/2006/relationships/hyperlink" Target="https://extranet.who.int/lqsi/es/content/redactar-un-poe-de-gesti%C3%B3n-de-reclamaciones-y-empezar-realizar-un-seguimiento-de-las" TargetMode="External"/><Relationship Id="rId19" Type="http://schemas.openxmlformats.org/officeDocument/2006/relationships/hyperlink" Target="https://extranet.who.int/lqsi/content/write-and-implement-sop-waste-segregation-and-disposal" TargetMode="External"/><Relationship Id="rId224"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1" Type="http://schemas.openxmlformats.org/officeDocument/2006/relationships/hyperlink" Target="https://extranet.who.int/lqsi/content/make-inventory-list-all-hazardous-materials-and-their-location-within-facility" TargetMode="External"/><Relationship Id="rId529" Type="http://schemas.openxmlformats.org/officeDocument/2006/relationships/hyperlink" Target="https://extranet.who.int/lqsi/content/describe-procedure-rejecting-sample-make-sample-rejection-form-and-send-requester-when" TargetMode="External"/><Relationship Id="rId736" Type="http://schemas.openxmlformats.org/officeDocument/2006/relationships/hyperlink" Target="https://extranet.who.int/lqsi/fr/content/am%C3%A9nager-un-local-destin%C3%A9-au-pr%C3%A9l%C3%A8vement-d%C3%A9chantillons-primaires-s%C3%A9par%C3%A9-du-laboratoire" TargetMode="External"/><Relationship Id="rId1061" Type="http://schemas.openxmlformats.org/officeDocument/2006/relationships/hyperlink" Target="https://extranet.who.int/lqsi/es/content/crear-un-procedimiento-para-la-selecci%C3%B3n-y-el-seguimiento-peri%C3%B3dico-del-funcionamiento-de" TargetMode="External"/><Relationship Id="rId1159" Type="http://schemas.openxmlformats.org/officeDocument/2006/relationships/hyperlink" Target="https://extranet.who.int/lqsi/es/content/evaluar-las-necesidades-de-formaci%C3%B3n-de-cada-miembro-del-personal" TargetMode="External"/><Relationship Id="rId168" Type="http://schemas.openxmlformats.org/officeDocument/2006/relationships/hyperlink" Target="https://extranet.who.int/lqsi/fr/content/r%C3%A9aliser-des-organigrammes" TargetMode="External"/><Relationship Id="rId943"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019" Type="http://schemas.openxmlformats.org/officeDocument/2006/relationships/hyperlink" Target="https://extranet.who.int/lqsi/es/content/formular-la-pol%C3%ADtica-de-la-calidad" TargetMode="External"/><Relationship Id="rId72" Type="http://schemas.openxmlformats.org/officeDocument/2006/relationships/hyperlink" Target="https://extranet.who.int/lqsi/content/make-authorization-matrix" TargetMode="External"/><Relationship Id="rId375" Type="http://schemas.openxmlformats.org/officeDocument/2006/relationships/hyperlink" Target="https://extranet.who.int/lqsi/es/content/crear-organigramas" TargetMode="External"/><Relationship Id="rId582" Type="http://schemas.openxmlformats.org/officeDocument/2006/relationships/hyperlink" Target="https://extranet.who.int/lqsi/content/document-biological-reference-intervalsdecision-values-all-examinations-performed" TargetMode="External"/><Relationship Id="rId803" Type="http://schemas.openxmlformats.org/officeDocument/2006/relationships/hyperlink" Target="https://extranet.who.int/lqsi/fr/content/%C3%A9tablir-une-proc%C3%A9dure-pour-la-s%C3%A9lection-et-le-suivi-r%C3%A9gulier-du-fonctionnement-de" TargetMode="External"/><Relationship Id="rId1226" Type="http://schemas.openxmlformats.org/officeDocument/2006/relationships/hyperlink" Target="https://extranet.who.int/lqsi/content/assign-staff-member-which-clients-can-turn-professional-advice" TargetMode="External"/><Relationship Id="rId3" Type="http://schemas.openxmlformats.org/officeDocument/2006/relationships/hyperlink" Target="https://extranet.who.int/lqsi/content/perform-facility-and-safety-assessment" TargetMode="External"/><Relationship Id="rId235"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2" Type="http://schemas.openxmlformats.org/officeDocument/2006/relationships/hyperlink" Target="https://extranet.who.int/lqsi/content/appoint-quality-officer" TargetMode="External"/><Relationship Id="rId887"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2" Type="http://schemas.openxmlformats.org/officeDocument/2006/relationships/hyperlink" Target="https://extranet.who.int/lqsi/es/content/realizar-el-seguimiento-del-cumplimiento-de-los-plazos-de-entrega-determinados-para-cada" TargetMode="External"/><Relationship Id="rId302"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747" Type="http://schemas.openxmlformats.org/officeDocument/2006/relationships/hyperlink" Target="https://extranet.who.int/lqsi/fr/content/formuler-la-vision-du-laboratoire-sa-raison-d%C3%AAtre" TargetMode="External"/><Relationship Id="rId954"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83" Type="http://schemas.openxmlformats.org/officeDocument/2006/relationships/hyperlink" Target="https://extranet.who.int/lqsi/content/make-equipment-register-and-check-proper-functioning-equipment" TargetMode="External"/><Relationship Id="rId179" Type="http://schemas.openxmlformats.org/officeDocument/2006/relationships/hyperlink" Target="https://extranet.who.int/lqsi/fr/content/faire-une-grille-dautorisation" TargetMode="External"/><Relationship Id="rId386" Type="http://schemas.openxmlformats.org/officeDocument/2006/relationships/hyperlink" Target="https://extranet.who.int/lqsi/es/content/crear-una-matriz-de-autorizaci%C3%B3n" TargetMode="External"/><Relationship Id="rId593" Type="http://schemas.openxmlformats.org/officeDocument/2006/relationships/hyperlink" Target="https://extranet.who.int/lqsi/content/write-sop-external-quality-assessment-procedures" TargetMode="External"/><Relationship Id="rId607" Type="http://schemas.openxmlformats.org/officeDocument/2006/relationships/hyperlink" Target="https://extranet.who.int/lqsi/content/create-primary-sample-collection-facility-separate-laboratory" TargetMode="External"/><Relationship Id="rId814" Type="http://schemas.openxmlformats.org/officeDocument/2006/relationships/hyperlink" Target="https://extranet.who.int/lqsi/fr/content/surveiller-les-temps-dobtention-des-r%C3%A9sultats-de-chaque-examen" TargetMode="External"/><Relationship Id="rId1237" Type="http://schemas.openxmlformats.org/officeDocument/2006/relationships/hyperlink" Target="https://extranet.who.int/lqsi/fr/content/participer-aux-sessions-cliniques%C3%A0-des-discussions-r%C3%A9guli%C3%A8rement-organis%C3%A9es-avec-le" TargetMode="External"/><Relationship Id="rId246"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3" Type="http://schemas.openxmlformats.org/officeDocument/2006/relationships/hyperlink" Target="https://extranet.who.int/lqsi/content/perform-staff-competency-assessments" TargetMode="External"/><Relationship Id="rId660" Type="http://schemas.openxmlformats.org/officeDocument/2006/relationships/hyperlink" Target="https://extranet.who.int/lqsi/content/develop-quality-year-plan-following-year-based-conclusions-management-review" TargetMode="External"/><Relationship Id="rId898"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3" Type="http://schemas.openxmlformats.org/officeDocument/2006/relationships/hyperlink" Target="https://extranet.who.int/lqsi/es/content/restringir-el-acceso-los-datos-digitales-del-laboratorio-tanto-f%C3%ADsicos-como-virtuales" TargetMode="External"/><Relationship Id="rId1290"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4" Type="http://schemas.openxmlformats.org/officeDocument/2006/relationships/hyperlink" Target="https://extranet.who.int/lqsi/es/content/identificar-posibles-emergencias-que-se-puedan-producir-en-el-laboratorio-y-sus-alrededores" TargetMode="External"/><Relationship Id="rId106" Type="http://schemas.openxmlformats.org/officeDocument/2006/relationships/hyperlink" Target="https://extranet.who.int/lqsi/fr/content/d%C3%A9terminer-%C3%A0-quel-niveau-de-s%C3%A9curit%C3%A9-biologique-le-laboratoire-doit-se-conformer" TargetMode="External"/><Relationship Id="rId313" Type="http://schemas.openxmlformats.org/officeDocument/2006/relationships/hyperlink" Target="https://extranet.who.int/lqsi/es/content/formar-al-personal-para-que-reconozca-los-s%C3%ADntomas-de-infecciones-asociadas-un-laboratorio-y" TargetMode="External"/><Relationship Id="rId758" Type="http://schemas.openxmlformats.org/officeDocument/2006/relationships/hyperlink" Target="https://extranet.who.int/lqsi/fr/content/formuler-la-politique-de-la-qualit%C3%A9" TargetMode="External"/><Relationship Id="rId965"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0"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0" Type="http://schemas.openxmlformats.org/officeDocument/2006/relationships/hyperlink" Target="https://extranet.who.int/lqsi/content/write-and-implement-sop-waste-segregation-and-disposal" TargetMode="External"/><Relationship Id="rId94" Type="http://schemas.openxmlformats.org/officeDocument/2006/relationships/hyperlink" Target="https://extranet.who.int/lqsi/content/develop-request-form-laboratory-testing" TargetMode="External"/><Relationship Id="rId397" Type="http://schemas.openxmlformats.org/officeDocument/2006/relationships/hyperlink" Target="https://extranet.who.int/lqsi/es/content/crear-un-registro-de-equipos-y-comprobar-el-adecuado-funcionamiento-de-los-equipos" TargetMode="External"/><Relationship Id="rId520" Type="http://schemas.openxmlformats.org/officeDocument/2006/relationships/hyperlink" Target="https://extranet.who.int/lqsi/content/write-sop-sample-collection" TargetMode="External"/><Relationship Id="rId618" Type="http://schemas.openxmlformats.org/officeDocument/2006/relationships/hyperlink" Target="https://extranet.who.int/lqsi/content/define-length-storagearchiving-different-items-retention-list" TargetMode="External"/><Relationship Id="rId825" Type="http://schemas.openxmlformats.org/officeDocument/2006/relationships/hyperlink" Target="https://extranet.who.int/lqsi/fr/content/restreindre-lacc%C3%A8s-aux-donn%C3%A9es-informatis%C3%A9es-du-laboratoire-acc%C3%A8s-physique-et-virtuel" TargetMode="External"/><Relationship Id="rId1248" Type="http://schemas.openxmlformats.org/officeDocument/2006/relationships/hyperlink" Target="https://extranet.who.int/lqsi/es/content/participar-en-rondas-cl%C3%ADnicas-y-programar-debates-peri%C3%B3dicos-con-personal-cl%C3%ADnico-para" TargetMode="External"/><Relationship Id="rId257"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4" Type="http://schemas.openxmlformats.org/officeDocument/2006/relationships/hyperlink" Target="https://extranet.who.int/lqsi/content/organize-performance-appraisals-staff-members" TargetMode="External"/><Relationship Id="rId1010" Type="http://schemas.openxmlformats.org/officeDocument/2006/relationships/hyperlink" Target="https://extranet.who.int/lqsi/es/content/formular-los-objetivos-largo-plazo-del-laboratorio" TargetMode="External"/><Relationship Id="rId1094" Type="http://schemas.openxmlformats.org/officeDocument/2006/relationships/hyperlink" Target="https://extranet.who.int/lqsi/es/content/disponer-que-el-encargado-de-la-calidad-y-otros-miembros-de-personal-reciban-formaci%C3%B3n-para" TargetMode="External"/><Relationship Id="rId1108" Type="http://schemas.openxmlformats.org/officeDocument/2006/relationships/hyperlink" Target="https://extranet.who.int/lqsi/content/identify-potential-conflicts-interest-every-staff-member" TargetMode="External"/><Relationship Id="rId1315" Type="http://schemas.openxmlformats.org/officeDocument/2006/relationships/hyperlink" Target="https://extranet.who.int/lqsi/fr/content/%C3%A9valuer-lefficacit%C3%A9-des-actions-pr%C3%A9ventives-des-%C3%A9tapes-de-contr%C3%B4le-et-des-actions" TargetMode="External"/><Relationship Id="rId117" Type="http://schemas.openxmlformats.org/officeDocument/2006/relationships/hyperlink" Target="https://extranet.who.int/lqsi/fr/content/r%C3%A9diger-et-mettre-en-%C5%93uvre-une-pos-pour-la-s%C3%A9paration-des-d%C3%A9chets-et-leur-%C3%A9limination" TargetMode="External"/><Relationship Id="rId671" Type="http://schemas.openxmlformats.org/officeDocument/2006/relationships/hyperlink" Target="https://extranet.who.int/lqsi/content/standardize-method-choosing-suppliers-and-evaluating-contracts-purchasing-and-delivery-goods" TargetMode="External"/><Relationship Id="rId769" Type="http://schemas.openxmlformats.org/officeDocument/2006/relationships/hyperlink" Target="https://extranet.who.int/lqsi/fr/content/formuler-le-premier-plan-annuel-qualit%C3%A9" TargetMode="External"/><Relationship Id="rId976"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324" Type="http://schemas.openxmlformats.org/officeDocument/2006/relationships/hyperlink" Target="https://extranet.who.int/lqsi/es/content/redactar-e-implementar-un-poe-de-separaci%C3%B3n-y-eliminaci%C3%B3n-de-residuos" TargetMode="External"/><Relationship Id="rId531" Type="http://schemas.openxmlformats.org/officeDocument/2006/relationships/hyperlink" Target="https://extranet.who.int/lqsi/content/make-process-flowcharts" TargetMode="External"/><Relationship Id="rId629" Type="http://schemas.openxmlformats.org/officeDocument/2006/relationships/hyperlink" Target="https://extranet.who.int/lqsi/content/formulate-quality-policy" TargetMode="External"/><Relationship Id="rId1161" Type="http://schemas.openxmlformats.org/officeDocument/2006/relationships/hyperlink" Target="https://extranet.who.int/lqsi/es/content/establecer-un-programa-de-formaci%C3%B3n-continua" TargetMode="External"/><Relationship Id="rId1259"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836" Type="http://schemas.openxmlformats.org/officeDocument/2006/relationships/hyperlink" Target="https://extranet.who.int/lqsi/fr/content/organiser-la-formation-du-responsable-qualit%C3%A9-et-dautres-membres-du-personnel-en-tant" TargetMode="External"/><Relationship Id="rId1021" Type="http://schemas.openxmlformats.org/officeDocument/2006/relationships/hyperlink" Target="https://extranet.who.int/lqsi/es/content/realizar-la-previsi%C3%B3n-de-compras-de-nuevos-equipos-y-de-mantenimiento-de-equipos-en-la" TargetMode="External"/><Relationship Id="rId1119" Type="http://schemas.openxmlformats.org/officeDocument/2006/relationships/hyperlink" Target="https://extranet.who.int/lqsi/content/assess-education-needs-every-staff-member" TargetMode="External"/><Relationship Id="rId903"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2" Type="http://schemas.openxmlformats.org/officeDocument/2006/relationships/hyperlink" Target="https://extranet.who.int/lqsi/content/arrange-standardized-regular-cleaning-laboratory" TargetMode="External"/><Relationship Id="rId181" Type="http://schemas.openxmlformats.org/officeDocument/2006/relationships/hyperlink" Target="https://extranet.who.int/lqsi/fr/content/faire-un-descriptif-de-la-fonction-pour-chaque-poste-dans-le-laboratoire" TargetMode="External"/><Relationship Id="rId279" Type="http://schemas.openxmlformats.org/officeDocument/2006/relationships/hyperlink" Target="https://extranet.who.int/lqsi/ru/content/%D1%81%D0%B4%D0%B5%D0%BB%D0%B0%D0%B9%D1%82%D0%B5-%C2%AB%D1%82%D0%B0%D0%B1%D0%BB%D0%B8%D1%86%D1%83-%D0%BF%D0%BE%D0%BB%D0%BD%D0%BE%D0%BC%D0%BE%D1%87%D0%B8%D0%B9%C2%BB" TargetMode="External"/><Relationship Id="rId486" Type="http://schemas.openxmlformats.org/officeDocument/2006/relationships/hyperlink" Target="https://extranet.who.int/lqsi/content/develop-maintenance-and-usage-log-sheetslogbooks-each-piece-equipment" TargetMode="External"/><Relationship Id="rId693" Type="http://schemas.openxmlformats.org/officeDocument/2006/relationships/hyperlink" Target="https://extranet.who.int/lqsi/content/establish-archive-ensuring-protection-laboratory-information-also-enables-quick-retrieval" TargetMode="External"/><Relationship Id="rId139" Type="http://schemas.openxmlformats.org/officeDocument/2006/relationships/hyperlink" Target="https://extranet.who.int/lqsi/fr/content/commander-des-n%C3%A9cessaires-pour-le-nettoyage-des-produits-r%C3%A9pandus-r%C3%A9diger-et-mettre-en-%C5%93uvre" TargetMode="External"/><Relationship Id="rId346" Type="http://schemas.openxmlformats.org/officeDocument/2006/relationships/hyperlink" Target="https://extranet.who.int/lqsi/es/content/adquirir-kits-para-derrames-y-redactar-e-implementar-un-poe-de-control-de-derrames" TargetMode="External"/><Relationship Id="rId553" Type="http://schemas.openxmlformats.org/officeDocument/2006/relationships/hyperlink" Target="https://extranet.who.int/lqsi/content/if-patient-data-are-recorded-paper-system-ensure-secure-and-proper-storage" TargetMode="External"/><Relationship Id="rId760" Type="http://schemas.openxmlformats.org/officeDocument/2006/relationships/hyperlink" Target="https://extranet.who.int/lqsi/fr/content/formuler-la-politique-de-la-qualit%C3%A9" TargetMode="External"/><Relationship Id="rId998" Type="http://schemas.openxmlformats.org/officeDocument/2006/relationships/hyperlink" Target="https://extranet.who.int/lqsi/es/content/disponer-un-espacio-de-almacenamiento-adecuado-y-unas-condiciones-correctas-para-las" TargetMode="External"/><Relationship Id="rId1183" Type="http://schemas.openxmlformats.org/officeDocument/2006/relationships/hyperlink" Target="https://extranet.who.int/lqsi/es/content/determinar-y-corregir-la-posible-influencia-negativa-sobre-los-resultados-de-an%C3%A1lisis" TargetMode="External"/><Relationship Id="rId206" Type="http://schemas.openxmlformats.org/officeDocument/2006/relationships/hyperlink" Target="https://extranet.who.int/lqsi/fr/content/r%C3%A9diger-une-pos-cadre" TargetMode="External"/><Relationship Id="rId413" Type="http://schemas.openxmlformats.org/officeDocument/2006/relationships/hyperlink" Target="https://extranet.who.int/lqsi/es/content/redactar-un-poe-principal" TargetMode="External"/><Relationship Id="rId858"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3" Type="http://schemas.openxmlformats.org/officeDocument/2006/relationships/hyperlink" Target="https://extranet.who.int/lqsi/es/content/desarrollar-un-plan-anual-de-calidad-para-el-pr%C3%B3ximo-a%C3%B1o-partir-de-las-conclusiones-de-la" TargetMode="External"/><Relationship Id="rId620" Type="http://schemas.openxmlformats.org/officeDocument/2006/relationships/hyperlink" Target="https://extranet.who.int/lqsi/content/formulate-vision-laboratory-reason-why-laboratory-exists" TargetMode="External"/><Relationship Id="rId718" Type="http://schemas.openxmlformats.org/officeDocument/2006/relationships/hyperlink" Target="https://extranet.who.int/lqsi/content/formulate-action-plan-based-audit-report-and-monitor-its-implementation" TargetMode="External"/><Relationship Id="rId925" Type="http://schemas.openxmlformats.org/officeDocument/2006/relationships/hyperlink" Target="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TargetMode="External"/><Relationship Id="rId1250" Type="http://schemas.openxmlformats.org/officeDocument/2006/relationships/hyperlink" Target="https://extranet.who.int/lqsi/content/organize-external-audit-identify-last-improvements-necessary-accreditation" TargetMode="External"/><Relationship Id="rId1110" Type="http://schemas.openxmlformats.org/officeDocument/2006/relationships/hyperlink" Target="https://extranet.who.int/lqsi/content/train-staff-recognize-symptoms-laboratory-associated-infections-and-facilitate-access" TargetMode="External"/><Relationship Id="rId1208" Type="http://schemas.openxmlformats.org/officeDocument/2006/relationships/hyperlink" Target="https://extranet.who.int/lqsi/ru/content/%D1%81%D0%BB%D0%B5%D0%B4%D0%B8%D1%82%D0%B5-%D0%B7%D0%B0-%D1%82%D1%80%D0%B0%D0%BD%D1%81%D0%BF%D0%BE%D1%80%D1%82%D0%B8%D1%80%D0%BE%D0%B2%D0%BA%D0%BE%D0%B9-%D0%BF%D1%80%D0%BE%D0%B1" TargetMode="External"/><Relationship Id="rId54" Type="http://schemas.openxmlformats.org/officeDocument/2006/relationships/hyperlink" Target="https://extranet.who.int/lqsi/content/appoint-equipment-officer" TargetMode="External"/><Relationship Id="rId270"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130" Type="http://schemas.openxmlformats.org/officeDocument/2006/relationships/hyperlink" Target="https://extranet.who.int/lqsi/fr/content/r%C3%A9diger-un-manuel-de-s%C3%A9curit%C3%A9-biologique-et-sassurer-que-tout-le-personnel-la-lu-et-sign%C3%A9" TargetMode="External"/><Relationship Id="rId368" Type="http://schemas.openxmlformats.org/officeDocument/2006/relationships/hyperlink" Target="https://extranet.who.int/lqsi/es/content/designar-un-miembro-del-personal-responsable-de-realizar-el-seguimiento-de-las-existencias-y" TargetMode="External"/><Relationship Id="rId575" Type="http://schemas.openxmlformats.org/officeDocument/2006/relationships/hyperlink" Target="https://extranet.who.int/lqsi/content/roll-out-document-control-system" TargetMode="External"/><Relationship Id="rId782" Type="http://schemas.openxmlformats.org/officeDocument/2006/relationships/hyperlink" Target="https://extranet.who.int/lqsi/fr/content/r%C3%A9aliser-une-revue-de-direction-%C3%A0-la-fin-de-lann%C3%A9e-couverte-par-le-plan-qualit%C3%A9" TargetMode="External"/><Relationship Id="rId22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5" Type="http://schemas.openxmlformats.org/officeDocument/2006/relationships/hyperlink" Target="https://extranet.who.int/lqsi/content/monitor-and-record-environmental-parameters-and-equipment-parameters" TargetMode="External"/><Relationship Id="rId642" Type="http://schemas.openxmlformats.org/officeDocument/2006/relationships/hyperlink" Target="https://extranet.who.int/lqsi/content/formulate-first-quality-year-plan" TargetMode="External"/><Relationship Id="rId1065" Type="http://schemas.openxmlformats.org/officeDocument/2006/relationships/hyperlink" Target="https://extranet.who.int/lqsi/es/content/determinar-el-plazo-de-entrega-de-cada-an%C3%A1lisis-que-se-realice-en-el-laboratorio" TargetMode="External"/><Relationship Id="rId1272" Type="http://schemas.openxmlformats.org/officeDocument/2006/relationships/hyperlink" Target="https://extranet.who.int/lqsi/content/identify-potential-emergencies-could-take-place-and-around-laboratory-and-could-affect-need" TargetMode="External"/><Relationship Id="rId502" Type="http://schemas.openxmlformats.org/officeDocument/2006/relationships/hyperlink" Target="https://extranet.who.int/lqsi/content/make-inventory-all-supplies-their-specifications-and-suppliers" TargetMode="External"/><Relationship Id="rId947"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2" Type="http://schemas.openxmlformats.org/officeDocument/2006/relationships/hyperlink" Target="https://extranet.who.int/lqsi/fr/content/%C3%A9valuer-les-besoins-en-termes-de-formation-de-chaque-membre-du-personnel" TargetMode="External"/><Relationship Id="rId76" Type="http://schemas.openxmlformats.org/officeDocument/2006/relationships/hyperlink" Target="https://extranet.who.int/lqsi/content/make-job-description-each-position-laboratory" TargetMode="External"/><Relationship Id="rId807" Type="http://schemas.openxmlformats.org/officeDocument/2006/relationships/hyperlink" Target="https://extranet.who.int/lqsi/fr/content/d%C3%A9terminer-les-temps-dobtention-des-r%C3%A9sultats-de-chaque-examen-r%C3%A9alis%C3%A9-dans-le-laboratoire" TargetMode="External"/><Relationship Id="rId292"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597" Type="http://schemas.openxmlformats.org/officeDocument/2006/relationships/hyperlink" Target="https://extranet.who.int/lqsi/content/make-sure-enough-staff-members-are-trained-providing-first-aid-or-access-first-aid-ensured" TargetMode="External"/><Relationship Id="rId152" Type="http://schemas.openxmlformats.org/officeDocument/2006/relationships/hyperlink" Target="https://extranet.who.int/lqsi/fr/content/commencer-%C3%A0-organiser-des-r%C3%A9unions-r%C3%A9guli%C3%A8res-hebdomadaires-du-personnel" TargetMode="External"/><Relationship Id="rId457" Type="http://schemas.openxmlformats.org/officeDocument/2006/relationships/hyperlink" Target="https://extranet.who.int/lqsi/content/perform-staff-competency-assessments" TargetMode="External"/><Relationship Id="rId1087" Type="http://schemas.openxmlformats.org/officeDocument/2006/relationships/hyperlink" Target="https://extranet.who.int/lqsi/es/content/escribir-un-poe-sobre-gesti%C3%B3n-de-la-informaci%C3%B3n" TargetMode="External"/><Relationship Id="rId1294"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664" Type="http://schemas.openxmlformats.org/officeDocument/2006/relationships/hyperlink" Target="https://extranet.who.int/lqsi/content/create-personnel-replacement-matrix" TargetMode="External"/><Relationship Id="rId871"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969"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317" Type="http://schemas.openxmlformats.org/officeDocument/2006/relationships/hyperlink" Target="https://extranet.who.int/lqsi/es/content/realizar-una-evaluaci%C3%B3n-de-las-instalaciones-y-las-condiciones-de-seguridad" TargetMode="External"/><Relationship Id="rId524" Type="http://schemas.openxmlformats.org/officeDocument/2006/relationships/hyperlink" Target="https://extranet.who.int/lqsi/content/develop-sop-sample-reception-and-processing-and-start-registering-all-samples-received" TargetMode="External"/><Relationship Id="rId731" Type="http://schemas.openxmlformats.org/officeDocument/2006/relationships/hyperlink" Target="https://extranet.who.int/lqsi/fr/content/quand-le-laboratoire-travaille-avec-des-organismes-pathog%C3%A8nes-n%C3%A9cessitant-un-b%C3%A2timent-de" TargetMode="External"/><Relationship Id="rId1154" Type="http://schemas.openxmlformats.org/officeDocument/2006/relationships/hyperlink" Target="https://extranet.who.int/lqsi/es/content/evaluar-si-el-n%C3%BAmero-de-miembros-del-personal-sigue-siendo-suficiente-para-garantizar-la" TargetMode="External"/><Relationship Id="rId98" Type="http://schemas.openxmlformats.org/officeDocument/2006/relationships/hyperlink" Target="https://extranet.who.int/lqsi/content/make-sops-all-tests-performed-laboratory" TargetMode="External"/><Relationship Id="rId829" Type="http://schemas.openxmlformats.org/officeDocument/2006/relationships/hyperlink" Target="https://extranet.who.int/lqsi/fr/content/r%C3%A9diger-une-pos-relative-%C3%A0-la-gestion-de-linformation" TargetMode="External"/><Relationship Id="rId1014" Type="http://schemas.openxmlformats.org/officeDocument/2006/relationships/hyperlink" Target="https://extranet.who.int/lqsi/es/content/formular-la-pol%C3%ADtica-de-la-calidad" TargetMode="External"/><Relationship Id="rId1221" Type="http://schemas.openxmlformats.org/officeDocument/2006/relationships/hyperlink" Target="https://extranet.who.int/lqsi/es/content/realizar-un-seguimiento-del-transporte-de-las-muestras" TargetMode="External"/><Relationship Id="rId1319"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25" Type="http://schemas.openxmlformats.org/officeDocument/2006/relationships/hyperlink" Target="https://extranet.who.int/lqsi/content/write-biosafety-manual-and-make-sure-it-read-and-signed-all-staff" TargetMode="External"/><Relationship Id="rId174" Type="http://schemas.openxmlformats.org/officeDocument/2006/relationships/hyperlink" Target="https://extranet.who.int/lqsi/fr/content/faire-une-grille-dautorisation" TargetMode="External"/><Relationship Id="rId381" Type="http://schemas.openxmlformats.org/officeDocument/2006/relationships/hyperlink" Target="https://extranet.who.int/lqsi/es/content/formar-al-encargado-de-bioseguridad-en-materia-de-bioseguridad-para-que-pueda-desempe%C3%B1ar" TargetMode="External"/><Relationship Id="rId241"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9" Type="http://schemas.openxmlformats.org/officeDocument/2006/relationships/hyperlink" Target="https://extranet.who.int/lqsi/content/label-all-equipment-accordance-codes-inventory-list-made-phase-1-under-equipment" TargetMode="External"/><Relationship Id="rId686" Type="http://schemas.openxmlformats.org/officeDocument/2006/relationships/hyperlink" Target="https://extranet.who.int/lqsi/content/monitor-adherence-turnaround-times-determined-each-examination" TargetMode="External"/><Relationship Id="rId893"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339" Type="http://schemas.openxmlformats.org/officeDocument/2006/relationships/hyperlink" Target="https://extranet.who.int/lqsi/es/content/redactar-un-manual-de-bioseguridad-y-asegurarse-de-que-todo-el-personal-lo-lee-y-lo-firma" TargetMode="External"/><Relationship Id="rId546" Type="http://schemas.openxmlformats.org/officeDocument/2006/relationships/hyperlink" Target="https://extranet.who.int/lqsi/content/start-reviewing-and-authorizing-results-ie-validation-results-releasing-report" TargetMode="External"/><Relationship Id="rId753" Type="http://schemas.openxmlformats.org/officeDocument/2006/relationships/hyperlink" Target="https://extranet.who.int/lqsi/fr/content/formuler-les-objectifs-%C3%A0-long-terme-du-laboratoire" TargetMode="External"/><Relationship Id="rId1176"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01" Type="http://schemas.openxmlformats.org/officeDocument/2006/relationships/hyperlink" Target="https://extranet.who.int/lqsi/content/write-master-sop" TargetMode="External"/><Relationship Id="rId406" Type="http://schemas.openxmlformats.org/officeDocument/2006/relationships/hyperlink" Target="https://extranet.who.int/lqsi/es/content/elaborar-una-hoja-de-petici%C3%B3n-para-pruebas-anal%C3%ADticas" TargetMode="External"/><Relationship Id="rId960"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036" Type="http://schemas.openxmlformats.org/officeDocument/2006/relationships/hyperlink" Target="https://extranet.who.int/lqsi/es/content/elaborar-un-manual-de-calidad" TargetMode="External"/><Relationship Id="rId1243"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613" Type="http://schemas.openxmlformats.org/officeDocument/2006/relationships/hyperlink" Target="https://extranet.who.int/lqsi/content/arrange-and-monitor-adequate-storage-space-and-conditions-samples-documents-records" TargetMode="External"/><Relationship Id="rId820" Type="http://schemas.openxmlformats.org/officeDocument/2006/relationships/hyperlink" Target="https://extranet.who.int/lqsi/fr/content/%C3%A9tablir-un-syst%C3%A8me-darchivage-assurant-la-protection-des-informations-du-laboratoire-mais" TargetMode="External"/><Relationship Id="rId918" Type="http://schemas.openxmlformats.org/officeDocument/2006/relationships/hyperlink" Target="https://extranet.who.int/lqsi/ru/content/%D1%81%D1%82%D0%B0%D0%BD%D0%B4%D0%B0%D1%80%D1%82%D0%B8%D0%B7%D0%B8%D1%80%D1%83%D0%B9%D1%82%D0%B5-%D0%B8-%D0%B7%D0%B0%D0%B4%D0%BE%D0%BA%D1%83%D0%BC%D0%B5%D0%BD%D1%82%D0%B8%D1%80%D1%83%D0%B9%D1%82%D0%B5-%D1%86%D0%B8%D0%BA%D0%BB-%D1%83%D0%BF%D1%80%D0%B0%D0%B2%D0%BB%D0%B5%D0%BD%D0%B8%D1%8F-%D0%B2-%D0%B2%D0%B8%D0%B4%D0%B5-%D1%81%D0%BE%D0%BF" TargetMode="External"/><Relationship Id="rId1103" Type="http://schemas.openxmlformats.org/officeDocument/2006/relationships/hyperlink" Target="https://extranet.who.int/lqsi/es/content/empezar-llevar-cabo-todas-las-auditor%C3%ADas-internas-y-escribir-informes-de-auditor%C3%ADa" TargetMode="External"/><Relationship Id="rId1310" Type="http://schemas.openxmlformats.org/officeDocument/2006/relationships/hyperlink" Target="https://extranet.who.int/lqsi/content/evaluate-effectiveness-preventive-actions-control-steps-and-corrective-actions-implemented" TargetMode="External"/><Relationship Id="rId47" Type="http://schemas.openxmlformats.org/officeDocument/2006/relationships/hyperlink" Target="https://extranet.who.int/lqsi/content/start-organizing-regular-weekly-staff-meetings" TargetMode="External"/><Relationship Id="rId196" Type="http://schemas.openxmlformats.org/officeDocument/2006/relationships/hyperlink" Target="https://extranet.who.int/lqsi/fr/content/pr%C3%A9parer-des-fiches-de-stock-et-%C3%A9laborer-un-syst%C3%A8me-de-gestion-de-stock" TargetMode="External"/><Relationship Id="rId263"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70" Type="http://schemas.openxmlformats.org/officeDocument/2006/relationships/hyperlink" Target="https://extranet.who.int/lqsi/content/develop-personnel-files-all-staff-members" TargetMode="External"/><Relationship Id="rId123" Type="http://schemas.openxmlformats.org/officeDocument/2006/relationships/hyperlink" Target="https://extranet.who.int/lqsi/fr/content/r%C3%A9diger-et-mettre-en-%C5%93uvre-une-pos-pour-la-s%C3%A9paration-des-d%C3%A9chets-et-leur-%C3%A9limination" TargetMode="External"/><Relationship Id="rId330" Type="http://schemas.openxmlformats.org/officeDocument/2006/relationships/hyperlink" Target="https://extranet.who.int/lqsi/es/content/redactar-e-implementar-un-poe-de-separaci%C3%B3n-y-eliminaci%C3%B3n-de-residuos" TargetMode="External"/><Relationship Id="rId568" Type="http://schemas.openxmlformats.org/officeDocument/2006/relationships/hyperlink" Target="https://extranet.who.int/lqsi/content/add-front-page-each-quality-document-used-laboratory" TargetMode="External"/><Relationship Id="rId775" Type="http://schemas.openxmlformats.org/officeDocument/2006/relationships/hyperlink" Target="https://extranet.who.int/lqsi/fr/content/transcrire-le-plan-annuel-qualit%C3%A9-en-actions-%C3%A0-mener-selon-la-m%C3%A9thode-smart" TargetMode="External"/><Relationship Id="rId982" Type="http://schemas.openxmlformats.org/officeDocument/2006/relationships/hyperlink" Target="https://extranet.who.int/lqsi/es/content/garantizar-la-disponibilidad-de-suficientes-miembros-del-personal-capacitados-para-prestar" TargetMode="External"/><Relationship Id="rId1198" Type="http://schemas.openxmlformats.org/officeDocument/2006/relationships/hyperlink" Target="https://extranet.who.int/lqsi/fr/content/surveiller-le-transport-des-%C3%A9chantillons" TargetMode="External"/><Relationship Id="rId428" Type="http://schemas.openxmlformats.org/officeDocument/2006/relationships/hyperlink" Target="https://extranet.who.int/lqsi/content/ensure-uninterrupted-supply-electricity" TargetMode="External"/><Relationship Id="rId635" Type="http://schemas.openxmlformats.org/officeDocument/2006/relationships/hyperlink" Target="https://extranet.who.int/lqsi/content/formulate-quality-policy" TargetMode="External"/><Relationship Id="rId842" Type="http://schemas.openxmlformats.org/officeDocument/2006/relationships/hyperlink" Target="https://extranet.who.int/lqsi/fr/content/%C3%A9tablir-un-plan-daudit-interne-pour-les-12-prochains-mois" TargetMode="External"/><Relationship Id="rId1058" Type="http://schemas.openxmlformats.org/officeDocument/2006/relationships/hyperlink" Target="https://extranet.who.int/lqsi/es/content/normalizar-el-m%C3%A9todo-para-escoger-proveedores-y-para-evaluar-los-contratos-de-compra-y" TargetMode="External"/><Relationship Id="rId1265" Type="http://schemas.openxmlformats.org/officeDocument/2006/relationships/hyperlink" Target="https://extranet.who.int/lqsi/es/content/crear-un-plan-de-acci%C3%B3n-tras-el-informe-de-la-auditor%C3%ADa-externa-y-realizar-un-seguimiento-de" TargetMode="External"/><Relationship Id="rId702" Type="http://schemas.openxmlformats.org/officeDocument/2006/relationships/hyperlink" Target="https://extranet.who.int/lqsi/content/measure-satisfaction-clients-laboratory" TargetMode="External"/><Relationship Id="rId1125" Type="http://schemas.openxmlformats.org/officeDocument/2006/relationships/hyperlink" Target="https://extranet.who.int/lqsi/content/ensure-all-staff-participate-quality-assurance-programs-relevant-their-positions" TargetMode="External"/><Relationship Id="rId69" Type="http://schemas.openxmlformats.org/officeDocument/2006/relationships/hyperlink" Target="https://extranet.who.int/lqsi/content/provide-biosafety-officer-biosafety-training-so-heshe-capable-fully-perform-hisher-job-tasks" TargetMode="External"/><Relationship Id="rId285"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492" Type="http://schemas.openxmlformats.org/officeDocument/2006/relationships/hyperlink" Target="https://extranet.who.int/lqsi/content/decide-method-maintenance-and-calibration-each-piece-equipment" TargetMode="External"/><Relationship Id="rId797" Type="http://schemas.openxmlformats.org/officeDocument/2006/relationships/hyperlink" Target="https://extranet.who.int/lqsi/fr/content/standardiser-la-m%C3%A9thode-permettant-de-choisir-les-fournisseurs-et-d%C3%A9valuer-les-contrats" TargetMode="External"/><Relationship Id="rId145" Type="http://schemas.openxmlformats.org/officeDocument/2006/relationships/hyperlink" Target="https://extranet.who.int/lqsi/fr/content/constituer-une-%C3%A9quipe-de-projet-qualit%C3%A9-le-chef-de-cette-%C3%A9quipe-sera-d%C3%A9sign%C3%A9-point-focal" TargetMode="External"/><Relationship Id="rId352" Type="http://schemas.openxmlformats.org/officeDocument/2006/relationships/hyperlink" Target="https://extranet.who.int/lqsi/es/content/crear-un-equipo-del-proyecto-de-calidad-al-coordinador-de-este-equipo-se-le-designar%C3%A1-como" TargetMode="External"/><Relationship Id="rId1287"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2"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657" Type="http://schemas.openxmlformats.org/officeDocument/2006/relationships/hyperlink" Target="https://extranet.who.int/lqsi/content/perform-management-review-end-quality-year" TargetMode="External"/><Relationship Id="rId864"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517" Type="http://schemas.openxmlformats.org/officeDocument/2006/relationships/hyperlink" Target="https://extranet.who.int/lqsi/content/store-supplies-appropriately" TargetMode="External"/><Relationship Id="rId724" Type="http://schemas.openxmlformats.org/officeDocument/2006/relationships/hyperlink" Target="https://extranet.who.int/lqsi/fr/content/veiller-%C3%A0-ce-quun-nombre-suffisant-de-membres-du-personnel-poss%C3%A8dent-une-formation-de" TargetMode="External"/><Relationship Id="rId931"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147"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60" Type="http://schemas.openxmlformats.org/officeDocument/2006/relationships/hyperlink" Target="https://extranet.who.int/lqsi/content/make-organizational-charts" TargetMode="External"/><Relationship Id="rId1007" Type="http://schemas.openxmlformats.org/officeDocument/2006/relationships/hyperlink" Target="https://extranet.who.int/lqsi/es/content/formular-la-misi%C3%B3n-del-laboratorio" TargetMode="External"/><Relationship Id="rId1214"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8" Type="http://schemas.openxmlformats.org/officeDocument/2006/relationships/hyperlink" Target="https://extranet.who.int/lqsi/content/write-and-implement-sop-waste-segregation-and-disposal" TargetMode="External"/><Relationship Id="rId167" Type="http://schemas.openxmlformats.org/officeDocument/2006/relationships/hyperlink" Target="https://extranet.who.int/lqsi/fr/content/r%C3%A9aliser-des-organigrammes" TargetMode="External"/><Relationship Id="rId374" Type="http://schemas.openxmlformats.org/officeDocument/2006/relationships/hyperlink" Target="https://extranet.who.int/lqsi/es/content/crear-organigramas" TargetMode="External"/><Relationship Id="rId581" Type="http://schemas.openxmlformats.org/officeDocument/2006/relationships/hyperlink" Target="https://extranet.who.int/lqsi/content/document-biological-reference-intervalsdecision-values-all-examinations-performed" TargetMode="External"/><Relationship Id="rId234"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679" Type="http://schemas.openxmlformats.org/officeDocument/2006/relationships/hyperlink" Target="https://extranet.who.int/lqsi/content/determine-turnaround-time-each-examination-performed-laboratory" TargetMode="External"/><Relationship Id="rId886"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 Type="http://schemas.openxmlformats.org/officeDocument/2006/relationships/hyperlink" Target="https://extranet.who.int/lqsi/content/determine-which-biosafety-level-facilities-need-comply" TargetMode="External"/><Relationship Id="rId441" Type="http://schemas.openxmlformats.org/officeDocument/2006/relationships/hyperlink" Target="https://extranet.who.int/lqsi/content/appoint-quality-officer" TargetMode="External"/><Relationship Id="rId539" Type="http://schemas.openxmlformats.org/officeDocument/2006/relationships/hyperlink" Target="https://extranet.who.int/lqsi/content/monitor-and-investigate-failure-internal-controls-and-improve-accordingly" TargetMode="External"/><Relationship Id="rId746" Type="http://schemas.openxmlformats.org/officeDocument/2006/relationships/hyperlink" Target="https://extranet.who.int/lqsi/fr/content/dresser-une-liste-de-dur%C3%A9es-de-stockagearchivage-de-diff%C3%A9rents-%C3%A9l%C3%A9ments" TargetMode="External"/><Relationship Id="rId1071" Type="http://schemas.openxmlformats.org/officeDocument/2006/relationships/hyperlink" Target="https://extranet.who.int/lqsi/es/content/realizar-el-seguimiento-del-cumplimiento-de-los-plazos-de-entrega-determinados-para-cada" TargetMode="External"/><Relationship Id="rId1169" Type="http://schemas.openxmlformats.org/officeDocument/2006/relationships/hyperlink" Target="https://extranet.who.int/lqsi/content/when-equipment-appears-be-defective-determine-and-correct-potential-negative-influence" TargetMode="External"/><Relationship Id="rId301"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953"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029" Type="http://schemas.openxmlformats.org/officeDocument/2006/relationships/hyperlink" Target="https://extranet.who.int/lqsi/es/content/formular-el-primer-plan-anual-de-calidad" TargetMode="External"/><Relationship Id="rId1236" Type="http://schemas.openxmlformats.org/officeDocument/2006/relationships/hyperlink" Target="https://extranet.who.int/lqsi/fr/content/participer-aux-sessions-cliniques%C3%A0-des-discussions-r%C3%A9guli%C3%A8rement-organis%C3%A9es-avec-le" TargetMode="External"/><Relationship Id="rId82" Type="http://schemas.openxmlformats.org/officeDocument/2006/relationships/hyperlink" Target="https://extranet.who.int/lqsi/content/ensure-adequately-qualified-staff" TargetMode="External"/><Relationship Id="rId606" Type="http://schemas.openxmlformats.org/officeDocument/2006/relationships/hyperlink" Target="https://extranet.who.int/lqsi/content/create-primary-sample-collection-facility-separate-laboratory" TargetMode="External"/><Relationship Id="rId813" Type="http://schemas.openxmlformats.org/officeDocument/2006/relationships/hyperlink" Target="https://extranet.who.int/lqsi/fr/content/surveiller-les-temps-dobtention-des-r%C3%A9sultats-de-chaque-examen" TargetMode="External"/><Relationship Id="rId1303" Type="http://schemas.openxmlformats.org/officeDocument/2006/relationships/hyperlink" Target="https://extranet.who.int/lqsi/es/content/identificar-posibles-emergencias-que-se-puedan-producir-en-el-laboratorio-y-sus-alrededores" TargetMode="External"/><Relationship Id="rId189" Type="http://schemas.openxmlformats.org/officeDocument/2006/relationships/hyperlink" Target="https://extranet.who.int/lqsi/fr/content/cr%C3%A9er-un-registre-de-l%C3%A9quipement-et-v%C3%A9rifier-le-bon-fonctionnement-de-l%C3%A9quipement" TargetMode="External"/><Relationship Id="rId396" Type="http://schemas.openxmlformats.org/officeDocument/2006/relationships/hyperlink" Target="https://extranet.who.int/lqsi/es/content/crear-un-registro-de-equipos-y-comprobar-el-adecuado-funcionamiento-de-los-equipos" TargetMode="External"/><Relationship Id="rId256"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463" Type="http://schemas.openxmlformats.org/officeDocument/2006/relationships/hyperlink" Target="https://extranet.who.int/lqsi/content/develop-appropriate-documented-induction-program-new-personnel" TargetMode="External"/><Relationship Id="rId670" Type="http://schemas.openxmlformats.org/officeDocument/2006/relationships/hyperlink" Target="https://extranet.who.int/lqsi/content/standardize-method-choosing-suppliers-and-evaluating-contracts-purchasing-and-delivery-goods" TargetMode="External"/><Relationship Id="rId1093" Type="http://schemas.openxmlformats.org/officeDocument/2006/relationships/hyperlink" Target="https://extranet.who.int/lqsi/es/content/disponer-que-el-encargado-de-la-calidad-y-otros-miembros-de-personal-reciban-formaci%C3%B3n-para" TargetMode="External"/><Relationship Id="rId116" Type="http://schemas.openxmlformats.org/officeDocument/2006/relationships/hyperlink" Target="https://extranet.who.int/lqsi/fr/content/r%C3%A9diger-et-mettre-en-%C5%93uvre-une-pos-pour-la-s%C3%A9paration-des-d%C3%A9chets-et-leur-%C3%A9limination" TargetMode="External"/><Relationship Id="rId323" Type="http://schemas.openxmlformats.org/officeDocument/2006/relationships/hyperlink" Target="https://extranet.who.int/lqsi/es/content/redactar-e-implementar-un-poe-de-separaci%C3%B3n-y-eliminaci%C3%B3n-de-residuos" TargetMode="External"/><Relationship Id="rId530" Type="http://schemas.openxmlformats.org/officeDocument/2006/relationships/hyperlink" Target="https://extranet.who.int/lqsi/content/describe-procedure-rejecting-sample-make-sample-rejection-form-and-send-requester-when" TargetMode="External"/><Relationship Id="rId768" Type="http://schemas.openxmlformats.org/officeDocument/2006/relationships/hyperlink" Target="https://extranet.who.int/lqsi/fr/content/formuler-le-premier-plan-annuel-qualit%C3%A9" TargetMode="External"/><Relationship Id="rId975"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0" Type="http://schemas.openxmlformats.org/officeDocument/2006/relationships/hyperlink" Target="https://extranet.who.int/lqsi/es/content/evaluar-las-necesidades-de-formaci%C3%B3n-de-cada-miembro-del-personal" TargetMode="External"/><Relationship Id="rId628" Type="http://schemas.openxmlformats.org/officeDocument/2006/relationships/hyperlink" Target="https://extranet.who.int/lqsi/content/formulate-quality-policy" TargetMode="External"/><Relationship Id="rId835" Type="http://schemas.openxmlformats.org/officeDocument/2006/relationships/hyperlink" Target="https://extranet.who.int/lqsi/fr/content/organiser-la-formation-du-responsable-qualit%C3%A9-et-dautres-membres-du-personnel-en-tant" TargetMode="External"/><Relationship Id="rId1258" Type="http://schemas.openxmlformats.org/officeDocument/2006/relationships/hyperlink" Target="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TargetMode="External"/><Relationship Id="rId1020" Type="http://schemas.openxmlformats.org/officeDocument/2006/relationships/hyperlink" Target="https://extranet.who.int/lqsi/es/content/formular-la-pol%C3%ADtica-de-la-calidad" TargetMode="External"/><Relationship Id="rId1118" Type="http://schemas.openxmlformats.org/officeDocument/2006/relationships/hyperlink" Target="https://extranet.who.int/lqsi/content/create-procedure-hiring-new-staff-hiring-temporary-staff-and-having-guests" TargetMode="External"/><Relationship Id="rId1325" Type="http://schemas.openxmlformats.org/officeDocument/2006/relationships/hyperlink" Target="https://extranet.who.int/lqsi/es/content/evaluar-la-eficacia-de-las-acciones-preventivas-pasos-de-control-y-acciones-correctivas-que" TargetMode="External"/><Relationship Id="rId902"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1" Type="http://schemas.openxmlformats.org/officeDocument/2006/relationships/hyperlink" Target="https://extranet.who.int/lqsi/content/arrange-standardized-regular-cleaning-laboratory" TargetMode="External"/><Relationship Id="rId180" Type="http://schemas.openxmlformats.org/officeDocument/2006/relationships/hyperlink" Target="https://extranet.who.int/lqsi/fr/content/faire-un-descriptif-de-la-fonction-pour-chaque-poste-dans-le-laboratoire" TargetMode="External"/><Relationship Id="rId278" Type="http://schemas.openxmlformats.org/officeDocument/2006/relationships/hyperlink" Target="https://extranet.who.int/lqsi/ru/content/%D1%81%D0%B4%D0%B5%D0%BB%D0%B0%D0%B9%D1%82%D0%B5-%C2%AB%D1%82%D0%B0%D0%B1%D0%BB%D0%B8%D1%86%D1%83-%D0%BF%D0%BE%D0%BB%D0%BD%D0%BE%D0%BC%D0%BE%D1%87%D0%B8%D0%B9%C2%BB" TargetMode="External"/><Relationship Id="rId485" Type="http://schemas.openxmlformats.org/officeDocument/2006/relationships/hyperlink" Target="https://extranet.who.int/lqsi/content/develop-maintenance-and-usage-log-sheetslogbooks-each-piece-equipment" TargetMode="External"/><Relationship Id="rId692" Type="http://schemas.openxmlformats.org/officeDocument/2006/relationships/hyperlink" Target="https://extranet.who.int/lqsi/content/establish-archive-ensuring-protection-laboratory-information-also-enables-quick-retrieval" TargetMode="External"/><Relationship Id="rId138" Type="http://schemas.openxmlformats.org/officeDocument/2006/relationships/hyperlink" Target="https://extranet.who.int/lqsi/fr/content/commander-des-n%C3%A9cessaires-pour-le-nettoyage-des-produits-r%C3%A9pandus-r%C3%A9diger-et-mettre-en-%C5%93uvre" TargetMode="External"/><Relationship Id="rId345" Type="http://schemas.openxmlformats.org/officeDocument/2006/relationships/hyperlink" Target="https://extranet.who.int/lqsi/es/content/organizar-la-limpieza-peri%C3%B3dica-y-normalizada-del-laboratorio" TargetMode="External"/><Relationship Id="rId552" Type="http://schemas.openxmlformats.org/officeDocument/2006/relationships/hyperlink" Target="https://extranet.who.int/lqsi/content/if-patient-data-are-recorded-paper-system-ensure-secure-and-proper-storage" TargetMode="External"/><Relationship Id="rId997" Type="http://schemas.openxmlformats.org/officeDocument/2006/relationships/hyperlink" Target="https://extranet.who.int/lqsi/es/content/disponer-un-espacio-de-almacenamiento-adecuado-y-unas-condiciones-correctas-para-las" TargetMode="External"/><Relationship Id="rId1182" Type="http://schemas.openxmlformats.org/officeDocument/2006/relationships/hyperlink" Target="https://extranet.who.int/lqsi/es/content/validar-todas-las-partes-de-los-equipos-que-se-utilizan-para-los-an%C3%A1lisis-del-laboratorio" TargetMode="External"/><Relationship Id="rId205" Type="http://schemas.openxmlformats.org/officeDocument/2006/relationships/hyperlink" Target="https://extranet.who.int/lqsi/fr/content/r%C3%A9diger-une-pos-cadre" TargetMode="External"/><Relationship Id="rId412" Type="http://schemas.openxmlformats.org/officeDocument/2006/relationships/hyperlink" Target="https://extranet.who.int/lqsi/es/content/redactar-poe-para-todas-las-pruebas-que-se-realizan-en-el-laboratorio" TargetMode="External"/><Relationship Id="rId857"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2" Type="http://schemas.openxmlformats.org/officeDocument/2006/relationships/hyperlink" Target="https://extranet.who.int/lqsi/es/content/realizar-una-revisi%C3%B3n-por-parte-de-la-direcci%C3%B3n-al-final-del-a%C3%B1o-de-calidad" TargetMode="External"/><Relationship Id="rId717" Type="http://schemas.openxmlformats.org/officeDocument/2006/relationships/hyperlink" Target="https://extranet.who.int/lqsi/content/start-carry-out-all-internal-audits-and-write-audit-reports" TargetMode="External"/><Relationship Id="rId924" Type="http://schemas.openxmlformats.org/officeDocument/2006/relationships/hyperlink" Target="https://extranet.who.int/lqsi/ru/content/%D0%BF%D0%BE%D0%B4%D0%B3%D0%BE%D1%82%D0%BE%D0%B2%D1%8C%D1%82%D0%B5-%D1%82%D0%B0%D0%B1%D0%BB%D0%B8%D1%86%D1%83-%D0%B7%D0%B0%D0%BC%D0%B5%D0%BD-%D0%BF%D0%B5%D1%80%D1%81%D0%BE%D0%BD%D0%B0%D0%BB%D0%B0" TargetMode="External"/><Relationship Id="rId53" Type="http://schemas.openxmlformats.org/officeDocument/2006/relationships/hyperlink" Target="https://extranet.who.int/lqsi/content/appoint-equipment-officer" TargetMode="External"/><Relationship Id="rId1207" Type="http://schemas.openxmlformats.org/officeDocument/2006/relationships/hyperlink" Target="https://extranet.who.int/lqsi/ru/content/%D1%81%D0%BB%D0%B5%D0%B4%D0%B8%D1%82%D0%B5-%D0%B7%D0%B0-%D1%82%D1%80%D0%B0%D0%BD%D1%81%D0%BF%D0%BE%D1%80%D1%82%D0%B8%D1%80%D0%BE%D0%B2%D0%BA%D0%BE%D0%B9-%D0%BF%D1%80%D0%BE%D0%B1" TargetMode="External"/><Relationship Id="rId367" Type="http://schemas.openxmlformats.org/officeDocument/2006/relationships/hyperlink" Target="https://extranet.who.int/lqsi/es/content/designar-un-encargado-de-equipos" TargetMode="External"/><Relationship Id="rId574" Type="http://schemas.openxmlformats.org/officeDocument/2006/relationships/hyperlink" Target="https://extranet.who.int/lqsi/content/roll-out-document-control-system" TargetMode="External"/><Relationship Id="rId22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781" Type="http://schemas.openxmlformats.org/officeDocument/2006/relationships/hyperlink" Target="https://extranet.who.int/lqsi/fr/content/r%C3%A9aliser-une-revue-de-direction-%C3%A0-la-fin-de-lann%C3%A9e-couverte-par-le-plan-qualit%C3%A9" TargetMode="External"/><Relationship Id="rId879"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434" Type="http://schemas.openxmlformats.org/officeDocument/2006/relationships/hyperlink" Target="https://extranet.who.int/lqsi/content/monitor-and-record-environmental-parameters-and-equipment-parameters" TargetMode="External"/><Relationship Id="rId641" Type="http://schemas.openxmlformats.org/officeDocument/2006/relationships/hyperlink" Target="https://extranet.who.int/lqsi/content/formulate-first-quality-year-plan" TargetMode="External"/><Relationship Id="rId739" Type="http://schemas.openxmlformats.org/officeDocument/2006/relationships/hyperlink" Target="https://extranet.who.int/lqsi/fr/content/am%C3%A9nager-et-surveiller-un-espace-et-des-conditions-de-stockage-appropri%C3%A9s-pour-les" TargetMode="External"/><Relationship Id="rId1064" Type="http://schemas.openxmlformats.org/officeDocument/2006/relationships/hyperlink" Target="https://extranet.who.int/lqsi/es/content/determinar-el-plazo-de-entrega-de-cada-an%C3%A1lisis-que-se-realice-en-el-laboratorio" TargetMode="External"/><Relationship Id="rId1271" Type="http://schemas.openxmlformats.org/officeDocument/2006/relationships/hyperlink" Target="https://extranet.who.int/lqsi/content/identify-potential-emergencies-could-take-place-and-around-laboratory-and-could-affect-need" TargetMode="External"/><Relationship Id="rId501" Type="http://schemas.openxmlformats.org/officeDocument/2006/relationships/hyperlink" Target="https://extranet.who.int/lqsi/content/make-inventory-all-supplies-their-specifications-and-suppliers" TargetMode="External"/><Relationship Id="rId946"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1" Type="http://schemas.openxmlformats.org/officeDocument/2006/relationships/hyperlink" Target="https://extranet.who.int/lqsi/fr/content/cr%C3%A9er-une-proc%C3%A9dure-pour-recruter-un-nouveau-membre-du-personnel-un-agent-temporaire-et" TargetMode="External"/><Relationship Id="rId1229" Type="http://schemas.openxmlformats.org/officeDocument/2006/relationships/hyperlink" Target="https://extranet.who.int/lqsi/content/participate-clinical-roundsschedule-regular-discussions-clinical-staff-harmonize-services" TargetMode="External"/><Relationship Id="rId75" Type="http://schemas.openxmlformats.org/officeDocument/2006/relationships/hyperlink" Target="https://extranet.who.int/lqsi/content/make-authorization-matrix" TargetMode="External"/><Relationship Id="rId806" Type="http://schemas.openxmlformats.org/officeDocument/2006/relationships/hyperlink" Target="https://extranet.who.int/lqsi/fr/content/d%C3%A9terminer-les-temps-dobtention-des-r%C3%A9sultats-de-chaque-examen-r%C3%A9alis%C3%A9-dans-le-laboratoir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28"/>
  <sheetViews>
    <sheetView zoomScale="80" zoomScaleNormal="80" workbookViewId="0">
      <selection activeCell="O25" sqref="O25"/>
    </sheetView>
  </sheetViews>
  <sheetFormatPr defaultColWidth="8.85546875" defaultRowHeight="15" x14ac:dyDescent="0.25"/>
  <cols>
    <col min="1" max="1" width="52.85546875" style="248" customWidth="1"/>
    <col min="2" max="2" width="12.140625" style="248" customWidth="1"/>
    <col min="3" max="3" width="13.42578125" style="248" bestFit="1" customWidth="1"/>
    <col min="4" max="7" width="24.85546875" style="248" customWidth="1"/>
    <col min="8" max="8" width="34.42578125" style="248" bestFit="1" customWidth="1"/>
    <col min="9" max="14" width="8.85546875" style="248"/>
    <col min="15" max="15" width="12.140625" style="248" customWidth="1"/>
    <col min="16" max="16" width="2.28515625" style="248" customWidth="1"/>
    <col min="17" max="16384" width="8.85546875" style="248"/>
  </cols>
  <sheetData>
    <row r="1" spans="1:20" ht="15.75" thickBot="1" x14ac:dyDescent="0.3"/>
    <row r="2" spans="1:20" s="249" customFormat="1" ht="24" customHeight="1" thickTop="1" x14ac:dyDescent="0.35">
      <c r="A2" s="281" t="s">
        <v>3223</v>
      </c>
      <c r="C2" s="250" t="s">
        <v>3205</v>
      </c>
      <c r="D2" s="288" t="s">
        <v>3225</v>
      </c>
      <c r="E2" s="288"/>
      <c r="F2" s="288"/>
      <c r="G2" s="288"/>
      <c r="H2" s="274" t="s">
        <v>1372</v>
      </c>
      <c r="I2" s="274"/>
      <c r="J2" s="275"/>
    </row>
    <row r="3" spans="1:20" ht="33.950000000000003" customHeight="1" thickBot="1" x14ac:dyDescent="0.3">
      <c r="A3" s="282"/>
      <c r="C3" s="245"/>
      <c r="D3" s="271" t="s">
        <v>3206</v>
      </c>
      <c r="E3" s="271"/>
      <c r="F3" s="271"/>
      <c r="G3" s="271"/>
      <c r="H3" s="279"/>
      <c r="I3" s="279"/>
      <c r="J3" s="280"/>
      <c r="M3" s="248" t="s">
        <v>3217</v>
      </c>
      <c r="N3" s="248" t="s">
        <v>2357</v>
      </c>
    </row>
    <row r="4" spans="1:20" ht="15.75" thickTop="1" x14ac:dyDescent="0.25">
      <c r="A4" s="251"/>
      <c r="N4" s="248" t="s">
        <v>2358</v>
      </c>
    </row>
    <row r="5" spans="1:20" ht="15.75" thickBot="1" x14ac:dyDescent="0.3">
      <c r="A5" s="283" t="s">
        <v>3224</v>
      </c>
      <c r="O5" s="248">
        <v>2.13</v>
      </c>
    </row>
    <row r="6" spans="1:20" ht="20.25" thickTop="1" x14ac:dyDescent="0.25">
      <c r="A6" s="283"/>
      <c r="C6" s="244" t="s">
        <v>3207</v>
      </c>
      <c r="D6" s="272" t="s">
        <v>3208</v>
      </c>
      <c r="E6" s="272"/>
      <c r="F6" s="272"/>
      <c r="G6" s="272"/>
      <c r="H6" s="273">
        <v>43003</v>
      </c>
      <c r="I6" s="274"/>
      <c r="J6" s="275"/>
      <c r="O6" s="248">
        <v>2.14</v>
      </c>
    </row>
    <row r="7" spans="1:20" ht="38.25" customHeight="1" thickBot="1" x14ac:dyDescent="0.3">
      <c r="A7" s="283"/>
      <c r="C7" s="245"/>
      <c r="D7" s="271" t="s">
        <v>3209</v>
      </c>
      <c r="E7" s="271"/>
      <c r="F7" s="271"/>
      <c r="G7" s="271"/>
      <c r="H7" s="279"/>
      <c r="I7" s="279"/>
      <c r="J7" s="280"/>
    </row>
    <row r="8" spans="1:20" ht="15.75" thickTop="1" x14ac:dyDescent="0.25">
      <c r="A8" s="283"/>
    </row>
    <row r="9" spans="1:20" ht="15.75" thickBot="1" x14ac:dyDescent="0.3">
      <c r="A9" s="283"/>
    </row>
    <row r="10" spans="1:20" ht="20.25" customHeight="1" thickTop="1" x14ac:dyDescent="0.25">
      <c r="A10" s="283"/>
      <c r="C10" s="244" t="s">
        <v>3210</v>
      </c>
      <c r="D10" s="272" t="s">
        <v>3211</v>
      </c>
      <c r="E10" s="272"/>
      <c r="F10" s="272"/>
      <c r="G10" s="272"/>
      <c r="H10" s="273"/>
      <c r="I10" s="274"/>
      <c r="J10" s="275"/>
      <c r="L10" s="310" t="s">
        <v>4314</v>
      </c>
      <c r="M10" s="311"/>
      <c r="N10" s="311"/>
      <c r="O10" s="312"/>
      <c r="P10" s="319"/>
      <c r="Q10" s="321" t="s">
        <v>4315</v>
      </c>
      <c r="R10" s="321"/>
      <c r="S10" s="321"/>
      <c r="T10" s="321"/>
    </row>
    <row r="11" spans="1:20" ht="19.5" x14ac:dyDescent="0.25">
      <c r="A11" s="283"/>
      <c r="C11" s="246"/>
      <c r="D11" s="247" t="s">
        <v>506</v>
      </c>
      <c r="E11" s="247" t="s">
        <v>507</v>
      </c>
      <c r="F11" s="247" t="s">
        <v>508</v>
      </c>
      <c r="G11" s="247" t="s">
        <v>509</v>
      </c>
      <c r="H11" s="276"/>
      <c r="I11" s="277"/>
      <c r="J11" s="278"/>
      <c r="L11" s="313"/>
      <c r="M11" s="314"/>
      <c r="N11" s="314"/>
      <c r="O11" s="315"/>
      <c r="P11" s="319"/>
      <c r="Q11" s="321"/>
      <c r="R11" s="321"/>
      <c r="S11" s="321"/>
      <c r="T11" s="321"/>
    </row>
    <row r="12" spans="1:20" ht="50.1" customHeight="1" thickBot="1" x14ac:dyDescent="0.3">
      <c r="A12" s="283"/>
      <c r="C12" s="245"/>
      <c r="D12" s="271" t="s">
        <v>3212</v>
      </c>
      <c r="E12" s="271"/>
      <c r="F12" s="271"/>
      <c r="G12" s="271"/>
      <c r="H12" s="279"/>
      <c r="I12" s="279"/>
      <c r="J12" s="280"/>
      <c r="L12" s="316">
        <f>COUNTA(CompChecksTrans!D:D)</f>
        <v>482</v>
      </c>
      <c r="M12" s="317"/>
      <c r="N12" s="317"/>
      <c r="O12" s="318"/>
      <c r="P12" s="320"/>
      <c r="Q12" s="321"/>
      <c r="R12" s="321"/>
      <c r="S12" s="321"/>
      <c r="T12" s="321"/>
    </row>
    <row r="13" spans="1:20" ht="16.5" thickTop="1" thickBot="1" x14ac:dyDescent="0.3">
      <c r="A13" s="284"/>
      <c r="M13" s="309"/>
    </row>
    <row r="14" spans="1:20" ht="15.75" thickBot="1" x14ac:dyDescent="0.3">
      <c r="M14" s="309"/>
    </row>
    <row r="15" spans="1:20" ht="20.25" thickTop="1" x14ac:dyDescent="0.25">
      <c r="C15" s="244" t="s">
        <v>3213</v>
      </c>
      <c r="D15" s="272" t="s">
        <v>3214</v>
      </c>
      <c r="E15" s="272"/>
      <c r="F15" s="272"/>
      <c r="G15" s="272"/>
      <c r="H15" s="273">
        <v>42964</v>
      </c>
      <c r="I15" s="274"/>
      <c r="J15" s="275"/>
    </row>
    <row r="16" spans="1:20" ht="19.5" x14ac:dyDescent="0.25">
      <c r="C16" s="246"/>
      <c r="D16" s="285" t="s">
        <v>3215</v>
      </c>
      <c r="E16" s="286"/>
      <c r="F16" s="286"/>
      <c r="G16" s="287"/>
      <c r="H16" s="276"/>
      <c r="I16" s="277"/>
      <c r="J16" s="278"/>
    </row>
    <row r="17" spans="3:10" ht="36" customHeight="1" thickBot="1" x14ac:dyDescent="0.3">
      <c r="C17" s="245"/>
      <c r="D17" s="271" t="s">
        <v>3216</v>
      </c>
      <c r="E17" s="271"/>
      <c r="F17" s="271"/>
      <c r="G17" s="271"/>
      <c r="H17" s="279"/>
      <c r="I17" s="279"/>
      <c r="J17" s="280"/>
    </row>
    <row r="18" spans="3:10" ht="15.75" thickTop="1" x14ac:dyDescent="0.25"/>
    <row r="19" spans="3:10" ht="15.75" thickBot="1" x14ac:dyDescent="0.3"/>
    <row r="20" spans="3:10" ht="20.25" thickTop="1" x14ac:dyDescent="0.25">
      <c r="C20" s="244" t="s">
        <v>3218</v>
      </c>
      <c r="D20" s="272" t="s">
        <v>3219</v>
      </c>
      <c r="E20" s="272"/>
      <c r="F20" s="272"/>
      <c r="G20" s="272"/>
      <c r="H20" s="273"/>
      <c r="I20" s="274"/>
      <c r="J20" s="275"/>
    </row>
    <row r="21" spans="3:10" ht="19.5" x14ac:dyDescent="0.25">
      <c r="C21" s="246"/>
      <c r="D21" s="247" t="s">
        <v>506</v>
      </c>
      <c r="E21" s="247" t="s">
        <v>507</v>
      </c>
      <c r="F21" s="247" t="s">
        <v>508</v>
      </c>
      <c r="G21" s="247" t="s">
        <v>509</v>
      </c>
      <c r="H21" s="276"/>
      <c r="I21" s="277"/>
      <c r="J21" s="278"/>
    </row>
    <row r="22" spans="3:10" ht="15.95" customHeight="1" thickBot="1" x14ac:dyDescent="0.3">
      <c r="C22" s="245"/>
      <c r="D22" s="271" t="s">
        <v>3220</v>
      </c>
      <c r="E22" s="271"/>
      <c r="F22" s="271"/>
      <c r="G22" s="271"/>
      <c r="H22" s="279"/>
      <c r="I22" s="279"/>
      <c r="J22" s="280"/>
    </row>
    <row r="23" spans="3:10" ht="15.75" thickTop="1" x14ac:dyDescent="0.25"/>
    <row r="24" spans="3:10" ht="15.75" thickBot="1" x14ac:dyDescent="0.3"/>
    <row r="25" spans="3:10" ht="20.25" thickTop="1" x14ac:dyDescent="0.25">
      <c r="C25" s="244" t="s">
        <v>3221</v>
      </c>
      <c r="D25" s="272" t="s">
        <v>3222</v>
      </c>
      <c r="E25" s="272"/>
      <c r="F25" s="272"/>
      <c r="G25" s="272"/>
      <c r="H25" s="273"/>
      <c r="I25" s="274"/>
      <c r="J25" s="275"/>
    </row>
    <row r="26" spans="3:10" ht="19.5" x14ac:dyDescent="0.25">
      <c r="C26" s="246"/>
      <c r="D26" s="247" t="s">
        <v>506</v>
      </c>
      <c r="E26" s="247" t="s">
        <v>507</v>
      </c>
      <c r="F26" s="247" t="s">
        <v>508</v>
      </c>
      <c r="G26" s="247" t="s">
        <v>509</v>
      </c>
      <c r="H26" s="276"/>
      <c r="I26" s="277"/>
      <c r="J26" s="278"/>
    </row>
    <row r="27" spans="3:10" ht="15.75" thickBot="1" x14ac:dyDescent="0.3">
      <c r="C27" s="245"/>
      <c r="D27" s="271" t="s">
        <v>3220</v>
      </c>
      <c r="E27" s="271"/>
      <c r="F27" s="271"/>
      <c r="G27" s="271"/>
      <c r="H27" s="279"/>
      <c r="I27" s="279"/>
      <c r="J27" s="280"/>
    </row>
    <row r="28" spans="3:10" ht="15.75" thickTop="1" x14ac:dyDescent="0.25"/>
  </sheetData>
  <mergeCells count="24">
    <mergeCell ref="Q10:T12"/>
    <mergeCell ref="D15:G15"/>
    <mergeCell ref="D25:G25"/>
    <mergeCell ref="H25:J27"/>
    <mergeCell ref="D27:G27"/>
    <mergeCell ref="A2:A3"/>
    <mergeCell ref="A5:A13"/>
    <mergeCell ref="H15:J17"/>
    <mergeCell ref="D17:G17"/>
    <mergeCell ref="D16:G16"/>
    <mergeCell ref="D20:G20"/>
    <mergeCell ref="H20:J22"/>
    <mergeCell ref="D22:G22"/>
    <mergeCell ref="D2:G2"/>
    <mergeCell ref="D3:G3"/>
    <mergeCell ref="H2:J3"/>
    <mergeCell ref="D6:G6"/>
    <mergeCell ref="D7:G7"/>
    <mergeCell ref="D10:G10"/>
    <mergeCell ref="H10:J12"/>
    <mergeCell ref="D12:G12"/>
    <mergeCell ref="H6:J7"/>
    <mergeCell ref="L12:O12"/>
    <mergeCell ref="L10:O11"/>
  </mergeCells>
  <hyperlinks>
    <hyperlink ref="D11" location="'Phase1 - Criterias'!A1" display="Phase 1"/>
    <hyperlink ref="E11" location="'Phase2 - Criterias'!A1" display="Phase 2"/>
    <hyperlink ref="F11" location="'Phase3 - Criterias'!A1" display="Phase 3"/>
    <hyperlink ref="G11" location="'Phase4 - Criterias'!A1" display="Phase 4"/>
    <hyperlink ref="D16" r:id="rId1"/>
    <hyperlink ref="D21" location="'Phase1 - Fill-in'!A1" display="Phase 1"/>
    <hyperlink ref="E21" location="'Phase2 - Fill-in'!A1" display="Phase 2"/>
    <hyperlink ref="F21" location="'Phase3 - Fill-in'!A1" display="Phase 3"/>
    <hyperlink ref="G21" location="'Phase4 - Fill-in'!A1" display="Phase 4"/>
    <hyperlink ref="D26" location="Phase1!A1" display="Phase 1"/>
    <hyperlink ref="E26" location="Phase2!A1" display="Phase 2"/>
    <hyperlink ref="F26" location="Phase3!A1" display="Phase 3"/>
    <hyperlink ref="G26" location="Phase4!A1" display="Phase 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0" r:id="rId5" name="Button 16">
              <controlPr defaultSize="0" print="0" autoFill="0" autoPict="0" macro="[0]!MakeChecklist">
                <anchor moveWithCells="1" sizeWithCells="1">
                  <from>
                    <xdr:col>7</xdr:col>
                    <xdr:colOff>9525</xdr:colOff>
                    <xdr:row>9</xdr:row>
                    <xdr:rowOff>9525</xdr:rowOff>
                  </from>
                  <to>
                    <xdr:col>9</xdr:col>
                    <xdr:colOff>647700</xdr:colOff>
                    <xdr:row>12</xdr:row>
                    <xdr:rowOff>0</xdr:rowOff>
                  </to>
                </anchor>
              </controlPr>
            </control>
          </mc:Choice>
        </mc:AlternateContent>
        <mc:AlternateContent xmlns:mc="http://schemas.openxmlformats.org/markup-compatibility/2006">
          <mc:Choice Requires="x14">
            <control shapeId="1041" r:id="rId6" name="Button 17">
              <controlPr defaultSize="0" print="0" autoFill="0" autoPict="0" macro="[0]!ImportEquipment">
                <anchor moveWithCells="1" sizeWithCells="1">
                  <from>
                    <xdr:col>7</xdr:col>
                    <xdr:colOff>28575</xdr:colOff>
                    <xdr:row>14</xdr:row>
                    <xdr:rowOff>28575</xdr:rowOff>
                  </from>
                  <to>
                    <xdr:col>9</xdr:col>
                    <xdr:colOff>647700</xdr:colOff>
                    <xdr:row>16</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Dictionnary!$E$1:$I$1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26"/>
  <sheetViews>
    <sheetView zoomScale="115" zoomScaleNormal="115" workbookViewId="0">
      <selection activeCell="A2" sqref="A2:A13"/>
    </sheetView>
  </sheetViews>
  <sheetFormatPr defaultColWidth="8.85546875" defaultRowHeight="15" x14ac:dyDescent="0.25"/>
  <cols>
    <col min="1" max="1" width="43.7109375" customWidth="1"/>
    <col min="2" max="2" width="10" bestFit="1" customWidth="1"/>
    <col min="3" max="3" width="10.28515625" bestFit="1" customWidth="1"/>
  </cols>
  <sheetData>
    <row r="1" spans="1:5" ht="15.75" x14ac:dyDescent="0.3">
      <c r="A1" s="5"/>
      <c r="B1" s="6" t="s">
        <v>506</v>
      </c>
      <c r="C1" s="6" t="s">
        <v>507</v>
      </c>
      <c r="D1" s="6" t="s">
        <v>508</v>
      </c>
      <c r="E1" s="6" t="s">
        <v>509</v>
      </c>
    </row>
    <row r="2" spans="1:5" ht="15.75" x14ac:dyDescent="0.3">
      <c r="A2" s="7" t="str">
        <f>Dictionnary!B2</f>
        <v>Facilities and Safety</v>
      </c>
      <c r="B2" s="243">
        <f>(COUNTIFS(Phase1!$B$4:$B$129,$A2,Phase1!$D$4:$D$129,Dictionnary!$C$666)+0.5*COUNTIFS(Phase1!$B$4:$B$129,$A2,Phase1!$D$4:$D$129,Dictionnary!$C$668))/COUNTIFS(Phase1!$B$6:$B$129,$A2,Phase1!$D$6:$D$129,"&lt;&gt;Dictionnary!$C$669")</f>
        <v>0.58333333333333337</v>
      </c>
      <c r="C2" s="243">
        <f>(COUNTIFS(Phase2!$B$4:$B$319,$A2,Phase2!$D$4:$D$319,Dictionnary!$C$666)+0.5*COUNTIFS(Phase2!$B$4:$B$319,$A2,Phase2!$D$4:$D$319,Dictionnary!$C$668))/COUNTIFS(Phase2!$B$4:$B$319,$A2,Phase2!$D$4:$D$319,"&lt;&gt;Dictionnary!$C$669")</f>
        <v>0.5</v>
      </c>
      <c r="D2" s="243">
        <f>(COUNTIFS(Phase3!$B$4:$B$319,$A2,Phase3!$D$4:$D$319,Dictionnary!$C$666)+0.5*COUNTIFS(Phase3!$B$4:$B$319,$A2,Phase3!$D$4:$D$319,Dictionnary!$C$668))/COUNTIFS(Phase3!$B$4:$B$319,$A2,Phase3!$D$4:$D$319,"&lt;&gt;Dictionnary!$C$669")</f>
        <v>0.87878787878787878</v>
      </c>
      <c r="E2" s="243" t="e">
        <f>(COUNTIFS(Phase4!$B$4:$B$319,$A2,Phase4!$D$4:$D$319,Dictionnary!$C$666)+0.5*COUNTIFS(Phase4!$B$4:$B$319,$A2,Phase4!$D$4:$D$319,Dictionnary!$C$668))/COUNTIFS(Phase4!$B$4:$B$319,$A2,Phase4!$D$4:$D$319,"&lt;&gt;Dictionnary!$C$669")</f>
        <v>#DIV/0!</v>
      </c>
    </row>
    <row r="3" spans="1:5" ht="15.75" x14ac:dyDescent="0.3">
      <c r="A3" s="8" t="str">
        <f>Dictionnary!B40</f>
        <v>Organization</v>
      </c>
      <c r="B3" s="243">
        <f>(COUNTIFS(Phase1!$B$4:$B$129,$A3,Phase1!$D$4:$D$129,Dictionnary!$C$666)+0.5*COUNTIFS(Phase1!$B$4:$B$129,$A3,Phase1!$D$4:$D$129,Dictionnary!$C$668))/COUNTIFS(Phase1!$B$6:$B$129,$A3,Phase1!$D$6:$D$129,"&lt;&gt;Dictionnary!$C$669")</f>
        <v>0.55555555555555558</v>
      </c>
      <c r="C3" s="243">
        <f>(COUNTIFS(Phase2!$B$4:$B$319,$A3,Phase2!$D$4:$D$319,Dictionnary!$C$666)+0.5*COUNTIFS(Phase2!$B$4:$B$319,$A3,Phase2!$D$4:$D$319,Dictionnary!$C$668))/COUNTIFS(Phase2!$B$4:$B$319,$A3,Phase2!$D$4:$D$319,"&lt;&gt;Dictionnary!$C$669")</f>
        <v>0.5</v>
      </c>
      <c r="D3" s="243">
        <f>(COUNTIFS(Phase3!$B$4:$B$319,$A3,Phase3!$D$4:$D$319,Dictionnary!$C$666)+0.5*COUNTIFS(Phase3!$B$4:$B$319,$A3,Phase3!$D$4:$D$319,Dictionnary!$C$668))/COUNTIFS(Phase3!$B$4:$B$319,$A3,Phase3!$D$4:$D$319,"&lt;&gt;Dictionnary!$C$669")</f>
        <v>0.84090909090909094</v>
      </c>
      <c r="E3" s="243">
        <f>(COUNTIFS(Phase4!$B$4:$B$319,$A3,Phase4!$D$4:$D$319,Dictionnary!$C$666)+0.5*COUNTIFS(Phase4!$B$4:$B$319,$A3,Phase4!$D$4:$D$319,Dictionnary!$C$668))/COUNTIFS(Phase4!$B$4:$B$319,$A3,Phase4!$D$4:$D$319,"&lt;&gt;Dictionnary!$C$669")</f>
        <v>1</v>
      </c>
    </row>
    <row r="4" spans="1:5" ht="15.75" x14ac:dyDescent="0.3">
      <c r="A4" s="8" t="str">
        <f>Dictionnary!B67</f>
        <v>Personnel</v>
      </c>
      <c r="B4" s="243">
        <f>(COUNTIFS(Phase1!$B$4:$B$129,$A4,Phase1!$D$4:$D$129,Dictionnary!$C$666)+0.5*COUNTIFS(Phase1!$B$4:$B$129,$A4,Phase1!$D$4:$D$129,Dictionnary!$C$668))/COUNTIFS(Phase1!$B$6:$B$129,$A4,Phase1!$D$6:$D$129,"&lt;&gt;Dictionnary!$C$669")</f>
        <v>0.58333333333333337</v>
      </c>
      <c r="C4" s="243">
        <f>(COUNTIFS(Phase2!$B$4:$B$319,$A4,Phase2!$D$4:$D$319,Dictionnary!$C$666)+0.5*COUNTIFS(Phase2!$B$4:$B$319,$A4,Phase2!$D$4:$D$319,Dictionnary!$C$668))/COUNTIFS(Phase2!$B$4:$B$319,$A4,Phase2!$D$4:$D$319,"&lt;&gt;Dictionnary!$C$669")</f>
        <v>0.63157894736842102</v>
      </c>
      <c r="D4" s="243">
        <f>(COUNTIFS(Phase3!$B$4:$B$319,$A4,Phase3!$D$4:$D$319,Dictionnary!$C$666)+0.5*COUNTIFS(Phase3!$B$4:$B$319,$A4,Phase3!$D$4:$D$319,Dictionnary!$C$668))/COUNTIFS(Phase3!$B$4:$B$319,$A4,Phase3!$D$4:$D$319,"&lt;&gt;Dictionnary!$C$669")</f>
        <v>0.83333333333333337</v>
      </c>
      <c r="E4" s="243">
        <f>(COUNTIFS(Phase4!$B$4:$B$319,$A4,Phase4!$D$4:$D$319,Dictionnary!$C$666)+0.5*COUNTIFS(Phase4!$B$4:$B$319,$A4,Phase4!$D$4:$D$319,Dictionnary!$C$668))/COUNTIFS(Phase4!$B$4:$B$319,$A4,Phase4!$D$4:$D$319,"&lt;&gt;Dictionnary!$C$669")</f>
        <v>0.5161290322580645</v>
      </c>
    </row>
    <row r="5" spans="1:5" ht="15.75" x14ac:dyDescent="0.3">
      <c r="A5" s="8" t="str">
        <f>Dictionnary!B85</f>
        <v>Equipment</v>
      </c>
      <c r="B5" s="243">
        <f>(COUNTIFS(Phase1!$B$4:$B$129,$A5,Phase1!$D$4:$D$129,Dictionnary!$C$666)+0.5*COUNTIFS(Phase1!$B$4:$B$129,$A5,Phase1!$D$4:$D$129,Dictionnary!$C$668))/COUNTIFS(Phase1!$B$6:$B$129,$A5,Phase1!$D$6:$D$129,"&lt;&gt;Dictionnary!$C$669")</f>
        <v>0.19565217391304349</v>
      </c>
      <c r="C5" s="243">
        <f>(COUNTIFS(Phase2!$B$4:$B$319,$A5,Phase2!$D$4:$D$319,Dictionnary!$C$666)+0.5*COUNTIFS(Phase2!$B$4:$B$319,$A5,Phase2!$D$4:$D$319,Dictionnary!$C$668))/COUNTIFS(Phase2!$B$4:$B$319,$A5,Phase2!$D$4:$D$319,"&lt;&gt;Dictionnary!$C$669")</f>
        <v>0.41666666666666669</v>
      </c>
      <c r="D5" s="243" t="e">
        <f>(COUNTIFS(Phase3!$B$4:$B$319,$A5,Phase3!$D$4:$D$319,Dictionnary!$C$666)+0.5*COUNTIFS(Phase3!$B$4:$B$319,$A5,Phase3!$D$4:$D$319,Dictionnary!$C$668))/COUNTIFS(Phase3!$B$4:$B$319,$A5,Phase3!$D$4:$D$319,"&lt;&gt;Dictionnary!$C$669")</f>
        <v>#DIV/0!</v>
      </c>
      <c r="E5" s="243">
        <f>(COUNTIFS(Phase4!$B$4:$B$319,$A5,Phase4!$D$4:$D$319,Dictionnary!$C$666)+0.5*COUNTIFS(Phase4!$B$4:$B$319,$A5,Phase4!$D$4:$D$319,Dictionnary!$C$668))/COUNTIFS(Phase4!$B$4:$B$319,$A5,Phase4!$D$4:$D$319,"&lt;&gt;Dictionnary!$C$669")</f>
        <v>0.6</v>
      </c>
    </row>
    <row r="6" spans="1:5" ht="15.75" x14ac:dyDescent="0.3">
      <c r="A6" s="7" t="str">
        <f>Dictionnary!B108</f>
        <v>Puchasing and Inventory</v>
      </c>
      <c r="B6" s="243">
        <f>(COUNTIFS(Phase1!$B$4:$B$129,$A6,Phase1!$D$4:$D$129,Dictionnary!$C$666)+0.5*COUNTIFS(Phase1!$B$4:$B$129,$A6,Phase1!$D$4:$D$129,Dictionnary!$C$668))/COUNTIFS(Phase1!$B$6:$B$129,$A6,Phase1!$D$6:$D$129,"&lt;&gt;Dictionnary!$C$669")</f>
        <v>0.5</v>
      </c>
      <c r="C6" s="243">
        <f>(COUNTIFS(Phase2!$B$4:$B$319,$A6,Phase2!$D$4:$D$319,Dictionnary!$C$666)+0.5*COUNTIFS(Phase2!$B$4:$B$319,$A6,Phase2!$D$4:$D$319,Dictionnary!$C$668))/COUNTIFS(Phase2!$B$4:$B$319,$A6,Phase2!$D$4:$D$319,"&lt;&gt;Dictionnary!$C$669")</f>
        <v>0.54838709677419351</v>
      </c>
      <c r="D6" s="243">
        <f>(COUNTIFS(Phase3!$B$4:$B$319,$A6,Phase3!$D$4:$D$319,Dictionnary!$C$666)+0.5*COUNTIFS(Phase3!$B$4:$B$319,$A6,Phase3!$D$4:$D$319,Dictionnary!$C$668))/COUNTIFS(Phase3!$B$4:$B$319,$A6,Phase3!$D$4:$D$319,"&lt;&gt;Dictionnary!$C$669")</f>
        <v>0.9</v>
      </c>
      <c r="E6" s="243" t="e">
        <f>(COUNTIFS(Phase4!$B$4:$B$319,$A6,Phase4!$D$4:$D$319,Dictionnary!$C$666)+0.5*COUNTIFS(Phase4!$B$4:$B$319,$A6,Phase4!$D$4:$D$319,Dictionnary!$C$668))/COUNTIFS(Phase4!$B$4:$B$319,$A6,Phase4!$D$4:$D$319,"&lt;&gt;Dictionnary!$C$669")</f>
        <v>#DIV/0!</v>
      </c>
    </row>
    <row r="7" spans="1:5" ht="15.75" x14ac:dyDescent="0.3">
      <c r="A7" s="8" t="str">
        <f>Dictionnary!B111</f>
        <v>Process Management</v>
      </c>
      <c r="B7" s="243">
        <f>(COUNTIFS(Phase1!$B$4:$B$129,$A7,Phase1!$D$4:$D$129,Dictionnary!$C$666)+0.5*COUNTIFS(Phase1!$B$4:$B$129,$A7,Phase1!$D$4:$D$129,Dictionnary!$C$668))/COUNTIFS(Phase1!$B$6:$B$129,$A7,Phase1!$D$6:$D$129,"&lt;&gt;Dictionnary!$C$669")</f>
        <v>0.5714285714285714</v>
      </c>
      <c r="C7" s="243">
        <f>(COUNTIFS(Phase2!$B$4:$B$319,$A7,Phase2!$D$4:$D$319,Dictionnary!$C$666)+0.5*COUNTIFS(Phase2!$B$4:$B$319,$A7,Phase2!$D$4:$D$319,Dictionnary!$C$668))/COUNTIFS(Phase2!$B$4:$B$319,$A7,Phase2!$D$4:$D$319,"&lt;&gt;Dictionnary!$C$669")</f>
        <v>0.46376811594202899</v>
      </c>
      <c r="D7" s="243">
        <f>(COUNTIFS(Phase3!$B$4:$B$319,$A7,Phase3!$D$4:$D$319,Dictionnary!$C$666)+0.5*COUNTIFS(Phase3!$B$4:$B$319,$A7,Phase3!$D$4:$D$319,Dictionnary!$C$668))/COUNTIFS(Phase3!$B$4:$B$319,$A7,Phase3!$D$4:$D$319,"&lt;&gt;Dictionnary!$C$669")</f>
        <v>0.84615384615384615</v>
      </c>
      <c r="E7" s="243">
        <f>(COUNTIFS(Phase4!$B$4:$B$319,$A7,Phase4!$D$4:$D$319,Dictionnary!$C$666)+0.5*COUNTIFS(Phase4!$B$4:$B$319,$A7,Phase4!$D$4:$D$319,Dictionnary!$C$668))/COUNTIFS(Phase4!$B$4:$B$319,$A7,Phase4!$D$4:$D$319,"&lt;&gt;Dictionnary!$C$669")</f>
        <v>0.5</v>
      </c>
    </row>
    <row r="8" spans="1:5" ht="15.75" x14ac:dyDescent="0.3">
      <c r="A8" s="8" t="str">
        <f>Dictionnary!B319</f>
        <v>Information Management</v>
      </c>
      <c r="B8" s="243" t="e">
        <f>(COUNTIFS(Phase1!$B$4:$B$129,$A8,Phase1!$D$4:$D$129,Dictionnary!$C$666)+0.5*COUNTIFS(Phase1!$B$4:$B$129,$A8,Phase1!$D$4:$D$129,Dictionnary!$C$668))/COUNTIFS(Phase1!$B$6:$B$129,$A8,Phase1!$D$6:$D$129,"&lt;&gt;Dictionnary!$C$669")</f>
        <v>#DIV/0!</v>
      </c>
      <c r="C8" s="243">
        <f>(COUNTIFS(Phase2!$B$4:$B$319,$A8,Phase2!$D$4:$D$319,Dictionnary!$C$666)+0.5*COUNTIFS(Phase2!$B$4:$B$319,$A8,Phase2!$D$4:$D$319,Dictionnary!$C$668))/COUNTIFS(Phase2!$B$4:$B$319,$A8,Phase2!$D$4:$D$319,"&lt;&gt;Dictionnary!$C$669")</f>
        <v>0.53846153846153844</v>
      </c>
      <c r="D8" s="243">
        <f>(COUNTIFS(Phase3!$B$4:$B$319,$A8,Phase3!$D$4:$D$319,Dictionnary!$C$666)+0.5*COUNTIFS(Phase3!$B$4:$B$319,$A8,Phase3!$D$4:$D$319,Dictionnary!$C$668))/COUNTIFS(Phase3!$B$4:$B$319,$A8,Phase3!$D$4:$D$319,"&lt;&gt;Dictionnary!$C$669")</f>
        <v>0.875</v>
      </c>
      <c r="E8" s="243" t="e">
        <f>(COUNTIFS(Phase4!$B$4:$B$319,$A8,Phase4!$D$4:$D$319,Dictionnary!$C$666)+0.5*COUNTIFS(Phase4!$B$4:$B$319,$A8,Phase4!$D$4:$D$319,Dictionnary!$C$668))/COUNTIFS(Phase4!$B$4:$B$319,$A8,Phase4!$D$4:$D$319,"&lt;&gt;Dictionnary!$C$669")</f>
        <v>#DIV/0!</v>
      </c>
    </row>
    <row r="9" spans="1:5" ht="15.75" x14ac:dyDescent="0.3">
      <c r="A9" s="8" t="str">
        <f>Dictionnary!B358</f>
        <v>Documents and records</v>
      </c>
      <c r="B9" s="243">
        <f>(COUNTIFS(Phase1!$B$4:$B$129,$A9,Phase1!$D$4:$D$129,Dictionnary!$C$666)+0.5*COUNTIFS(Phase1!$B$4:$B$129,$A9,Phase1!$D$4:$D$129,Dictionnary!$C$668))/COUNTIFS(Phase1!$B$6:$B$129,$A9,Phase1!$D$6:$D$129,"&lt;&gt;Dictionnary!$C$669")</f>
        <v>0.5</v>
      </c>
      <c r="C9" s="243">
        <f>(COUNTIFS(Phase2!$B$4:$B$319,$A9,Phase2!$D$4:$D$319,Dictionnary!$C$666)+0.5*COUNTIFS(Phase2!$B$4:$B$319,$A9,Phase2!$D$4:$D$319,Dictionnary!$C$668))/COUNTIFS(Phase2!$B$4:$B$319,$A9,Phase2!$D$4:$D$319,"&lt;&gt;Dictionnary!$C$669")</f>
        <v>0.47916666666666669</v>
      </c>
      <c r="D9" s="243" t="e">
        <f>(COUNTIFS(Phase3!$B$4:$B$319,$A9,Phase3!$D$4:$D$319,Dictionnary!$C$666)+0.5*COUNTIFS(Phase3!$B$4:$B$319,$A9,Phase3!$D$4:$D$319,Dictionnary!$C$668))/COUNTIFS(Phase3!$B$4:$B$319,$A9,Phase3!$D$4:$D$319,"&lt;&gt;Dictionnary!$C$669")</f>
        <v>#DIV/0!</v>
      </c>
      <c r="E9" s="243" t="e">
        <f>(COUNTIFS(Phase4!$B$4:$B$319,$A9,Phase4!$D$4:$D$319,Dictionnary!$C$666)+0.5*COUNTIFS(Phase4!$B$4:$B$319,$A9,Phase4!$D$4:$D$319,Dictionnary!$C$668))/COUNTIFS(Phase4!$B$4:$B$319,$A9,Phase4!$D$4:$D$319,"&lt;&gt;Dictionnary!$C$669")</f>
        <v>#DIV/0!</v>
      </c>
    </row>
    <row r="10" spans="1:5" ht="15.75" x14ac:dyDescent="0.3">
      <c r="A10" s="8" t="str">
        <f>Dictionnary!B574</f>
        <v>Customer Focus</v>
      </c>
      <c r="B10" s="243" t="e">
        <f>(COUNTIFS(Phase1!$B$4:$B$129,$A10,Phase1!$D$4:$D$129,Dictionnary!$C$666)+0.5*COUNTIFS(Phase1!$B$4:$B$129,$A10,Phase1!$D$4:$D$129,Dictionnary!$C$668))/COUNTIFS(Phase1!$B$6:$B$129,$A10,Phase1!$D$6:$D$129,"&lt;&gt;Dictionnary!$C$669")</f>
        <v>#DIV/0!</v>
      </c>
      <c r="C10" s="243">
        <f>(COUNTIFS(Phase2!$B$4:$B$319,$A10,Phase2!$D$4:$D$319,Dictionnary!$C$666)+0.5*COUNTIFS(Phase2!$B$4:$B$319,$A10,Phase2!$D$4:$D$319,Dictionnary!$C$668))/COUNTIFS(Phase2!$B$4:$B$319,$A10,Phase2!$D$4:$D$319,"&lt;&gt;Dictionnary!$C$669")</f>
        <v>0.53125</v>
      </c>
      <c r="D10" s="243">
        <f>(COUNTIFS(Phase3!$B$4:$B$319,$A10,Phase3!$D$4:$D$319,Dictionnary!$C$666)+0.5*COUNTIFS(Phase3!$B$4:$B$319,$A10,Phase3!$D$4:$D$319,Dictionnary!$C$668))/COUNTIFS(Phase3!$B$4:$B$319,$A10,Phase3!$D$4:$D$319,"&lt;&gt;Dictionnary!$C$669")</f>
        <v>1</v>
      </c>
      <c r="E10" s="243">
        <f>(COUNTIFS(Phase4!$B$4:$B$319,$A10,Phase4!$D$4:$D$319,Dictionnary!$C$666)+0.5*COUNTIFS(Phase4!$B$4:$B$319,$A10,Phase4!$D$4:$D$319,Dictionnary!$C$668))/COUNTIFS(Phase4!$B$4:$B$319,$A10,Phase4!$D$4:$D$319,"&lt;&gt;Dictionnary!$C$669")</f>
        <v>0.5</v>
      </c>
    </row>
    <row r="11" spans="1:5" ht="15.75" x14ac:dyDescent="0.3">
      <c r="A11" s="8" t="str">
        <f>Dictionnary!B127</f>
        <v>Assessment</v>
      </c>
      <c r="B11" s="243">
        <f>(COUNTIFS(Phase1!$B$4:$B$129,$A11,Phase1!$D$4:$D$129,Dictionnary!$C$666)+0.5*COUNTIFS(Phase1!$B$4:$B$129,$A11,Phase1!$D$4:$D$129,Dictionnary!$C$668))/COUNTIFS(Phase1!$B$6:$B$129,$A11,Phase1!$D$6:$D$129,"&lt;&gt;Dictionnary!$C$669")</f>
        <v>1</v>
      </c>
      <c r="C11" s="243">
        <f>(COUNTIFS(Phase2!$B$4:$B$319,$A11,Phase2!$D$4:$D$319,Dictionnary!$C$666)+0.5*COUNTIFS(Phase2!$B$4:$B$319,$A11,Phase2!$D$4:$D$319,Dictionnary!$C$668))/COUNTIFS(Phase2!$B$4:$B$319,$A11,Phase2!$D$4:$D$319,"&lt;&gt;Dictionnary!$C$669")</f>
        <v>0.66666666666666663</v>
      </c>
      <c r="D11" s="243">
        <f>(COUNTIFS(Phase3!$B$4:$B$319,$A11,Phase3!$D$4:$D$319,Dictionnary!$C$666)+0.5*COUNTIFS(Phase3!$B$4:$B$319,$A11,Phase3!$D$4:$D$319,Dictionnary!$C$668))/COUNTIFS(Phase3!$B$4:$B$319,$A11,Phase3!$D$4:$D$319,"&lt;&gt;Dictionnary!$C$669")</f>
        <v>0.8</v>
      </c>
      <c r="E11" s="243">
        <f>(COUNTIFS(Phase4!$B$4:$B$319,$A11,Phase4!$D$4:$D$319,Dictionnary!$C$666)+0.5*COUNTIFS(Phase4!$B$4:$B$319,$A11,Phase4!$D$4:$D$319,Dictionnary!$C$668))/COUNTIFS(Phase4!$B$4:$B$319,$A11,Phase4!$D$4:$D$319,"&lt;&gt;Dictionnary!$C$669")</f>
        <v>0.5</v>
      </c>
    </row>
    <row r="12" spans="1:5" ht="15.75" x14ac:dyDescent="0.3">
      <c r="A12" s="8" t="str">
        <f>Dictionnary!B651</f>
        <v>Nonconforming Event Management</v>
      </c>
      <c r="B12" s="243" t="e">
        <f>(COUNTIFS(Phase1!$B$4:$B$129,$A12,Phase1!$D$4:$D$129,Dictionnary!$C$666)+0.5*COUNTIFS(Phase1!$B$4:$B$129,$A12,Phase1!$D$4:$D$129,Dictionnary!$C$668))/COUNTIFS(Phase1!$B$6:$B$129,$A12,Phase1!$D$6:$D$129,"&lt;&gt;Dictionnary!$C$669")</f>
        <v>#DIV/0!</v>
      </c>
      <c r="C12" s="243" t="e">
        <f>(COUNTIFS(Phase2!$B$4:$B$319,$A12,Phase2!$D$4:$D$319,Dictionnary!$C$666)+0.5*COUNTIFS(Phase2!$B$4:$B$319,$A12,Phase2!$D$4:$D$319,Dictionnary!$C$668))/COUNTIFS(Phase2!$B$4:$B$319,$A12,Phase2!$D$4:$D$319,"&lt;&gt;Dictionnary!$C$669")</f>
        <v>#DIV/0!</v>
      </c>
      <c r="D12" s="243" t="e">
        <f>(COUNTIFS(Phase3!$B$4:$B$319,$A12,Phase3!$D$4:$D$319,Dictionnary!$C$666)+0.5*COUNTIFS(Phase3!$B$4:$B$319,$A12,Phase3!$D$4:$D$319,Dictionnary!$C$668))/COUNTIFS(Phase3!$B$4:$B$319,$A12,Phase3!$D$4:$D$319,"&lt;&gt;Dictionnary!$C$669")</f>
        <v>#DIV/0!</v>
      </c>
      <c r="E12" s="243">
        <f>(COUNTIFS(Phase4!$B$4:$B$319,$A12,Phase4!$D$4:$D$319,Dictionnary!$C$666)+0.5*COUNTIFS(Phase4!$B$4:$B$319,$A12,Phase4!$D$4:$D$319,Dictionnary!$C$668))/COUNTIFS(Phase4!$B$4:$B$319,$A12,Phase4!$D$4:$D$319,"&lt;&gt;Dictionnary!$C$669")</f>
        <v>0.5</v>
      </c>
    </row>
    <row r="13" spans="1:5" ht="15.75" x14ac:dyDescent="0.3">
      <c r="A13" s="8" t="str">
        <f>Dictionnary!B661</f>
        <v>Continual Improvement</v>
      </c>
      <c r="B13" s="243" t="e">
        <f>(COUNTIFS(Phase1!$B$4:$B$129,$A13,Phase1!$D$4:$D$129,Dictionnary!$C$666)+0.5*COUNTIFS(Phase1!$B$4:$B$129,$A13,Phase1!$D$4:$D$129,Dictionnary!$C$668))/COUNTIFS(Phase1!$B$6:$B$129,$A13,Phase1!$D$6:$D$129,"&lt;&gt;Dictionnary!$C$669")</f>
        <v>#DIV/0!</v>
      </c>
      <c r="C13" s="243" t="e">
        <f>(COUNTIFS(Phase2!$B$4:$B$319,$A13,Phase2!$D$4:$D$319,Dictionnary!$C$666)+0.5*COUNTIFS(Phase2!$B$4:$B$319,$A13,Phase2!$D$4:$D$319,Dictionnary!$C$668))/COUNTIFS(Phase2!$B$4:$B$319,$A13,Phase2!$D$4:$D$319,"&lt;&gt;Dictionnary!$C$669")</f>
        <v>#DIV/0!</v>
      </c>
      <c r="D13" s="243" t="e">
        <f>(COUNTIFS(Phase3!$B$4:$B$319,$A13,Phase3!$D$4:$D$319,Dictionnary!$C$666)+0.5*COUNTIFS(Phase3!$B$4:$B$319,$A13,Phase3!$D$4:$D$319,Dictionnary!$C$668))/COUNTIFS(Phase3!$B$4:$B$319,$A13,Phase3!$D$4:$D$319,"&lt;&gt;Dictionnary!$C$669")</f>
        <v>#DIV/0!</v>
      </c>
      <c r="E13" s="243">
        <f>(COUNTIFS(Phase4!$B$4:$B$319,$A13,Phase4!$D$4:$D$319,Dictionnary!$C$666)+0.5*COUNTIFS(Phase4!$B$4:$B$319,$A13,Phase4!$D$4:$D$319,Dictionnary!$C$668))/COUNTIFS(Phase4!$B$4:$B$319,$A13,Phase4!$D$4:$D$319,"&lt;&gt;Dictionnary!$C$669")</f>
        <v>0.4</v>
      </c>
    </row>
    <row r="26" spans="3:3" x14ac:dyDescent="0.25">
      <c r="C26" s="242"/>
    </row>
  </sheetData>
  <conditionalFormatting sqref="B2:E13">
    <cfRule type="cellIs" dxfId="1" priority="1" operator="equal">
      <formula>$B$8</formula>
    </cfRule>
    <cfRule type="cellIs" dxfId="0" priority="2" operator="equal">
      <formula>#DIV/0!</formula>
    </cfRule>
    <cfRule type="colorScale" priority="4">
      <colorScale>
        <cfvo type="num" val="0"/>
        <cfvo type="num" val="1"/>
        <color rgb="FFC00000"/>
        <color theme="9"/>
      </colorScale>
    </cfRule>
  </conditionalFormatting>
  <conditionalFormatting sqref="B2:E1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67"/>
  <sheetViews>
    <sheetView zoomScale="70" zoomScaleNormal="70" workbookViewId="0">
      <pane xSplit="1" ySplit="2" topLeftCell="B3" activePane="bottomRight" state="frozen"/>
      <selection pane="topRight" activeCell="B1" sqref="B1"/>
      <selection pane="bottomLeft" activeCell="A3" sqref="A3"/>
      <selection pane="bottomRight" activeCell="A119" sqref="A119:A135"/>
    </sheetView>
  </sheetViews>
  <sheetFormatPr defaultColWidth="8.85546875" defaultRowHeight="15.75" x14ac:dyDescent="0.25"/>
  <cols>
    <col min="1" max="1" width="11.28515625" style="9" bestFit="1" customWidth="1"/>
    <col min="2" max="2" width="20.140625" style="9" bestFit="1" customWidth="1"/>
    <col min="3" max="3" width="101.42578125" style="9" customWidth="1"/>
    <col min="4" max="4" width="50.85546875" style="9" customWidth="1"/>
    <col min="5" max="5" width="60.85546875" style="9" customWidth="1"/>
    <col min="6" max="6" width="38.42578125" style="9" customWidth="1"/>
    <col min="7" max="7" width="63.42578125" style="9" customWidth="1"/>
    <col min="8" max="8" width="42.85546875" style="9" customWidth="1"/>
    <col min="9" max="9" width="30.85546875" style="9" customWidth="1"/>
    <col min="10" max="10" width="38.28515625" style="9" customWidth="1"/>
    <col min="11" max="16384" width="8.85546875" style="9"/>
  </cols>
  <sheetData>
    <row r="1" spans="1:19" ht="69" customHeight="1" x14ac:dyDescent="0.25">
      <c r="B1" s="291" t="s">
        <v>3193</v>
      </c>
      <c r="C1" s="291"/>
      <c r="D1" s="291"/>
    </row>
    <row r="2" spans="1:19" ht="16.5" thickBot="1" x14ac:dyDescent="0.3">
      <c r="A2" s="290"/>
      <c r="B2" s="290"/>
      <c r="C2" s="9" t="s">
        <v>1414</v>
      </c>
      <c r="D2" s="9" t="s">
        <v>1461</v>
      </c>
      <c r="E2" s="9" t="s">
        <v>1462</v>
      </c>
      <c r="F2" s="9" t="s">
        <v>1463</v>
      </c>
      <c r="G2" s="9" t="s">
        <v>1464</v>
      </c>
    </row>
    <row r="3" spans="1:19" s="42" customFormat="1" ht="78.75" x14ac:dyDescent="0.25">
      <c r="A3" s="28" t="str">
        <f>Phase1!A4</f>
        <v>FS1.1</v>
      </c>
      <c r="B3" s="29" t="str">
        <f>Phase1!B4</f>
        <v>Facilities and Safety</v>
      </c>
      <c r="C3" s="29" t="str">
        <f>Phase1!C4</f>
        <v>Have the staff adequately been instructed on the symptoms of infection with pathogens worked with in the laboratory?</v>
      </c>
      <c r="D3" s="42" t="s">
        <v>1410</v>
      </c>
      <c r="E3" s="42" t="s">
        <v>1411</v>
      </c>
      <c r="F3" s="42" t="s">
        <v>1412</v>
      </c>
      <c r="G3" s="42" t="s">
        <v>1413</v>
      </c>
    </row>
    <row r="4" spans="1:19" s="43" customFormat="1" ht="63.75" thickBot="1" x14ac:dyDescent="0.3">
      <c r="A4" s="30" t="str">
        <f>Phase1!A5</f>
        <v>FS1.2</v>
      </c>
      <c r="B4" s="31" t="str">
        <f>Phase1!B5</f>
        <v>Facilities and Safety</v>
      </c>
      <c r="C4" s="31" t="str">
        <f>Phase1!C5</f>
        <v>Is there a written procedure on how to act in case of a suspected laboratory associated infection/laboratory accident whereby a staff-member has potentially become infected?</v>
      </c>
      <c r="D4" s="43" t="s">
        <v>1465</v>
      </c>
      <c r="E4" s="43" t="s">
        <v>1884</v>
      </c>
      <c r="H4" s="98"/>
      <c r="I4" s="98"/>
      <c r="J4" s="98"/>
      <c r="K4" s="98"/>
      <c r="L4" s="98"/>
      <c r="M4" s="98"/>
      <c r="N4" s="293"/>
      <c r="O4" s="293"/>
      <c r="P4" s="293"/>
      <c r="Q4" s="293"/>
      <c r="R4" s="293"/>
      <c r="S4" s="293"/>
    </row>
    <row r="5" spans="1:19" x14ac:dyDescent="0.25">
      <c r="A5" s="290"/>
      <c r="B5" s="290"/>
      <c r="C5" s="24" t="s">
        <v>1415</v>
      </c>
      <c r="D5" s="21"/>
      <c r="E5" s="22"/>
      <c r="F5" s="22"/>
      <c r="G5" s="22"/>
      <c r="H5" s="22"/>
      <c r="I5" s="22"/>
      <c r="J5" s="22"/>
      <c r="K5" s="22"/>
      <c r="L5" s="22"/>
    </row>
    <row r="6" spans="1:19" x14ac:dyDescent="0.25">
      <c r="A6" s="290"/>
      <c r="B6" s="290"/>
      <c r="C6" s="24" t="s">
        <v>1416</v>
      </c>
      <c r="D6" s="21"/>
      <c r="E6" s="22"/>
      <c r="F6" s="22"/>
      <c r="G6" s="22"/>
      <c r="H6" s="22"/>
      <c r="I6" s="22"/>
      <c r="J6" s="22"/>
      <c r="K6" s="22"/>
      <c r="L6" s="22"/>
    </row>
    <row r="7" spans="1:19" ht="31.5" x14ac:dyDescent="0.25">
      <c r="A7" s="290"/>
      <c r="B7" s="290"/>
      <c r="C7" s="24" t="s">
        <v>1417</v>
      </c>
      <c r="D7" s="21"/>
      <c r="E7" s="22"/>
      <c r="F7" s="22"/>
      <c r="G7" s="22"/>
      <c r="H7" s="22"/>
      <c r="I7" s="22"/>
      <c r="J7" s="22"/>
      <c r="K7" s="22"/>
      <c r="L7" s="22"/>
    </row>
    <row r="8" spans="1:19" ht="47.25" x14ac:dyDescent="0.25">
      <c r="A8" s="290"/>
      <c r="B8" s="290"/>
      <c r="C8" s="24" t="s">
        <v>1418</v>
      </c>
      <c r="D8" s="21"/>
      <c r="E8" s="22"/>
      <c r="F8" s="22"/>
      <c r="G8" s="22"/>
      <c r="H8" s="22"/>
      <c r="I8" s="22"/>
      <c r="J8" s="22"/>
      <c r="K8" s="22"/>
      <c r="L8" s="22"/>
    </row>
    <row r="9" spans="1:19" ht="94.5" x14ac:dyDescent="0.25">
      <c r="A9" s="290"/>
      <c r="B9" s="290"/>
      <c r="C9" s="24" t="s">
        <v>2194</v>
      </c>
      <c r="D9" s="21"/>
      <c r="E9" s="22"/>
      <c r="F9" s="22"/>
      <c r="G9" s="22"/>
      <c r="H9" s="22"/>
      <c r="I9" s="22"/>
      <c r="J9" s="22"/>
      <c r="K9" s="22"/>
      <c r="L9" s="22"/>
    </row>
    <row r="10" spans="1:19" ht="95.25" thickBot="1" x14ac:dyDescent="0.3">
      <c r="A10" s="290"/>
      <c r="B10" s="290"/>
      <c r="C10" s="24" t="s">
        <v>1419</v>
      </c>
      <c r="D10" s="21"/>
      <c r="E10" s="22"/>
      <c r="F10" s="22"/>
      <c r="G10" s="22"/>
      <c r="H10" s="22"/>
      <c r="I10" s="22"/>
      <c r="J10" s="22"/>
      <c r="K10" s="22"/>
      <c r="L10" s="22"/>
    </row>
    <row r="11" spans="1:19" s="44" customFormat="1" ht="32.25" thickBot="1" x14ac:dyDescent="0.3">
      <c r="A11" s="32" t="str">
        <f>Phase1!A6</f>
        <v>FS1.3</v>
      </c>
      <c r="B11" s="33" t="str">
        <f>Phase1!B6</f>
        <v>Facilities and Safety</v>
      </c>
      <c r="C11" s="33" t="str">
        <f>Phase1!C6</f>
        <v>Has the Risk Group for each laboratory room been determined?</v>
      </c>
      <c r="D11" s="44" t="s">
        <v>1466</v>
      </c>
    </row>
    <row r="12" spans="1:19" ht="31.5" x14ac:dyDescent="0.25">
      <c r="A12" s="289"/>
      <c r="B12" s="289"/>
      <c r="C12" s="24" t="s">
        <v>1885</v>
      </c>
    </row>
    <row r="13" spans="1:19" ht="47.25" x14ac:dyDescent="0.25">
      <c r="A13" s="290"/>
      <c r="B13" s="290"/>
      <c r="C13" s="24" t="s">
        <v>1886</v>
      </c>
    </row>
    <row r="14" spans="1:19" ht="31.5" x14ac:dyDescent="0.25">
      <c r="A14" s="290"/>
      <c r="B14" s="290"/>
      <c r="C14" s="24" t="s">
        <v>1887</v>
      </c>
    </row>
    <row r="15" spans="1:19" ht="31.5" x14ac:dyDescent="0.25">
      <c r="A15" s="290"/>
      <c r="B15" s="290"/>
      <c r="C15" s="24" t="s">
        <v>1888</v>
      </c>
    </row>
    <row r="16" spans="1:19" x14ac:dyDescent="0.25">
      <c r="A16" s="290"/>
      <c r="B16" s="290"/>
      <c r="C16" s="24" t="s">
        <v>1889</v>
      </c>
    </row>
    <row r="17" spans="1:19" ht="48" thickBot="1" x14ac:dyDescent="0.3">
      <c r="A17" s="292"/>
      <c r="B17" s="292"/>
      <c r="C17" s="24" t="s">
        <v>1890</v>
      </c>
    </row>
    <row r="18" spans="1:19" s="42" customFormat="1" ht="31.5" x14ac:dyDescent="0.25">
      <c r="A18" s="28" t="str">
        <f>Phase1!A7</f>
        <v>FS1.4</v>
      </c>
      <c r="B18" s="29" t="str">
        <f>Phase1!B7</f>
        <v>Facilities and Safety</v>
      </c>
      <c r="C18" s="29" t="str">
        <f>Phase1!C7</f>
        <v>Has a Facilities &amp; Safety Assessment been performed?</v>
      </c>
      <c r="D18" s="42" t="s">
        <v>1934</v>
      </c>
      <c r="E18" s="42" t="s">
        <v>1935</v>
      </c>
      <c r="F18" s="42" t="s">
        <v>1936</v>
      </c>
      <c r="G18" s="42" t="s">
        <v>1937</v>
      </c>
      <c r="H18" s="42" t="s">
        <v>1938</v>
      </c>
      <c r="I18" s="42" t="s">
        <v>1939</v>
      </c>
      <c r="J18" s="42" t="s">
        <v>1940</v>
      </c>
    </row>
    <row r="19" spans="1:19" s="45" customFormat="1" ht="31.5" x14ac:dyDescent="0.25">
      <c r="A19" s="34" t="str">
        <f>Phase1!A8</f>
        <v>FS1.5</v>
      </c>
      <c r="B19" s="35" t="str">
        <f>Phase1!B8</f>
        <v>Facilities and Safety</v>
      </c>
      <c r="C19" s="35" t="str">
        <f>Phase1!C8</f>
        <v>Is an action plan present to implement improvements based on findings from the Facility &amp; Safety assessment?</v>
      </c>
      <c r="D19" s="45" t="s">
        <v>1941</v>
      </c>
      <c r="H19" s="46"/>
      <c r="I19" s="46"/>
      <c r="J19" s="46"/>
      <c r="K19" s="46"/>
      <c r="L19" s="46"/>
      <c r="M19" s="46"/>
      <c r="N19" s="46"/>
      <c r="O19" s="46"/>
      <c r="P19" s="46"/>
      <c r="Q19" s="46"/>
      <c r="R19" s="46"/>
      <c r="S19" s="46"/>
    </row>
    <row r="20" spans="1:19" s="45" customFormat="1" ht="31.5" x14ac:dyDescent="0.25">
      <c r="A20" s="34" t="str">
        <f>Phase1!A9</f>
        <v>FS1.6</v>
      </c>
      <c r="B20" s="35" t="str">
        <f>Phase1!B9</f>
        <v>Facilities and Safety</v>
      </c>
      <c r="C20" s="35" t="str">
        <f>Phase1!C9</f>
        <v>Are the action points in this action plan from the Facility &amp; Safety Assessment formulated according to the SMART method?</v>
      </c>
      <c r="D20" s="45" t="s">
        <v>1942</v>
      </c>
    </row>
    <row r="21" spans="1:19" s="45" customFormat="1" ht="31.5" x14ac:dyDescent="0.25">
      <c r="A21" s="34" t="str">
        <f>Phase1!A10</f>
        <v>FS1.7</v>
      </c>
      <c r="B21" s="35" t="str">
        <f>Phase1!B10</f>
        <v>Facilities and Safety</v>
      </c>
      <c r="C21" s="35" t="str">
        <f>Phase1!C10</f>
        <v>Have the action points in this action plan from the Facility &amp; Safety Assessment been fulfilled on or before the deadline?</v>
      </c>
      <c r="D21" s="45" t="s">
        <v>1943</v>
      </c>
      <c r="E21" s="45" t="s">
        <v>1944</v>
      </c>
      <c r="H21" s="46"/>
      <c r="I21" s="46"/>
      <c r="J21" s="46"/>
      <c r="K21" s="46"/>
      <c r="L21" s="46"/>
      <c r="M21" s="46"/>
      <c r="N21" s="46"/>
      <c r="O21" s="46"/>
      <c r="P21" s="46"/>
      <c r="Q21" s="46"/>
      <c r="R21" s="46"/>
      <c r="S21" s="46"/>
    </row>
    <row r="22" spans="1:19" s="43" customFormat="1" ht="32.25" thickBot="1" x14ac:dyDescent="0.3">
      <c r="A22" s="30" t="str">
        <f>Phase1!A11</f>
        <v>FS1.8</v>
      </c>
      <c r="B22" s="31" t="str">
        <f>Phase1!B11</f>
        <v>Facilities and Safety</v>
      </c>
      <c r="C22" s="31" t="str">
        <f>Phase1!C11</f>
        <v>Have completed action points from the Facility &amp; Safety Assessment been signed and dated for completion?</v>
      </c>
      <c r="D22" s="43" t="s">
        <v>1945</v>
      </c>
    </row>
    <row r="23" spans="1:19" x14ac:dyDescent="0.25">
      <c r="A23" s="289"/>
      <c r="B23" s="289"/>
      <c r="C23" s="24" t="s">
        <v>1420</v>
      </c>
    </row>
    <row r="24" spans="1:19" x14ac:dyDescent="0.25">
      <c r="A24" s="290"/>
      <c r="B24" s="290"/>
      <c r="C24" s="24" t="s">
        <v>1421</v>
      </c>
    </row>
    <row r="25" spans="1:19" x14ac:dyDescent="0.25">
      <c r="A25" s="290"/>
      <c r="B25" s="290"/>
      <c r="C25" s="24" t="s">
        <v>1422</v>
      </c>
    </row>
    <row r="26" spans="1:19" x14ac:dyDescent="0.25">
      <c r="A26" s="290"/>
      <c r="B26" s="290"/>
      <c r="C26" s="24" t="s">
        <v>1423</v>
      </c>
    </row>
    <row r="27" spans="1:19" x14ac:dyDescent="0.25">
      <c r="A27" s="290"/>
      <c r="B27" s="290"/>
      <c r="C27" s="24" t="s">
        <v>1424</v>
      </c>
    </row>
    <row r="28" spans="1:19" x14ac:dyDescent="0.25">
      <c r="A28" s="290"/>
      <c r="B28" s="290"/>
      <c r="C28" s="24" t="s">
        <v>1425</v>
      </c>
    </row>
    <row r="29" spans="1:19" x14ac:dyDescent="0.25">
      <c r="A29" s="290"/>
      <c r="B29" s="290"/>
      <c r="C29" s="24" t="s">
        <v>1426</v>
      </c>
    </row>
    <row r="30" spans="1:19" ht="31.5" x14ac:dyDescent="0.25">
      <c r="A30" s="290"/>
      <c r="B30" s="290"/>
      <c r="C30" s="24" t="s">
        <v>1427</v>
      </c>
    </row>
    <row r="31" spans="1:19" ht="48" thickBot="1" x14ac:dyDescent="0.3">
      <c r="A31" s="292"/>
      <c r="B31" s="292"/>
      <c r="C31" s="24" t="s">
        <v>1428</v>
      </c>
    </row>
    <row r="32" spans="1:19" s="42" customFormat="1" ht="31.5" x14ac:dyDescent="0.25">
      <c r="A32" s="28" t="str">
        <f>Phase1!A12</f>
        <v>FS1.9</v>
      </c>
      <c r="B32" s="29" t="str">
        <f>Phase1!B12</f>
        <v>Facilities and Safety</v>
      </c>
      <c r="C32" s="29" t="str">
        <f>Phase1!C12</f>
        <v>Does the laboratory have a procedure for processing and disposal of the different types of waste produced?</v>
      </c>
      <c r="D32" s="42" t="s">
        <v>1946</v>
      </c>
    </row>
    <row r="33" spans="1:8" s="45" customFormat="1" ht="94.5" x14ac:dyDescent="0.25">
      <c r="A33" s="34" t="str">
        <f>Phase1!A13</f>
        <v>FS1.10</v>
      </c>
      <c r="B33" s="35" t="str">
        <f>Phase1!B13</f>
        <v>Facilities and Safety</v>
      </c>
      <c r="C33" s="35" t="str">
        <f>Phase1!C13</f>
        <v>Does the laboratory demonstrably adhere to procedures for processing and disposal of different types of waste produced?</v>
      </c>
      <c r="D33" s="45" t="s">
        <v>1947</v>
      </c>
      <c r="E33" s="45" t="s">
        <v>1948</v>
      </c>
      <c r="F33" s="45" t="s">
        <v>1949</v>
      </c>
    </row>
    <row r="34" spans="1:8" s="45" customFormat="1" x14ac:dyDescent="0.25">
      <c r="A34" s="34" t="str">
        <f>Phase1!A14</f>
        <v>FS1.11</v>
      </c>
      <c r="B34" s="35" t="str">
        <f>Phase1!B14</f>
        <v>Facilities and Safety</v>
      </c>
      <c r="C34" s="35" t="str">
        <f>Phase1!C14</f>
        <v>Are up-to-date guidelines present on safe disposal of waste?</v>
      </c>
      <c r="D34" s="45" t="s">
        <v>1950</v>
      </c>
    </row>
    <row r="35" spans="1:8" s="45" customFormat="1" x14ac:dyDescent="0.25">
      <c r="A35" s="34" t="str">
        <f>Phase1!A15</f>
        <v>FS1.12</v>
      </c>
      <c r="B35" s="35" t="str">
        <f>Phase1!B15</f>
        <v>Facilities and Safety</v>
      </c>
      <c r="C35" s="35" t="str">
        <f>Phase1!C15</f>
        <v>Does lab staff adhere to guidelines on safe disposal of waste?</v>
      </c>
      <c r="D35" s="45" t="s">
        <v>1950</v>
      </c>
    </row>
    <row r="36" spans="1:8" s="45" customFormat="1" ht="31.5" x14ac:dyDescent="0.25">
      <c r="A36" s="34" t="str">
        <f>Phase1!A16</f>
        <v>FS1.13</v>
      </c>
      <c r="B36" s="35" t="str">
        <f>Phase1!B16</f>
        <v>Facilities and Safety</v>
      </c>
      <c r="C36" s="35" t="str">
        <f>Phase1!C16</f>
        <v>Is potentially infectious waste safely and securely stored before incineration?</v>
      </c>
      <c r="D36" s="45" t="s">
        <v>1951</v>
      </c>
      <c r="E36" s="45" t="s">
        <v>1952</v>
      </c>
      <c r="F36" s="45" t="s">
        <v>1953</v>
      </c>
      <c r="G36" s="45" t="s">
        <v>1954</v>
      </c>
    </row>
    <row r="37" spans="1:8" s="45" customFormat="1" ht="31.5" x14ac:dyDescent="0.25">
      <c r="A37" s="34" t="str">
        <f>Phase1!A17</f>
        <v>FS1.14</v>
      </c>
      <c r="B37" s="35" t="str">
        <f>Phase1!B17</f>
        <v>Facilities and Safety</v>
      </c>
      <c r="C37" s="35" t="str">
        <f>Phase1!C17</f>
        <v>Is potentially infectious material properly incinerated?</v>
      </c>
      <c r="D37" s="45" t="s">
        <v>1955</v>
      </c>
      <c r="E37" s="45" t="s">
        <v>1956</v>
      </c>
      <c r="F37" s="45" t="s">
        <v>1957</v>
      </c>
      <c r="G37" s="45" t="s">
        <v>1958</v>
      </c>
      <c r="H37" s="45" t="s">
        <v>1959</v>
      </c>
    </row>
    <row r="38" spans="1:8" s="45" customFormat="1" ht="31.5" x14ac:dyDescent="0.25">
      <c r="A38" s="34" t="str">
        <f>Phase1!A18</f>
        <v>FS1.15</v>
      </c>
      <c r="B38" s="35" t="str">
        <f>Phase1!B18</f>
        <v>Facilities and Safety</v>
      </c>
      <c r="C38" s="35" t="str">
        <f>Phase1!C18</f>
        <v>Are sharps securely and safely incinerated without the risk for needle accidents?</v>
      </c>
      <c r="D38" s="45" t="s">
        <v>1960</v>
      </c>
      <c r="E38" s="45" t="s">
        <v>1961</v>
      </c>
      <c r="F38" s="45" t="s">
        <v>1962</v>
      </c>
    </row>
    <row r="39" spans="1:8" s="45" customFormat="1" ht="47.25" x14ac:dyDescent="0.25">
      <c r="A39" s="34" t="str">
        <f>Phase1!A19</f>
        <v>FS1.16</v>
      </c>
      <c r="B39" s="35" t="str">
        <f>Phase1!B19</f>
        <v>Facilities and Safety</v>
      </c>
      <c r="C39" s="35" t="str">
        <f>Phase1!C19</f>
        <v>Is the area around the fire pit/incinerator free from clutter?</v>
      </c>
      <c r="D39" s="45" t="s">
        <v>1963</v>
      </c>
      <c r="E39" s="45" t="s">
        <v>1964</v>
      </c>
      <c r="F39" s="45" t="s">
        <v>1965</v>
      </c>
    </row>
    <row r="40" spans="1:8" s="45" customFormat="1" ht="31.5" x14ac:dyDescent="0.25">
      <c r="A40" s="34" t="str">
        <f>Phase1!A20</f>
        <v>FS1.17</v>
      </c>
      <c r="B40" s="35" t="str">
        <f>Phase1!B20</f>
        <v>Facilities and Safety</v>
      </c>
      <c r="C40" s="35" t="str">
        <f>Phase1!C20</f>
        <v>Is infectious glassware for re-use autoclaved correctly?</v>
      </c>
      <c r="D40" s="45" t="s">
        <v>1966</v>
      </c>
      <c r="E40" s="45" t="s">
        <v>1967</v>
      </c>
      <c r="F40" s="45" t="s">
        <v>1968</v>
      </c>
    </row>
    <row r="41" spans="1:8" s="45" customFormat="1" ht="31.5" x14ac:dyDescent="0.25">
      <c r="A41" s="34" t="str">
        <f>Phase1!A21</f>
        <v>FS1.18</v>
      </c>
      <c r="B41" s="35" t="str">
        <f>Phase1!B21</f>
        <v>Facilities and Safety</v>
      </c>
      <c r="C41" s="35" t="str">
        <f>Phase1!C21</f>
        <v>Are separate, clearly distinguishable containers present for different types of chemical waste?</v>
      </c>
      <c r="D41" s="45" t="s">
        <v>1969</v>
      </c>
      <c r="E41" s="45" t="s">
        <v>1970</v>
      </c>
    </row>
    <row r="42" spans="1:8" s="45" customFormat="1" ht="31.5" x14ac:dyDescent="0.25">
      <c r="A42" s="34" t="str">
        <f>Phase1!A22</f>
        <v>FS1.19</v>
      </c>
      <c r="B42" s="35" t="str">
        <f>Phase1!B22</f>
        <v>Facilities and Safety</v>
      </c>
      <c r="C42" s="35" t="str">
        <f>Phase1!C22</f>
        <v>Is chemical waste processed correctly?</v>
      </c>
      <c r="D42" s="45" t="s">
        <v>1971</v>
      </c>
      <c r="E42" s="45" t="s">
        <v>1972</v>
      </c>
    </row>
    <row r="43" spans="1:8" s="45" customFormat="1" ht="31.5" x14ac:dyDescent="0.25">
      <c r="A43" s="34" t="str">
        <f>Phase1!A23</f>
        <v>FS1.20</v>
      </c>
      <c r="B43" s="35" t="str">
        <f>Phase1!B23</f>
        <v>Facilities and Safety</v>
      </c>
      <c r="C43" s="35" t="str">
        <f>Phase1!C23</f>
        <v>Are trashcans for (bio)hazardous waste clearly distinguishable to prevent confusion with the bins for normal waste?</v>
      </c>
      <c r="D43" s="45" t="s">
        <v>1973</v>
      </c>
    </row>
    <row r="44" spans="1:8" s="43" customFormat="1" ht="32.25" thickBot="1" x14ac:dyDescent="0.3">
      <c r="A44" s="30" t="str">
        <f>Phase1!A24</f>
        <v>FS1.21</v>
      </c>
      <c r="B44" s="31" t="str">
        <f>Phase1!B24</f>
        <v>Facilities and Safety</v>
      </c>
      <c r="C44" s="31" t="str">
        <f>Phase1!C24</f>
        <v>Is normal waste processed according to local/national regulations (if applicable)?</v>
      </c>
      <c r="D44" s="43" t="s">
        <v>1975</v>
      </c>
      <c r="E44" s="43" t="s">
        <v>1974</v>
      </c>
    </row>
    <row r="45" spans="1:8" ht="31.5" x14ac:dyDescent="0.25">
      <c r="A45" s="289"/>
      <c r="B45" s="289"/>
      <c r="C45" s="24" t="s">
        <v>1429</v>
      </c>
    </row>
    <row r="46" spans="1:8" ht="31.5" x14ac:dyDescent="0.25">
      <c r="A46" s="290"/>
      <c r="B46" s="290"/>
      <c r="C46" s="24" t="s">
        <v>1430</v>
      </c>
    </row>
    <row r="47" spans="1:8" ht="110.25" x14ac:dyDescent="0.25">
      <c r="A47" s="290"/>
      <c r="B47" s="290"/>
      <c r="C47" s="24" t="s">
        <v>1431</v>
      </c>
    </row>
    <row r="48" spans="1:8" x14ac:dyDescent="0.25">
      <c r="A48" s="290"/>
      <c r="B48" s="290"/>
      <c r="C48" s="24" t="s">
        <v>1432</v>
      </c>
    </row>
    <row r="49" spans="1:6" ht="31.5" x14ac:dyDescent="0.25">
      <c r="A49" s="290"/>
      <c r="B49" s="290"/>
      <c r="C49" s="24" t="s">
        <v>1433</v>
      </c>
    </row>
    <row r="50" spans="1:6" x14ac:dyDescent="0.25">
      <c r="A50" s="290"/>
      <c r="B50" s="290"/>
      <c r="C50" s="24" t="s">
        <v>1434</v>
      </c>
    </row>
    <row r="51" spans="1:6" ht="31.5" x14ac:dyDescent="0.25">
      <c r="A51" s="290"/>
      <c r="B51" s="290"/>
      <c r="C51" s="24" t="s">
        <v>1435</v>
      </c>
    </row>
    <row r="52" spans="1:6" ht="32.25" thickBot="1" x14ac:dyDescent="0.3">
      <c r="A52" s="292"/>
      <c r="B52" s="292"/>
      <c r="C52" s="24" t="s">
        <v>1436</v>
      </c>
    </row>
    <row r="53" spans="1:6" s="42" customFormat="1" ht="31.5" x14ac:dyDescent="0.25">
      <c r="A53" s="28" t="str">
        <f>Phase1!A25</f>
        <v>FS1.22</v>
      </c>
      <c r="B53" s="29" t="str">
        <f>Phase1!B25</f>
        <v>Facilities and Safety</v>
      </c>
      <c r="C53" s="29" t="str">
        <f>Phase1!C25</f>
        <v>Is an up-to-date Biosafety Manual present in the laboratory?</v>
      </c>
      <c r="D53" s="42" t="s">
        <v>1976</v>
      </c>
      <c r="E53" s="42" t="s">
        <v>1977</v>
      </c>
      <c r="F53" s="42" t="s">
        <v>1978</v>
      </c>
    </row>
    <row r="54" spans="1:6" s="45" customFormat="1" ht="31.5" x14ac:dyDescent="0.25">
      <c r="A54" s="34" t="str">
        <f>Phase1!A26</f>
        <v>FS1.23</v>
      </c>
      <c r="B54" s="35" t="str">
        <f>Phase1!B26</f>
        <v>Facilities and Safety</v>
      </c>
      <c r="C54" s="35" t="str">
        <f>Phase1!C26</f>
        <v>Does the biological safety manual have a logical structure with table of contents, an introduction and a title page clearly stating the words “Biosafety Manual”?</v>
      </c>
      <c r="D54" s="45" t="s">
        <v>1979</v>
      </c>
    </row>
    <row r="55" spans="1:6" s="45" customFormat="1" ht="31.5" x14ac:dyDescent="0.25">
      <c r="A55" s="34" t="str">
        <f>Phase1!A27</f>
        <v>FS1.24</v>
      </c>
      <c r="B55" s="35" t="str">
        <f>Phase1!B27</f>
        <v>Facilities and Safety</v>
      </c>
      <c r="C55" s="35" t="str">
        <f>Phase1!C27</f>
        <v>Does the Biosafety Manual contain general safety rules for working in the laboratory with human material?</v>
      </c>
      <c r="D55" s="45" t="s">
        <v>1980</v>
      </c>
    </row>
    <row r="56" spans="1:6" s="45" customFormat="1" ht="31.5" x14ac:dyDescent="0.25">
      <c r="A56" s="34" t="str">
        <f>Phase1!A28</f>
        <v>FS1.25</v>
      </c>
      <c r="B56" s="35" t="str">
        <f>Phase1!B28</f>
        <v>Facilities and Safety</v>
      </c>
      <c r="C56" s="35" t="str">
        <f>Phase1!C28</f>
        <v>Does the Biosafety Manual contain preventive safety procedures?</v>
      </c>
      <c r="D56" s="45" t="s">
        <v>1981</v>
      </c>
    </row>
    <row r="57" spans="1:6" s="45" customFormat="1" ht="31.5" x14ac:dyDescent="0.25">
      <c r="A57" s="34" t="str">
        <f>Phase1!A29</f>
        <v>FS1.26</v>
      </c>
      <c r="B57" s="35" t="str">
        <f>Phase1!B29</f>
        <v>Facilities and Safety</v>
      </c>
      <c r="C57" s="35" t="str">
        <f>Phase1!C29</f>
        <v>Does the Biosafety Manual contain procedures for emergency situations?</v>
      </c>
      <c r="D57" s="45" t="s">
        <v>1982</v>
      </c>
    </row>
    <row r="58" spans="1:6" s="45" customFormat="1" ht="31.5" x14ac:dyDescent="0.25">
      <c r="A58" s="34" t="str">
        <f>Phase1!A30</f>
        <v>FS1.27</v>
      </c>
      <c r="B58" s="35" t="str">
        <f>Phase1!B30</f>
        <v>Facilities and Safety</v>
      </c>
      <c r="C58" s="35" t="str">
        <f>Phase1!C30</f>
        <v>Are the Biosafety Manual chapters signed by the author, reviewer and Laboratory Management?</v>
      </c>
      <c r="D58" s="45" t="s">
        <v>1983</v>
      </c>
    </row>
    <row r="59" spans="1:6" s="45" customFormat="1" ht="31.5" x14ac:dyDescent="0.25">
      <c r="A59" s="34" t="str">
        <f>Phase1!A31</f>
        <v>FS1.28</v>
      </c>
      <c r="B59" s="35" t="str">
        <f>Phase1!B31</f>
        <v>Facilities and Safety</v>
      </c>
      <c r="C59" s="35" t="str">
        <f>Phase1!C31</f>
        <v>Is the Biosafety Manual easily accessible for all staff members at a logical location?</v>
      </c>
      <c r="D59" s="45" t="s">
        <v>1984</v>
      </c>
    </row>
    <row r="60" spans="1:6" s="43" customFormat="1" ht="32.25" thickBot="1" x14ac:dyDescent="0.3">
      <c r="A60" s="30" t="str">
        <f>Phase1!A32</f>
        <v>FS1.29</v>
      </c>
      <c r="B60" s="31" t="str">
        <f>Phase1!B32</f>
        <v>Facilities and Safety</v>
      </c>
      <c r="C60" s="31" t="str">
        <f>Phase1!C32</f>
        <v>Is the Biosafety Manual read and signed by all staff members?</v>
      </c>
      <c r="D60" s="43" t="s">
        <v>1985</v>
      </c>
    </row>
    <row r="61" spans="1:6" x14ac:dyDescent="0.25">
      <c r="A61" s="289"/>
      <c r="B61" s="289"/>
      <c r="C61" s="24" t="s">
        <v>1437</v>
      </c>
    </row>
    <row r="62" spans="1:6" ht="31.5" x14ac:dyDescent="0.25">
      <c r="A62" s="290"/>
      <c r="B62" s="290"/>
      <c r="C62" s="24" t="s">
        <v>1438</v>
      </c>
    </row>
    <row r="63" spans="1:6" ht="63" x14ac:dyDescent="0.25">
      <c r="A63" s="290"/>
      <c r="B63" s="290"/>
      <c r="C63" s="24" t="s">
        <v>1439</v>
      </c>
    </row>
    <row r="64" spans="1:6" x14ac:dyDescent="0.25">
      <c r="A64" s="290"/>
      <c r="B64" s="290"/>
      <c r="C64" s="24" t="s">
        <v>1440</v>
      </c>
    </row>
    <row r="65" spans="1:5" x14ac:dyDescent="0.25">
      <c r="A65" s="290"/>
      <c r="B65" s="290"/>
      <c r="C65" s="24" t="s">
        <v>1441</v>
      </c>
    </row>
    <row r="66" spans="1:5" x14ac:dyDescent="0.25">
      <c r="A66" s="290"/>
      <c r="B66" s="290"/>
      <c r="C66" s="24" t="s">
        <v>1442</v>
      </c>
    </row>
    <row r="67" spans="1:5" ht="32.25" thickBot="1" x14ac:dyDescent="0.3">
      <c r="A67" s="292"/>
      <c r="B67" s="292"/>
      <c r="C67" s="24" t="s">
        <v>1443</v>
      </c>
    </row>
    <row r="68" spans="1:5" s="42" customFormat="1" ht="31.5" x14ac:dyDescent="0.25">
      <c r="A68" s="28" t="str">
        <f>Phase1!A33</f>
        <v>FS1.30</v>
      </c>
      <c r="B68" s="29" t="str">
        <f>Phase1!B33</f>
        <v>Facilities and Safety</v>
      </c>
      <c r="C68" s="29" t="str">
        <f>Phase1!C33</f>
        <v>Is an SOP present describing how to clean the laboratory building?</v>
      </c>
      <c r="D68" s="42" t="s">
        <v>1986</v>
      </c>
      <c r="E68" s="42" t="s">
        <v>1987</v>
      </c>
    </row>
    <row r="69" spans="1:5" s="45" customFormat="1" ht="31.5" x14ac:dyDescent="0.25">
      <c r="A69" s="34" t="str">
        <f>Phase1!A34</f>
        <v>FS1.31</v>
      </c>
      <c r="B69" s="35" t="str">
        <f>Phase1!B34</f>
        <v>Facilities and Safety</v>
      </c>
      <c r="C69" s="35" t="str">
        <f>Phase1!C34</f>
        <v>Does the SOP on cleaning of the laboratory building include a section with specific guidelines for cleaning laboratory rooms?</v>
      </c>
    </row>
    <row r="70" spans="1:5" s="45" customFormat="1" ht="31.5" x14ac:dyDescent="0.25">
      <c r="A70" s="34" t="str">
        <f>Phase1!A35</f>
        <v>FS1.32</v>
      </c>
      <c r="B70" s="35" t="str">
        <f>Phase1!B35</f>
        <v>Facilities and Safety</v>
      </c>
      <c r="C70" s="35" t="str">
        <f>Phase1!C35</f>
        <v>Is a cleaning schedule present?</v>
      </c>
      <c r="D70" s="45" t="s">
        <v>1988</v>
      </c>
    </row>
    <row r="71" spans="1:5" s="45" customFormat="1" x14ac:dyDescent="0.25">
      <c r="A71" s="34" t="str">
        <f>Phase1!A36</f>
        <v>FS1.33</v>
      </c>
      <c r="B71" s="35" t="str">
        <f>Phase1!B36</f>
        <v>Facilities and Safety</v>
      </c>
      <c r="C71" s="35" t="str">
        <f>Phase1!C36</f>
        <v>Does the cleaning schedule show what should be cleaned by who and when?</v>
      </c>
    </row>
    <row r="72" spans="1:5" s="43" customFormat="1" ht="16.5" thickBot="1" x14ac:dyDescent="0.3">
      <c r="A72" s="30" t="str">
        <f>Phase1!A37</f>
        <v>FS1.34</v>
      </c>
      <c r="B72" s="31" t="str">
        <f>Phase1!B37</f>
        <v>Facilities and Safety</v>
      </c>
      <c r="C72" s="31" t="str">
        <f>Phase1!C37</f>
        <v>Is the laboratory cleaned on a regular basis?</v>
      </c>
    </row>
    <row r="73" spans="1:5" x14ac:dyDescent="0.25">
      <c r="A73" s="289"/>
      <c r="B73" s="289"/>
      <c r="C73" s="24" t="s">
        <v>1444</v>
      </c>
    </row>
    <row r="74" spans="1:5" x14ac:dyDescent="0.25">
      <c r="A74" s="290"/>
      <c r="B74" s="290"/>
      <c r="C74" s="24" t="s">
        <v>1445</v>
      </c>
    </row>
    <row r="75" spans="1:5" x14ac:dyDescent="0.25">
      <c r="A75" s="290"/>
      <c r="B75" s="290"/>
      <c r="C75" s="24" t="s">
        <v>1446</v>
      </c>
    </row>
    <row r="76" spans="1:5" x14ac:dyDescent="0.25">
      <c r="A76" s="290"/>
      <c r="B76" s="290"/>
      <c r="C76" s="24" t="s">
        <v>1447</v>
      </c>
    </row>
    <row r="77" spans="1:5" x14ac:dyDescent="0.25">
      <c r="A77" s="290"/>
      <c r="B77" s="290"/>
      <c r="C77" s="24" t="s">
        <v>1448</v>
      </c>
    </row>
    <row r="78" spans="1:5" ht="47.25" x14ac:dyDescent="0.25">
      <c r="A78" s="290"/>
      <c r="B78" s="290"/>
      <c r="C78" s="24" t="s">
        <v>1449</v>
      </c>
    </row>
    <row r="79" spans="1:5" x14ac:dyDescent="0.25">
      <c r="A79" s="290"/>
      <c r="B79" s="290"/>
      <c r="C79" s="24" t="s">
        <v>1450</v>
      </c>
    </row>
    <row r="80" spans="1:5" ht="32.25" thickBot="1" x14ac:dyDescent="0.3">
      <c r="A80" s="292"/>
      <c r="B80" s="292"/>
      <c r="C80" s="24" t="s">
        <v>1451</v>
      </c>
    </row>
    <row r="81" spans="1:8" s="42" customFormat="1" x14ac:dyDescent="0.25">
      <c r="A81" s="28" t="str">
        <f>Phase1!A38</f>
        <v>FS1.35</v>
      </c>
      <c r="B81" s="29" t="str">
        <f>Phase1!B38</f>
        <v>Facilities and Safety</v>
      </c>
      <c r="C81" s="29" t="str">
        <f>Phase1!C38</f>
        <v>Are there spill kits present in adequate numbers and are these kits complete</v>
      </c>
      <c r="D81" s="42" t="s">
        <v>1989</v>
      </c>
    </row>
    <row r="82" spans="1:8" s="43" customFormat="1" ht="32.25" thickBot="1" x14ac:dyDescent="0.3">
      <c r="A82" s="30" t="str">
        <f>Phase1!A39</f>
        <v>FS1.36</v>
      </c>
      <c r="B82" s="31" t="str">
        <f>Phase1!B39</f>
        <v>Facilities and Safety</v>
      </c>
      <c r="C82" s="31" t="str">
        <f>Phase1!C39</f>
        <v>Is there an SOP that provides procedures for dealing with the different types of spills?</v>
      </c>
      <c r="D82" s="43" t="s">
        <v>1990</v>
      </c>
      <c r="E82" s="43" t="s">
        <v>1991</v>
      </c>
      <c r="F82" s="43" t="s">
        <v>1992</v>
      </c>
      <c r="G82" s="43" t="s">
        <v>1993</v>
      </c>
      <c r="H82" s="43" t="s">
        <v>1994</v>
      </c>
    </row>
    <row r="83" spans="1:8" ht="47.25" x14ac:dyDescent="0.25">
      <c r="A83" s="289"/>
      <c r="B83" s="289"/>
      <c r="C83" s="24" t="s">
        <v>1452</v>
      </c>
    </row>
    <row r="84" spans="1:8" ht="31.5" x14ac:dyDescent="0.25">
      <c r="A84" s="290"/>
      <c r="B84" s="290"/>
      <c r="C84" s="24" t="s">
        <v>1453</v>
      </c>
    </row>
    <row r="85" spans="1:8" x14ac:dyDescent="0.25">
      <c r="A85" s="290"/>
      <c r="B85" s="290"/>
      <c r="C85" s="24" t="s">
        <v>1454</v>
      </c>
    </row>
    <row r="86" spans="1:8" ht="32.25" thickBot="1" x14ac:dyDescent="0.3">
      <c r="A86" s="292"/>
      <c r="B86" s="292"/>
      <c r="C86" s="24" t="s">
        <v>1451</v>
      </c>
    </row>
    <row r="87" spans="1:8" s="42" customFormat="1" x14ac:dyDescent="0.25">
      <c r="A87" s="28" t="str">
        <f>Phase1!A40</f>
        <v>FS1.37</v>
      </c>
      <c r="B87" s="29" t="str">
        <f>Phase1!B40</f>
        <v>Facilities and Safety</v>
      </c>
      <c r="C87" s="29" t="str">
        <f>Phase1!C40</f>
        <v>Are first aid providers present in the laboratory?</v>
      </c>
      <c r="D87" s="42" t="s">
        <v>1995</v>
      </c>
      <c r="E87" s="42" t="s">
        <v>1996</v>
      </c>
    </row>
    <row r="88" spans="1:8" s="43" customFormat="1" ht="16.5" thickBot="1" x14ac:dyDescent="0.3">
      <c r="A88" s="30" t="str">
        <f>Phase1!A41</f>
        <v>FS1.38</v>
      </c>
      <c r="B88" s="31" t="str">
        <f>Phase1!B41</f>
        <v>Facilities and Safety</v>
      </c>
      <c r="C88" s="31" t="str">
        <f>Phase1!C41</f>
        <v>Are first aid kits present and placed at accessible locations?</v>
      </c>
      <c r="D88" s="43" t="s">
        <v>1997</v>
      </c>
    </row>
    <row r="89" spans="1:8" ht="47.25" x14ac:dyDescent="0.25">
      <c r="A89" s="289"/>
      <c r="B89" s="289"/>
      <c r="C89" s="24" t="s">
        <v>1455</v>
      </c>
    </row>
    <row r="90" spans="1:8" ht="31.5" x14ac:dyDescent="0.25">
      <c r="A90" s="290"/>
      <c r="B90" s="290"/>
      <c r="C90" s="24" t="s">
        <v>1456</v>
      </c>
    </row>
    <row r="91" spans="1:8" x14ac:dyDescent="0.25">
      <c r="A91" s="290"/>
      <c r="B91" s="290"/>
      <c r="C91" s="24" t="s">
        <v>1457</v>
      </c>
    </row>
    <row r="92" spans="1:8" ht="16.5" thickBot="1" x14ac:dyDescent="0.3">
      <c r="A92" s="292"/>
      <c r="B92" s="292"/>
      <c r="C92" s="24" t="s">
        <v>1458</v>
      </c>
    </row>
    <row r="93" spans="1:8" s="47" customFormat="1" ht="31.5" x14ac:dyDescent="0.25">
      <c r="A93" s="36" t="str">
        <f>Phase1!A42</f>
        <v>ORG1.1</v>
      </c>
      <c r="B93" s="37" t="str">
        <f>Phase1!B42</f>
        <v>Organization</v>
      </c>
      <c r="C93" s="37" t="str">
        <f>Phase1!C42</f>
        <v>Is the implementation of the quality management system coordinated through a Quality Project Team?</v>
      </c>
      <c r="D93" s="47" t="s">
        <v>2198</v>
      </c>
    </row>
    <row r="94" spans="1:8" s="48" customFormat="1" ht="31.5" x14ac:dyDescent="0.25">
      <c r="A94" s="38" t="str">
        <f>Phase1!A43</f>
        <v>ORG1.2</v>
      </c>
      <c r="B94" s="39" t="str">
        <f>Phase1!B43</f>
        <v>Organization</v>
      </c>
      <c r="C94" s="39" t="str">
        <f>Phase1!C43</f>
        <v>Does the laboratory have a Quality Focal Point to which staff can turn to for information about the quality management system?</v>
      </c>
    </row>
    <row r="95" spans="1:8" s="48" customFormat="1" ht="47.25" x14ac:dyDescent="0.25">
      <c r="A95" s="38" t="str">
        <f>Phase1!A44</f>
        <v>ORG1.3</v>
      </c>
      <c r="B95" s="39" t="str">
        <f>Phase1!B44</f>
        <v>Organization</v>
      </c>
      <c r="C95" s="39" t="str">
        <f>Phase1!C44</f>
        <v>Are Quality Project Team meetings held on a regular basis?
The presence of minutes serve as prove for this.</v>
      </c>
      <c r="D95" s="48" t="s">
        <v>2199</v>
      </c>
    </row>
    <row r="96" spans="1:8" s="49" customFormat="1" ht="95.25" thickBot="1" x14ac:dyDescent="0.3">
      <c r="A96" s="40" t="str">
        <f>Phase1!A45</f>
        <v>ORG1.4</v>
      </c>
      <c r="B96" s="41" t="str">
        <f>Phase1!B45</f>
        <v>Organization</v>
      </c>
      <c r="C96" s="41" t="str">
        <f>Phase1!C45</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96" s="49" t="s">
        <v>2200</v>
      </c>
    </row>
    <row r="97" spans="1:3" x14ac:dyDescent="0.25">
      <c r="A97" s="289"/>
      <c r="B97" s="289"/>
      <c r="C97" s="25" t="s">
        <v>1998</v>
      </c>
    </row>
    <row r="98" spans="1:3" ht="78.75" x14ac:dyDescent="0.25">
      <c r="A98" s="290"/>
      <c r="B98" s="290"/>
      <c r="C98" s="24" t="s">
        <v>1999</v>
      </c>
    </row>
    <row r="99" spans="1:3" ht="47.25" x14ac:dyDescent="0.25">
      <c r="A99" s="290"/>
      <c r="B99" s="290"/>
      <c r="C99" s="23" t="s">
        <v>2000</v>
      </c>
    </row>
    <row r="100" spans="1:3" ht="63" x14ac:dyDescent="0.25">
      <c r="A100" s="290"/>
      <c r="B100" s="290"/>
      <c r="C100" s="24" t="s">
        <v>2001</v>
      </c>
    </row>
    <row r="101" spans="1:3" ht="31.5" x14ac:dyDescent="0.25">
      <c r="A101" s="290"/>
      <c r="B101" s="290"/>
      <c r="C101" s="24" t="s">
        <v>2002</v>
      </c>
    </row>
    <row r="102" spans="1:3" x14ac:dyDescent="0.25">
      <c r="A102" s="290"/>
      <c r="B102" s="290"/>
      <c r="C102" s="24" t="s">
        <v>2003</v>
      </c>
    </row>
    <row r="103" spans="1:3" ht="31.5" x14ac:dyDescent="0.25">
      <c r="A103" s="290"/>
      <c r="B103" s="290"/>
      <c r="C103" s="24" t="s">
        <v>2004</v>
      </c>
    </row>
    <row r="104" spans="1:3" x14ac:dyDescent="0.25">
      <c r="A104" s="290"/>
      <c r="B104" s="290"/>
      <c r="C104" s="25" t="s">
        <v>2005</v>
      </c>
    </row>
    <row r="105" spans="1:3" x14ac:dyDescent="0.25">
      <c r="A105" s="290"/>
      <c r="B105" s="290"/>
      <c r="C105" s="24" t="s">
        <v>2006</v>
      </c>
    </row>
    <row r="106" spans="1:3" x14ac:dyDescent="0.25">
      <c r="A106" s="290"/>
      <c r="B106" s="290"/>
      <c r="C106" s="24" t="s">
        <v>2007</v>
      </c>
    </row>
    <row r="107" spans="1:3" x14ac:dyDescent="0.25">
      <c r="A107" s="290"/>
      <c r="B107" s="290"/>
      <c r="C107" s="24" t="s">
        <v>2008</v>
      </c>
    </row>
    <row r="108" spans="1:3" x14ac:dyDescent="0.25">
      <c r="A108" s="290"/>
      <c r="B108" s="290"/>
      <c r="C108" s="25" t="s">
        <v>2009</v>
      </c>
    </row>
    <row r="109" spans="1:3" ht="31.5" x14ac:dyDescent="0.25">
      <c r="A109" s="290"/>
      <c r="B109" s="290"/>
      <c r="C109" s="24" t="s">
        <v>2010</v>
      </c>
    </row>
    <row r="110" spans="1:3" x14ac:dyDescent="0.25">
      <c r="A110" s="290"/>
      <c r="B110" s="290"/>
      <c r="C110" s="24" t="s">
        <v>2011</v>
      </c>
    </row>
    <row r="111" spans="1:3" x14ac:dyDescent="0.25">
      <c r="A111" s="290"/>
      <c r="B111" s="290"/>
      <c r="C111" s="23" t="s">
        <v>2012</v>
      </c>
    </row>
    <row r="112" spans="1:3" x14ac:dyDescent="0.25">
      <c r="A112" s="290"/>
      <c r="B112" s="290"/>
      <c r="C112" s="24" t="s">
        <v>2013</v>
      </c>
    </row>
    <row r="113" spans="1:5" x14ac:dyDescent="0.25">
      <c r="A113" s="290"/>
      <c r="B113" s="290"/>
      <c r="C113" s="24" t="s">
        <v>2014</v>
      </c>
    </row>
    <row r="114" spans="1:5" x14ac:dyDescent="0.25">
      <c r="A114" s="290"/>
      <c r="B114" s="290"/>
      <c r="C114" s="24" t="s">
        <v>2015</v>
      </c>
    </row>
    <row r="115" spans="1:5" ht="32.25" thickBot="1" x14ac:dyDescent="0.3">
      <c r="A115" s="292"/>
      <c r="B115" s="292"/>
      <c r="C115" s="24" t="s">
        <v>2016</v>
      </c>
    </row>
    <row r="116" spans="1:5" s="47" customFormat="1" x14ac:dyDescent="0.25">
      <c r="A116" s="36" t="str">
        <f>Phase1!A46</f>
        <v>ORG1.5</v>
      </c>
      <c r="B116" s="37" t="str">
        <f>Phase1!B46</f>
        <v>Organization</v>
      </c>
      <c r="C116" s="37" t="str">
        <f>Phase1!C46</f>
        <v>Does the laboratory make use of action plans with SMART formulated action points?</v>
      </c>
      <c r="D116" s="47" t="s">
        <v>2201</v>
      </c>
    </row>
    <row r="117" spans="1:5" s="48" customFormat="1" ht="63" x14ac:dyDescent="0.25">
      <c r="A117" s="38" t="str">
        <f>Phase1!A47</f>
        <v>ORG1.6</v>
      </c>
      <c r="B117" s="39" t="str">
        <f>Phase1!B47</f>
        <v>Organization</v>
      </c>
      <c r="C117" s="39" t="str">
        <f>Phase1!C47</f>
        <v>Are action plans all stored together in one folder, with a logical structure (e.g. completed action plans in the back, open action plans in the front, sorted on date, etc.)?</v>
      </c>
      <c r="D117" s="48" t="s">
        <v>2202</v>
      </c>
    </row>
    <row r="118" spans="1:5" s="49" customFormat="1" ht="63.75" thickBot="1" x14ac:dyDescent="0.3">
      <c r="A118" s="40" t="str">
        <f>Phase1!A48</f>
        <v>ORG1.7</v>
      </c>
      <c r="B118" s="41" t="str">
        <f>Phase1!B48</f>
        <v>Organization</v>
      </c>
      <c r="C118" s="41" t="str">
        <f>Phase1!C48</f>
        <v>Is the completion of action points and action plans checked on a monthly basis and, if necessary, followed-up?
I.e. do you see action points that have not been completed while their deadline has passed?</v>
      </c>
      <c r="D118" s="49" t="s">
        <v>2203</v>
      </c>
      <c r="E118" s="49" t="s">
        <v>2204</v>
      </c>
    </row>
    <row r="119" spans="1:5" x14ac:dyDescent="0.25">
      <c r="A119" s="289"/>
      <c r="B119" s="289"/>
      <c r="C119" s="26" t="s">
        <v>2021</v>
      </c>
    </row>
    <row r="120" spans="1:5" x14ac:dyDescent="0.25">
      <c r="A120" s="290"/>
      <c r="B120" s="290"/>
      <c r="C120" s="25" t="s">
        <v>2022</v>
      </c>
    </row>
    <row r="121" spans="1:5" ht="47.25" x14ac:dyDescent="0.25">
      <c r="A121" s="290"/>
      <c r="B121" s="290"/>
      <c r="C121" s="24" t="s">
        <v>2023</v>
      </c>
    </row>
    <row r="122" spans="1:5" x14ac:dyDescent="0.25">
      <c r="A122" s="290"/>
      <c r="B122" s="290"/>
      <c r="C122" s="24" t="s">
        <v>2024</v>
      </c>
    </row>
    <row r="123" spans="1:5" ht="47.25" x14ac:dyDescent="0.25">
      <c r="A123" s="290"/>
      <c r="B123" s="290"/>
      <c r="C123" s="24" t="s">
        <v>2025</v>
      </c>
    </row>
    <row r="124" spans="1:5" x14ac:dyDescent="0.25">
      <c r="A124" s="290"/>
      <c r="B124" s="290"/>
      <c r="C124" s="24" t="s">
        <v>2026</v>
      </c>
    </row>
    <row r="125" spans="1:5" x14ac:dyDescent="0.25">
      <c r="A125" s="290"/>
      <c r="B125" s="290"/>
      <c r="C125" s="26" t="s">
        <v>2027</v>
      </c>
    </row>
    <row r="126" spans="1:5" x14ac:dyDescent="0.25">
      <c r="A126" s="290"/>
      <c r="B126" s="290"/>
      <c r="C126" s="25" t="s">
        <v>2028</v>
      </c>
    </row>
    <row r="127" spans="1:5" x14ac:dyDescent="0.25">
      <c r="A127" s="290"/>
      <c r="B127" s="290"/>
      <c r="C127" s="24" t="s">
        <v>2029</v>
      </c>
    </row>
    <row r="128" spans="1:5" x14ac:dyDescent="0.25">
      <c r="A128" s="290"/>
      <c r="B128" s="290"/>
      <c r="C128" s="24" t="s">
        <v>2030</v>
      </c>
    </row>
    <row r="129" spans="1:5" x14ac:dyDescent="0.25">
      <c r="A129" s="290"/>
      <c r="B129" s="290"/>
      <c r="C129" s="24" t="s">
        <v>2031</v>
      </c>
    </row>
    <row r="130" spans="1:5" x14ac:dyDescent="0.25">
      <c r="A130" s="290"/>
      <c r="B130" s="290"/>
      <c r="C130" s="25" t="s">
        <v>2005</v>
      </c>
    </row>
    <row r="131" spans="1:5" ht="47.25" x14ac:dyDescent="0.25">
      <c r="A131" s="290"/>
      <c r="B131" s="290"/>
      <c r="C131" s="23" t="s">
        <v>2032</v>
      </c>
    </row>
    <row r="132" spans="1:5" x14ac:dyDescent="0.25">
      <c r="A132" s="290"/>
      <c r="B132" s="290"/>
      <c r="C132" s="24" t="s">
        <v>2033</v>
      </c>
    </row>
    <row r="133" spans="1:5" x14ac:dyDescent="0.25">
      <c r="A133" s="290"/>
      <c r="B133" s="290"/>
      <c r="C133" s="24" t="s">
        <v>2034</v>
      </c>
    </row>
    <row r="134" spans="1:5" x14ac:dyDescent="0.25">
      <c r="A134" s="290"/>
      <c r="B134" s="290"/>
      <c r="C134" s="24" t="s">
        <v>2035</v>
      </c>
    </row>
    <row r="135" spans="1:5" ht="48" thickBot="1" x14ac:dyDescent="0.3">
      <c r="A135" s="292"/>
      <c r="B135" s="292"/>
      <c r="C135" s="24" t="s">
        <v>2036</v>
      </c>
    </row>
    <row r="136" spans="1:5" s="47" customFormat="1" x14ac:dyDescent="0.25">
      <c r="A136" s="36" t="str">
        <f>Phase1!A49</f>
        <v>ORG1.8</v>
      </c>
      <c r="B136" s="37" t="str">
        <f>Phase1!B49</f>
        <v>Organization</v>
      </c>
      <c r="C136" s="37" t="str">
        <f>Phase1!C49</f>
        <v>Are staff meetings held regularly (weekly)?</v>
      </c>
      <c r="D136" s="47" t="s">
        <v>2205</v>
      </c>
    </row>
    <row r="137" spans="1:5" s="48" customFormat="1" x14ac:dyDescent="0.25">
      <c r="A137" s="38" t="str">
        <f>Phase1!A50</f>
        <v>ORG1.9</v>
      </c>
      <c r="B137" s="39" t="str">
        <f>Phase1!B50</f>
        <v>Organization</v>
      </c>
      <c r="C137" s="39" t="str">
        <f>Phase1!C50</f>
        <v>Are minutes made of weekly staff meetings?</v>
      </c>
      <c r="D137" s="48" t="s">
        <v>2206</v>
      </c>
      <c r="E137" s="48" t="s">
        <v>2207</v>
      </c>
    </row>
    <row r="138" spans="1:5" s="48" customFormat="1" ht="47.25" x14ac:dyDescent="0.25">
      <c r="A138" s="38" t="str">
        <f>Phase1!A51</f>
        <v>ORG1.10</v>
      </c>
      <c r="B138" s="39" t="str">
        <f>Phase1!B51</f>
        <v>Organization</v>
      </c>
      <c r="C138" s="39" t="str">
        <f>Phase1!C51</f>
        <v>Do the minutes of weekly staff meetings include a summary of discussions, SMART action points and the agenda for next week?</v>
      </c>
      <c r="D138" s="48" t="s">
        <v>2208</v>
      </c>
    </row>
    <row r="139" spans="1:5" s="49" customFormat="1" ht="48" thickBot="1" x14ac:dyDescent="0.3">
      <c r="A139" s="40" t="str">
        <f>Phase1!A52</f>
        <v>ORG1.11</v>
      </c>
      <c r="B139" s="41" t="str">
        <f>Phase1!B52</f>
        <v>Organization</v>
      </c>
      <c r="C139" s="41" t="str">
        <f>Phase1!C52</f>
        <v>Are the minutes of weekly staff meetings stored in a well-organized way?</v>
      </c>
      <c r="D139" s="49" t="s">
        <v>2209</v>
      </c>
    </row>
    <row r="140" spans="1:5" x14ac:dyDescent="0.25">
      <c r="A140" s="289"/>
      <c r="B140" s="289"/>
      <c r="C140" s="25" t="s">
        <v>2037</v>
      </c>
    </row>
    <row r="141" spans="1:5" x14ac:dyDescent="0.25">
      <c r="A141" s="290"/>
      <c r="B141" s="290"/>
      <c r="C141" s="24" t="s">
        <v>2038</v>
      </c>
    </row>
    <row r="142" spans="1:5" ht="31.5" x14ac:dyDescent="0.25">
      <c r="A142" s="290"/>
      <c r="B142" s="290"/>
      <c r="C142" s="24" t="s">
        <v>2039</v>
      </c>
    </row>
    <row r="143" spans="1:5" x14ac:dyDescent="0.25">
      <c r="A143" s="290"/>
      <c r="B143" s="290"/>
      <c r="C143" s="24" t="s">
        <v>2040</v>
      </c>
    </row>
    <row r="144" spans="1:5" x14ac:dyDescent="0.25">
      <c r="A144" s="290"/>
      <c r="B144" s="290"/>
      <c r="C144" s="24" t="s">
        <v>2041</v>
      </c>
    </row>
    <row r="145" spans="1:4" ht="31.5" x14ac:dyDescent="0.25">
      <c r="A145" s="290"/>
      <c r="B145" s="290"/>
      <c r="C145" s="24" t="s">
        <v>2042</v>
      </c>
    </row>
    <row r="146" spans="1:4" x14ac:dyDescent="0.25">
      <c r="A146" s="290"/>
      <c r="B146" s="290"/>
      <c r="C146" s="24" t="s">
        <v>2043</v>
      </c>
    </row>
    <row r="147" spans="1:4" x14ac:dyDescent="0.25">
      <c r="A147" s="290"/>
      <c r="B147" s="290"/>
      <c r="C147" s="12" t="s">
        <v>2044</v>
      </c>
    </row>
    <row r="148" spans="1:4" x14ac:dyDescent="0.25">
      <c r="A148" s="290"/>
      <c r="B148" s="290"/>
      <c r="C148" s="24" t="s">
        <v>2045</v>
      </c>
    </row>
    <row r="149" spans="1:4" ht="78.75" x14ac:dyDescent="0.25">
      <c r="A149" s="290"/>
      <c r="B149" s="290"/>
      <c r="C149" s="24" t="s">
        <v>2046</v>
      </c>
    </row>
    <row r="150" spans="1:4" x14ac:dyDescent="0.25">
      <c r="A150" s="290"/>
      <c r="B150" s="290"/>
      <c r="C150" s="25" t="s">
        <v>2047</v>
      </c>
    </row>
    <row r="151" spans="1:4" x14ac:dyDescent="0.25">
      <c r="A151" s="290"/>
      <c r="B151" s="290"/>
      <c r="C151" s="12" t="s">
        <v>2048</v>
      </c>
    </row>
    <row r="152" spans="1:4" x14ac:dyDescent="0.25">
      <c r="A152" s="290"/>
      <c r="B152" s="290"/>
      <c r="C152" s="24" t="s">
        <v>2049</v>
      </c>
    </row>
    <row r="153" spans="1:4" x14ac:dyDescent="0.25">
      <c r="A153" s="290"/>
      <c r="B153" s="290"/>
      <c r="C153" s="24" t="s">
        <v>2050</v>
      </c>
    </row>
    <row r="154" spans="1:4" ht="31.5" x14ac:dyDescent="0.25">
      <c r="A154" s="290"/>
      <c r="B154" s="290"/>
      <c r="C154" s="24" t="s">
        <v>2051</v>
      </c>
    </row>
    <row r="155" spans="1:4" x14ac:dyDescent="0.25">
      <c r="A155" s="290"/>
      <c r="B155" s="290"/>
      <c r="C155" s="24" t="s">
        <v>2052</v>
      </c>
    </row>
    <row r="156" spans="1:4" ht="48" thickBot="1" x14ac:dyDescent="0.3">
      <c r="A156" s="292"/>
      <c r="B156" s="292"/>
      <c r="C156" s="23" t="s">
        <v>2053</v>
      </c>
    </row>
    <row r="157" spans="1:4" s="47" customFormat="1" ht="31.5" x14ac:dyDescent="0.25">
      <c r="A157" s="36" t="str">
        <f>Phase1!A53</f>
        <v>ORG1.12</v>
      </c>
      <c r="B157" s="37" t="str">
        <f>Phase1!B53</f>
        <v>Organization</v>
      </c>
      <c r="C157" s="37" t="str">
        <f>Phase1!C53</f>
        <v>Has a Biosafety Officer been appointed?</v>
      </c>
      <c r="D157" s="47" t="s">
        <v>2210</v>
      </c>
    </row>
    <row r="158" spans="1:4" s="48" customFormat="1" ht="31.5" x14ac:dyDescent="0.25">
      <c r="A158" s="38" t="str">
        <f>Phase1!A54</f>
        <v>ORG1.13</v>
      </c>
      <c r="B158" s="39" t="str">
        <f>Phase1!B54</f>
        <v>Organization</v>
      </c>
      <c r="C158" s="39" t="str">
        <f>Phase1!C54</f>
        <v>Is there a description of the tasks and responsibilities of the Biosafety Officer?</v>
      </c>
      <c r="D158" s="48" t="s">
        <v>2211</v>
      </c>
    </row>
    <row r="159" spans="1:4" s="48" customFormat="1" ht="31.5" x14ac:dyDescent="0.25">
      <c r="A159" s="38" t="str">
        <f>Phase1!A55</f>
        <v>ORG1.14</v>
      </c>
      <c r="B159" s="39" t="str">
        <f>Phase1!B55</f>
        <v>Organization</v>
      </c>
      <c r="C159" s="39" t="str">
        <f>Phase1!C55</f>
        <v>Do all the staff members know who the Biosafety Officer is?</v>
      </c>
      <c r="D159" s="48" t="s">
        <v>2212</v>
      </c>
    </row>
    <row r="160" spans="1:4" s="49" customFormat="1" ht="48" thickBot="1" x14ac:dyDescent="0.3">
      <c r="A160" s="40" t="str">
        <f>Phase1!A56</f>
        <v>ORG1.15</v>
      </c>
      <c r="B160" s="41" t="str">
        <f>Phase1!B56</f>
        <v>Organization</v>
      </c>
      <c r="C160" s="41" t="str">
        <f>Phase1!C56</f>
        <v>Do all the staff members know the function of the Biosafety Officer?</v>
      </c>
      <c r="D160" s="49" t="s">
        <v>2213</v>
      </c>
    </row>
    <row r="161" spans="1:4" x14ac:dyDescent="0.25">
      <c r="A161" s="289"/>
      <c r="B161" s="289"/>
      <c r="C161" s="25" t="s">
        <v>1998</v>
      </c>
    </row>
    <row r="162" spans="1:4" ht="31.5" x14ac:dyDescent="0.25">
      <c r="A162" s="290"/>
      <c r="B162" s="290"/>
      <c r="C162" s="24" t="s">
        <v>2054</v>
      </c>
    </row>
    <row r="163" spans="1:4" ht="47.25" x14ac:dyDescent="0.25">
      <c r="A163" s="290"/>
      <c r="B163" s="290"/>
      <c r="C163" s="24" t="s">
        <v>2055</v>
      </c>
    </row>
    <row r="164" spans="1:4" ht="32.25" thickBot="1" x14ac:dyDescent="0.3">
      <c r="A164" s="292"/>
      <c r="B164" s="292"/>
      <c r="C164" s="24" t="s">
        <v>2056</v>
      </c>
    </row>
    <row r="165" spans="1:4" s="47" customFormat="1" ht="31.5" x14ac:dyDescent="0.25">
      <c r="A165" s="36" t="str">
        <f>Phase1!A57</f>
        <v>ORG1.16</v>
      </c>
      <c r="B165" s="37" t="str">
        <f>Phase1!B57</f>
        <v>Organization</v>
      </c>
      <c r="C165" s="37" t="str">
        <f>Phase1!C57</f>
        <v>Has an Equipment Officer been appointed?</v>
      </c>
      <c r="D165" s="47" t="s">
        <v>2214</v>
      </c>
    </row>
    <row r="166" spans="1:4" s="48" customFormat="1" ht="47.25" x14ac:dyDescent="0.25">
      <c r="A166" s="38" t="str">
        <f>Phase1!A58</f>
        <v>ORG1.17</v>
      </c>
      <c r="B166" s="39" t="str">
        <f>Phase1!B58</f>
        <v>Organization</v>
      </c>
      <c r="C166" s="39" t="str">
        <f>Phase1!C58</f>
        <v>Is the Equipment Officer trained in calibration and technical maintenance of equipment (if necessary)?</v>
      </c>
      <c r="D166" s="48" t="s">
        <v>2215</v>
      </c>
    </row>
    <row r="167" spans="1:4" s="49" customFormat="1" ht="32.25" thickBot="1" x14ac:dyDescent="0.3">
      <c r="A167" s="40" t="str">
        <f>Phase1!A59</f>
        <v>ORG1.18</v>
      </c>
      <c r="B167" s="41" t="str">
        <f>Phase1!B59</f>
        <v>Organization</v>
      </c>
      <c r="C167" s="41" t="str">
        <f>Phase1!C59</f>
        <v>Is the Equipment Officer protected against overburdening of work by allocating tasks of his/her former work to other staff members (if necessary)?</v>
      </c>
      <c r="D167" s="49" t="s">
        <v>2216</v>
      </c>
    </row>
    <row r="168" spans="1:4" x14ac:dyDescent="0.25">
      <c r="A168" s="289"/>
      <c r="B168" s="289"/>
      <c r="C168" s="25" t="s">
        <v>2057</v>
      </c>
    </row>
    <row r="169" spans="1:4" ht="31.5" x14ac:dyDescent="0.25">
      <c r="A169" s="290"/>
      <c r="B169" s="290"/>
      <c r="C169" s="24" t="s">
        <v>2058</v>
      </c>
    </row>
    <row r="170" spans="1:4" ht="31.5" x14ac:dyDescent="0.25">
      <c r="A170" s="290"/>
      <c r="B170" s="290"/>
      <c r="C170" s="24" t="s">
        <v>2195</v>
      </c>
    </row>
    <row r="171" spans="1:4" x14ac:dyDescent="0.25">
      <c r="A171" s="290"/>
      <c r="B171" s="290"/>
      <c r="C171" s="24" t="s">
        <v>2059</v>
      </c>
    </row>
    <row r="172" spans="1:4" x14ac:dyDescent="0.25">
      <c r="A172" s="290"/>
      <c r="B172" s="290"/>
      <c r="C172" s="24" t="s">
        <v>2060</v>
      </c>
    </row>
    <row r="173" spans="1:4" ht="47.25" x14ac:dyDescent="0.25">
      <c r="A173" s="290"/>
      <c r="B173" s="290"/>
      <c r="C173" s="24" t="s">
        <v>2061</v>
      </c>
    </row>
    <row r="174" spans="1:4" ht="63.75" thickBot="1" x14ac:dyDescent="0.3">
      <c r="A174" s="292"/>
      <c r="B174" s="292"/>
      <c r="C174" s="24" t="s">
        <v>2062</v>
      </c>
    </row>
    <row r="175" spans="1:4" s="47" customFormat="1" ht="31.5" x14ac:dyDescent="0.25">
      <c r="A175" s="36" t="str">
        <f>Phase1!A60</f>
        <v>ORG1.19</v>
      </c>
      <c r="B175" s="37" t="str">
        <f>Phase1!B60</f>
        <v>Organization</v>
      </c>
      <c r="C175" s="37" t="str">
        <f>Phase1!C60</f>
        <v>Does the laboratory have a designated person who is responsible for monitoring stocks and ordering supplies and reagents (called a â€œStock Officerâ€)?</v>
      </c>
      <c r="D175" s="47" t="s">
        <v>2217</v>
      </c>
    </row>
    <row r="176" spans="1:4" s="48" customFormat="1" ht="31.5" x14ac:dyDescent="0.25">
      <c r="A176" s="38" t="str">
        <f>Phase1!A61</f>
        <v>ORG1.20</v>
      </c>
      <c r="B176" s="39" t="str">
        <f>Phase1!B61</f>
        <v>Organization</v>
      </c>
      <c r="C176" s="39" t="str">
        <f>Phase1!C61</f>
        <v>Are all laboratory staff members aware of the existence of the position of Stock Officer?</v>
      </c>
      <c r="D176" s="48" t="s">
        <v>2218</v>
      </c>
    </row>
    <row r="177" spans="1:5" s="48" customFormat="1" ht="31.5" x14ac:dyDescent="0.25">
      <c r="A177" s="38" t="str">
        <f>Phase1!A62</f>
        <v>ORG1.21</v>
      </c>
      <c r="B177" s="39" t="str">
        <f>Phase1!B62</f>
        <v>Organization</v>
      </c>
      <c r="C177" s="39" t="str">
        <f>Phase1!C62</f>
        <v>Do all laboratory staff members know who the Stock Officer is?</v>
      </c>
      <c r="D177" s="48" t="s">
        <v>2219</v>
      </c>
    </row>
    <row r="178" spans="1:5" s="49" customFormat="1" ht="32.25" thickBot="1" x14ac:dyDescent="0.3">
      <c r="A178" s="40" t="str">
        <f>Phase1!A63</f>
        <v>ORG1.22</v>
      </c>
      <c r="B178" s="41" t="str">
        <f>Phase1!B63</f>
        <v>Organization</v>
      </c>
      <c r="C178" s="41" t="str">
        <f>Phase1!C63</f>
        <v>Do all laboratory staff members know what the tasks are of the Stock Officer?</v>
      </c>
      <c r="D178" s="49" t="s">
        <v>2220</v>
      </c>
    </row>
    <row r="179" spans="1:5" x14ac:dyDescent="0.25">
      <c r="A179" s="289"/>
      <c r="B179" s="289"/>
      <c r="C179" s="25" t="s">
        <v>1998</v>
      </c>
    </row>
    <row r="180" spans="1:5" ht="31.5" x14ac:dyDescent="0.25">
      <c r="A180" s="290"/>
      <c r="B180" s="290"/>
      <c r="C180" s="24" t="s">
        <v>2063</v>
      </c>
    </row>
    <row r="181" spans="1:5" ht="78.75" x14ac:dyDescent="0.25">
      <c r="A181" s="290"/>
      <c r="B181" s="290"/>
      <c r="C181" s="24" t="s">
        <v>2064</v>
      </c>
    </row>
    <row r="182" spans="1:5" ht="31.5" x14ac:dyDescent="0.25">
      <c r="A182" s="290"/>
      <c r="B182" s="290"/>
      <c r="C182" s="24" t="s">
        <v>2065</v>
      </c>
    </row>
    <row r="183" spans="1:5" ht="48" thickBot="1" x14ac:dyDescent="0.3">
      <c r="A183" s="292"/>
      <c r="B183" s="292"/>
      <c r="C183" s="24" t="s">
        <v>2066</v>
      </c>
    </row>
    <row r="184" spans="1:5" s="47" customFormat="1" ht="47.25" x14ac:dyDescent="0.25">
      <c r="A184" s="36" t="str">
        <f>Phase1!A64</f>
        <v>ORG1.23</v>
      </c>
      <c r="B184" s="37" t="str">
        <f>Phase1!B64</f>
        <v>Organization</v>
      </c>
      <c r="C184" s="37" t="str">
        <f>Phase1!C64</f>
        <v>If the laboratory is part of a bigger organization: does the laboratory have an Organizational Chart that clearly shows the position of the laboratory within the bigger organization?</v>
      </c>
      <c r="D184" s="47" t="s">
        <v>2221</v>
      </c>
    </row>
    <row r="185" spans="1:5" s="48" customFormat="1" ht="63" x14ac:dyDescent="0.25">
      <c r="A185" s="38" t="str">
        <f>Phase1!A65</f>
        <v>ORG1.24</v>
      </c>
      <c r="B185" s="39" t="str">
        <f>Phase1!B65</f>
        <v>Organization</v>
      </c>
      <c r="C185" s="39" t="str">
        <f>Phase1!C65</f>
        <v>Is the Organizational Chart that shows the position of the laboratory in the bigger organization signed and dated by the management of the bigger organization?</v>
      </c>
      <c r="D185" s="48" t="s">
        <v>2222</v>
      </c>
    </row>
    <row r="186" spans="1:5" s="48" customFormat="1" ht="47.25" x14ac:dyDescent="0.25">
      <c r="A186" s="38" t="str">
        <f>Phase1!A66</f>
        <v>ORG1.25</v>
      </c>
      <c r="B186" s="39" t="str">
        <f>Phase1!B66</f>
        <v>Organization</v>
      </c>
      <c r="C186" s="39" t="str">
        <f>Phase1!C66</f>
        <v>Does the laboratory have an Organizational Chart showing the organization of all positions within the laboratory?</v>
      </c>
      <c r="D186" s="48" t="s">
        <v>2223</v>
      </c>
    </row>
    <row r="187" spans="1:5" s="48" customFormat="1" ht="31.5" x14ac:dyDescent="0.25">
      <c r="A187" s="38" t="str">
        <f>Phase1!A67</f>
        <v>ORG1.26</v>
      </c>
      <c r="B187" s="39" t="str">
        <f>Phase1!B67</f>
        <v>Organization</v>
      </c>
      <c r="C187" s="39" t="str">
        <f>Phase1!C67</f>
        <v>Is the chart showing the organization of positions within the laboratory signed and dated by the Laboratory Manager?</v>
      </c>
      <c r="D187" s="48" t="s">
        <v>2224</v>
      </c>
    </row>
    <row r="188" spans="1:5" s="49" customFormat="1" ht="32.25" thickBot="1" x14ac:dyDescent="0.3">
      <c r="A188" s="40" t="str">
        <f>Phase1!A68</f>
        <v>ORG1.27</v>
      </c>
      <c r="B188" s="41" t="str">
        <f>Phase1!B68</f>
        <v>Organization</v>
      </c>
      <c r="C188" s="41" t="str">
        <f>Phase1!C68</f>
        <v>Are the Organizational Chart(s) stored in a folder that is accessible to all the staff members of the laboratory?</v>
      </c>
      <c r="D188" s="49" t="s">
        <v>2225</v>
      </c>
      <c r="E188" s="49" t="s">
        <v>2226</v>
      </c>
    </row>
    <row r="189" spans="1:5" x14ac:dyDescent="0.25">
      <c r="A189" s="289"/>
      <c r="B189" s="289"/>
      <c r="C189" s="25" t="s">
        <v>1998</v>
      </c>
    </row>
    <row r="190" spans="1:5" x14ac:dyDescent="0.25">
      <c r="A190" s="290"/>
      <c r="B190" s="290"/>
      <c r="C190" s="24" t="s">
        <v>2067</v>
      </c>
    </row>
    <row r="191" spans="1:5" x14ac:dyDescent="0.25">
      <c r="A191" s="290"/>
      <c r="B191" s="290"/>
      <c r="C191" s="24" t="s">
        <v>2068</v>
      </c>
    </row>
    <row r="192" spans="1:5" x14ac:dyDescent="0.25">
      <c r="A192" s="290"/>
      <c r="B192" s="290"/>
      <c r="C192" s="24" t="s">
        <v>2069</v>
      </c>
    </row>
    <row r="193" spans="1:7" ht="63" x14ac:dyDescent="0.25">
      <c r="A193" s="290"/>
      <c r="B193" s="290"/>
      <c r="C193" s="24" t="s">
        <v>2070</v>
      </c>
    </row>
    <row r="194" spans="1:7" ht="47.25" x14ac:dyDescent="0.25">
      <c r="A194" s="290"/>
      <c r="B194" s="290"/>
      <c r="C194" s="24" t="s">
        <v>2071</v>
      </c>
    </row>
    <row r="195" spans="1:7" ht="204.75" x14ac:dyDescent="0.25">
      <c r="A195" s="290"/>
      <c r="B195" s="290"/>
      <c r="C195" s="24" t="s">
        <v>2072</v>
      </c>
    </row>
    <row r="196" spans="1:7" ht="31.5" x14ac:dyDescent="0.25">
      <c r="A196" s="290"/>
      <c r="B196" s="290"/>
      <c r="C196" s="24" t="s">
        <v>2073</v>
      </c>
    </row>
    <row r="197" spans="1:7" ht="47.25" x14ac:dyDescent="0.25">
      <c r="A197" s="290"/>
      <c r="B197" s="290"/>
      <c r="C197" s="24" t="s">
        <v>2074</v>
      </c>
    </row>
    <row r="198" spans="1:7" ht="47.25" x14ac:dyDescent="0.25">
      <c r="A198" s="290"/>
      <c r="B198" s="290"/>
      <c r="C198" s="24" t="s">
        <v>2075</v>
      </c>
    </row>
    <row r="199" spans="1:7" x14ac:dyDescent="0.25">
      <c r="A199" s="290"/>
      <c r="B199" s="290"/>
      <c r="C199" s="24" t="s">
        <v>2076</v>
      </c>
    </row>
    <row r="200" spans="1:7" ht="16.5" thickBot="1" x14ac:dyDescent="0.3">
      <c r="A200" s="292"/>
      <c r="B200" s="292"/>
      <c r="C200" s="12" t="s">
        <v>2077</v>
      </c>
    </row>
    <row r="201" spans="1:7" s="52" customFormat="1" ht="48" thickBot="1" x14ac:dyDescent="0.3">
      <c r="A201" s="50" t="str">
        <f>Phase1!A69</f>
        <v>PERS1.1</v>
      </c>
      <c r="B201" s="51" t="str">
        <f>Phase1!B69</f>
        <v>Personnel</v>
      </c>
      <c r="C201" s="51" t="str">
        <f>Phase1!C69</f>
        <v>Has commitment to implement a quality management system been created among laboratory staff?
Interview various staff members to find out if a meeting was held and if this was successful.</v>
      </c>
      <c r="D201" s="52" t="s">
        <v>2230</v>
      </c>
      <c r="E201" s="52" t="s">
        <v>2227</v>
      </c>
      <c r="F201" s="52" t="s">
        <v>2228</v>
      </c>
      <c r="G201" s="52" t="s">
        <v>2229</v>
      </c>
    </row>
    <row r="202" spans="1:7" x14ac:dyDescent="0.25">
      <c r="A202" s="289"/>
      <c r="B202" s="289"/>
      <c r="C202" s="25" t="s">
        <v>1998</v>
      </c>
    </row>
    <row r="203" spans="1:7" x14ac:dyDescent="0.25">
      <c r="A203" s="290"/>
      <c r="B203" s="290"/>
      <c r="C203" s="24" t="s">
        <v>2078</v>
      </c>
    </row>
    <row r="204" spans="1:7" ht="63" x14ac:dyDescent="0.25">
      <c r="A204" s="290"/>
      <c r="B204" s="290"/>
      <c r="C204" s="24" t="s">
        <v>2079</v>
      </c>
    </row>
    <row r="205" spans="1:7" ht="48" thickBot="1" x14ac:dyDescent="0.3">
      <c r="A205" s="292"/>
      <c r="B205" s="292"/>
      <c r="C205" s="24" t="s">
        <v>2080</v>
      </c>
    </row>
    <row r="206" spans="1:7" s="57" customFormat="1" ht="31.5" x14ac:dyDescent="0.25">
      <c r="A206" s="53" t="str">
        <f>Phase1!A70</f>
        <v>PERS1.2</v>
      </c>
      <c r="B206" s="54" t="str">
        <f>Phase1!B70</f>
        <v>Personnel</v>
      </c>
      <c r="C206" s="54" t="str">
        <f>Phase1!C70</f>
        <v>Have all staff members participated in an introductory course in quality management for medical laboratories?</v>
      </c>
      <c r="D206" s="57" t="s">
        <v>2231</v>
      </c>
    </row>
    <row r="207" spans="1:7" s="58" customFormat="1" ht="32.25" thickBot="1" x14ac:dyDescent="0.3">
      <c r="A207" s="55" t="str">
        <f>Phase1!A71</f>
        <v>PERS1.3</v>
      </c>
      <c r="B207" s="56" t="str">
        <f>Phase1!B71</f>
        <v>Personnel</v>
      </c>
      <c r="C207" s="56" t="str">
        <f>Phase1!C71</f>
        <v>Have certificates of the introductory course in quality management been stored in the Personnel Files folder?</v>
      </c>
      <c r="D207" s="58" t="s">
        <v>2231</v>
      </c>
    </row>
    <row r="208" spans="1:7" x14ac:dyDescent="0.25">
      <c r="A208" s="289"/>
      <c r="B208" s="289"/>
      <c r="C208" s="25" t="s">
        <v>1998</v>
      </c>
    </row>
    <row r="209" spans="1:4" x14ac:dyDescent="0.25">
      <c r="A209" s="290"/>
      <c r="B209" s="290"/>
      <c r="C209" s="24" t="s">
        <v>2081</v>
      </c>
    </row>
    <row r="210" spans="1:4" x14ac:dyDescent="0.25">
      <c r="A210" s="290"/>
      <c r="B210" s="290"/>
      <c r="C210" s="24" t="s">
        <v>2082</v>
      </c>
    </row>
    <row r="211" spans="1:4" x14ac:dyDescent="0.25">
      <c r="A211" s="290"/>
      <c r="B211" s="290"/>
      <c r="C211" s="24" t="s">
        <v>2083</v>
      </c>
    </row>
    <row r="212" spans="1:4" x14ac:dyDescent="0.25">
      <c r="A212" s="290"/>
      <c r="B212" s="290"/>
      <c r="C212" s="24" t="s">
        <v>2084</v>
      </c>
    </row>
    <row r="213" spans="1:4" x14ac:dyDescent="0.25">
      <c r="A213" s="290"/>
      <c r="B213" s="290"/>
      <c r="C213" s="24" t="s">
        <v>2085</v>
      </c>
    </row>
    <row r="214" spans="1:4" ht="31.5" x14ac:dyDescent="0.25">
      <c r="A214" s="290"/>
      <c r="B214" s="290"/>
      <c r="C214" s="24" t="s">
        <v>2086</v>
      </c>
    </row>
    <row r="215" spans="1:4" ht="32.25" thickBot="1" x14ac:dyDescent="0.3">
      <c r="A215" s="292"/>
      <c r="B215" s="292"/>
      <c r="C215" s="24" t="s">
        <v>2087</v>
      </c>
    </row>
    <row r="216" spans="1:4" s="57" customFormat="1" ht="31.5" x14ac:dyDescent="0.25">
      <c r="A216" s="53" t="str">
        <f>Phase1!A72</f>
        <v>PERS1.4</v>
      </c>
      <c r="B216" s="54" t="str">
        <f>Phase1!B72</f>
        <v>Personnel</v>
      </c>
      <c r="C216" s="54" t="str">
        <f>Phase1!C72</f>
        <v>Has the Biosafety Officer received laboratory biosafety training?</v>
      </c>
      <c r="D216" s="57" t="s">
        <v>2232</v>
      </c>
    </row>
    <row r="217" spans="1:4" s="58" customFormat="1" ht="32.25" thickBot="1" x14ac:dyDescent="0.3">
      <c r="A217" s="55" t="str">
        <f>Phase1!A73</f>
        <v>PERS1.5</v>
      </c>
      <c r="B217" s="56" t="str">
        <f>Phase1!B73</f>
        <v>Personnel</v>
      </c>
      <c r="C217" s="56" t="str">
        <f>Phase1!C73</f>
        <v>Is the certificate of the laboratory biosafety training of the Biosafety Officer stored in a folder called "Personnel Files"?</v>
      </c>
      <c r="D217" s="58" t="s">
        <v>2233</v>
      </c>
    </row>
    <row r="218" spans="1:4" x14ac:dyDescent="0.25">
      <c r="A218" s="289"/>
      <c r="B218" s="289"/>
      <c r="C218" s="25" t="s">
        <v>1998</v>
      </c>
    </row>
    <row r="219" spans="1:4" x14ac:dyDescent="0.25">
      <c r="A219" s="290"/>
      <c r="B219" s="290"/>
      <c r="C219" s="24" t="s">
        <v>2088</v>
      </c>
    </row>
    <row r="220" spans="1:4" x14ac:dyDescent="0.25">
      <c r="A220" s="290"/>
      <c r="B220" s="290"/>
      <c r="C220" s="24" t="s">
        <v>2089</v>
      </c>
    </row>
    <row r="221" spans="1:4" ht="32.25" thickBot="1" x14ac:dyDescent="0.3">
      <c r="A221" s="292"/>
      <c r="B221" s="292"/>
      <c r="C221" s="24" t="s">
        <v>2090</v>
      </c>
    </row>
    <row r="222" spans="1:4" s="57" customFormat="1" ht="31.5" x14ac:dyDescent="0.25">
      <c r="A222" s="53" t="str">
        <f>Phase1!A74</f>
        <v>PERS1.6</v>
      </c>
      <c r="B222" s="54" t="str">
        <f>Phase1!B74</f>
        <v>Personnel</v>
      </c>
      <c r="C222" s="54" t="str">
        <f>Phase1!C74</f>
        <v>Does the laboratory have an Authorization Matrix, showing for each position in the laboratory the authorizations, responsibilities and tasks?</v>
      </c>
      <c r="D222" s="57" t="s">
        <v>2234</v>
      </c>
    </row>
    <row r="223" spans="1:4" s="61" customFormat="1" ht="31.5" x14ac:dyDescent="0.25">
      <c r="A223" s="59" t="str">
        <f>Phase1!A75</f>
        <v>PERS1.7</v>
      </c>
      <c r="B223" s="60" t="str">
        <f>Phase1!B75</f>
        <v>Personnel</v>
      </c>
      <c r="C223" s="60" t="str">
        <f>Phase1!C75</f>
        <v>Is the Authorization Matrix signed and dated by the Laboratory Manager?</v>
      </c>
      <c r="D223" s="61" t="s">
        <v>2235</v>
      </c>
    </row>
    <row r="224" spans="1:4" s="61" customFormat="1" ht="31.5" x14ac:dyDescent="0.25">
      <c r="A224" s="59" t="str">
        <f>Phase1!A76</f>
        <v>PERS1.8</v>
      </c>
      <c r="B224" s="60" t="str">
        <f>Phase1!B76</f>
        <v>Personnel</v>
      </c>
      <c r="C224" s="60" t="str">
        <f>Phase1!C76</f>
        <v>Is the Authorization Matrix accessible to all staff members?</v>
      </c>
      <c r="D224" s="61" t="s">
        <v>2236</v>
      </c>
    </row>
    <row r="225" spans="1:4" s="61" customFormat="1" ht="31.5" x14ac:dyDescent="0.25">
      <c r="A225" s="59" t="str">
        <f>Phase1!A77</f>
        <v>PERS1.9</v>
      </c>
      <c r="B225" s="60" t="str">
        <f>Phase1!B77</f>
        <v>Personnel</v>
      </c>
      <c r="C225" s="60" t="str">
        <f>Phase1!C77</f>
        <v>Do staff members know what the Authorization Matrix is?</v>
      </c>
      <c r="D225" s="61" t="s">
        <v>2237</v>
      </c>
    </row>
    <row r="226" spans="1:4" s="61" customFormat="1" x14ac:dyDescent="0.25">
      <c r="A226" s="59" t="str">
        <f>Phase1!A78</f>
        <v>PERS1.10</v>
      </c>
      <c r="B226" s="60" t="str">
        <f>Phase1!B78</f>
        <v>Personnel</v>
      </c>
      <c r="C226" s="60" t="str">
        <f>Phase1!C78</f>
        <v>Are staff members able to find the Authorization Matrix?</v>
      </c>
    </row>
    <row r="227" spans="1:4" s="58" customFormat="1" ht="16.5" thickBot="1" x14ac:dyDescent="0.3">
      <c r="A227" s="55" t="str">
        <f>Phase1!A79</f>
        <v>PERS1.11</v>
      </c>
      <c r="B227" s="56" t="str">
        <f>Phase1!B79</f>
        <v>Personnel</v>
      </c>
      <c r="C227" s="56" t="str">
        <f>Phase1!C79</f>
        <v>Are staff members able to explain how the Authorization Matrix works?</v>
      </c>
    </row>
    <row r="228" spans="1:4" x14ac:dyDescent="0.25">
      <c r="A228" s="289"/>
      <c r="B228" s="289"/>
      <c r="C228" s="25" t="s">
        <v>1998</v>
      </c>
    </row>
    <row r="229" spans="1:4" ht="78.75" x14ac:dyDescent="0.25">
      <c r="A229" s="290"/>
      <c r="B229" s="290"/>
      <c r="C229" s="24" t="s">
        <v>2091</v>
      </c>
    </row>
    <row r="230" spans="1:4" ht="78.75" x14ac:dyDescent="0.25">
      <c r="A230" s="290"/>
      <c r="B230" s="290"/>
      <c r="C230" s="24" t="s">
        <v>2092</v>
      </c>
    </row>
    <row r="231" spans="1:4" ht="78.75" x14ac:dyDescent="0.25">
      <c r="A231" s="290"/>
      <c r="B231" s="290"/>
      <c r="C231" s="23" t="s">
        <v>2093</v>
      </c>
    </row>
    <row r="232" spans="1:4" x14ac:dyDescent="0.25">
      <c r="A232" s="290"/>
      <c r="B232" s="290"/>
      <c r="C232" s="24" t="s">
        <v>2094</v>
      </c>
    </row>
    <row r="233" spans="1:4" ht="31.5" x14ac:dyDescent="0.25">
      <c r="A233" s="290"/>
      <c r="B233" s="290"/>
      <c r="C233" s="24" t="s">
        <v>2095</v>
      </c>
    </row>
    <row r="234" spans="1:4" ht="79.5" thickBot="1" x14ac:dyDescent="0.3">
      <c r="A234" s="292"/>
      <c r="B234" s="292"/>
      <c r="C234" s="24" t="s">
        <v>2096</v>
      </c>
    </row>
    <row r="235" spans="1:4" s="57" customFormat="1" ht="173.25" x14ac:dyDescent="0.25">
      <c r="A235" s="53" t="str">
        <f>Phase1!A80</f>
        <v>PERS1.12</v>
      </c>
      <c r="B235" s="54" t="str">
        <f>Phase1!B80</f>
        <v>Personnel</v>
      </c>
      <c r="C235" s="54" t="str">
        <f>Phase1!C80</f>
        <v>Does the laboratory have a job description for each position in the laboratory?</v>
      </c>
      <c r="D235" s="57" t="s">
        <v>2238</v>
      </c>
    </row>
    <row r="236" spans="1:4" s="58" customFormat="1" ht="32.25" thickBot="1" x14ac:dyDescent="0.3">
      <c r="A236" s="55" t="str">
        <f>Phase1!A81</f>
        <v>PERS1.13</v>
      </c>
      <c r="B236" s="56" t="str">
        <f>Phase1!B81</f>
        <v>Personnel</v>
      </c>
      <c r="C236" s="56" t="str">
        <f>Phase1!C81</f>
        <v>Does the job description for each position in the laboratory give a complete and clear impression of the tasks, responsibilities and authorities of each position?</v>
      </c>
    </row>
    <row r="237" spans="1:4" x14ac:dyDescent="0.25">
      <c r="A237" s="289"/>
      <c r="B237" s="289"/>
      <c r="C237" s="25" t="s">
        <v>1998</v>
      </c>
    </row>
    <row r="238" spans="1:4" ht="78.75" x14ac:dyDescent="0.25">
      <c r="A238" s="290"/>
      <c r="B238" s="290"/>
      <c r="C238" s="23" t="s">
        <v>2097</v>
      </c>
    </row>
    <row r="239" spans="1:4" x14ac:dyDescent="0.25">
      <c r="A239" s="290"/>
      <c r="B239" s="290"/>
      <c r="C239" s="24" t="s">
        <v>2098</v>
      </c>
    </row>
    <row r="240" spans="1:4" x14ac:dyDescent="0.25">
      <c r="A240" s="290"/>
      <c r="B240" s="290"/>
      <c r="C240" s="24" t="s">
        <v>2099</v>
      </c>
    </row>
    <row r="241" spans="1:5" x14ac:dyDescent="0.25">
      <c r="A241" s="290"/>
      <c r="B241" s="290"/>
      <c r="C241" s="24" t="s">
        <v>2100</v>
      </c>
    </row>
    <row r="242" spans="1:5" x14ac:dyDescent="0.25">
      <c r="A242" s="290"/>
      <c r="B242" s="290"/>
      <c r="C242" s="24" t="s">
        <v>2101</v>
      </c>
    </row>
    <row r="243" spans="1:5" ht="32.25" thickBot="1" x14ac:dyDescent="0.3">
      <c r="A243" s="292"/>
      <c r="B243" s="292"/>
      <c r="C243" s="24" t="s">
        <v>2102</v>
      </c>
    </row>
    <row r="244" spans="1:5" s="57" customFormat="1" ht="31.5" x14ac:dyDescent="0.25">
      <c r="A244" s="53" t="str">
        <f>Phase1!A82</f>
        <v>PERS1.14</v>
      </c>
      <c r="B244" s="54" t="str">
        <f>Phase1!B82</f>
        <v>Personnel</v>
      </c>
      <c r="C244" s="54" t="str">
        <f>Phase1!C82</f>
        <v>Have Personal Job Descriptions been made for all the staff members?</v>
      </c>
      <c r="D244" s="57" t="s">
        <v>2239</v>
      </c>
    </row>
    <row r="245" spans="1:5" s="61" customFormat="1" ht="47.25" x14ac:dyDescent="0.25">
      <c r="A245" s="59" t="str">
        <f>Phase1!A83</f>
        <v>PERS1.15</v>
      </c>
      <c r="B245" s="60" t="str">
        <f>Phase1!B83</f>
        <v>Personnel</v>
      </c>
      <c r="C245" s="60" t="str">
        <f>Phase1!C83</f>
        <v>Are all job descriptions (both Position Job Descriptions and Personal Job Descriptions) up to date?</v>
      </c>
      <c r="D245" s="61" t="s">
        <v>2240</v>
      </c>
    </row>
    <row r="246" spans="1:5" s="58" customFormat="1" ht="32.25" thickBot="1" x14ac:dyDescent="0.3">
      <c r="A246" s="55" t="str">
        <f>Phase1!A84</f>
        <v>PERS1.16</v>
      </c>
      <c r="B246" s="56" t="str">
        <f>Phase1!B84</f>
        <v>Personnel</v>
      </c>
      <c r="C246" s="56" t="str">
        <f>Phase1!C84</f>
        <v>Are Personal Job Descriptions stored in an orderly fashion in the Personnel Files folder?</v>
      </c>
      <c r="D246" s="58" t="s">
        <v>2241</v>
      </c>
    </row>
    <row r="247" spans="1:5" x14ac:dyDescent="0.25">
      <c r="A247" s="289"/>
      <c r="B247" s="289"/>
      <c r="C247" s="25" t="s">
        <v>1998</v>
      </c>
    </row>
    <row r="248" spans="1:5" x14ac:dyDescent="0.25">
      <c r="A248" s="290"/>
      <c r="B248" s="290"/>
      <c r="C248" s="24" t="s">
        <v>2103</v>
      </c>
    </row>
    <row r="249" spans="1:5" ht="16.5" thickBot="1" x14ac:dyDescent="0.3">
      <c r="A249" s="292"/>
      <c r="B249" s="292"/>
      <c r="C249" s="24" t="s">
        <v>2104</v>
      </c>
    </row>
    <row r="250" spans="1:5" s="57" customFormat="1" ht="63" x14ac:dyDescent="0.25">
      <c r="A250" s="53" t="str">
        <f>Phase1!A85</f>
        <v>PERS1.17</v>
      </c>
      <c r="B250" s="54" t="str">
        <f>Phase1!B85</f>
        <v>Personnel</v>
      </c>
      <c r="C250" s="54" t="str">
        <f>Phase1!C85</f>
        <v>Have all staff members adequately been trained in the procedures they are performing?
Ask several staff members this question for the procedure they are doing at that moment and cross-check with their Personnel File.</v>
      </c>
      <c r="D250" s="57" t="s">
        <v>2242</v>
      </c>
      <c r="E250" s="57" t="s">
        <v>2243</v>
      </c>
    </row>
    <row r="251" spans="1:5" s="58" customFormat="1" ht="32.25" thickBot="1" x14ac:dyDescent="0.3">
      <c r="A251" s="55" t="str">
        <f>Phase1!A86</f>
        <v>PERS1.18</v>
      </c>
      <c r="B251" s="56" t="str">
        <f>Phase1!B86</f>
        <v>Personnel</v>
      </c>
      <c r="C251" s="56" t="str">
        <f>Phase1!C86</f>
        <v>Is the folder Personnel Files up-to-date; i.e. have all certificates and diplomas been collected for all staff members and been stored in the personnel files?</v>
      </c>
    </row>
    <row r="252" spans="1:5" x14ac:dyDescent="0.25">
      <c r="A252" s="289"/>
      <c r="B252" s="289"/>
      <c r="C252" s="25" t="s">
        <v>1998</v>
      </c>
    </row>
    <row r="253" spans="1:5" ht="31.5" x14ac:dyDescent="0.25">
      <c r="A253" s="290"/>
      <c r="B253" s="290"/>
      <c r="C253" s="24" t="s">
        <v>2105</v>
      </c>
    </row>
    <row r="254" spans="1:5" x14ac:dyDescent="0.25">
      <c r="A254" s="290"/>
      <c r="B254" s="290"/>
      <c r="C254" s="24" t="s">
        <v>2106</v>
      </c>
    </row>
    <row r="255" spans="1:5" ht="63" x14ac:dyDescent="0.25">
      <c r="A255" s="290"/>
      <c r="B255" s="290"/>
      <c r="C255" s="24" t="s">
        <v>2107</v>
      </c>
    </row>
    <row r="256" spans="1:5" x14ac:dyDescent="0.25">
      <c r="A256" s="290"/>
      <c r="B256" s="290"/>
      <c r="C256" s="24" t="s">
        <v>2108</v>
      </c>
    </row>
    <row r="257" spans="1:6" ht="48" thickBot="1" x14ac:dyDescent="0.3">
      <c r="A257" s="292"/>
      <c r="B257" s="292"/>
      <c r="C257" s="24" t="s">
        <v>2109</v>
      </c>
    </row>
    <row r="258" spans="1:6" s="70" customFormat="1" x14ac:dyDescent="0.25">
      <c r="A258" s="62" t="str">
        <f>Phase1!A87</f>
        <v>EQUIP1.1</v>
      </c>
      <c r="B258" s="63" t="str">
        <f>Phase1!B87</f>
        <v>Equipment</v>
      </c>
      <c r="C258" s="63" t="str">
        <f>Phase1!C87</f>
        <v>Does the laboratory have a clear register of all the equipment present?</v>
      </c>
      <c r="D258" s="70" t="s">
        <v>2244</v>
      </c>
    </row>
    <row r="259" spans="1:6" s="71" customFormat="1" x14ac:dyDescent="0.25">
      <c r="A259" s="64" t="str">
        <f>Phase1!A88</f>
        <v>EQUIP1.2</v>
      </c>
      <c r="B259" s="65" t="str">
        <f>Phase1!B88</f>
        <v>Equipment</v>
      </c>
      <c r="C259" s="65" t="str">
        <f>Phase1!C88</f>
        <v>Does the equipment register contain the following details for each piece of equipment? (tick off)</v>
      </c>
    </row>
    <row r="260" spans="1:6" s="72" customFormat="1" ht="31.5" x14ac:dyDescent="0.25">
      <c r="A260" s="66" t="str">
        <f>Phase1!A104</f>
        <v>EQUIP1.3</v>
      </c>
      <c r="B260" s="67" t="str">
        <f>Phase1!B104</f>
        <v>Equipment</v>
      </c>
      <c r="C260" s="67" t="str">
        <f>Phase1!C104</f>
        <v>Is all critical equipment functional?</v>
      </c>
      <c r="D260" s="72" t="s">
        <v>2245</v>
      </c>
      <c r="E260" s="72" t="s">
        <v>2246</v>
      </c>
      <c r="F260" s="72" t="s">
        <v>2247</v>
      </c>
    </row>
    <row r="261" spans="1:6" s="73" customFormat="1" ht="32.25" thickBot="1" x14ac:dyDescent="0.3">
      <c r="A261" s="68" t="str">
        <f>Phase1!A105</f>
        <v>EQUIP1.4</v>
      </c>
      <c r="B261" s="69" t="str">
        <f>Phase1!B105</f>
        <v>Equipment</v>
      </c>
      <c r="C261" s="69" t="str">
        <f>Phase1!C105</f>
        <v>Has the laboratory identified critical needs for specific pieces of equipment that must be present in order for the piece of equipment to function?</v>
      </c>
      <c r="D261" s="73" t="s">
        <v>2248</v>
      </c>
      <c r="E261" s="73" t="s">
        <v>2249</v>
      </c>
    </row>
    <row r="262" spans="1:6" x14ac:dyDescent="0.25">
      <c r="A262" s="289"/>
      <c r="B262" s="289"/>
      <c r="C262" s="25" t="s">
        <v>2110</v>
      </c>
    </row>
    <row r="263" spans="1:6" ht="63" x14ac:dyDescent="0.25">
      <c r="A263" s="290"/>
      <c r="B263" s="290"/>
      <c r="C263" s="24" t="s">
        <v>2111</v>
      </c>
    </row>
    <row r="264" spans="1:6" ht="31.5" x14ac:dyDescent="0.25">
      <c r="A264" s="290"/>
      <c r="B264" s="290"/>
      <c r="C264" s="24" t="s">
        <v>2112</v>
      </c>
    </row>
    <row r="265" spans="1:6" ht="31.5" x14ac:dyDescent="0.25">
      <c r="A265" s="290"/>
      <c r="B265" s="290"/>
      <c r="C265" s="24" t="s">
        <v>2113</v>
      </c>
    </row>
    <row r="266" spans="1:6" ht="63" x14ac:dyDescent="0.25">
      <c r="A266" s="290"/>
      <c r="B266" s="290"/>
      <c r="C266" s="24" t="s">
        <v>2114</v>
      </c>
    </row>
    <row r="267" spans="1:6" ht="31.5" x14ac:dyDescent="0.25">
      <c r="A267" s="290"/>
      <c r="B267" s="290"/>
      <c r="C267" s="24" t="s">
        <v>2115</v>
      </c>
    </row>
    <row r="268" spans="1:6" ht="31.5" x14ac:dyDescent="0.25">
      <c r="A268" s="290"/>
      <c r="B268" s="290"/>
      <c r="C268" s="24" t="s">
        <v>2116</v>
      </c>
    </row>
    <row r="269" spans="1:6" x14ac:dyDescent="0.25">
      <c r="A269" s="290"/>
      <c r="B269" s="290"/>
      <c r="C269" s="25" t="s">
        <v>1998</v>
      </c>
    </row>
    <row r="270" spans="1:6" ht="47.25" x14ac:dyDescent="0.25">
      <c r="A270" s="290"/>
      <c r="B270" s="290"/>
      <c r="C270" s="24" t="s">
        <v>2117</v>
      </c>
    </row>
    <row r="271" spans="1:6" ht="47.25" x14ac:dyDescent="0.25">
      <c r="A271" s="290"/>
      <c r="B271" s="290"/>
      <c r="C271" s="24" t="s">
        <v>2118</v>
      </c>
    </row>
    <row r="272" spans="1:6" x14ac:dyDescent="0.25">
      <c r="A272" s="290"/>
      <c r="B272" s="290"/>
      <c r="C272" s="24" t="s">
        <v>2196</v>
      </c>
    </row>
    <row r="273" spans="1:4" ht="63" x14ac:dyDescent="0.25">
      <c r="A273" s="290"/>
      <c r="B273" s="290"/>
      <c r="C273" s="24" t="s">
        <v>2197</v>
      </c>
    </row>
    <row r="274" spans="1:4" ht="16.5" thickBot="1" x14ac:dyDescent="0.3">
      <c r="A274" s="292"/>
      <c r="B274" s="292"/>
      <c r="C274" s="24" t="s">
        <v>2119</v>
      </c>
    </row>
    <row r="275" spans="1:4" s="80" customFormat="1" ht="141.75" x14ac:dyDescent="0.25">
      <c r="A275" s="74" t="str">
        <f>Phase1!A106</f>
        <v>EQUIP1.5</v>
      </c>
      <c r="B275" s="75" t="str">
        <f>Phase1!B106</f>
        <v>Equipment</v>
      </c>
      <c r="C275" s="75" t="str">
        <f>Phase1!C106</f>
        <v>Are SOPs present for all pieces of equipment?</v>
      </c>
      <c r="D275" s="80" t="s">
        <v>2250</v>
      </c>
    </row>
    <row r="276" spans="1:4" s="81" customFormat="1" x14ac:dyDescent="0.25">
      <c r="A276" s="76" t="str">
        <f>Phase1!A107</f>
        <v>EQUIP1.6</v>
      </c>
      <c r="B276" s="77" t="str">
        <f>Phase1!B107</f>
        <v>Equipment</v>
      </c>
      <c r="C276" s="77" t="str">
        <f>Phase1!C107</f>
        <v>Are Equipment SOPs written in accordance with the procedure described in the Master SOP?</v>
      </c>
    </row>
    <row r="277" spans="1:4" s="81" customFormat="1" ht="31.5" x14ac:dyDescent="0.25">
      <c r="A277" s="76" t="str">
        <f>Phase1!A108</f>
        <v>EQUIP1.7</v>
      </c>
      <c r="B277" s="77" t="str">
        <f>Phase1!B108</f>
        <v>Equipment</v>
      </c>
      <c r="C277" s="77" t="str">
        <f>Phase1!C108</f>
        <v>Are Equipment SOPs stored at a logical location (near the equipment they have been written for), accessible to all staff members?</v>
      </c>
      <c r="D277" s="81" t="s">
        <v>2251</v>
      </c>
    </row>
    <row r="278" spans="1:4" s="82" customFormat="1" ht="16.5" thickBot="1" x14ac:dyDescent="0.3">
      <c r="A278" s="78" t="str">
        <f>Phase1!A109</f>
        <v>EQUIP1.8</v>
      </c>
      <c r="B278" s="79" t="str">
        <f>Phase1!B109</f>
        <v>Equipment</v>
      </c>
      <c r="C278" s="79" t="str">
        <f>Phase1!C109</f>
        <v>Have staff members demonstrably read the SOPs that are relevant for them?</v>
      </c>
    </row>
    <row r="279" spans="1:4" ht="31.5" x14ac:dyDescent="0.25">
      <c r="A279" s="289"/>
      <c r="B279" s="289"/>
      <c r="C279" s="25" t="s">
        <v>2120</v>
      </c>
    </row>
    <row r="280" spans="1:4" x14ac:dyDescent="0.25">
      <c r="A280" s="290"/>
      <c r="B280" s="290"/>
      <c r="C280" s="24" t="s">
        <v>2121</v>
      </c>
    </row>
    <row r="281" spans="1:4" ht="47.25" x14ac:dyDescent="0.25">
      <c r="A281" s="290"/>
      <c r="B281" s="290"/>
      <c r="C281" s="24" t="s">
        <v>2122</v>
      </c>
    </row>
    <row r="282" spans="1:4" x14ac:dyDescent="0.25">
      <c r="A282" s="290"/>
      <c r="B282" s="290"/>
      <c r="C282" s="25" t="s">
        <v>2123</v>
      </c>
    </row>
    <row r="283" spans="1:4" x14ac:dyDescent="0.25">
      <c r="A283" s="290"/>
      <c r="B283" s="290"/>
      <c r="C283" s="24" t="s">
        <v>2124</v>
      </c>
    </row>
    <row r="284" spans="1:4" ht="47.25" x14ac:dyDescent="0.25">
      <c r="A284" s="290"/>
      <c r="B284" s="290"/>
      <c r="C284" s="24" t="s">
        <v>2125</v>
      </c>
    </row>
    <row r="285" spans="1:4" x14ac:dyDescent="0.25">
      <c r="A285" s="290"/>
      <c r="B285" s="290"/>
      <c r="C285" s="24" t="s">
        <v>2126</v>
      </c>
    </row>
    <row r="286" spans="1:4" x14ac:dyDescent="0.25">
      <c r="A286" s="290"/>
      <c r="B286" s="290"/>
      <c r="C286" s="24" t="s">
        <v>2127</v>
      </c>
    </row>
    <row r="287" spans="1:4" x14ac:dyDescent="0.25">
      <c r="A287" s="290"/>
      <c r="B287" s="290"/>
      <c r="C287" s="24" t="s">
        <v>2128</v>
      </c>
    </row>
    <row r="288" spans="1:4" ht="47.25" x14ac:dyDescent="0.25">
      <c r="A288" s="290"/>
      <c r="B288" s="290"/>
      <c r="C288" s="24" t="s">
        <v>2129</v>
      </c>
    </row>
    <row r="289" spans="1:6" ht="47.25" x14ac:dyDescent="0.25">
      <c r="A289" s="290"/>
      <c r="B289" s="290"/>
      <c r="C289" s="24" t="s">
        <v>2130</v>
      </c>
    </row>
    <row r="290" spans="1:6" ht="31.5" x14ac:dyDescent="0.25">
      <c r="A290" s="290"/>
      <c r="B290" s="290"/>
      <c r="C290" s="24" t="s">
        <v>2131</v>
      </c>
    </row>
    <row r="291" spans="1:6" x14ac:dyDescent="0.25">
      <c r="A291" s="290"/>
      <c r="B291" s="290"/>
      <c r="C291" s="25" t="s">
        <v>1998</v>
      </c>
    </row>
    <row r="292" spans="1:6" ht="32.25" thickBot="1" x14ac:dyDescent="0.3">
      <c r="A292" s="292"/>
      <c r="B292" s="292"/>
      <c r="C292" s="24" t="s">
        <v>2132</v>
      </c>
    </row>
    <row r="293" spans="1:6" s="89" customFormat="1" ht="63" x14ac:dyDescent="0.25">
      <c r="A293" s="83" t="str">
        <f>Phase1!A110</f>
        <v>PI1.1</v>
      </c>
      <c r="B293" s="84" t="str">
        <f>Phase1!B110</f>
        <v>Puchasing and Inventory</v>
      </c>
      <c r="C293" s="84" t="str">
        <f>Phase1!C110</f>
        <v>Are all items available in the laboratory stock recorded in a Stock Inventory Register?
Take a sample by checking for two or three supplies in the stock if their Stock Cards are in the Stock Inventory Register and check if the Stock Cards are up-to-date.</v>
      </c>
      <c r="D293" s="89" t="s">
        <v>2253</v>
      </c>
      <c r="E293" s="89" t="s">
        <v>2252</v>
      </c>
      <c r="F293" s="89" t="s">
        <v>2254</v>
      </c>
    </row>
    <row r="294" spans="1:6" s="90" customFormat="1" ht="31.5" x14ac:dyDescent="0.25">
      <c r="A294" s="85" t="str">
        <f>Phase1!A111</f>
        <v>PI1.2</v>
      </c>
      <c r="B294" s="86" t="str">
        <f>Phase1!B111</f>
        <v>Puchasing and Inventory</v>
      </c>
      <c r="C294" s="86" t="str">
        <f>Phase1!C111</f>
        <v>Is the stock register in accordance with the actual stock (i.e. is it up-to-date)?</v>
      </c>
      <c r="D294" s="90" t="s">
        <v>2255</v>
      </c>
    </row>
    <row r="295" spans="1:6" s="91" customFormat="1" ht="48" thickBot="1" x14ac:dyDescent="0.3">
      <c r="A295" s="87" t="str">
        <f>Phase1!A112</f>
        <v>PI1.3</v>
      </c>
      <c r="B295" s="88" t="str">
        <f>Phase1!B112</f>
        <v>Puchasing and Inventory</v>
      </c>
      <c r="C295" s="88" t="str">
        <f>Phase1!C112</f>
        <v>Do staff members know the correct procedure of taking items from the stock?
Take a sample by asking random staff members.</v>
      </c>
      <c r="D295" s="91" t="s">
        <v>2256</v>
      </c>
      <c r="E295" s="91" t="s">
        <v>2257</v>
      </c>
    </row>
    <row r="296" spans="1:6" x14ac:dyDescent="0.25">
      <c r="A296" s="289"/>
      <c r="B296" s="289"/>
      <c r="C296" s="25" t="s">
        <v>2133</v>
      </c>
    </row>
    <row r="297" spans="1:6" ht="31.5" x14ac:dyDescent="0.25">
      <c r="A297" s="290"/>
      <c r="B297" s="290"/>
      <c r="C297" s="24" t="s">
        <v>2134</v>
      </c>
    </row>
    <row r="298" spans="1:6" ht="31.5" x14ac:dyDescent="0.25">
      <c r="A298" s="290"/>
      <c r="B298" s="290"/>
      <c r="C298" s="24" t="s">
        <v>2135</v>
      </c>
    </row>
    <row r="299" spans="1:6" ht="78.75" x14ac:dyDescent="0.25">
      <c r="A299" s="290"/>
      <c r="B299" s="290"/>
      <c r="C299" s="24" t="s">
        <v>2136</v>
      </c>
    </row>
    <row r="300" spans="1:6" x14ac:dyDescent="0.25">
      <c r="A300" s="290"/>
      <c r="B300" s="290"/>
      <c r="C300" s="24" t="s">
        <v>2137</v>
      </c>
    </row>
    <row r="301" spans="1:6" ht="47.25" x14ac:dyDescent="0.25">
      <c r="A301" s="290"/>
      <c r="B301" s="290"/>
      <c r="C301" s="24" t="s">
        <v>2138</v>
      </c>
    </row>
    <row r="302" spans="1:6" ht="78.75" x14ac:dyDescent="0.25">
      <c r="A302" s="290"/>
      <c r="B302" s="290"/>
      <c r="C302" s="24" t="s">
        <v>2139</v>
      </c>
    </row>
    <row r="303" spans="1:6" ht="47.25" x14ac:dyDescent="0.25">
      <c r="A303" s="290"/>
      <c r="B303" s="290"/>
      <c r="C303" s="24" t="s">
        <v>2140</v>
      </c>
    </row>
    <row r="304" spans="1:6" x14ac:dyDescent="0.25">
      <c r="A304" s="290"/>
      <c r="B304" s="290"/>
      <c r="C304" s="25" t="s">
        <v>1998</v>
      </c>
    </row>
    <row r="305" spans="1:6" ht="94.5" x14ac:dyDescent="0.25">
      <c r="A305" s="290"/>
      <c r="B305" s="290"/>
      <c r="C305" s="24" t="s">
        <v>2141</v>
      </c>
    </row>
    <row r="306" spans="1:6" ht="32.25" thickBot="1" x14ac:dyDescent="0.3">
      <c r="A306" s="292"/>
      <c r="B306" s="292"/>
      <c r="C306" s="24" t="s">
        <v>2142</v>
      </c>
    </row>
    <row r="307" spans="1:6" s="163" customFormat="1" ht="31.5" x14ac:dyDescent="0.25">
      <c r="A307" s="161" t="str">
        <f>Phase1!A113</f>
        <v>PM1.1</v>
      </c>
      <c r="B307" s="162" t="str">
        <f>Phase1!B113</f>
        <v>Process Management</v>
      </c>
      <c r="C307" s="162" t="str">
        <f>Phase1!C113</f>
        <v>Does the laboratory have a Request Form that includes at least the following details (tick off):</v>
      </c>
      <c r="D307" s="163" t="s">
        <v>2258</v>
      </c>
    </row>
    <row r="308" spans="1:6" s="168" customFormat="1" ht="31.5" x14ac:dyDescent="0.25">
      <c r="A308" s="160" t="str">
        <f>Phase1!A121</f>
        <v>PM1.2</v>
      </c>
      <c r="B308" s="167" t="str">
        <f>Phase1!B121</f>
        <v>Process Management</v>
      </c>
      <c r="C308" s="167" t="str">
        <f>Phase1!C121</f>
        <v>Is the Request Form for Laboratory Testing clear?</v>
      </c>
      <c r="D308" s="168" t="s">
        <v>2259</v>
      </c>
    </row>
    <row r="309" spans="1:6" s="159" customFormat="1" ht="32.25" thickBot="1" x14ac:dyDescent="0.3">
      <c r="A309" s="157" t="str">
        <f>Phase1!A122</f>
        <v>PM1.3</v>
      </c>
      <c r="B309" s="158" t="str">
        <f>Phase1!B122</f>
        <v>Process Management</v>
      </c>
      <c r="C309" s="158" t="str">
        <f>Phase1!C122</f>
        <v>Does the Request Form for Laboratory Testing provide clear guidance on how it should be filled-out?</v>
      </c>
      <c r="D309" s="159" t="s">
        <v>2260</v>
      </c>
    </row>
    <row r="310" spans="1:6" ht="31.5" x14ac:dyDescent="0.25">
      <c r="A310" s="289"/>
      <c r="B310" s="289"/>
      <c r="C310" s="25" t="s">
        <v>2143</v>
      </c>
    </row>
    <row r="311" spans="1:6" ht="31.5" x14ac:dyDescent="0.25">
      <c r="A311" s="290"/>
      <c r="B311" s="290"/>
      <c r="C311" s="24" t="s">
        <v>2144</v>
      </c>
    </row>
    <row r="312" spans="1:6" ht="31.5" x14ac:dyDescent="0.25">
      <c r="A312" s="290"/>
      <c r="B312" s="290"/>
      <c r="C312" s="24" t="s">
        <v>2145</v>
      </c>
    </row>
    <row r="313" spans="1:6" ht="31.5" x14ac:dyDescent="0.25">
      <c r="A313" s="290"/>
      <c r="B313" s="290"/>
      <c r="C313" s="24" t="s">
        <v>2146</v>
      </c>
    </row>
    <row r="314" spans="1:6" ht="31.5" x14ac:dyDescent="0.25">
      <c r="A314" s="290"/>
      <c r="B314" s="290"/>
      <c r="C314" s="24" t="s">
        <v>2147</v>
      </c>
    </row>
    <row r="315" spans="1:6" ht="63.75" thickBot="1" x14ac:dyDescent="0.3">
      <c r="A315" s="292"/>
      <c r="B315" s="292"/>
      <c r="C315" s="24" t="s">
        <v>2148</v>
      </c>
    </row>
    <row r="316" spans="1:6" s="163" customFormat="1" ht="31.5" x14ac:dyDescent="0.25">
      <c r="A316" s="161" t="str">
        <f>Phase1!A123</f>
        <v>PM1.4</v>
      </c>
      <c r="B316" s="162" t="str">
        <f>Phase1!B123</f>
        <v>Process Management</v>
      </c>
      <c r="C316" s="162" t="str">
        <f>Phase1!C123</f>
        <v>Has the laboratory identified and listed all the tests performed to determine which SOPs need to be written?</v>
      </c>
      <c r="D316" s="163" t="s">
        <v>2261</v>
      </c>
      <c r="E316" s="163" t="s">
        <v>2262</v>
      </c>
      <c r="F316" s="163" t="s">
        <v>2263</v>
      </c>
    </row>
    <row r="317" spans="1:6" s="168" customFormat="1" ht="31.5" x14ac:dyDescent="0.25">
      <c r="A317" s="160" t="str">
        <f>Phase1!A124</f>
        <v>PM1.5</v>
      </c>
      <c r="B317" s="167" t="str">
        <f>Phase1!B124</f>
        <v>Process Management</v>
      </c>
      <c r="C317" s="167" t="str">
        <f>Phase1!C124</f>
        <v>Have SOPs been written for all the tests routinely performed at the laboratory?</v>
      </c>
    </row>
    <row r="318" spans="1:6" s="168" customFormat="1" ht="31.5" x14ac:dyDescent="0.25">
      <c r="A318" s="160" t="str">
        <f>Phase1!A125</f>
        <v>PM1.6</v>
      </c>
      <c r="B318" s="167" t="str">
        <f>Phase1!B125</f>
        <v>Process Management</v>
      </c>
      <c r="C318" s="167" t="str">
        <f>Phase1!C125</f>
        <v>Have all SOPs been written according to the procedures described in the Master SOP?</v>
      </c>
    </row>
    <row r="319" spans="1:6" s="159" customFormat="1" ht="32.25" thickBot="1" x14ac:dyDescent="0.3">
      <c r="A319" s="157" t="str">
        <f>Phase1!A126</f>
        <v>PM1.7</v>
      </c>
      <c r="B319" s="158" t="str">
        <f>Phase1!B126</f>
        <v>Process Management</v>
      </c>
      <c r="C319" s="158" t="str">
        <f>Phase1!C126</f>
        <v>Do all SOPs have the same structure and lay-out, complying with the guidelines of the Master SOP?</v>
      </c>
    </row>
    <row r="320" spans="1:6" x14ac:dyDescent="0.25">
      <c r="A320" s="289"/>
      <c r="B320" s="289"/>
      <c r="C320" s="25" t="s">
        <v>2149</v>
      </c>
    </row>
    <row r="321" spans="1:6" x14ac:dyDescent="0.25">
      <c r="A321" s="290"/>
      <c r="B321" s="290"/>
      <c r="C321" s="24" t="s">
        <v>2150</v>
      </c>
    </row>
    <row r="322" spans="1:6" x14ac:dyDescent="0.25">
      <c r="A322" s="290"/>
      <c r="B322" s="290"/>
      <c r="C322" s="24" t="s">
        <v>2151</v>
      </c>
    </row>
    <row r="323" spans="1:6" ht="63" x14ac:dyDescent="0.25">
      <c r="A323" s="290"/>
      <c r="B323" s="290"/>
      <c r="C323" s="24" t="s">
        <v>2152</v>
      </c>
    </row>
    <row r="324" spans="1:6" ht="63" x14ac:dyDescent="0.25">
      <c r="A324" s="290"/>
      <c r="B324" s="290"/>
      <c r="C324" s="24" t="s">
        <v>2153</v>
      </c>
    </row>
    <row r="325" spans="1:6" ht="31.5" x14ac:dyDescent="0.25">
      <c r="A325" s="290"/>
      <c r="B325" s="290"/>
      <c r="C325" s="24" t="s">
        <v>2154</v>
      </c>
    </row>
    <row r="326" spans="1:6" ht="63" x14ac:dyDescent="0.25">
      <c r="A326" s="290"/>
      <c r="B326" s="290"/>
      <c r="C326" s="24" t="s">
        <v>2155</v>
      </c>
    </row>
    <row r="327" spans="1:6" ht="47.25" x14ac:dyDescent="0.25">
      <c r="A327" s="290"/>
      <c r="B327" s="290"/>
      <c r="C327" s="24" t="s">
        <v>2156</v>
      </c>
    </row>
    <row r="328" spans="1:6" ht="47.25" x14ac:dyDescent="0.25">
      <c r="A328" s="290"/>
      <c r="B328" s="290"/>
      <c r="C328" s="24" t="s">
        <v>2157</v>
      </c>
    </row>
    <row r="329" spans="1:6" ht="32.25" thickBot="1" x14ac:dyDescent="0.3">
      <c r="A329" s="292"/>
      <c r="B329" s="292"/>
      <c r="C329" s="24" t="s">
        <v>2158</v>
      </c>
    </row>
    <row r="330" spans="1:6" s="96" customFormat="1" ht="31.5" x14ac:dyDescent="0.25">
      <c r="A330" s="92" t="str">
        <f>Phase1!A127</f>
        <v>DR1.1</v>
      </c>
      <c r="B330" s="93" t="str">
        <f>Phase1!B127</f>
        <v>Documents and records</v>
      </c>
      <c r="C330" s="93" t="str">
        <f>Phase1!C127</f>
        <v>Does the laboratory have a Master SOP that explains how to write SOPs?</v>
      </c>
      <c r="D330" s="96" t="s">
        <v>2264</v>
      </c>
      <c r="E330" s="96" t="s">
        <v>2265</v>
      </c>
      <c r="F330" s="96" t="s">
        <v>2266</v>
      </c>
    </row>
    <row r="331" spans="1:6" s="97" customFormat="1" ht="32.25" thickBot="1" x14ac:dyDescent="0.3">
      <c r="A331" s="94" t="str">
        <f>Phase1!A128</f>
        <v>DR1.2</v>
      </c>
      <c r="B331" s="95" t="str">
        <f>Phase1!B128</f>
        <v>Documents and records</v>
      </c>
      <c r="C331" s="95" t="str">
        <f>Phase1!C128</f>
        <v>Does the Master SOP have different sections on how to write Analysis SOPs, Equipment SOPs and Procedure SOPs?</v>
      </c>
    </row>
    <row r="332" spans="1:6" x14ac:dyDescent="0.25">
      <c r="A332" s="289"/>
      <c r="B332" s="289"/>
      <c r="C332" s="25" t="s">
        <v>2159</v>
      </c>
    </row>
    <row r="333" spans="1:6" ht="31.5" x14ac:dyDescent="0.25">
      <c r="A333" s="290"/>
      <c r="B333" s="290"/>
      <c r="C333" s="24" t="s">
        <v>2160</v>
      </c>
    </row>
    <row r="334" spans="1:6" ht="31.5" x14ac:dyDescent="0.25">
      <c r="A334" s="290"/>
      <c r="B334" s="290"/>
      <c r="C334" s="24" t="s">
        <v>2161</v>
      </c>
    </row>
    <row r="335" spans="1:6" ht="31.5" x14ac:dyDescent="0.25">
      <c r="A335" s="290"/>
      <c r="B335" s="290"/>
      <c r="C335" s="24" t="s">
        <v>2162</v>
      </c>
    </row>
    <row r="336" spans="1:6" x14ac:dyDescent="0.25">
      <c r="A336" s="290"/>
      <c r="B336" s="290"/>
      <c r="C336" s="24" t="s">
        <v>2163</v>
      </c>
    </row>
    <row r="337" spans="1:3" x14ac:dyDescent="0.25">
      <c r="A337" s="290"/>
      <c r="B337" s="290"/>
      <c r="C337" s="24" t="s">
        <v>2164</v>
      </c>
    </row>
    <row r="338" spans="1:3" ht="31.5" x14ac:dyDescent="0.25">
      <c r="A338" s="290"/>
      <c r="B338" s="290"/>
      <c r="C338" s="24" t="s">
        <v>2165</v>
      </c>
    </row>
    <row r="339" spans="1:3" x14ac:dyDescent="0.25">
      <c r="A339" s="290"/>
      <c r="B339" s="290"/>
      <c r="C339" s="24" t="s">
        <v>2166</v>
      </c>
    </row>
    <row r="340" spans="1:3" x14ac:dyDescent="0.25">
      <c r="A340" s="290"/>
      <c r="B340" s="290"/>
      <c r="C340" s="24" t="s">
        <v>2167</v>
      </c>
    </row>
    <row r="341" spans="1:3" x14ac:dyDescent="0.25">
      <c r="A341" s="290"/>
      <c r="B341" s="290"/>
      <c r="C341" s="24" t="s">
        <v>2168</v>
      </c>
    </row>
    <row r="342" spans="1:3" ht="141.75" x14ac:dyDescent="0.25">
      <c r="A342" s="290"/>
      <c r="B342" s="290"/>
      <c r="C342" s="24" t="s">
        <v>2169</v>
      </c>
    </row>
    <row r="343" spans="1:3" x14ac:dyDescent="0.25">
      <c r="A343" s="290"/>
      <c r="B343" s="290"/>
      <c r="C343" s="24" t="s">
        <v>2170</v>
      </c>
    </row>
    <row r="344" spans="1:3" ht="63" x14ac:dyDescent="0.25">
      <c r="A344" s="290"/>
      <c r="B344" s="290"/>
      <c r="C344" s="24" t="s">
        <v>2171</v>
      </c>
    </row>
    <row r="345" spans="1:3" ht="32.25" thickBot="1" x14ac:dyDescent="0.3">
      <c r="A345" s="292"/>
      <c r="B345" s="292"/>
      <c r="C345" s="24" t="s">
        <v>2172</v>
      </c>
    </row>
    <row r="346" spans="1:3" s="135" customFormat="1" ht="48" thickBot="1" x14ac:dyDescent="0.3">
      <c r="A346" s="133" t="str">
        <f>Phase1!A129</f>
        <v>ASSESS1.1</v>
      </c>
      <c r="B346" s="134" t="str">
        <f>Phase1!B129</f>
        <v>Assessment</v>
      </c>
      <c r="C346" s="134" t="str">
        <f>Phase1!C129</f>
        <v>Has a Baseline Assessment of the laboratory been conducted to gain information on where some elements of a quality management system may be already in place and functioning, or where there are gaps that need to be addressed?</v>
      </c>
    </row>
    <row r="347" spans="1:3" x14ac:dyDescent="0.25">
      <c r="A347" s="289"/>
      <c r="B347" s="289"/>
      <c r="C347" s="25" t="s">
        <v>2173</v>
      </c>
    </row>
    <row r="348" spans="1:3" x14ac:dyDescent="0.25">
      <c r="A348" s="290"/>
      <c r="B348" s="290"/>
      <c r="C348" s="24" t="s">
        <v>2174</v>
      </c>
    </row>
    <row r="349" spans="1:3" x14ac:dyDescent="0.25">
      <c r="A349" s="290"/>
      <c r="B349" s="290"/>
      <c r="C349" s="27" t="s">
        <v>2175</v>
      </c>
    </row>
    <row r="350" spans="1:3" ht="31.5" x14ac:dyDescent="0.25">
      <c r="A350" s="290"/>
      <c r="B350" s="290"/>
      <c r="C350" s="24" t="s">
        <v>2176</v>
      </c>
    </row>
    <row r="351" spans="1:3" x14ac:dyDescent="0.25">
      <c r="A351" s="290"/>
      <c r="B351" s="290"/>
      <c r="C351" s="24" t="s">
        <v>2177</v>
      </c>
    </row>
    <row r="352" spans="1:3" x14ac:dyDescent="0.25">
      <c r="A352" s="290"/>
      <c r="B352" s="290"/>
      <c r="C352" s="24" t="s">
        <v>2178</v>
      </c>
    </row>
    <row r="353" spans="1:3" x14ac:dyDescent="0.25">
      <c r="A353" s="290"/>
      <c r="B353" s="290"/>
      <c r="C353" s="24" t="s">
        <v>2179</v>
      </c>
    </row>
    <row r="354" spans="1:3" x14ac:dyDescent="0.25">
      <c r="A354" s="290"/>
      <c r="B354" s="290"/>
      <c r="C354" s="24" t="s">
        <v>2180</v>
      </c>
    </row>
    <row r="355" spans="1:3" x14ac:dyDescent="0.25">
      <c r="A355" s="290"/>
      <c r="B355" s="290"/>
      <c r="C355" s="24" t="s">
        <v>2181</v>
      </c>
    </row>
    <row r="356" spans="1:3" ht="30" x14ac:dyDescent="0.25">
      <c r="A356" s="290"/>
      <c r="B356" s="290"/>
      <c r="C356" s="27" t="s">
        <v>2182</v>
      </c>
    </row>
    <row r="357" spans="1:3" x14ac:dyDescent="0.25">
      <c r="A357" s="290"/>
      <c r="B357" s="290"/>
      <c r="C357" s="25" t="s">
        <v>2183</v>
      </c>
    </row>
    <row r="358" spans="1:3" x14ac:dyDescent="0.25">
      <c r="A358" s="290"/>
      <c r="B358" s="290"/>
      <c r="C358" s="24" t="s">
        <v>2184</v>
      </c>
    </row>
    <row r="359" spans="1:3" ht="45" x14ac:dyDescent="0.25">
      <c r="A359" s="290"/>
      <c r="B359" s="290"/>
      <c r="C359" s="27" t="s">
        <v>2185</v>
      </c>
    </row>
    <row r="360" spans="1:3" x14ac:dyDescent="0.25">
      <c r="A360" s="290"/>
      <c r="B360" s="290"/>
      <c r="C360" s="24" t="s">
        <v>2186</v>
      </c>
    </row>
    <row r="361" spans="1:3" ht="30" x14ac:dyDescent="0.25">
      <c r="A361" s="290"/>
      <c r="B361" s="290"/>
      <c r="C361" s="27" t="s">
        <v>2187</v>
      </c>
    </row>
    <row r="362" spans="1:3" x14ac:dyDescent="0.25">
      <c r="A362" s="290"/>
      <c r="B362" s="290"/>
      <c r="C362" s="24" t="s">
        <v>2188</v>
      </c>
    </row>
    <row r="363" spans="1:3" ht="45" x14ac:dyDescent="0.25">
      <c r="A363" s="290"/>
      <c r="B363" s="290"/>
      <c r="C363" s="27" t="s">
        <v>2189</v>
      </c>
    </row>
    <row r="364" spans="1:3" x14ac:dyDescent="0.25">
      <c r="A364" s="290"/>
      <c r="B364" s="290"/>
      <c r="C364" s="24" t="s">
        <v>2190</v>
      </c>
    </row>
    <row r="365" spans="1:3" ht="30" x14ac:dyDescent="0.25">
      <c r="A365" s="290"/>
      <c r="B365" s="290"/>
      <c r="C365" s="27" t="s">
        <v>2191</v>
      </c>
    </row>
    <row r="366" spans="1:3" x14ac:dyDescent="0.25">
      <c r="A366" s="290"/>
      <c r="B366" s="290"/>
      <c r="C366" s="24" t="s">
        <v>2192</v>
      </c>
    </row>
    <row r="367" spans="1:3" ht="60" x14ac:dyDescent="0.25">
      <c r="A367" s="290"/>
      <c r="B367" s="290"/>
      <c r="C367" s="27" t="s">
        <v>2193</v>
      </c>
    </row>
  </sheetData>
  <mergeCells count="62">
    <mergeCell ref="A5:B10"/>
    <mergeCell ref="A2:B2"/>
    <mergeCell ref="P4:Q4"/>
    <mergeCell ref="R4:S4"/>
    <mergeCell ref="N4:O4"/>
    <mergeCell ref="B12:B17"/>
    <mergeCell ref="A12:A17"/>
    <mergeCell ref="B23:B31"/>
    <mergeCell ref="A23:A31"/>
    <mergeCell ref="B45:B52"/>
    <mergeCell ref="A45:A52"/>
    <mergeCell ref="B61:B67"/>
    <mergeCell ref="A61:A67"/>
    <mergeCell ref="B73:B80"/>
    <mergeCell ref="A73:A80"/>
    <mergeCell ref="B83:B86"/>
    <mergeCell ref="A83:A86"/>
    <mergeCell ref="B89:B92"/>
    <mergeCell ref="A89:A92"/>
    <mergeCell ref="B97:B115"/>
    <mergeCell ref="A97:A115"/>
    <mergeCell ref="B119:B135"/>
    <mergeCell ref="A119:A135"/>
    <mergeCell ref="B140:B156"/>
    <mergeCell ref="A140:A156"/>
    <mergeCell ref="B161:B164"/>
    <mergeCell ref="A161:A164"/>
    <mergeCell ref="B168:B174"/>
    <mergeCell ref="A168:A174"/>
    <mergeCell ref="B179:B183"/>
    <mergeCell ref="A179:A183"/>
    <mergeCell ref="B189:B200"/>
    <mergeCell ref="A189:A200"/>
    <mergeCell ref="B202:B205"/>
    <mergeCell ref="A202:A205"/>
    <mergeCell ref="B208:B215"/>
    <mergeCell ref="A208:A215"/>
    <mergeCell ref="B218:B221"/>
    <mergeCell ref="A218:A221"/>
    <mergeCell ref="B228:B234"/>
    <mergeCell ref="A228:A234"/>
    <mergeCell ref="A237:A243"/>
    <mergeCell ref="B247:B249"/>
    <mergeCell ref="A247:A249"/>
    <mergeCell ref="B252:B257"/>
    <mergeCell ref="A252:A257"/>
    <mergeCell ref="B347:B367"/>
    <mergeCell ref="A347:A367"/>
    <mergeCell ref="B1:D1"/>
    <mergeCell ref="B310:B315"/>
    <mergeCell ref="A310:A315"/>
    <mergeCell ref="B320:B329"/>
    <mergeCell ref="A320:A329"/>
    <mergeCell ref="B332:B345"/>
    <mergeCell ref="A332:A345"/>
    <mergeCell ref="B262:B274"/>
    <mergeCell ref="A262:A274"/>
    <mergeCell ref="B279:B292"/>
    <mergeCell ref="A279:A292"/>
    <mergeCell ref="B296:B306"/>
    <mergeCell ref="A296:A306"/>
    <mergeCell ref="B237:B24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000"/>
  <sheetViews>
    <sheetView tabSelected="1" zoomScale="85" zoomScaleNormal="85" workbookViewId="0">
      <pane xSplit="1" ySplit="1" topLeftCell="B2" activePane="bottomRight" state="frozen"/>
      <selection pane="topRight" activeCell="B1" sqref="B1"/>
      <selection pane="bottomLeft" activeCell="A2" sqref="A2"/>
      <selection pane="bottomRight" activeCell="D14" sqref="D14"/>
    </sheetView>
  </sheetViews>
  <sheetFormatPr defaultColWidth="8.85546875" defaultRowHeight="15.75" x14ac:dyDescent="0.25"/>
  <cols>
    <col min="1" max="1" width="10.42578125" style="12" bestFit="1" customWidth="1"/>
    <col min="2" max="2" width="10.42578125" style="12" customWidth="1"/>
    <col min="3" max="3" width="69.42578125" style="10" customWidth="1"/>
    <col min="4" max="4" width="111.28515625" style="10" customWidth="1"/>
    <col min="5" max="5" width="14.7109375" style="12" bestFit="1" customWidth="1"/>
    <col min="6" max="6" width="11.85546875" style="1" customWidth="1"/>
    <col min="7" max="7" width="109.7109375" style="1" customWidth="1"/>
    <col min="8" max="16384" width="8.85546875" style="1"/>
  </cols>
  <sheetData>
    <row r="1" spans="1:7" x14ac:dyDescent="0.25">
      <c r="A1" s="294">
        <f>COUNTA(E3:E1000)/COUNTIF(D3:D1000, "&lt;&gt;*     *")</f>
        <v>3.4722222222222224E-2</v>
      </c>
      <c r="B1" s="294"/>
      <c r="C1" s="294"/>
      <c r="D1" s="294"/>
      <c r="E1" s="294"/>
    </row>
    <row r="2" spans="1:7" x14ac:dyDescent="0.25">
      <c r="A2" s="290"/>
      <c r="B2" s="269"/>
      <c r="C2" s="291" t="s">
        <v>3194</v>
      </c>
      <c r="D2" s="291"/>
      <c r="E2" s="290" t="s">
        <v>1460</v>
      </c>
      <c r="F2" s="323" t="s">
        <v>5654</v>
      </c>
      <c r="G2" s="323" t="s">
        <v>5655</v>
      </c>
    </row>
    <row r="3" spans="1:7" ht="18.75" customHeight="1" x14ac:dyDescent="0.25">
      <c r="A3" s="290"/>
      <c r="B3" s="269"/>
      <c r="C3" s="291"/>
      <c r="D3" s="291"/>
      <c r="E3" s="290"/>
      <c r="F3" s="323"/>
      <c r="G3" s="323"/>
    </row>
    <row r="4" spans="1:7" ht="27" customHeight="1" x14ac:dyDescent="0.25">
      <c r="A4" s="290"/>
      <c r="B4" s="269"/>
      <c r="C4" s="291"/>
      <c r="D4" s="291"/>
      <c r="E4" s="290"/>
      <c r="F4" s="323"/>
      <c r="G4" s="323"/>
    </row>
    <row r="5" spans="1:7" ht="31.5" x14ac:dyDescent="0.25">
      <c r="A5" s="12" t="s">
        <v>4316</v>
      </c>
      <c r="B5" s="10" t="str">
        <f>_xlfn.IFNA(VLOOKUP($A5,CompChecksTrans!$A:$C,2,FALSE), "")</f>
        <v>FS1.1</v>
      </c>
      <c r="C5" s="10" t="str">
        <f>_xlfn.IFNA(VLOOKUP(B5,Phase1!A$4:C$129,3,FALSE),"")</f>
        <v>Have the staff adequately been instructed on the symptoms of infection with pathogens worked with in the laboratory?</v>
      </c>
      <c r="D5" s="10" t="str">
        <f>_xlfn.IFNA(VLOOKUP($A5,CompChecksTrans!$A:$C,3,FALSE), "     ")</f>
        <v>1. Presence of the list for pathogens and its symptoms for the pathogens most frequently worked with in the laboratory.</v>
      </c>
      <c r="E5" s="12" t="s">
        <v>3201</v>
      </c>
      <c r="F5" s="1" t="s">
        <v>3226</v>
      </c>
    </row>
    <row r="6" spans="1:7" ht="31.5" x14ac:dyDescent="0.25">
      <c r="A6" s="12" t="s">
        <v>4317</v>
      </c>
      <c r="B6" s="10" t="str">
        <f>_xlfn.IFNA(VLOOKUP($A6,CompChecksTrans!$A:$C,2,FALSE), "")</f>
        <v>FS1.1</v>
      </c>
      <c r="C6" s="10" t="str">
        <f>_xlfn.IFNA(VLOOKUP(B6,Phase1!A$4:C$129,3,FALSE),"")</f>
        <v>Have the staff adequately been instructed on the symptoms of infection with pathogens worked with in the laboratory?</v>
      </c>
      <c r="D6" s="10" t="str">
        <f>_xlfn.IFNA(VLOOKUP($A6,CompChecksTrans!$A:$C,3,FALSE), "     ")</f>
        <v>2. Presence of the minute of meeting/record on the discussion and explanation of the symptoms of the diseases caused by these pathogens with all staff; and explain to the staff members what they should do when they have these symptoms.</v>
      </c>
      <c r="E6" s="12" t="s">
        <v>3200</v>
      </c>
    </row>
    <row r="7" spans="1:7" ht="31.5" x14ac:dyDescent="0.25">
      <c r="A7" s="12" t="s">
        <v>4318</v>
      </c>
      <c r="B7" s="10" t="str">
        <f>_xlfn.IFNA(VLOOKUP($A7,CompChecksTrans!$A:$C,2,FALSE), "")</f>
        <v>FS1.1</v>
      </c>
      <c r="C7" s="10" t="str">
        <f>_xlfn.IFNA(VLOOKUP(B7,Phase1!A$4:C$129,3,FALSE),"")</f>
        <v>Have the staff adequately been instructed on the symptoms of infection with pathogens worked with in the laboratory?</v>
      </c>
      <c r="D7" s="10" t="str">
        <f>_xlfn.IFNA(VLOOKUP($A7,CompChecksTrans!$A:$C,3,FALSE), "     ")</f>
        <v>3. Presence of policy that staff need to be vaccinated and regular check for TB.</v>
      </c>
      <c r="E7" s="12" t="s">
        <v>3199</v>
      </c>
    </row>
    <row r="8" spans="1:7" ht="31.5" x14ac:dyDescent="0.25">
      <c r="A8" s="12" t="s">
        <v>4319</v>
      </c>
      <c r="B8" s="10" t="str">
        <f>_xlfn.IFNA(VLOOKUP($A8,CompChecksTrans!$A:$C,2,FALSE), "")</f>
        <v>FS1.1</v>
      </c>
      <c r="C8" s="10" t="str">
        <f>_xlfn.IFNA(VLOOKUP(B8,Phase1!A$4:C$129,3,FALSE),"")</f>
        <v>Have the staff adequately been instructed on the symptoms of infection with pathogens worked with in the laboratory?</v>
      </c>
      <c r="D8" s="10" t="str">
        <f>_xlfn.IFNA(VLOOKUP($A8,CompChecksTrans!$A:$C,3,FALSE), "     ")</f>
        <v>4. Presence of the certificate of vaccination of staff against Hepatitis B.</v>
      </c>
      <c r="E8" s="12" t="s">
        <v>3198</v>
      </c>
    </row>
    <row r="9" spans="1:7" ht="47.25" x14ac:dyDescent="0.25">
      <c r="A9" s="12" t="s">
        <v>4320</v>
      </c>
      <c r="B9" s="10" t="str">
        <f>_xlfn.IFNA(VLOOKUP($A9,CompChecksTrans!$A:$C,2,FALSE), "")</f>
        <v>FS1.2</v>
      </c>
      <c r="C9" s="10" t="str">
        <f>_xlfn.IFNA(VLOOKUP(B9,Phase1!A$4:C$129,3,FALSE),"")</f>
        <v>Is there a written procedure on how to act in case of a suspected laboratory associated infection/laboratory accident whereby a staff-member has potentially become infected?</v>
      </c>
      <c r="D9" s="10" t="str">
        <f>_xlfn.IFNA(VLOOKUP($A9,CompChecksTrans!$A:$C,3,FALSE), "     ")</f>
        <v xml:space="preserve">1. Presence of SOP on what to do when staff members (potentially) have become infected in the laboratory; which includes the pre-exposure prophylaxis and post-exposure prophylaxis. </v>
      </c>
      <c r="E9" s="12" t="s">
        <v>3198</v>
      </c>
    </row>
    <row r="10" spans="1:7" ht="47.25" x14ac:dyDescent="0.25">
      <c r="A10" s="12" t="s">
        <v>4321</v>
      </c>
      <c r="B10" s="10" t="str">
        <f>_xlfn.IFNA(VLOOKUP($A10,CompChecksTrans!$A:$C,2,FALSE), "")</f>
        <v>FS1.2</v>
      </c>
      <c r="C10" s="10" t="str">
        <f>_xlfn.IFNA(VLOOKUP(B10,Phase1!A$4:C$129,3,FALSE),"")</f>
        <v>Is there a written procedure on how to act in case of a suspected laboratory associated infection/laboratory accident whereby a staff-member has potentially become infected?</v>
      </c>
      <c r="D10" s="10" t="str">
        <f>_xlfn.IFNA(VLOOKUP($A10,CompChecksTrans!$A:$C,3,FALSE), "     ")</f>
        <v>2. Place its flow charts at the place that all staff could see it easily.</v>
      </c>
    </row>
    <row r="11" spans="1:7" ht="31.5" x14ac:dyDescent="0.25">
      <c r="A11" s="12" t="s">
        <v>4322</v>
      </c>
      <c r="B11" s="10" t="str">
        <f>_xlfn.IFNA(VLOOKUP($A11,CompChecksTrans!$A:$C,2,FALSE), "")</f>
        <v>FS1.3</v>
      </c>
      <c r="C11" s="10" t="str">
        <f>_xlfn.IFNA(VLOOKUP(B11,Phase1!A$4:C$129,3,FALSE),"")</f>
        <v>Has the Risk Group for each laboratory room been determined?</v>
      </c>
      <c r="D11" s="10" t="str">
        <f>_xlfn.IFNA(VLOOKUP($A11,CompChecksTrans!$A:$C,3,FALSE), "     ")</f>
        <v>Presence of symbol of risk group on each laboratory room</v>
      </c>
    </row>
    <row r="12" spans="1:7" ht="31.5" x14ac:dyDescent="0.25">
      <c r="A12" s="12" t="s">
        <v>4323</v>
      </c>
      <c r="B12" s="10" t="str">
        <f>_xlfn.IFNA(VLOOKUP($A12,CompChecksTrans!$A:$C,2,FALSE), "")</f>
        <v>FS1.4</v>
      </c>
      <c r="C12" s="10" t="str">
        <f>_xlfn.IFNA(VLOOKUP(B12,Phase1!A$4:C$129,3,FALSE),"")</f>
        <v>Has a Facilities &amp; Safety Assessment been performed?</v>
      </c>
      <c r="D12" s="10" t="str">
        <f>_xlfn.IFNA(VLOOKUP($A12,CompChecksTrans!$A:$C,3,FALSE), "     ")</f>
        <v>1. Policy on internal auidit existed (in Quality Manual).</v>
      </c>
    </row>
    <row r="13" spans="1:7" ht="31.5" x14ac:dyDescent="0.25">
      <c r="A13" s="12" t="s">
        <v>4324</v>
      </c>
      <c r="B13" s="10" t="str">
        <f>_xlfn.IFNA(VLOOKUP($A13,CompChecksTrans!$A:$C,2,FALSE), "")</f>
        <v>FS1.4</v>
      </c>
      <c r="C13" s="10" t="str">
        <f>_xlfn.IFNA(VLOOKUP(B13,Phase1!A$4:C$129,3,FALSE),"")</f>
        <v>Has a Facilities &amp; Safety Assessment been performed?</v>
      </c>
      <c r="D13" s="10" t="str">
        <f>_xlfn.IFNA(VLOOKUP($A13,CompChecksTrans!$A:$C,3,FALSE), "     ")</f>
        <v>2. Presence of the schedule for internal audit (Quarterly).</v>
      </c>
    </row>
    <row r="14" spans="1:7" ht="31.5" x14ac:dyDescent="0.25">
      <c r="A14" s="12" t="s">
        <v>4325</v>
      </c>
      <c r="B14" s="10" t="str">
        <f>_xlfn.IFNA(VLOOKUP($A14,CompChecksTrans!$A:$C,2,FALSE), "")</f>
        <v>FS1.4</v>
      </c>
      <c r="C14" s="10" t="str">
        <f>_xlfn.IFNA(VLOOKUP(B14,Phase1!A$4:C$129,3,FALSE),"")</f>
        <v>Has a Facilities &amp; Safety Assessment been performed?</v>
      </c>
      <c r="D14" s="10" t="str">
        <f>_xlfn.IFNA(VLOOKUP($A14,CompChecksTrans!$A:$C,3,FALSE), "     ")</f>
        <v>3. Checklist (Annex B of ISO 15190)/ LQSI checklist is available.</v>
      </c>
    </row>
    <row r="15" spans="1:7" ht="31.5" x14ac:dyDescent="0.25">
      <c r="A15" s="12" t="s">
        <v>4326</v>
      </c>
      <c r="B15" s="10" t="str">
        <f>_xlfn.IFNA(VLOOKUP($A15,CompChecksTrans!$A:$C,2,FALSE), "")</f>
        <v>FS1.4</v>
      </c>
      <c r="C15" s="10" t="str">
        <f>_xlfn.IFNA(VLOOKUP(B15,Phase1!A$4:C$129,3,FALSE),"")</f>
        <v>Has a Facilities &amp; Safety Assessment been performed?</v>
      </c>
      <c r="D15" s="10" t="str">
        <f>_xlfn.IFNA(VLOOKUP($A15,CompChecksTrans!$A:$C,3,FALSE), "     ")</f>
        <v>4. Presence of Minute of staff training on checklist.</v>
      </c>
    </row>
    <row r="16" spans="1:7" ht="31.5" x14ac:dyDescent="0.25">
      <c r="A16" s="12" t="s">
        <v>4327</v>
      </c>
      <c r="B16" s="10" t="str">
        <f>_xlfn.IFNA(VLOOKUP($A16,CompChecksTrans!$A:$C,2,FALSE), "")</f>
        <v>FS1.4</v>
      </c>
      <c r="C16" s="10" t="str">
        <f>_xlfn.IFNA(VLOOKUP(B16,Phase1!A$4:C$129,3,FALSE),"")</f>
        <v>Has a Facilities &amp; Safety Assessment been performed?</v>
      </c>
      <c r="D16" s="10" t="str">
        <f>_xlfn.IFNA(VLOOKUP($A16,CompChecksTrans!$A:$C,3,FALSE), "     ")</f>
        <v>5. List of staff and their role and responsibility in conducting internal audit.</v>
      </c>
    </row>
    <row r="17" spans="1:4" ht="31.5" x14ac:dyDescent="0.25">
      <c r="A17" s="12" t="s">
        <v>4328</v>
      </c>
      <c r="B17" s="10" t="str">
        <f>_xlfn.IFNA(VLOOKUP($A17,CompChecksTrans!$A:$C,2,FALSE), "")</f>
        <v>FS1.4</v>
      </c>
      <c r="C17" s="10" t="str">
        <f>_xlfn.IFNA(VLOOKUP(B17,Phase1!A$4:C$129,3,FALSE),"")</f>
        <v>Has a Facilities &amp; Safety Assessment been performed?</v>
      </c>
      <c r="D17" s="10" t="str">
        <f>_xlfn.IFNA(VLOOKUP($A17,CompChecksTrans!$A:$C,3,FALSE), "     ")</f>
        <v>6. Baseline score is available.</v>
      </c>
    </row>
    <row r="18" spans="1:4" ht="31.5" x14ac:dyDescent="0.25">
      <c r="A18" s="12" t="s">
        <v>4329</v>
      </c>
      <c r="B18" s="10" t="str">
        <f>_xlfn.IFNA(VLOOKUP($A18,CompChecksTrans!$A:$C,2,FALSE), "")</f>
        <v>FS1.4</v>
      </c>
      <c r="C18" s="10" t="str">
        <f>_xlfn.IFNA(VLOOKUP(B18,Phase1!A$4:C$129,3,FALSE),"")</f>
        <v>Has a Facilities &amp; Safety Assessment been performed?</v>
      </c>
      <c r="D18" s="10" t="str">
        <f>_xlfn.IFNA(VLOOKUP($A18,CompChecksTrans!$A:$C,3,FALSE), "     ")</f>
        <v>7. Corrective actions are available.</v>
      </c>
    </row>
    <row r="19" spans="1:4" ht="31.5" x14ac:dyDescent="0.25">
      <c r="A19" s="12" t="s">
        <v>4330</v>
      </c>
      <c r="B19" s="10" t="str">
        <f>_xlfn.IFNA(VLOOKUP($A19,CompChecksTrans!$A:$C,2,FALSE), "")</f>
        <v>FS1.5</v>
      </c>
      <c r="C19" s="10" t="str">
        <f>_xlfn.IFNA(VLOOKUP(B19,Phase1!A$4:C$129,3,FALSE),"")</f>
        <v>Is an action plan present to implement improvements based on findings from the Facility &amp; Safety assessment?</v>
      </c>
      <c r="D19" s="10" t="str">
        <f>_xlfn.IFNA(VLOOKUP($A19,CompChecksTrans!$A:$C,3,FALSE), "     ")</f>
        <v>1. Presence of action plan based on findings (corrective actions) from internal audit</v>
      </c>
    </row>
    <row r="20" spans="1:4" ht="47.25" x14ac:dyDescent="0.25">
      <c r="A20" s="12" t="s">
        <v>4331</v>
      </c>
      <c r="B20" s="10" t="str">
        <f>_xlfn.IFNA(VLOOKUP($A20,CompChecksTrans!$A:$C,2,FALSE), "")</f>
        <v>FS1.6</v>
      </c>
      <c r="C20" s="10" t="str">
        <f>_xlfn.IFNA(VLOOKUP(B20,Phase1!A$4:C$129,3,FALSE),"")</f>
        <v>Are the action points in this action plan from the Facility &amp; Safety Assessment formulated according to the SMART method?</v>
      </c>
      <c r="D20" s="10" t="str">
        <f>_xlfn.IFNA(VLOOKUP($A20,CompChecksTrans!$A:$C,3,FALSE), "     ")</f>
        <v>1. Presence of action plan with SMART method</v>
      </c>
    </row>
    <row r="21" spans="1:4" ht="47.25" x14ac:dyDescent="0.25">
      <c r="A21" s="12" t="s">
        <v>4332</v>
      </c>
      <c r="B21" s="10" t="str">
        <f>_xlfn.IFNA(VLOOKUP($A21,CompChecksTrans!$A:$C,2,FALSE), "")</f>
        <v>FS1.7</v>
      </c>
      <c r="C21" s="10" t="str">
        <f>_xlfn.IFNA(VLOOKUP(B21,Phase1!A$4:C$129,3,FALSE),"")</f>
        <v>Have the action points in this action plan from the Facility &amp; Safety Assessment been fulfilled on or before the deadline?</v>
      </c>
      <c r="D21" s="10" t="str">
        <f>_xlfn.IFNA(VLOOKUP($A21,CompChecksTrans!$A:$C,3,FALSE), "     ")</f>
        <v>1. Percentage of activities listed in the action plan had been achieved.</v>
      </c>
    </row>
    <row r="22" spans="1:4" ht="47.25" x14ac:dyDescent="0.25">
      <c r="A22" s="12" t="s">
        <v>4333</v>
      </c>
      <c r="B22" s="10" t="str">
        <f>_xlfn.IFNA(VLOOKUP($A22,CompChecksTrans!$A:$C,2,FALSE), "")</f>
        <v>FS1.7</v>
      </c>
      <c r="C22" s="10" t="str">
        <f>_xlfn.IFNA(VLOOKUP(B22,Phase1!A$4:C$129,3,FALSE),"")</f>
        <v>Have the action points in this action plan from the Facility &amp; Safety Assessment been fulfilled on or before the deadline?</v>
      </c>
      <c r="D22" s="10" t="str">
        <f>_xlfn.IFNA(VLOOKUP($A22,CompChecksTrans!$A:$C,3,FALSE), "     ")</f>
        <v>2. Presence of another corrective action for 2nd cycle of PDCA.</v>
      </c>
    </row>
    <row r="23" spans="1:4" ht="47.25" x14ac:dyDescent="0.25">
      <c r="A23" s="12" t="s">
        <v>4334</v>
      </c>
      <c r="B23" s="10" t="str">
        <f>_xlfn.IFNA(VLOOKUP($A23,CompChecksTrans!$A:$C,2,FALSE), "")</f>
        <v>FS1.8</v>
      </c>
      <c r="C23" s="10" t="str">
        <f>_xlfn.IFNA(VLOOKUP(B23,Phase1!A$4:C$129,3,FALSE),"")</f>
        <v>Have completed action points from the Facility &amp; Safety Assessment been signed and dated for completion?</v>
      </c>
      <c r="D23" s="10" t="str">
        <f>_xlfn.IFNA(VLOOKUP($A23,CompChecksTrans!$A:$C,3,FALSE), "     ")</f>
        <v>Presence of signature and date on every completed action point in the action plan.</v>
      </c>
    </row>
    <row r="24" spans="1:4" ht="31.5" x14ac:dyDescent="0.25">
      <c r="A24" s="12" t="s">
        <v>4335</v>
      </c>
      <c r="B24" s="10" t="str">
        <f>_xlfn.IFNA(VLOOKUP($A24,CompChecksTrans!$A:$C,2,FALSE), "")</f>
        <v>FS1.9</v>
      </c>
      <c r="C24" s="10" t="str">
        <f>_xlfn.IFNA(VLOOKUP(B24,Phase1!A$4:C$129,3,FALSE),"")</f>
        <v>Does the laboratory have a procedure for processing and disposal of the different types of waste produced?</v>
      </c>
      <c r="D24" s="10" t="str">
        <f>_xlfn.IFNA(VLOOKUP($A24,CompChecksTrans!$A:$C,3,FALSE), "     ")</f>
        <v>1. Presence of written SOP on how to process and dispose of the different types of laboratory wastes.</v>
      </c>
    </row>
    <row r="25" spans="1:4" ht="31.5" x14ac:dyDescent="0.25">
      <c r="A25" s="12" t="s">
        <v>4336</v>
      </c>
      <c r="B25" s="10" t="str">
        <f>_xlfn.IFNA(VLOOKUP($A25,CompChecksTrans!$A:$C,2,FALSE), "")</f>
        <v>FS1.10</v>
      </c>
      <c r="C25" s="10" t="str">
        <f>_xlfn.IFNA(VLOOKUP(B25,Phase1!A$4:C$129,3,FALSE),"")</f>
        <v>Does the laboratory demonstrably adhere to procedures for processing and disposal of different types of waste produced?</v>
      </c>
      <c r="D25" s="10" t="str">
        <f>_xlfn.IFNA(VLOOKUP($A25,CompChecksTrans!$A:$C,3,FALSE), "     ")</f>
        <v>1.Presence of containers labeled for each waste category:
• Non-infectious (household) waste
• Infectious waste (including sharps)
• Infectious glassware for re-use
• Chemical waste</v>
      </c>
    </row>
    <row r="26" spans="1:4" ht="31.5" x14ac:dyDescent="0.25">
      <c r="A26" s="12" t="s">
        <v>4337</v>
      </c>
      <c r="B26" s="10" t="str">
        <f>_xlfn.IFNA(VLOOKUP($A26,CompChecksTrans!$A:$C,2,FALSE), "")</f>
        <v>FS1.10</v>
      </c>
      <c r="C26" s="10" t="str">
        <f>_xlfn.IFNA(VLOOKUP(B26,Phase1!A$4:C$129,3,FALSE),"")</f>
        <v>Does the laboratory demonstrably adhere to procedures for processing and disposal of different types of waste produced?</v>
      </c>
      <c r="D26" s="10" t="str">
        <f>_xlfn.IFNA(VLOOKUP($A26,CompChecksTrans!$A:$C,3,FALSE), "     ")</f>
        <v>2. Waste segregation flow chart is on the walls of the laboratory.</v>
      </c>
    </row>
    <row r="27" spans="1:4" ht="31.5" x14ac:dyDescent="0.25">
      <c r="A27" s="12" t="s">
        <v>4338</v>
      </c>
      <c r="B27" s="10" t="str">
        <f>_xlfn.IFNA(VLOOKUP($A27,CompChecksTrans!$A:$C,2,FALSE), "")</f>
        <v>FS1.10</v>
      </c>
      <c r="C27" s="10" t="str">
        <f>_xlfn.IFNA(VLOOKUP(B27,Phase1!A$4:C$129,3,FALSE),"")</f>
        <v>Does the laboratory demonstrably adhere to procedures for processing and disposal of different types of waste produced?</v>
      </c>
      <c r="D27" s="10" t="str">
        <f>_xlfn.IFNA(VLOOKUP($A27,CompChecksTrans!$A:$C,3,FALSE), "     ")</f>
        <v>3. Staff could explain the waste segregation flow chart (by interview).</v>
      </c>
    </row>
    <row r="28" spans="1:4" ht="31.5" x14ac:dyDescent="0.25">
      <c r="A28" s="12" t="s">
        <v>4339</v>
      </c>
      <c r="B28" s="10" t="str">
        <f>_xlfn.IFNA(VLOOKUP($A28,CompChecksTrans!$A:$C,2,FALSE), "")</f>
        <v>FS1.11</v>
      </c>
      <c r="C28" s="10" t="str">
        <f>_xlfn.IFNA(VLOOKUP(B28,Phase1!A$4:C$129,3,FALSE),"")</f>
        <v>Are up-to-date guidelines present on safe disposal of waste?</v>
      </c>
      <c r="D28" s="10" t="str">
        <f>_xlfn.IFNA(VLOOKUP($A28,CompChecksTrans!$A:$C,3,FALSE), "     ")</f>
        <v>MOH ?</v>
      </c>
    </row>
    <row r="29" spans="1:4" ht="31.5" x14ac:dyDescent="0.25">
      <c r="A29" s="12" t="s">
        <v>4340</v>
      </c>
      <c r="B29" s="10" t="str">
        <f>_xlfn.IFNA(VLOOKUP($A29,CompChecksTrans!$A:$C,2,FALSE), "")</f>
        <v>FS1.12</v>
      </c>
      <c r="C29" s="10" t="str">
        <f>_xlfn.IFNA(VLOOKUP(B29,Phase1!A$4:C$129,3,FALSE),"")</f>
        <v>Does lab staff adhere to guidelines on safe disposal of waste?</v>
      </c>
      <c r="D29" s="10" t="str">
        <f>_xlfn.IFNA(VLOOKUP($A29,CompChecksTrans!$A:$C,3,FALSE), "     ")</f>
        <v>MOH ?</v>
      </c>
    </row>
    <row r="30" spans="1:4" ht="31.5" x14ac:dyDescent="0.25">
      <c r="A30" s="12" t="s">
        <v>4341</v>
      </c>
      <c r="B30" s="10" t="str">
        <f>_xlfn.IFNA(VLOOKUP($A30,CompChecksTrans!$A:$C,2,FALSE), "")</f>
        <v>FS1.13</v>
      </c>
      <c r="C30" s="10" t="str">
        <f>_xlfn.IFNA(VLOOKUP(B30,Phase1!A$4:C$129,3,FALSE),"")</f>
        <v>Is potentially infectious waste safely and securely stored before incineration?</v>
      </c>
      <c r="D30" s="10" t="str">
        <f>_xlfn.IFNA(VLOOKUP($A30,CompChecksTrans!$A:$C,3,FALSE), "     ")</f>
        <v>1. Presence of working autoclave with autoclave bags</v>
      </c>
    </row>
    <row r="31" spans="1:4" ht="31.5" x14ac:dyDescent="0.25">
      <c r="A31" s="12" t="s">
        <v>4342</v>
      </c>
      <c r="B31" s="10" t="str">
        <f>_xlfn.IFNA(VLOOKUP($A31,CompChecksTrans!$A:$C,2,FALSE), "")</f>
        <v>FS1.13</v>
      </c>
      <c r="C31" s="10" t="str">
        <f>_xlfn.IFNA(VLOOKUP(B31,Phase1!A$4:C$129,3,FALSE),"")</f>
        <v>Is potentially infectious waste safely and securely stored before incineration?</v>
      </c>
      <c r="D31" s="10" t="str">
        <f>_xlfn.IFNA(VLOOKUP($A31,CompChecksTrans!$A:$C,3,FALSE), "     ")</f>
        <v>2. Presence of SOP on how to use autoclave</v>
      </c>
    </row>
    <row r="32" spans="1:4" ht="31.5" x14ac:dyDescent="0.25">
      <c r="A32" s="12" t="s">
        <v>4343</v>
      </c>
      <c r="B32" s="10" t="str">
        <f>_xlfn.IFNA(VLOOKUP($A32,CompChecksTrans!$A:$C,2,FALSE), "")</f>
        <v>FS1.13</v>
      </c>
      <c r="C32" s="10" t="str">
        <f>_xlfn.IFNA(VLOOKUP(B32,Phase1!A$4:C$129,3,FALSE),"")</f>
        <v>Is potentially infectious waste safely and securely stored before incineration?</v>
      </c>
      <c r="D32" s="10" t="str">
        <f>_xlfn.IFNA(VLOOKUP($A32,CompChecksTrans!$A:$C,3,FALSE), "     ")</f>
        <v>3. Infectious waste stored in autoclave bag at secured location.</v>
      </c>
    </row>
    <row r="33" spans="1:4" ht="31.5" x14ac:dyDescent="0.25">
      <c r="A33" s="12" t="s">
        <v>4344</v>
      </c>
      <c r="B33" s="10" t="str">
        <f>_xlfn.IFNA(VLOOKUP($A33,CompChecksTrans!$A:$C,2,FALSE), "")</f>
        <v>FS1.13</v>
      </c>
      <c r="C33" s="10" t="str">
        <f>_xlfn.IFNA(VLOOKUP(B33,Phase1!A$4:C$129,3,FALSE),"")</f>
        <v>Is potentially infectious waste safely and securely stored before incineration?</v>
      </c>
      <c r="D33" s="10" t="str">
        <f>_xlfn.IFNA(VLOOKUP($A33,CompChecksTrans!$A:$C,3,FALSE), "     ")</f>
        <v>4. Infectious waste are autoclaved before incinerating</v>
      </c>
    </row>
    <row r="34" spans="1:4" ht="31.5" x14ac:dyDescent="0.25">
      <c r="A34" s="12" t="s">
        <v>4345</v>
      </c>
      <c r="B34" s="10" t="str">
        <f>_xlfn.IFNA(VLOOKUP($A34,CompChecksTrans!$A:$C,2,FALSE), "")</f>
        <v>FS1.14</v>
      </c>
      <c r="C34" s="10" t="str">
        <f>_xlfn.IFNA(VLOOKUP(B34,Phase1!A$4:C$129,3,FALSE),"")</f>
        <v>Is potentially infectious material properly incinerated?</v>
      </c>
      <c r="D34" s="10" t="str">
        <f>_xlfn.IFNA(VLOOKUP($A34,CompChecksTrans!$A:$C,3,FALSE), "     ")</f>
        <v>1. Incinerator existed in hospital and work properly</v>
      </c>
    </row>
    <row r="35" spans="1:4" ht="31.5" x14ac:dyDescent="0.25">
      <c r="A35" s="12" t="s">
        <v>4346</v>
      </c>
      <c r="B35" s="10" t="str">
        <f>_xlfn.IFNA(VLOOKUP($A35,CompChecksTrans!$A:$C,2,FALSE), "")</f>
        <v>FS1.14</v>
      </c>
      <c r="C35" s="10" t="str">
        <f>_xlfn.IFNA(VLOOKUP(B35,Phase1!A$4:C$129,3,FALSE),"")</f>
        <v>Is potentially infectious material properly incinerated?</v>
      </c>
      <c r="D35" s="10" t="str">
        <f>_xlfn.IFNA(VLOOKUP($A35,CompChecksTrans!$A:$C,3,FALSE), "     ")</f>
        <v xml:space="preserve">2. Presence of SOP for properly incinerated waste. </v>
      </c>
    </row>
    <row r="36" spans="1:4" ht="31.5" x14ac:dyDescent="0.25">
      <c r="A36" s="12" t="s">
        <v>4347</v>
      </c>
      <c r="B36" s="10" t="str">
        <f>_xlfn.IFNA(VLOOKUP($A36,CompChecksTrans!$A:$C,2,FALSE), "")</f>
        <v>FS1.14</v>
      </c>
      <c r="C36" s="10" t="str">
        <f>_xlfn.IFNA(VLOOKUP(B36,Phase1!A$4:C$129,3,FALSE),"")</f>
        <v>Is potentially infectious material properly incinerated?</v>
      </c>
      <c r="D36" s="10" t="str">
        <f>_xlfn.IFNA(VLOOKUP($A36,CompChecksTrans!$A:$C,3,FALSE), "     ")</f>
        <v>3. Minute of training to target staff on this SOP.</v>
      </c>
    </row>
    <row r="37" spans="1:4" ht="31.5" x14ac:dyDescent="0.25">
      <c r="A37" s="12" t="s">
        <v>4348</v>
      </c>
      <c r="B37" s="10" t="str">
        <f>_xlfn.IFNA(VLOOKUP($A37,CompChecksTrans!$A:$C,2,FALSE), "")</f>
        <v>FS1.14</v>
      </c>
      <c r="C37" s="10" t="str">
        <f>_xlfn.IFNA(VLOOKUP(B37,Phase1!A$4:C$129,3,FALSE),"")</f>
        <v>Is potentially infectious material properly incinerated?</v>
      </c>
      <c r="D37" s="10" t="str">
        <f>_xlfn.IFNA(VLOOKUP($A37,CompChecksTrans!$A:$C,3,FALSE), "     ")</f>
        <v>4. Presence of Read and Understood form signed by target staff.</v>
      </c>
    </row>
    <row r="38" spans="1:4" ht="31.5" x14ac:dyDescent="0.25">
      <c r="A38" s="12" t="s">
        <v>4349</v>
      </c>
      <c r="B38" s="10" t="str">
        <f>_xlfn.IFNA(VLOOKUP($A38,CompChecksTrans!$A:$C,2,FALSE), "")</f>
        <v>FS1.14</v>
      </c>
      <c r="C38" s="10" t="str">
        <f>_xlfn.IFNA(VLOOKUP(B38,Phase1!A$4:C$129,3,FALSE),"")</f>
        <v>Is potentially infectious material properly incinerated?</v>
      </c>
      <c r="D38" s="10" t="str">
        <f>_xlfn.IFNA(VLOOKUP($A38,CompChecksTrans!$A:$C,3,FALSE), "     ")</f>
        <v>5. Waste was incinerated properly.</v>
      </c>
    </row>
    <row r="39" spans="1:4" ht="31.5" x14ac:dyDescent="0.25">
      <c r="A39" s="12" t="s">
        <v>4350</v>
      </c>
      <c r="B39" s="10" t="str">
        <f>_xlfn.IFNA(VLOOKUP($A39,CompChecksTrans!$A:$C,2,FALSE), "")</f>
        <v>FS1.15</v>
      </c>
      <c r="C39" s="10" t="str">
        <f>_xlfn.IFNA(VLOOKUP(B39,Phase1!A$4:C$129,3,FALSE),"")</f>
        <v>Are sharps securely and safely incinerated without the risk for needle accidents?</v>
      </c>
      <c r="D39" s="10" t="str">
        <f>_xlfn.IFNA(VLOOKUP($A39,CompChecksTrans!$A:$C,3,FALSE), "     ")</f>
        <v>1. All shaps wastes are stored in sharps container</v>
      </c>
    </row>
    <row r="40" spans="1:4" ht="31.5" x14ac:dyDescent="0.25">
      <c r="A40" s="12" t="s">
        <v>4351</v>
      </c>
      <c r="B40" s="10" t="str">
        <f>_xlfn.IFNA(VLOOKUP($A40,CompChecksTrans!$A:$C,2,FALSE), "")</f>
        <v>FS1.15</v>
      </c>
      <c r="C40" s="10" t="str">
        <f>_xlfn.IFNA(VLOOKUP(B40,Phase1!A$4:C$129,3,FALSE),"")</f>
        <v>Are sharps securely and safely incinerated without the risk for needle accidents?</v>
      </c>
      <c r="D40" s="10" t="str">
        <f>_xlfn.IFNA(VLOOKUP($A40,CompChecksTrans!$A:$C,3,FALSE), "     ")</f>
        <v>2. Sharps containers are autoclaved</v>
      </c>
    </row>
    <row r="41" spans="1:4" ht="31.5" x14ac:dyDescent="0.25">
      <c r="A41" s="12" t="s">
        <v>4352</v>
      </c>
      <c r="B41" s="10" t="str">
        <f>_xlfn.IFNA(VLOOKUP($A41,CompChecksTrans!$A:$C,2,FALSE), "")</f>
        <v>FS1.15</v>
      </c>
      <c r="C41" s="10" t="str">
        <f>_xlfn.IFNA(VLOOKUP(B41,Phase1!A$4:C$129,3,FALSE),"")</f>
        <v>Are sharps securely and safely incinerated without the risk for needle accidents?</v>
      </c>
      <c r="D41" s="10" t="str">
        <f>_xlfn.IFNA(VLOOKUP($A41,CompChecksTrans!$A:$C,3,FALSE), "     ")</f>
        <v>3. Sharps containers are incinerated properly</v>
      </c>
    </row>
    <row r="42" spans="1:4" ht="31.5" x14ac:dyDescent="0.25">
      <c r="A42" s="12" t="s">
        <v>4353</v>
      </c>
      <c r="B42" s="10" t="str">
        <f>_xlfn.IFNA(VLOOKUP($A42,CompChecksTrans!$A:$C,2,FALSE), "")</f>
        <v>FS1.16</v>
      </c>
      <c r="C42" s="10" t="str">
        <f>_xlfn.IFNA(VLOOKUP(B42,Phase1!A$4:C$129,3,FALSE),"")</f>
        <v>Is the area around the fire pit/incinerator free from clutter?</v>
      </c>
      <c r="D42" s="10" t="str">
        <f>_xlfn.IFNA(VLOOKUP($A42,CompChecksTrans!$A:$C,3,FALSE), "     ")</f>
        <v>1. Minute of meeting</v>
      </c>
    </row>
    <row r="43" spans="1:4" ht="31.5" x14ac:dyDescent="0.25">
      <c r="A43" s="12" t="s">
        <v>4354</v>
      </c>
      <c r="B43" s="10" t="str">
        <f>_xlfn.IFNA(VLOOKUP($A43,CompChecksTrans!$A:$C,2,FALSE), "")</f>
        <v>FS1.16</v>
      </c>
      <c r="C43" s="10" t="str">
        <f>_xlfn.IFNA(VLOOKUP(B43,Phase1!A$4:C$129,3,FALSE),"")</f>
        <v>Is the area around the fire pit/incinerator free from clutter?</v>
      </c>
      <c r="D43" s="10" t="str">
        <f>_xlfn.IFNA(VLOOKUP($A43,CompChecksTrans!$A:$C,3,FALSE), "     ")</f>
        <v>2. Area around the incinerator is free from clutter.</v>
      </c>
    </row>
    <row r="44" spans="1:4" ht="31.5" x14ac:dyDescent="0.25">
      <c r="A44" s="12" t="s">
        <v>4355</v>
      </c>
      <c r="B44" s="10" t="str">
        <f>_xlfn.IFNA(VLOOKUP($A44,CompChecksTrans!$A:$C,2,FALSE), "")</f>
        <v>FS1.16</v>
      </c>
      <c r="C44" s="10" t="str">
        <f>_xlfn.IFNA(VLOOKUP(B44,Phase1!A$4:C$129,3,FALSE),"")</f>
        <v>Is the area around the fire pit/incinerator free from clutter?</v>
      </c>
      <c r="D44" s="10" t="str">
        <f>_xlfn.IFNA(VLOOKUP($A44,CompChecksTrans!$A:$C,3,FALSE), "     ")</f>
        <v>3. Presence of SOP which mentioned about free from clutter around incinerator.</v>
      </c>
    </row>
    <row r="45" spans="1:4" ht="31.5" x14ac:dyDescent="0.25">
      <c r="A45" s="12" t="s">
        <v>4356</v>
      </c>
      <c r="B45" s="10" t="str">
        <f>_xlfn.IFNA(VLOOKUP($A45,CompChecksTrans!$A:$C,2,FALSE), "")</f>
        <v>FS1.17</v>
      </c>
      <c r="C45" s="10" t="str">
        <f>_xlfn.IFNA(VLOOKUP(B45,Phase1!A$4:C$129,3,FALSE),"")</f>
        <v>Is infectious glassware for re-use autoclaved correctly?</v>
      </c>
      <c r="D45" s="10" t="str">
        <f>_xlfn.IFNA(VLOOKUP($A45,CompChecksTrans!$A:$C,3,FALSE), "     ")</f>
        <v>1. Presence of functioned autoclave</v>
      </c>
    </row>
    <row r="46" spans="1:4" ht="31.5" x14ac:dyDescent="0.25">
      <c r="A46" s="12" t="s">
        <v>4357</v>
      </c>
      <c r="B46" s="10" t="str">
        <f>_xlfn.IFNA(VLOOKUP($A46,CompChecksTrans!$A:$C,2,FALSE), "")</f>
        <v>FS1.17</v>
      </c>
      <c r="C46" s="10" t="str">
        <f>_xlfn.IFNA(VLOOKUP(B46,Phase1!A$4:C$129,3,FALSE),"")</f>
        <v>Is infectious glassware for re-use autoclaved correctly?</v>
      </c>
      <c r="D46" s="10" t="str">
        <f>_xlfn.IFNA(VLOOKUP($A46,CompChecksTrans!$A:$C,3,FALSE), "     ")</f>
        <v>2. Presence of waste container for infectious glasswares for re-use.</v>
      </c>
    </row>
    <row r="47" spans="1:4" ht="31.5" x14ac:dyDescent="0.25">
      <c r="A47" s="12" t="s">
        <v>4358</v>
      </c>
      <c r="B47" s="10" t="str">
        <f>_xlfn.IFNA(VLOOKUP($A47,CompChecksTrans!$A:$C,2,FALSE), "")</f>
        <v>FS1.17</v>
      </c>
      <c r="C47" s="10" t="str">
        <f>_xlfn.IFNA(VLOOKUP(B47,Phase1!A$4:C$129,3,FALSE),"")</f>
        <v>Is infectious glassware for re-use autoclaved correctly?</v>
      </c>
      <c r="D47" s="10" t="str">
        <f>_xlfn.IFNA(VLOOKUP($A47,CompChecksTrans!$A:$C,3,FALSE), "     ")</f>
        <v>3. Infectious glasswares for re-use are autoclave correctly</v>
      </c>
    </row>
    <row r="48" spans="1:4" ht="31.5" x14ac:dyDescent="0.25">
      <c r="A48" s="12" t="s">
        <v>4359</v>
      </c>
      <c r="B48" s="10" t="str">
        <f>_xlfn.IFNA(VLOOKUP($A48,CompChecksTrans!$A:$C,2,FALSE), "")</f>
        <v>FS1.18</v>
      </c>
      <c r="C48" s="10" t="str">
        <f>_xlfn.IFNA(VLOOKUP(B48,Phase1!A$4:C$129,3,FALSE),"")</f>
        <v>Are separate, clearly distinguishable containers present for different types of chemical waste?</v>
      </c>
      <c r="D48" s="10" t="str">
        <f>_xlfn.IFNA(VLOOKUP($A48,CompChecksTrans!$A:$C,3,FALSE), "     ")</f>
        <v>1. Presence of various type of chemical waste containers with clear labels</v>
      </c>
    </row>
    <row r="49" spans="1:4" ht="31.5" x14ac:dyDescent="0.25">
      <c r="A49" s="12" t="s">
        <v>4360</v>
      </c>
      <c r="B49" s="10" t="str">
        <f>_xlfn.IFNA(VLOOKUP($A49,CompChecksTrans!$A:$C,2,FALSE), "")</f>
        <v>FS1.18</v>
      </c>
      <c r="C49" s="10" t="str">
        <f>_xlfn.IFNA(VLOOKUP(B49,Phase1!A$4:C$129,3,FALSE),"")</f>
        <v>Are separate, clearly distinguishable containers present for different types of chemical waste?</v>
      </c>
      <c r="D49" s="10" t="str">
        <f>_xlfn.IFNA(VLOOKUP($A49,CompChecksTrans!$A:$C,3,FALSE), "     ")</f>
        <v>2. Presence of SOP on disposing chemical wastes.</v>
      </c>
    </row>
    <row r="50" spans="1:4" ht="31.5" x14ac:dyDescent="0.25">
      <c r="A50" s="12" t="s">
        <v>4361</v>
      </c>
      <c r="B50" s="10" t="str">
        <f>_xlfn.IFNA(VLOOKUP($A50,CompChecksTrans!$A:$C,2,FALSE), "")</f>
        <v>FS1.19</v>
      </c>
      <c r="C50" s="10" t="str">
        <f>_xlfn.IFNA(VLOOKUP(B50,Phase1!A$4:C$129,3,FALSE),"")</f>
        <v>Is chemical waste processed correctly?</v>
      </c>
      <c r="D50" s="10" t="str">
        <f>_xlfn.IFNA(VLOOKUP($A50,CompChecksTrans!$A:$C,3,FALSE), "     ")</f>
        <v>1. Different types of chemical wastes are stored in chemical waste containers accordingly.</v>
      </c>
    </row>
    <row r="51" spans="1:4" ht="31.5" x14ac:dyDescent="0.25">
      <c r="A51" s="12" t="s">
        <v>4362</v>
      </c>
      <c r="B51" s="10" t="str">
        <f>_xlfn.IFNA(VLOOKUP($A51,CompChecksTrans!$A:$C,2,FALSE), "")</f>
        <v>FS1.19</v>
      </c>
      <c r="C51" s="10" t="str">
        <f>_xlfn.IFNA(VLOOKUP(B51,Phase1!A$4:C$129,3,FALSE),"")</f>
        <v>Is chemical waste processed correctly?</v>
      </c>
      <c r="D51" s="10" t="str">
        <f>_xlfn.IFNA(VLOOKUP($A51,CompChecksTrans!$A:$C,3,FALSE), "     ")</f>
        <v>2. Presence of treatment place for chemical waste</v>
      </c>
    </row>
    <row r="52" spans="1:4" ht="31.5" x14ac:dyDescent="0.25">
      <c r="A52" s="12" t="s">
        <v>4363</v>
      </c>
      <c r="B52" s="10" t="str">
        <f>_xlfn.IFNA(VLOOKUP($A52,CompChecksTrans!$A:$C,2,FALSE), "")</f>
        <v>FS1.20</v>
      </c>
      <c r="C52" s="10" t="str">
        <f>_xlfn.IFNA(VLOOKUP(B52,Phase1!A$4:C$129,3,FALSE),"")</f>
        <v>Are trashcans for (bio)hazardous waste clearly distinguishable to prevent confusion with the bins for normal waste?</v>
      </c>
      <c r="D52" s="10" t="str">
        <f>_xlfn.IFNA(VLOOKUP($A52,CompChecksTrans!$A:$C,3,FALSE), "     ")</f>
        <v>Presence of biohazard containers and normal waste with clear labels</v>
      </c>
    </row>
    <row r="53" spans="1:4" ht="31.5" x14ac:dyDescent="0.25">
      <c r="A53" s="12" t="s">
        <v>4364</v>
      </c>
      <c r="B53" s="10" t="str">
        <f>_xlfn.IFNA(VLOOKUP($A53,CompChecksTrans!$A:$C,2,FALSE), "")</f>
        <v>FS1.21</v>
      </c>
      <c r="C53" s="10" t="str">
        <f>_xlfn.IFNA(VLOOKUP(B53,Phase1!A$4:C$129,3,FALSE),"")</f>
        <v>Is normal waste processed according to local/national regulations (if applicable)?</v>
      </c>
      <c r="D53" s="10" t="str">
        <f>_xlfn.IFNA(VLOOKUP($A53,CompChecksTrans!$A:$C,3,FALSE), "     ")</f>
        <v>1. Presence of SOP on normal waste processing (according to local/national regulation.)</v>
      </c>
    </row>
    <row r="54" spans="1:4" ht="31.5" x14ac:dyDescent="0.25">
      <c r="A54" s="12" t="s">
        <v>4365</v>
      </c>
      <c r="B54" s="10" t="str">
        <f>_xlfn.IFNA(VLOOKUP($A54,CompChecksTrans!$A:$C,2,FALSE), "")</f>
        <v>FS1.21</v>
      </c>
      <c r="C54" s="10" t="str">
        <f>_xlfn.IFNA(VLOOKUP(B54,Phase1!A$4:C$129,3,FALSE),"")</f>
        <v>Is normal waste processed according to local/national regulations (if applicable)?</v>
      </c>
      <c r="D54" s="10" t="str">
        <f>_xlfn.IFNA(VLOOKUP($A54,CompChecksTrans!$A:$C,3,FALSE), "     ")</f>
        <v>2. Presence of Read and Understand form signed by staff</v>
      </c>
    </row>
    <row r="55" spans="1:4" ht="31.5" x14ac:dyDescent="0.25">
      <c r="A55" s="12" t="s">
        <v>4366</v>
      </c>
      <c r="B55" s="10" t="str">
        <f>_xlfn.IFNA(VLOOKUP($A55,CompChecksTrans!$A:$C,2,FALSE), "")</f>
        <v>FS1.22</v>
      </c>
      <c r="C55" s="10" t="str">
        <f>_xlfn.IFNA(VLOOKUP(B55,Phase1!A$4:C$129,3,FALSE),"")</f>
        <v>Is an up-to-date Biosafety Manual present in the laboratory?</v>
      </c>
      <c r="D55" s="10" t="str">
        <f>_xlfn.IFNA(VLOOKUP($A55,CompChecksTrans!$A:$C,3,FALSE), "     ")</f>
        <v>1. Presence of list of all safety procedures needed</v>
      </c>
    </row>
    <row r="56" spans="1:4" ht="31.5" x14ac:dyDescent="0.25">
      <c r="A56" s="12" t="s">
        <v>4367</v>
      </c>
      <c r="B56" s="10" t="str">
        <f>_xlfn.IFNA(VLOOKUP($A56,CompChecksTrans!$A:$C,2,FALSE), "")</f>
        <v>FS1.22</v>
      </c>
      <c r="C56" s="10" t="str">
        <f>_xlfn.IFNA(VLOOKUP(B56,Phase1!A$4:C$129,3,FALSE),"")</f>
        <v>Is an up-to-date Biosafety Manual present in the laboratory?</v>
      </c>
      <c r="D56" s="10" t="str">
        <f>_xlfn.IFNA(VLOOKUP($A56,CompChecksTrans!$A:$C,3,FALSE), "     ")</f>
        <v>2. Presence of folder of Biosafety manual</v>
      </c>
    </row>
    <row r="57" spans="1:4" ht="31.5" x14ac:dyDescent="0.25">
      <c r="A57" s="12" t="s">
        <v>4368</v>
      </c>
      <c r="B57" s="10" t="str">
        <f>_xlfn.IFNA(VLOOKUP($A57,CompChecksTrans!$A:$C,2,FALSE), "")</f>
        <v>FS1.22</v>
      </c>
      <c r="C57" s="10" t="str">
        <f>_xlfn.IFNA(VLOOKUP(B57,Phase1!A$4:C$129,3,FALSE),"")</f>
        <v>Is an up-to-date Biosafety Manual present in the laboratory?</v>
      </c>
      <c r="D57" s="10" t="str">
        <f>_xlfn.IFNA(VLOOKUP($A57,CompChecksTrans!$A:$C,3,FALSE), "     ")</f>
        <v>3. Presence of the Read and Understand List signed by staffs</v>
      </c>
    </row>
    <row r="58" spans="1:4" ht="47.25" x14ac:dyDescent="0.25">
      <c r="A58" s="12" t="s">
        <v>4369</v>
      </c>
      <c r="B58" s="10" t="str">
        <f>_xlfn.IFNA(VLOOKUP($A58,CompChecksTrans!$A:$C,2,FALSE), "")</f>
        <v>FS1.23</v>
      </c>
      <c r="C58" s="10" t="str">
        <f>_xlfn.IFNA(VLOOKUP(B58,Phase1!A$4:C$129,3,FALSE),"")</f>
        <v>Does the biological safety manual have a logical structure with table of contents, an introduction and a title page clearly stating the words “Biosafety Manual”?</v>
      </c>
      <c r="D58" s="10" t="str">
        <f>_xlfn.IFNA(VLOOKUP($A58,CompChecksTrans!$A:$C,3,FALSE), "     ")</f>
        <v>1. Presence of biosafety manual which includes all the neccessary elements</v>
      </c>
    </row>
    <row r="59" spans="1:4" ht="31.5" x14ac:dyDescent="0.25">
      <c r="A59" s="12" t="s">
        <v>4370</v>
      </c>
      <c r="B59" s="10" t="str">
        <f>_xlfn.IFNA(VLOOKUP($A59,CompChecksTrans!$A:$C,2,FALSE), "")</f>
        <v>FS1.24</v>
      </c>
      <c r="C59" s="10" t="str">
        <f>_xlfn.IFNA(VLOOKUP(B59,Phase1!A$4:C$129,3,FALSE),"")</f>
        <v>Does the Biosafety Manual contain general safety rules for working in the laboratory with human material?</v>
      </c>
      <c r="D59" s="10" t="str">
        <f>_xlfn.IFNA(VLOOKUP($A59,CompChecksTrans!$A:$C,3,FALSE), "     ")</f>
        <v>1. Presence of general safety rules/instructions in the folder of biosafety manual</v>
      </c>
    </row>
    <row r="60" spans="1:4" ht="31.5" x14ac:dyDescent="0.25">
      <c r="A60" s="12" t="s">
        <v>4371</v>
      </c>
      <c r="B60" s="10" t="str">
        <f>_xlfn.IFNA(VLOOKUP($A60,CompChecksTrans!$A:$C,2,FALSE), "")</f>
        <v>FS1.25</v>
      </c>
      <c r="C60" s="10" t="str">
        <f>_xlfn.IFNA(VLOOKUP(B60,Phase1!A$4:C$129,3,FALSE),"")</f>
        <v>Does the Biosafety Manual contain preventive safety procedures?</v>
      </c>
      <c r="D60" s="10" t="str">
        <f>_xlfn.IFNA(VLOOKUP($A60,CompChecksTrans!$A:$C,3,FALSE), "     ")</f>
        <v>1. Presence of preventive safety procedures in the folder of biosafety manual</v>
      </c>
    </row>
    <row r="61" spans="1:4" ht="31.5" x14ac:dyDescent="0.25">
      <c r="A61" s="12" t="s">
        <v>4372</v>
      </c>
      <c r="B61" s="10" t="str">
        <f>_xlfn.IFNA(VLOOKUP($A61,CompChecksTrans!$A:$C,2,FALSE), "")</f>
        <v>FS1.26</v>
      </c>
      <c r="C61" s="10" t="str">
        <f>_xlfn.IFNA(VLOOKUP(B61,Phase1!A$4:C$129,3,FALSE),"")</f>
        <v>Does the Biosafety Manual contain procedures for emergency situations?</v>
      </c>
      <c r="D61" s="10" t="str">
        <f>_xlfn.IFNA(VLOOKUP($A61,CompChecksTrans!$A:$C,3,FALSE), "     ")</f>
        <v>1. Presence of​ procedures for emergency situations in the folder of biosafety manual</v>
      </c>
    </row>
    <row r="62" spans="1:4" ht="47.25" x14ac:dyDescent="0.25">
      <c r="A62" s="12" t="s">
        <v>4373</v>
      </c>
      <c r="B62" s="10" t="str">
        <f>_xlfn.IFNA(VLOOKUP($A62,CompChecksTrans!$A:$C,2,FALSE), "")</f>
        <v>FS1.27</v>
      </c>
      <c r="C62" s="10" t="str">
        <f>_xlfn.IFNA(VLOOKUP(B62,Phase1!A$4:C$129,3,FALSE),"")</f>
        <v>Are the Biosafety Manual chapters signed by the author, reviewer and Laboratory Management?</v>
      </c>
      <c r="D62" s="10" t="str">
        <f>_xlfn.IFNA(VLOOKUP($A62,CompChecksTrans!$A:$C,3,FALSE), "     ")</f>
        <v>Presence of signatures of author, reviewer, and lab manager for all SOPs.</v>
      </c>
    </row>
    <row r="63" spans="1:4" ht="31.5" x14ac:dyDescent="0.25">
      <c r="A63" s="12" t="s">
        <v>4374</v>
      </c>
      <c r="B63" s="10" t="str">
        <f>_xlfn.IFNA(VLOOKUP($A63,CompChecksTrans!$A:$C,2,FALSE), "")</f>
        <v>FS1.28</v>
      </c>
      <c r="C63" s="10" t="str">
        <f>_xlfn.IFNA(VLOOKUP(B63,Phase1!A$4:C$129,3,FALSE),"")</f>
        <v>Is the Biosafety Manual easily accessible for all staff members at a logical location?</v>
      </c>
      <c r="D63" s="10" t="str">
        <f>_xlfn.IFNA(VLOOKUP($A63,CompChecksTrans!$A:$C,3,FALSE), "     ")</f>
        <v>The biosafety manaul locates at easily accessible place</v>
      </c>
    </row>
    <row r="64" spans="1:4" ht="31.5" x14ac:dyDescent="0.25">
      <c r="A64" s="12" t="s">
        <v>4375</v>
      </c>
      <c r="B64" s="10" t="str">
        <f>_xlfn.IFNA(VLOOKUP($A64,CompChecksTrans!$A:$C,2,FALSE), "")</f>
        <v>FS1.29</v>
      </c>
      <c r="C64" s="10" t="str">
        <f>_xlfn.IFNA(VLOOKUP(B64,Phase1!A$4:C$129,3,FALSE),"")</f>
        <v>Is the Biosafety Manual read and signed by all staff members?</v>
      </c>
      <c r="D64" s="10" t="str">
        <f>_xlfn.IFNA(VLOOKUP($A64,CompChecksTrans!$A:$C,3,FALSE), "     ")</f>
        <v>Presence of the Read and Understand Form including all staffs'signatures</v>
      </c>
    </row>
    <row r="65" spans="1:4" ht="31.5" x14ac:dyDescent="0.25">
      <c r="A65" s="12" t="s">
        <v>4376</v>
      </c>
      <c r="B65" s="10" t="str">
        <f>_xlfn.IFNA(VLOOKUP($A65,CompChecksTrans!$A:$C,2,FALSE), "")</f>
        <v>FS1.30</v>
      </c>
      <c r="C65" s="10" t="str">
        <f>_xlfn.IFNA(VLOOKUP(B65,Phase1!A$4:C$129,3,FALSE),"")</f>
        <v>Is an SOP present describing how to clean the laboratory building?</v>
      </c>
      <c r="D65" s="10" t="str">
        <f>_xlfn.IFNA(VLOOKUP($A65,CompChecksTrans!$A:$C,3,FALSE), "     ")</f>
        <v>1. Presence of SOP on cleaning laboratory building</v>
      </c>
    </row>
    <row r="66" spans="1:4" ht="31.5" x14ac:dyDescent="0.25">
      <c r="A66" s="12" t="s">
        <v>4377</v>
      </c>
      <c r="B66" s="10" t="str">
        <f>_xlfn.IFNA(VLOOKUP($A66,CompChecksTrans!$A:$C,2,FALSE), "")</f>
        <v>FS1.30</v>
      </c>
      <c r="C66" s="10" t="str">
        <f>_xlfn.IFNA(VLOOKUP(B66,Phase1!A$4:C$129,3,FALSE),"")</f>
        <v>Is an SOP present describing how to clean the laboratory building?</v>
      </c>
      <c r="D66" s="10" t="str">
        <f>_xlfn.IFNA(VLOOKUP($A66,CompChecksTrans!$A:$C,3,FALSE), "     ")</f>
        <v>2. Presence of  the Read and Understand Form for SOP on cleaning laboratory building including all staffs' signatures</v>
      </c>
    </row>
    <row r="67" spans="1:4" ht="31.5" x14ac:dyDescent="0.25">
      <c r="A67" s="12" t="s">
        <v>4378</v>
      </c>
      <c r="B67" s="10" t="str">
        <f>_xlfn.IFNA(VLOOKUP($A67,CompChecksTrans!$A:$C,2,FALSE), "")</f>
        <v>FS1.32</v>
      </c>
      <c r="C67" s="10" t="str">
        <f>_xlfn.IFNA(VLOOKUP(B67,Phase1!A$4:C$129,3,FALSE),"")</f>
        <v>Is a cleaning schedule present?</v>
      </c>
      <c r="D67" s="10" t="str">
        <f>_xlfn.IFNA(VLOOKUP($A67,CompChecksTrans!$A:$C,3,FALSE), "     ")</f>
        <v>Presence of cleaning schedule on wall or somewhere else</v>
      </c>
    </row>
    <row r="68" spans="1:4" ht="31.5" x14ac:dyDescent="0.25">
      <c r="A68" s="12" t="s">
        <v>4379</v>
      </c>
      <c r="B68" s="10" t="str">
        <f>_xlfn.IFNA(VLOOKUP($A68,CompChecksTrans!$A:$C,2,FALSE), "")</f>
        <v>FS1.35</v>
      </c>
      <c r="C68" s="10" t="str">
        <f>_xlfn.IFNA(VLOOKUP(B68,Phase1!A$4:C$129,3,FALSE),"")</f>
        <v>Are there spill kits present in adequate numbers and are these kits complete</v>
      </c>
      <c r="D68" s="10" t="str">
        <f>_xlfn.IFNA(VLOOKUP($A68,CompChecksTrans!$A:$C,3,FALSE), "     ")</f>
        <v>1. Presence of spill kits (at  least two)</v>
      </c>
    </row>
    <row r="69" spans="1:4" ht="31.5" x14ac:dyDescent="0.25">
      <c r="A69" s="12" t="s">
        <v>4380</v>
      </c>
      <c r="B69" s="10" t="str">
        <f>_xlfn.IFNA(VLOOKUP($A69,CompChecksTrans!$A:$C,2,FALSE), "")</f>
        <v>FS1.36</v>
      </c>
      <c r="C69" s="10" t="str">
        <f>_xlfn.IFNA(VLOOKUP(B69,Phase1!A$4:C$129,3,FALSE),"")</f>
        <v>Is there an SOP that provides procedures for dealing with the different types of spills?</v>
      </c>
      <c r="D69" s="10" t="str">
        <f>_xlfn.IFNA(VLOOKUP($A69,CompChecksTrans!$A:$C,3,FALSE), "     ")</f>
        <v>Presence of SOP to deal with:</v>
      </c>
    </row>
    <row r="70" spans="1:4" ht="31.5" x14ac:dyDescent="0.25">
      <c r="A70" s="12" t="s">
        <v>4381</v>
      </c>
      <c r="B70" s="10" t="str">
        <f>_xlfn.IFNA(VLOOKUP($A70,CompChecksTrans!$A:$C,2,FALSE), "")</f>
        <v>FS1.36</v>
      </c>
      <c r="C70" s="10" t="str">
        <f>_xlfn.IFNA(VLOOKUP(B70,Phase1!A$4:C$129,3,FALSE),"")</f>
        <v>Is there an SOP that provides procedures for dealing with the different types of spills?</v>
      </c>
      <c r="D70" s="10" t="str">
        <f>_xlfn.IFNA(VLOOKUP($A70,CompChecksTrans!$A:$C,3,FALSE), "     ")</f>
        <v xml:space="preserve"> Infectious spills (outside a BSC)</v>
      </c>
    </row>
    <row r="71" spans="1:4" ht="31.5" x14ac:dyDescent="0.25">
      <c r="A71" s="12" t="s">
        <v>4382</v>
      </c>
      <c r="B71" s="10" t="str">
        <f>_xlfn.IFNA(VLOOKUP($A71,CompChecksTrans!$A:$C,2,FALSE), "")</f>
        <v>FS1.36</v>
      </c>
      <c r="C71" s="10" t="str">
        <f>_xlfn.IFNA(VLOOKUP(B71,Phase1!A$4:C$129,3,FALSE),"")</f>
        <v>Is there an SOP that provides procedures for dealing with the different types of spills?</v>
      </c>
      <c r="D71" s="10" t="str">
        <f>_xlfn.IFNA(VLOOKUP($A71,CompChecksTrans!$A:$C,3,FALSE), "     ")</f>
        <v>Infectious spills (contained within a BSC)</v>
      </c>
    </row>
    <row r="72" spans="1:4" ht="31.5" x14ac:dyDescent="0.25">
      <c r="A72" s="12" t="s">
        <v>4383</v>
      </c>
      <c r="B72" s="10" t="str">
        <f>_xlfn.IFNA(VLOOKUP($A72,CompChecksTrans!$A:$C,2,FALSE), "")</f>
        <v>FS1.36</v>
      </c>
      <c r="C72" s="10" t="str">
        <f>_xlfn.IFNA(VLOOKUP(B72,Phase1!A$4:C$129,3,FALSE),"")</f>
        <v>Is there an SOP that provides procedures for dealing with the different types of spills?</v>
      </c>
      <c r="D72" s="10" t="str">
        <f>_xlfn.IFNA(VLOOKUP($A72,CompChecksTrans!$A:$C,3,FALSE), "     ")</f>
        <v xml:space="preserve"> Breakage of tubes inside sealed buckets (safety cups)</v>
      </c>
    </row>
    <row r="73" spans="1:4" ht="31.5" x14ac:dyDescent="0.25">
      <c r="A73" s="12" t="s">
        <v>4384</v>
      </c>
      <c r="B73" s="10" t="str">
        <f>_xlfn.IFNA(VLOOKUP($A73,CompChecksTrans!$A:$C,2,FALSE), "")</f>
        <v>FS1.36</v>
      </c>
      <c r="C73" s="10" t="str">
        <f>_xlfn.IFNA(VLOOKUP(B73,Phase1!A$4:C$129,3,FALSE),"")</f>
        <v>Is there an SOP that provides procedures for dealing with the different types of spills?</v>
      </c>
      <c r="D73" s="10" t="str">
        <f>_xlfn.IFNA(VLOOKUP($A73,CompChecksTrans!$A:$C,3,FALSE), "     ")</f>
        <v>Chemicals spills</v>
      </c>
    </row>
    <row r="74" spans="1:4" ht="31.5" x14ac:dyDescent="0.25">
      <c r="A74" s="12" t="s">
        <v>4385</v>
      </c>
      <c r="B74" s="10" t="str">
        <f>_xlfn.IFNA(VLOOKUP($A74,CompChecksTrans!$A:$C,2,FALSE), "")</f>
        <v>FS1.37</v>
      </c>
      <c r="C74" s="10" t="str">
        <f>_xlfn.IFNA(VLOOKUP(B74,Phase1!A$4:C$129,3,FALSE),"")</f>
        <v>Are first aid providers present in the laboratory?</v>
      </c>
      <c r="D74" s="10" t="str">
        <f>_xlfn.IFNA(VLOOKUP($A74,CompChecksTrans!$A:$C,3,FALSE), "     ")</f>
        <v>1. Presence of first aid training course</v>
      </c>
    </row>
    <row r="75" spans="1:4" ht="31.5" x14ac:dyDescent="0.25">
      <c r="A75" s="12" t="s">
        <v>4386</v>
      </c>
      <c r="B75" s="10" t="str">
        <f>_xlfn.IFNA(VLOOKUP($A75,CompChecksTrans!$A:$C,2,FALSE), "")</f>
        <v>FS1.37</v>
      </c>
      <c r="C75" s="10" t="str">
        <f>_xlfn.IFNA(VLOOKUP(B75,Phase1!A$4:C$129,3,FALSE),"")</f>
        <v>Are first aid providers present in the laboratory?</v>
      </c>
      <c r="D75" s="10" t="str">
        <f>_xlfn.IFNA(VLOOKUP($A75,CompChecksTrans!$A:$C,3,FALSE), "     ")</f>
        <v>2. Copies of the first aid provider certificates</v>
      </c>
    </row>
    <row r="76" spans="1:4" ht="31.5" x14ac:dyDescent="0.25">
      <c r="A76" s="12" t="s">
        <v>4387</v>
      </c>
      <c r="B76" s="10" t="str">
        <f>_xlfn.IFNA(VLOOKUP($A76,CompChecksTrans!$A:$C,2,FALSE), "")</f>
        <v>FS1.38</v>
      </c>
      <c r="C76" s="10" t="str">
        <f>_xlfn.IFNA(VLOOKUP(B76,Phase1!A$4:C$129,3,FALSE),"")</f>
        <v>Are first aid kits present and placed at accessible locations?</v>
      </c>
      <c r="D76" s="10" t="str">
        <f>_xlfn.IFNA(VLOOKUP($A76,CompChecksTrans!$A:$C,3,FALSE), "     ")</f>
        <v>Presence of first aid kits at accessible location</v>
      </c>
    </row>
    <row r="77" spans="1:4" ht="31.5" x14ac:dyDescent="0.25">
      <c r="A77" s="12" t="s">
        <v>4388</v>
      </c>
      <c r="B77" s="10" t="str">
        <f>_xlfn.IFNA(VLOOKUP($A77,CompChecksTrans!$A:$C,2,FALSE), "")</f>
        <v>ORG1.1</v>
      </c>
      <c r="C77" s="10" t="str">
        <f>_xlfn.IFNA(VLOOKUP(B77,Phase1!A$4:C$129,3,FALSE),"")</f>
        <v>Is the implementation of the quality management system coordinated through a Quality Project Team?</v>
      </c>
      <c r="D77" s="10" t="str">
        <f>_xlfn.IFNA(VLOOKUP($A77,CompChecksTrans!$A:$C,3,FALSE), "     ")</f>
        <v>1. Official Nomination Letter existed for Quality Officer.</v>
      </c>
    </row>
    <row r="78" spans="1:4" ht="63" x14ac:dyDescent="0.25">
      <c r="A78" s="12" t="s">
        <v>4389</v>
      </c>
      <c r="B78" s="10" t="str">
        <f>_xlfn.IFNA(VLOOKUP($A78,CompChecksTrans!$A:$C,2,FALSE), "")</f>
        <v>ORG1.3</v>
      </c>
      <c r="C78" s="10" t="str">
        <f>_xlfn.IFNA(VLOOKUP(B78,Phase1!A$4:C$129,3,FALSE),"")</f>
        <v>Are Quality Project Team meetings held on a regular basis?
The presence of minutes serve as prove for this.</v>
      </c>
      <c r="D78" s="10" t="str">
        <f>_xlfn.IFNA(VLOOKUP($A78,CompChecksTrans!$A:$C,3,FALSE), "     ")</f>
        <v>1. Presence of the minutes of the meeting</v>
      </c>
    </row>
    <row r="79" spans="1:4" ht="126" x14ac:dyDescent="0.25">
      <c r="A79" s="12" t="s">
        <v>4390</v>
      </c>
      <c r="B79" s="10" t="str">
        <f>_xlfn.IFNA(VLOOKUP($A79,CompChecksTrans!$A:$C,2,FALSE), "")</f>
        <v>ORG1.4</v>
      </c>
      <c r="C79" s="10" t="str">
        <f>_xlfn.IFNA(VLOOKUP(B79,Phase1!A$4:C$129,3,FALSE),"")</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79" s="10" t="str">
        <f>_xlfn.IFNA(VLOOKUP($A79,CompChecksTrans!$A:$C,3,FALSE), "     ")</f>
        <v xml:space="preserve">1. Presence of the minute of meeting </v>
      </c>
    </row>
    <row r="80" spans="1:4" ht="31.5" x14ac:dyDescent="0.25">
      <c r="A80" s="12" t="s">
        <v>4391</v>
      </c>
      <c r="B80" s="10" t="str">
        <f>_xlfn.IFNA(VLOOKUP($A80,CompChecksTrans!$A:$C,2,FALSE), "")</f>
        <v>ORG1.5</v>
      </c>
      <c r="C80" s="10" t="str">
        <f>_xlfn.IFNA(VLOOKUP(B80,Phase1!A$4:C$129,3,FALSE),"")</f>
        <v>Does the laboratory make use of action plans with SMART formulated action points?</v>
      </c>
      <c r="D80" s="10" t="str">
        <f>_xlfn.IFNA(VLOOKUP($A80,CompChecksTrans!$A:$C,3,FALSE), "     ")</f>
        <v>1. Presence of  Action plans with SMART.</v>
      </c>
    </row>
    <row r="81" spans="1:4" ht="63" x14ac:dyDescent="0.25">
      <c r="A81" s="12" t="s">
        <v>4392</v>
      </c>
      <c r="B81" s="10" t="str">
        <f>_xlfn.IFNA(VLOOKUP($A81,CompChecksTrans!$A:$C,2,FALSE), "")</f>
        <v>ORG1.6</v>
      </c>
      <c r="C81" s="10" t="str">
        <f>_xlfn.IFNA(VLOOKUP(B81,Phase1!A$4:C$129,3,FALSE),"")</f>
        <v>Are action plans all stored together in one folder, with a logical structure (e.g. completed action plans in the back, open action plans in the front, sorted on date, etc.)?</v>
      </c>
      <c r="D81" s="10" t="str">
        <f>_xlfn.IFNA(VLOOKUP($A81,CompChecksTrans!$A:$C,3,FALSE), "     ")</f>
        <v xml:space="preserve">1. Presence of folder of action plans with logical structure with two tabs inside (completed action plans in the back and open action plans in the front and they sorted on date) </v>
      </c>
    </row>
    <row r="82" spans="1:4" ht="78.75" x14ac:dyDescent="0.25">
      <c r="A82" s="12" t="s">
        <v>4393</v>
      </c>
      <c r="B82" s="10" t="str">
        <f>_xlfn.IFNA(VLOOKUP($A82,CompChecksTrans!$A:$C,2,FALSE), "")</f>
        <v>ORG1.7</v>
      </c>
      <c r="C82" s="10" t="str">
        <f>_xlfn.IFNA(VLOOKUP(B82,Phase1!A$4:C$129,3,FALSE),"")</f>
        <v>Is the completion of action points and action plans checked on a monthly basis and, if necessary, followed-up?
I.e. do you see action points that have not been completed while their deadline has passed?</v>
      </c>
      <c r="D82" s="10" t="str">
        <f>_xlfn.IFNA(VLOOKUP($A82,CompChecksTrans!$A:$C,3,FALSE), "     ")</f>
        <v>1. Presence of signature and date on the completed action point and action plan.</v>
      </c>
    </row>
    <row r="83" spans="1:4" ht="78.75" x14ac:dyDescent="0.25">
      <c r="A83" s="12" t="s">
        <v>4394</v>
      </c>
      <c r="B83" s="10" t="str">
        <f>_xlfn.IFNA(VLOOKUP($A83,CompChecksTrans!$A:$C,2,FALSE), "")</f>
        <v>ORG1.7</v>
      </c>
      <c r="C83" s="10" t="str">
        <f>_xlfn.IFNA(VLOOKUP(B83,Phase1!A$4:C$129,3,FALSE),"")</f>
        <v>Is the completion of action points and action plans checked on a monthly basis and, if necessary, followed-up?
I.e. do you see action points that have not been completed while their deadline has passed?</v>
      </c>
      <c r="D83" s="10" t="str">
        <f>_xlfn.IFNA(VLOOKUP($A83,CompChecksTrans!$A:$C,3,FALSE), "     ")</f>
        <v>2. Presence of another plan for corrective action for 2nd cycle of PDCA for the non-completed action plan/point.</v>
      </c>
    </row>
    <row r="84" spans="1:4" x14ac:dyDescent="0.25">
      <c r="A84" s="12" t="s">
        <v>4395</v>
      </c>
      <c r="B84" s="10" t="str">
        <f>_xlfn.IFNA(VLOOKUP($A84,CompChecksTrans!$A:$C,2,FALSE), "")</f>
        <v>ORG1.8</v>
      </c>
      <c r="C84" s="10" t="str">
        <f>_xlfn.IFNA(VLOOKUP(B84,Phase1!A$4:C$129,3,FALSE),"")</f>
        <v>Are staff meetings held regularly (weekly)?</v>
      </c>
      <c r="D84" s="10" t="str">
        <f>_xlfn.IFNA(VLOOKUP($A84,CompChecksTrans!$A:$C,3,FALSE), "     ")</f>
        <v>Presence of minute for weekly staff meeting</v>
      </c>
    </row>
    <row r="85" spans="1:4" x14ac:dyDescent="0.25">
      <c r="A85" s="12" t="s">
        <v>4396</v>
      </c>
      <c r="B85" s="10" t="str">
        <f>_xlfn.IFNA(VLOOKUP($A85,CompChecksTrans!$A:$C,2,FALSE), "")</f>
        <v>ORG1.9</v>
      </c>
      <c r="C85" s="10" t="str">
        <f>_xlfn.IFNA(VLOOKUP(B85,Phase1!A$4:C$129,3,FALSE),"")</f>
        <v>Are minutes made of weekly staff meetings?</v>
      </c>
      <c r="D85" s="10" t="str">
        <f>_xlfn.IFNA(VLOOKUP($A85,CompChecksTrans!$A:$C,3,FALSE), "     ")</f>
        <v>1. Presence of minute taker in the meeting</v>
      </c>
    </row>
    <row r="86" spans="1:4" x14ac:dyDescent="0.25">
      <c r="A86" s="12" t="s">
        <v>4397</v>
      </c>
      <c r="B86" s="10" t="str">
        <f>_xlfn.IFNA(VLOOKUP($A86,CompChecksTrans!$A:$C,2,FALSE), "")</f>
        <v>ORG1.9</v>
      </c>
      <c r="C86" s="10" t="str">
        <f>_xlfn.IFNA(VLOOKUP(B86,Phase1!A$4:C$129,3,FALSE),"")</f>
        <v>Are minutes made of weekly staff meetings?</v>
      </c>
      <c r="D86" s="10" t="str">
        <f>_xlfn.IFNA(VLOOKUP($A86,CompChecksTrans!$A:$C,3,FALSE), "     ")</f>
        <v>2. Presence of minute for weekly staff meeting</v>
      </c>
    </row>
    <row r="87" spans="1:4" ht="47.25" x14ac:dyDescent="0.25">
      <c r="A87" s="12" t="s">
        <v>4398</v>
      </c>
      <c r="B87" s="10" t="str">
        <f>_xlfn.IFNA(VLOOKUP($A87,CompChecksTrans!$A:$C,2,FALSE), "")</f>
        <v>ORG1.10</v>
      </c>
      <c r="C87" s="10" t="str">
        <f>_xlfn.IFNA(VLOOKUP(B87,Phase1!A$4:C$129,3,FALSE),"")</f>
        <v>Do the minutes of weekly staff meetings include a summary of discussions, SMART action points and the agenda for next week?</v>
      </c>
      <c r="D87" s="10" t="str">
        <f>_xlfn.IFNA(VLOOKUP($A87,CompChecksTrans!$A:$C,3,FALSE), "     ")</f>
        <v>Presence of minute of weekly staff meeting that includes a summary of discussions, SMART action points and the agenda for next week</v>
      </c>
    </row>
    <row r="88" spans="1:4" ht="31.5" x14ac:dyDescent="0.25">
      <c r="A88" s="12" t="s">
        <v>4399</v>
      </c>
      <c r="B88" s="10" t="str">
        <f>_xlfn.IFNA(VLOOKUP($A88,CompChecksTrans!$A:$C,2,FALSE), "")</f>
        <v>ORG1.11</v>
      </c>
      <c r="C88" s="10" t="str">
        <f>_xlfn.IFNA(VLOOKUP(B88,Phase1!A$4:C$129,3,FALSE),"")</f>
        <v>Are the minutes of weekly staff meetings stored in a well-organized way?</v>
      </c>
      <c r="D88" s="10" t="str">
        <f>_xlfn.IFNA(VLOOKUP($A88,CompChecksTrans!$A:$C,3,FALSE), "     ")</f>
        <v>Presence of folder named "minutes of weekly staff meeting" and the minutes of meeting are sorted by date</v>
      </c>
    </row>
    <row r="89" spans="1:4" x14ac:dyDescent="0.25">
      <c r="A89" s="12" t="s">
        <v>4400</v>
      </c>
      <c r="B89" s="10" t="str">
        <f>_xlfn.IFNA(VLOOKUP($A89,CompChecksTrans!$A:$C,2,FALSE), "")</f>
        <v>ORG1.12</v>
      </c>
      <c r="C89" s="10" t="str">
        <f>_xlfn.IFNA(VLOOKUP(B89,Phase1!A$4:C$129,3,FALSE),"")</f>
        <v>Has a Biosafety Officer been appointed?</v>
      </c>
      <c r="D89" s="10" t="str">
        <f>_xlfn.IFNA(VLOOKUP($A89,CompChecksTrans!$A:$C,3,FALSE), "     ")</f>
        <v xml:space="preserve">1. Presence of Biosafety Officer with nomination letter 
</v>
      </c>
    </row>
    <row r="90" spans="1:4" ht="31.5" x14ac:dyDescent="0.25">
      <c r="A90" s="12" t="s">
        <v>4401</v>
      </c>
      <c r="B90" s="10" t="str">
        <f>_xlfn.IFNA(VLOOKUP($A90,CompChecksTrans!$A:$C,2,FALSE), "")</f>
        <v>ORG1.13</v>
      </c>
      <c r="C90" s="10" t="str">
        <f>_xlfn.IFNA(VLOOKUP(B90,Phase1!A$4:C$129,3,FALSE),"")</f>
        <v>Is there a description of the tasks and responsibilities of the Biosafety Officer?</v>
      </c>
      <c r="D90" s="10" t="str">
        <f>_xlfn.IFNA(VLOOKUP($A90,CompChecksTrans!$A:$C,3,FALSE), "     ")</f>
        <v>1. Presence of tasks and responsbilities for  Biosafety Officer</v>
      </c>
    </row>
    <row r="91" spans="1:4" x14ac:dyDescent="0.25">
      <c r="A91" s="12" t="s">
        <v>4402</v>
      </c>
      <c r="B91" s="10" t="str">
        <f>_xlfn.IFNA(VLOOKUP($A91,CompChecksTrans!$A:$C,2,FALSE), "")</f>
        <v>ORG1.14</v>
      </c>
      <c r="C91" s="10" t="str">
        <f>_xlfn.IFNA(VLOOKUP(B91,Phase1!A$4:C$129,3,FALSE),"")</f>
        <v>Do all the staff members know who the Biosafety Officer is?</v>
      </c>
      <c r="D91" s="10" t="str">
        <f>_xlfn.IFNA(VLOOKUP($A91,CompChecksTrans!$A:$C,3,FALSE), "     ")</f>
        <v>1. All staff have been informed who is the Biosafety Officer (check in minute of meeting)</v>
      </c>
    </row>
    <row r="92" spans="1:4" x14ac:dyDescent="0.25">
      <c r="A92" s="12" t="s">
        <v>4403</v>
      </c>
      <c r="B92" s="10" t="str">
        <f>_xlfn.IFNA(VLOOKUP($A92,CompChecksTrans!$A:$C,2,FALSE), "")</f>
        <v>ORG1.15</v>
      </c>
      <c r="C92" s="10" t="str">
        <f>_xlfn.IFNA(VLOOKUP(B92,Phase1!A$4:C$129,3,FALSE),"")</f>
        <v>Do all the staff members know the function of the Biosafety Officer?</v>
      </c>
      <c r="D92" s="10" t="str">
        <f>_xlfn.IFNA(VLOOKUP($A92,CompChecksTrans!$A:$C,3,FALSE), "     ")</f>
        <v>All staff members know the function of biosafety officer. At least the critical funtion of biosafety officer</v>
      </c>
    </row>
    <row r="93" spans="1:4" x14ac:dyDescent="0.25">
      <c r="A93" s="12" t="s">
        <v>4404</v>
      </c>
      <c r="B93" s="10" t="str">
        <f>_xlfn.IFNA(VLOOKUP($A93,CompChecksTrans!$A:$C,2,FALSE), "")</f>
        <v>ORG1.16</v>
      </c>
      <c r="C93" s="10" t="str">
        <f>_xlfn.IFNA(VLOOKUP(B93,Phase1!A$4:C$129,3,FALSE),"")</f>
        <v>Has an Equipment Officer been appointed?</v>
      </c>
      <c r="D93" s="10" t="str">
        <f>_xlfn.IFNA(VLOOKUP($A93,CompChecksTrans!$A:$C,3,FALSE), "     ")</f>
        <v>Presence of equipment officer and the list of  his/her tasks</v>
      </c>
    </row>
    <row r="94" spans="1:4" ht="31.5" x14ac:dyDescent="0.25">
      <c r="A94" s="12" t="s">
        <v>4405</v>
      </c>
      <c r="B94" s="10" t="str">
        <f>_xlfn.IFNA(VLOOKUP($A94,CompChecksTrans!$A:$C,2,FALSE), "")</f>
        <v>ORG1.17</v>
      </c>
      <c r="C94" s="10" t="str">
        <f>_xlfn.IFNA(VLOOKUP(B94,Phase1!A$4:C$129,3,FALSE),"")</f>
        <v>Is the Equipment Officer trained in calibration and technical maintenance of equipment (if necessary)?</v>
      </c>
      <c r="D94" s="10" t="str">
        <f>_xlfn.IFNA(VLOOKUP($A94,CompChecksTrans!$A:$C,3,FALSE), "     ")</f>
        <v>1. Equipment Officer has been trained as demonstrated by certificate of completion from trainings</v>
      </c>
    </row>
    <row r="95" spans="1:4" ht="47.25" x14ac:dyDescent="0.25">
      <c r="A95" s="12" t="s">
        <v>4406</v>
      </c>
      <c r="B95" s="10" t="str">
        <f>_xlfn.IFNA(VLOOKUP($A95,CompChecksTrans!$A:$C,2,FALSE), "")</f>
        <v>ORG1.18</v>
      </c>
      <c r="C95" s="10" t="str">
        <f>_xlfn.IFNA(VLOOKUP(B95,Phase1!A$4:C$129,3,FALSE),"")</f>
        <v>Is the Equipment Officer protected against overburdening of work by allocating tasks of his/her former work to other staff members (if necessary)?</v>
      </c>
      <c r="D95" s="10" t="str">
        <f>_xlfn.IFNA(VLOOKUP($A95,CompChecksTrans!$A:$C,3,FALSE), "     ")</f>
        <v>Presence of final personnel job description of Equipment officer.</v>
      </c>
    </row>
    <row r="96" spans="1:4" ht="47.25" x14ac:dyDescent="0.25">
      <c r="A96" s="12" t="s">
        <v>4407</v>
      </c>
      <c r="B96" s="10" t="str">
        <f>_xlfn.IFNA(VLOOKUP($A96,CompChecksTrans!$A:$C,2,FALSE), "")</f>
        <v>ORG1.19</v>
      </c>
      <c r="C96" s="10" t="str">
        <f>_xlfn.IFNA(VLOOKUP(B96,Phase1!A$4:C$129,3,FALSE),"")</f>
        <v>Does the laboratory have a designated person who is responsible for monitoring stocks and ordering supplies and reagents (called a â€œStock Officerâ€)?</v>
      </c>
      <c r="D96" s="10" t="str">
        <f>_xlfn.IFNA(VLOOKUP($A96,CompChecksTrans!$A:$C,3,FALSE), "     ")</f>
        <v>Presence of stock officer and the list of  his/her tasks</v>
      </c>
    </row>
    <row r="97" spans="1:4" ht="78.75" x14ac:dyDescent="0.25">
      <c r="A97" s="12" t="s">
        <v>4408</v>
      </c>
      <c r="B97" s="10" t="str">
        <f>_xlfn.IFNA(VLOOKUP($A97,CompChecksTrans!$A:$C,2,FALSE), "")</f>
        <v>ORG1.20</v>
      </c>
      <c r="C97" s="10" t="str">
        <f>_xlfn.IFNA(VLOOKUP(B97,Phase1!A$4:C$129,3,FALSE),"")</f>
        <v>Are all laboratory staff members aware of the existence of the position of Stock Officer?</v>
      </c>
      <c r="D97" s="10" t="str">
        <f>_xlfn.IFNA(VLOOKUP($A97,CompChecksTrans!$A:$C,3,FALSE), "     ")</f>
        <v>All staff members know the function of stock officer. At least the critical funtion of stock officer</v>
      </c>
    </row>
    <row r="98" spans="1:4" ht="31.5" x14ac:dyDescent="0.25">
      <c r="A98" s="12" t="s">
        <v>4409</v>
      </c>
      <c r="B98" s="10" t="str">
        <f>_xlfn.IFNA(VLOOKUP($A98,CompChecksTrans!$A:$C,2,FALSE), "")</f>
        <v>ORG1.21</v>
      </c>
      <c r="C98" s="10" t="str">
        <f>_xlfn.IFNA(VLOOKUP(B98,Phase1!A$4:C$129,3,FALSE),"")</f>
        <v>Do all laboratory staff members know who the Stock Officer is?</v>
      </c>
      <c r="D98" s="10" t="str">
        <f>_xlfn.IFNA(VLOOKUP($A98,CompChecksTrans!$A:$C,3,FALSE), "     ")</f>
        <v>1. All staff have been informed who is the Stock Officer (check in minute of meeting)</v>
      </c>
    </row>
    <row r="99" spans="1:4" ht="31.5" x14ac:dyDescent="0.25">
      <c r="A99" s="12" t="s">
        <v>4410</v>
      </c>
      <c r="B99" s="10" t="str">
        <f>_xlfn.IFNA(VLOOKUP($A99,CompChecksTrans!$A:$C,2,FALSE), "")</f>
        <v>ORG1.22</v>
      </c>
      <c r="C99" s="10" t="str">
        <f>_xlfn.IFNA(VLOOKUP(B99,Phase1!A$4:C$129,3,FALSE),"")</f>
        <v>Do all laboratory staff members know what the tasks are of the Stock Officer?</v>
      </c>
      <c r="D99" s="10" t="str">
        <f>_xlfn.IFNA(VLOOKUP($A99,CompChecksTrans!$A:$C,3,FALSE), "     ")</f>
        <v>All staff members know the tasks and responsibilities of stock officer.</v>
      </c>
    </row>
    <row r="100" spans="1:4" ht="47.25" x14ac:dyDescent="0.25">
      <c r="A100" s="12" t="s">
        <v>4411</v>
      </c>
      <c r="B100" s="10" t="str">
        <f>_xlfn.IFNA(VLOOKUP($A100,CompChecksTrans!$A:$C,2,FALSE), "")</f>
        <v>ORG1.23</v>
      </c>
      <c r="C100" s="10" t="str">
        <f>_xlfn.IFNA(VLOOKUP(B100,Phase1!A$4:C$129,3,FALSE),"")</f>
        <v>If the laboratory is part of a bigger organization: does the laboratory have an Organizational Chart that clearly shows the position of the laboratory within the bigger organization?</v>
      </c>
      <c r="D100" s="10" t="str">
        <f>_xlfn.IFNA(VLOOKUP($A100,CompChecksTrans!$A:$C,3,FALSE), "     ")</f>
        <v>Presence of Organizational Chart showing the place of the laboratory within the total organization in laboratory document in the Quality Manual.</v>
      </c>
    </row>
    <row r="101" spans="1:4" ht="47.25" x14ac:dyDescent="0.25">
      <c r="A101" s="12" t="s">
        <v>4412</v>
      </c>
      <c r="B101" s="10" t="str">
        <f>_xlfn.IFNA(VLOOKUP($A101,CompChecksTrans!$A:$C,2,FALSE), "")</f>
        <v>ORG1.24</v>
      </c>
      <c r="C101" s="10" t="str">
        <f>_xlfn.IFNA(VLOOKUP(B101,Phase1!A$4:C$129,3,FALSE),"")</f>
        <v>Is the Organizational Chart that shows the position of the laboratory in the bigger organization signed and dated by the management of the bigger organization?</v>
      </c>
      <c r="D101" s="10" t="str">
        <f>_xlfn.IFNA(VLOOKUP($A101,CompChecksTrans!$A:$C,3,FALSE), "     ")</f>
        <v>Presence of date and signature/stamp of hospital director on the Organizational Chart showing the place of the laboratory within the total organization.</v>
      </c>
    </row>
    <row r="102" spans="1:4" ht="31.5" x14ac:dyDescent="0.25">
      <c r="A102" s="12" t="s">
        <v>4413</v>
      </c>
      <c r="B102" s="10" t="str">
        <f>_xlfn.IFNA(VLOOKUP($A102,CompChecksTrans!$A:$C,2,FALSE), "")</f>
        <v>ORG1.25</v>
      </c>
      <c r="C102" s="10" t="str">
        <f>_xlfn.IFNA(VLOOKUP(B102,Phase1!A$4:C$129,3,FALSE),"")</f>
        <v>Does the laboratory have an Organizational Chart showing the organization of all positions within the laboratory?</v>
      </c>
      <c r="D102" s="10" t="str">
        <f>_xlfn.IFNA(VLOOKUP($A102,CompChecksTrans!$A:$C,3,FALSE), "     ")</f>
        <v>Presence of Organizational chart  showing the organization of all positions within the laboratory in laboratory.</v>
      </c>
    </row>
    <row r="103" spans="1:4" ht="47.25" x14ac:dyDescent="0.25">
      <c r="A103" s="12" t="s">
        <v>4414</v>
      </c>
      <c r="B103" s="10" t="str">
        <f>_xlfn.IFNA(VLOOKUP($A103,CompChecksTrans!$A:$C,2,FALSE), "")</f>
        <v>ORG1.26</v>
      </c>
      <c r="C103" s="10" t="str">
        <f>_xlfn.IFNA(VLOOKUP(B103,Phase1!A$4:C$129,3,FALSE),"")</f>
        <v>Is the chart showing the organization of positions within the laboratory signed and dated by the Laboratory Manager?</v>
      </c>
      <c r="D103" s="10" t="str">
        <f>_xlfn.IFNA(VLOOKUP($A103,CompChecksTrans!$A:$C,3,FALSE), "     ")</f>
        <v>Presence of date and signature/stamp of laboratory chief on the Organizational Chart</v>
      </c>
    </row>
    <row r="104" spans="1:4" ht="31.5" x14ac:dyDescent="0.25">
      <c r="A104" s="12" t="s">
        <v>4415</v>
      </c>
      <c r="B104" s="10" t="str">
        <f>_xlfn.IFNA(VLOOKUP($A104,CompChecksTrans!$A:$C,2,FALSE), "")</f>
        <v>ORG1.27</v>
      </c>
      <c r="C104" s="10" t="str">
        <f>_xlfn.IFNA(VLOOKUP(B104,Phase1!A$4:C$129,3,FALSE),"")</f>
        <v>Are the Organizational Chart(s) stored in a folder that is accessible to all the staff members of the laboratory?</v>
      </c>
      <c r="D104" s="10" t="str">
        <f>_xlfn.IFNA(VLOOKUP($A104,CompChecksTrans!$A:$C,3,FALSE), "     ")</f>
        <v>1. Presence of organizational chart on the wall in the lab</v>
      </c>
    </row>
    <row r="105" spans="1:4" ht="31.5" x14ac:dyDescent="0.25">
      <c r="A105" s="12" t="s">
        <v>4416</v>
      </c>
      <c r="B105" s="10" t="str">
        <f>_xlfn.IFNA(VLOOKUP($A105,CompChecksTrans!$A:$C,2,FALSE), "")</f>
        <v>ORG1.27</v>
      </c>
      <c r="C105" s="10" t="str">
        <f>_xlfn.IFNA(VLOOKUP(B105,Phase1!A$4:C$129,3,FALSE),"")</f>
        <v>Are the Organizational Chart(s) stored in a folder that is accessible to all the staff members of the laboratory?</v>
      </c>
      <c r="D105" s="10" t="str">
        <f>_xlfn.IFNA(VLOOKUP($A105,CompChecksTrans!$A:$C,3,FALSE), "     ")</f>
        <v>2. Presence of a copy of the organizational chart in Quality Manual</v>
      </c>
    </row>
    <row r="106" spans="1:4" ht="78.75" x14ac:dyDescent="0.25">
      <c r="A106" s="12" t="s">
        <v>4417</v>
      </c>
      <c r="B106" s="10" t="str">
        <f>_xlfn.IFNA(VLOOKUP($A106,CompChecksTrans!$A:$C,2,FALSE), "")</f>
        <v>PERS1.1</v>
      </c>
      <c r="C106" s="10" t="str">
        <f>_xlfn.IFNA(VLOOKUP(B106,Phase1!A$4:C$129,3,FALSE),"")</f>
        <v>Has commitment to implement a quality management system been created among laboratory staff?
Interview various staff members to find out if a meeting was held and if this was successful.</v>
      </c>
      <c r="D106" s="10" t="str">
        <f>_xlfn.IFNA(VLOOKUP($A106,CompChecksTrans!$A:$C,3,FALSE), "     ")</f>
        <v>1. a summary/presentation slides in Khmer language of  an introduction to quality and a publication by Walters (2011) existed.</v>
      </c>
    </row>
    <row r="107" spans="1:4" ht="78.75" x14ac:dyDescent="0.25">
      <c r="A107" s="12" t="s">
        <v>4418</v>
      </c>
      <c r="B107" s="10" t="str">
        <f>_xlfn.IFNA(VLOOKUP($A107,CompChecksTrans!$A:$C,2,FALSE), "")</f>
        <v>PERS1.1</v>
      </c>
      <c r="C107" s="10" t="str">
        <f>_xlfn.IFNA(VLOOKUP(B107,Phase1!A$4:C$129,3,FALSE),"")</f>
        <v>Has commitment to implement a quality management system been created among laboratory staff?
Interview various staff members to find out if a meeting was held and if this was successful.</v>
      </c>
      <c r="D107" s="10" t="str">
        <f>_xlfn.IFNA(VLOOKUP($A107,CompChecksTrans!$A:$C,3,FALSE), "     ")</f>
        <v>2. Minute of meetings are existed.</v>
      </c>
    </row>
    <row r="108" spans="1:4" ht="78.75" x14ac:dyDescent="0.25">
      <c r="A108" s="12" t="s">
        <v>4419</v>
      </c>
      <c r="B108" s="10" t="str">
        <f>_xlfn.IFNA(VLOOKUP($A108,CompChecksTrans!$A:$C,2,FALSE), "")</f>
        <v>PERS1.1</v>
      </c>
      <c r="C108" s="10" t="str">
        <f>_xlfn.IFNA(VLOOKUP(B108,Phase1!A$4:C$129,3,FALSE),"")</f>
        <v>Has commitment to implement a quality management system been created among laboratory staff?
Interview various staff members to find out if a meeting was held and if this was successful.</v>
      </c>
      <c r="D108" s="10" t="str">
        <f>_xlfn.IFNA(VLOOKUP($A108,CompChecksTrans!$A:$C,3,FALSE), "     ")</f>
        <v>3. Presence of the letter of committment.</v>
      </c>
    </row>
    <row r="109" spans="1:4" ht="78.75" x14ac:dyDescent="0.25">
      <c r="A109" s="12" t="s">
        <v>4420</v>
      </c>
      <c r="B109" s="10" t="str">
        <f>_xlfn.IFNA(VLOOKUP($A109,CompChecksTrans!$A:$C,2,FALSE), "")</f>
        <v>PERS1.1</v>
      </c>
      <c r="C109" s="10" t="str">
        <f>_xlfn.IFNA(VLOOKUP(B109,Phase1!A$4:C$129,3,FALSE),"")</f>
        <v>Has commitment to implement a quality management system been created among laboratory staff?
Interview various staff members to find out if a meeting was held and if this was successful.</v>
      </c>
      <c r="D109" s="10" t="str">
        <f>_xlfn.IFNA(VLOOKUP($A109,CompChecksTrans!$A:$C,3,FALSE), "     ")</f>
        <v>4. Presence of letter of committment in the quality manual.</v>
      </c>
    </row>
    <row r="110" spans="1:4" ht="31.5" x14ac:dyDescent="0.25">
      <c r="A110" s="12" t="s">
        <v>4421</v>
      </c>
      <c r="B110" s="10" t="str">
        <f>_xlfn.IFNA(VLOOKUP($A110,CompChecksTrans!$A:$C,2,FALSE), "")</f>
        <v>PERS1.2</v>
      </c>
      <c r="C110" s="10" t="str">
        <f>_xlfn.IFNA(VLOOKUP(B110,Phase1!A$4:C$129,3,FALSE),"")</f>
        <v>Have all staff members participated in an introductory course in quality management for medical laboratories?</v>
      </c>
      <c r="D110" s="10" t="str">
        <f>_xlfn.IFNA(VLOOKUP($A110,CompChecksTrans!$A:$C,3,FALSE), "     ")</f>
        <v>???</v>
      </c>
    </row>
    <row r="111" spans="1:4" ht="31.5" x14ac:dyDescent="0.25">
      <c r="A111" s="12" t="s">
        <v>4422</v>
      </c>
      <c r="B111" s="10" t="str">
        <f>_xlfn.IFNA(VLOOKUP($A111,CompChecksTrans!$A:$C,2,FALSE), "")</f>
        <v>PERS1.3</v>
      </c>
      <c r="C111" s="10" t="str">
        <f>_xlfn.IFNA(VLOOKUP(B111,Phase1!A$4:C$129,3,FALSE),"")</f>
        <v>Have certificates of the introductory course in quality management been stored in the Personnel Files folder?</v>
      </c>
      <c r="D111" s="10" t="str">
        <f>_xlfn.IFNA(VLOOKUP($A111,CompChecksTrans!$A:$C,3,FALSE), "     ")</f>
        <v>???</v>
      </c>
    </row>
    <row r="112" spans="1:4" ht="31.5" x14ac:dyDescent="0.25">
      <c r="A112" s="12" t="s">
        <v>4423</v>
      </c>
      <c r="B112" s="10" t="str">
        <f>_xlfn.IFNA(VLOOKUP($A112,CompChecksTrans!$A:$C,2,FALSE), "")</f>
        <v>PERS1.4</v>
      </c>
      <c r="C112" s="10" t="str">
        <f>_xlfn.IFNA(VLOOKUP(B112,Phase1!A$4:C$129,3,FALSE),"")</f>
        <v>Has the Biosafety Officer received laboratory biosafety training?</v>
      </c>
      <c r="D112" s="10" t="str">
        <f>_xlfn.IFNA(VLOOKUP($A112,CompChecksTrans!$A:$C,3,FALSE), "     ")</f>
        <v>Presence of certificate of training in the perosnnel folder</v>
      </c>
    </row>
    <row r="113" spans="1:4" ht="47.25" x14ac:dyDescent="0.25">
      <c r="A113" s="12" t="s">
        <v>4424</v>
      </c>
      <c r="B113" s="10" t="str">
        <f>_xlfn.IFNA(VLOOKUP($A113,CompChecksTrans!$A:$C,2,FALSE), "")</f>
        <v>PERS1.5</v>
      </c>
      <c r="C113" s="10" t="str">
        <f>_xlfn.IFNA(VLOOKUP(B113,Phase1!A$4:C$129,3,FALSE),"")</f>
        <v>Is the certificate of the laboratory biosafety training of the Biosafety Officer stored in a folder called "Personnel Files"?</v>
      </c>
      <c r="D113" s="10" t="str">
        <f>_xlfn.IFNA(VLOOKUP($A113,CompChecksTrans!$A:$C,3,FALSE), "     ")</f>
        <v>1.​Presence of the copy of training certificate in Personnel Files.</v>
      </c>
    </row>
    <row r="114" spans="1:4" ht="31.5" x14ac:dyDescent="0.25">
      <c r="A114" s="12" t="s">
        <v>4425</v>
      </c>
      <c r="B114" s="10" t="str">
        <f>_xlfn.IFNA(VLOOKUP($A114,CompChecksTrans!$A:$C,2,FALSE), "")</f>
        <v>PERS1.6</v>
      </c>
      <c r="C114" s="10" t="str">
        <f>_xlfn.IFNA(VLOOKUP(B114,Phase1!A$4:C$129,3,FALSE),"")</f>
        <v>Does the laboratory have an Authorization Matrix, showing for each position in the laboratory the authorizations, responsibilities and tasks?</v>
      </c>
      <c r="D114" s="10" t="str">
        <f>_xlfn.IFNA(VLOOKUP($A114,CompChecksTrans!$A:$C,3,FALSE), "     ")</f>
        <v>1. Presence of Authorization Matrix</v>
      </c>
    </row>
    <row r="115" spans="1:4" ht="31.5" x14ac:dyDescent="0.25">
      <c r="A115" s="12" t="s">
        <v>4426</v>
      </c>
      <c r="B115" s="10" t="str">
        <f>_xlfn.IFNA(VLOOKUP($A115,CompChecksTrans!$A:$C,2,FALSE), "")</f>
        <v>PERS1.7</v>
      </c>
      <c r="C115" s="10" t="str">
        <f>_xlfn.IFNA(VLOOKUP(B115,Phase1!A$4:C$129,3,FALSE),"")</f>
        <v>Is the Authorization Matrix signed and dated by the Laboratory Manager?</v>
      </c>
      <c r="D115" s="10" t="str">
        <f>_xlfn.IFNA(VLOOKUP($A115,CompChecksTrans!$A:$C,3,FALSE), "     ")</f>
        <v>1. Authorization Matrix is signed and dated by Laboratory Manager</v>
      </c>
    </row>
    <row r="116" spans="1:4" x14ac:dyDescent="0.25">
      <c r="A116" s="12" t="s">
        <v>4427</v>
      </c>
      <c r="B116" s="10" t="str">
        <f>_xlfn.IFNA(VLOOKUP($A116,CompChecksTrans!$A:$C,2,FALSE), "")</f>
        <v>PERS1.8</v>
      </c>
      <c r="C116" s="10" t="str">
        <f>_xlfn.IFNA(VLOOKUP(B116,Phase1!A$4:C$129,3,FALSE),"")</f>
        <v>Is the Authorization Matrix accessible to all staff members?</v>
      </c>
      <c r="D116" s="10" t="str">
        <f>_xlfn.IFNA(VLOOKUP($A116,CompChecksTrans!$A:$C,3,FALSE), "     ")</f>
        <v>1. Presence of Authorization Matrix in the folder Organization (and/or on the information board?)</v>
      </c>
    </row>
    <row r="117" spans="1:4" x14ac:dyDescent="0.25">
      <c r="A117" s="12" t="s">
        <v>4428</v>
      </c>
      <c r="B117" s="10" t="str">
        <f>_xlfn.IFNA(VLOOKUP($A117,CompChecksTrans!$A:$C,2,FALSE), "")</f>
        <v>PERS1.9</v>
      </c>
      <c r="C117" s="10" t="str">
        <f>_xlfn.IFNA(VLOOKUP(B117,Phase1!A$4:C$129,3,FALSE),"")</f>
        <v>Do staff members know what the Authorization Matrix is?</v>
      </c>
      <c r="D117" s="10" t="str">
        <f>_xlfn.IFNA(VLOOKUP($A117,CompChecksTrans!$A:$C,3,FALSE), "     ")</f>
        <v>1. All staff members are know and sign the Authorization Matrix (minute of meeting)</v>
      </c>
    </row>
    <row r="118" spans="1:4" ht="31.5" x14ac:dyDescent="0.25">
      <c r="A118" s="12" t="s">
        <v>4429</v>
      </c>
      <c r="B118" s="10" t="str">
        <f>_xlfn.IFNA(VLOOKUP($A118,CompChecksTrans!$A:$C,2,FALSE), "")</f>
        <v>PERS1.12</v>
      </c>
      <c r="C118" s="10" t="str">
        <f>_xlfn.IFNA(VLOOKUP(B118,Phase1!A$4:C$129,3,FALSE),"")</f>
        <v>Does the laboratory have a job description for each position in the laboratory?</v>
      </c>
      <c r="D118" s="10" t="str">
        <f>_xlfn.IFNA(VLOOKUP($A118,CompChecksTrans!$A:$C,3,FALSE), "     ")</f>
        <v>Presence of all position job description in the folder of Organization such as:
    1. Laboratory Manager
    2. Quality Officer
    3. Biosafety Officer
    4. Equipment Officer
    5. Laboratory Technologist
    6. Internal Auditor
    7. Secretariat
    8. Stock officer
    9. Occupational Health ...etc.</v>
      </c>
    </row>
    <row r="119" spans="1:4" ht="31.5" x14ac:dyDescent="0.25">
      <c r="A119" s="12" t="s">
        <v>4430</v>
      </c>
      <c r="B119" s="10" t="str">
        <f>_xlfn.IFNA(VLOOKUP($A119,CompChecksTrans!$A:$C,2,FALSE), "")</f>
        <v>PERS1.14</v>
      </c>
      <c r="C119" s="10" t="str">
        <f>_xlfn.IFNA(VLOOKUP(B119,Phase1!A$4:C$129,3,FALSE),"")</f>
        <v>Have Personal Job Descriptions been made for all the staff members?</v>
      </c>
      <c r="D119" s="10" t="str">
        <f>_xlfn.IFNA(VLOOKUP($A119,CompChecksTrans!$A:$C,3,FALSE), "     ")</f>
        <v>Presence of Personal Job Descriptions for each staff in Personnel Files Folder</v>
      </c>
    </row>
    <row r="120" spans="1:4" ht="31.5" x14ac:dyDescent="0.25">
      <c r="A120" s="12" t="s">
        <v>4431</v>
      </c>
      <c r="B120" s="10" t="str">
        <f>_xlfn.IFNA(VLOOKUP($A120,CompChecksTrans!$A:$C,2,FALSE), "")</f>
        <v>PERS1.15</v>
      </c>
      <c r="C120" s="10" t="str">
        <f>_xlfn.IFNA(VLOOKUP(B120,Phase1!A$4:C$129,3,FALSE),"")</f>
        <v>Are all job descriptions (both Position Job Descriptions and Personal Job Descriptions) up to date?</v>
      </c>
      <c r="D120" s="10" t="str">
        <f>_xlfn.IFNA(VLOOKUP($A120,CompChecksTrans!$A:$C,3,FALSE), "     ")</f>
        <v>Presence of the job description (both position and personel job description) with date and signature of the staff and the management</v>
      </c>
    </row>
    <row r="121" spans="1:4" ht="31.5" x14ac:dyDescent="0.25">
      <c r="A121" s="12" t="s">
        <v>4432</v>
      </c>
      <c r="B121" s="10" t="str">
        <f>_xlfn.IFNA(VLOOKUP($A121,CompChecksTrans!$A:$C,2,FALSE), "")</f>
        <v>PERS1.16</v>
      </c>
      <c r="C121" s="10" t="str">
        <f>_xlfn.IFNA(VLOOKUP(B121,Phase1!A$4:C$129,3,FALSE),"")</f>
        <v>Are Personal Job Descriptions stored in an orderly fashion in the Personnel Files folder?</v>
      </c>
      <c r="D121" s="10" t="str">
        <f>_xlfn.IFNA(VLOOKUP($A121,CompChecksTrans!$A:$C,3,FALSE), "     ")</f>
        <v>Job description of all staff are orderly stored in the Personnel File folder</v>
      </c>
    </row>
    <row r="122" spans="1:4" ht="78.75" x14ac:dyDescent="0.25">
      <c r="A122" s="12" t="s">
        <v>4433</v>
      </c>
      <c r="B122" s="10" t="str">
        <f>_xlfn.IFNA(VLOOKUP($A122,CompChecksTrans!$A:$C,2,FALSE), "")</f>
        <v>PERS1.17</v>
      </c>
      <c r="C122" s="10" t="str">
        <f>_xlfn.IFNA(VLOOKUP(B122,Phase1!A$4:C$129,3,FALSE),"")</f>
        <v>Have all staff members adequately been trained in the procedures they are performing?
Ask several staff members this question for the procedure they are doing at that moment and cross-check with their Personnel File.</v>
      </c>
      <c r="D122" s="10" t="str">
        <f>_xlfn.IFNA(VLOOKUP($A122,CompChecksTrans!$A:$C,3,FALSE), "     ")</f>
        <v>1. Presence of all copies of diplomas/certificates of each staff member in the folder of Personnel Files.</v>
      </c>
    </row>
    <row r="123" spans="1:4" ht="78.75" x14ac:dyDescent="0.25">
      <c r="A123" s="12" t="s">
        <v>4434</v>
      </c>
      <c r="B123" s="10" t="str">
        <f>_xlfn.IFNA(VLOOKUP($A123,CompChecksTrans!$A:$C,2,FALSE), "")</f>
        <v>PERS1.17</v>
      </c>
      <c r="C123" s="10" t="str">
        <f>_xlfn.IFNA(VLOOKUP(B123,Phase1!A$4:C$129,3,FALSE),"")</f>
        <v>Have all staff members adequately been trained in the procedures they are performing?
Ask several staff members this question for the procedure they are doing at that moment and cross-check with their Personnel File.</v>
      </c>
      <c r="D123" s="10" t="str">
        <f>_xlfn.IFNA(VLOOKUP($A123,CompChecksTrans!$A:$C,3,FALSE), "     ")</f>
        <v>2. Presence of competency assessment report and upcoming training schedule/plan for each staff if needed (will see in phase 2).</v>
      </c>
    </row>
    <row r="124" spans="1:4" x14ac:dyDescent="0.25">
      <c r="A124" s="12" t="s">
        <v>4435</v>
      </c>
      <c r="B124" s="10" t="str">
        <f>_xlfn.IFNA(VLOOKUP($A124,CompChecksTrans!$A:$C,2,FALSE), "")</f>
        <v>EQUIP1.1</v>
      </c>
      <c r="C124" s="10" t="str">
        <f>_xlfn.IFNA(VLOOKUP(B124,Phase1!A$4:C$129,3,FALSE),"")</f>
        <v>Does the laboratory have a clear register of all the equipment present?</v>
      </c>
      <c r="D124" s="10" t="str">
        <f>_xlfn.IFNA(VLOOKUP($A124,CompChecksTrans!$A:$C,3,FALSE), "     ")</f>
        <v>1. Presence of inventory list for all equipment.</v>
      </c>
    </row>
    <row r="125" spans="1:4" x14ac:dyDescent="0.25">
      <c r="A125" s="12" t="s">
        <v>4436</v>
      </c>
      <c r="B125" s="10" t="str">
        <f>_xlfn.IFNA(VLOOKUP($A125,CompChecksTrans!$A:$C,2,FALSE), "")</f>
        <v>EQUIP1.3</v>
      </c>
      <c r="C125" s="10" t="str">
        <f>_xlfn.IFNA(VLOOKUP(B125,Phase1!A$4:C$129,3,FALSE),"")</f>
        <v>Is all critical equipment functional?</v>
      </c>
      <c r="D125" s="10" t="str">
        <f>_xlfn.IFNA(VLOOKUP($A125,CompChecksTrans!$A:$C,3,FALSE), "     ")</f>
        <v xml:space="preserve">1. Presence of preventive maintenance logs </v>
      </c>
    </row>
    <row r="126" spans="1:4" x14ac:dyDescent="0.25">
      <c r="A126" s="12" t="s">
        <v>4437</v>
      </c>
      <c r="B126" s="10" t="str">
        <f>_xlfn.IFNA(VLOOKUP($A126,CompChecksTrans!$A:$C,2,FALSE), "")</f>
        <v>EQUIP1.3</v>
      </c>
      <c r="C126" s="10" t="str">
        <f>_xlfn.IFNA(VLOOKUP(B126,Phase1!A$4:C$129,3,FALSE),"")</f>
        <v>Is all critical equipment functional?</v>
      </c>
      <c r="D126" s="10" t="str">
        <f>_xlfn.IFNA(VLOOKUP($A126,CompChecksTrans!$A:$C,3,FALSE), "     ")</f>
        <v>2. Presence of contract with supplier/manufacturer for regular maintenance service.</v>
      </c>
    </row>
    <row r="127" spans="1:4" x14ac:dyDescent="0.25">
      <c r="A127" s="12" t="s">
        <v>4438</v>
      </c>
      <c r="B127" s="10" t="str">
        <f>_xlfn.IFNA(VLOOKUP($A127,CompChecksTrans!$A:$C,2,FALSE), "")</f>
        <v>EQUIP1.3</v>
      </c>
      <c r="C127" s="10" t="str">
        <f>_xlfn.IFNA(VLOOKUP(B127,Phase1!A$4:C$129,3,FALSE),"")</f>
        <v>Is all critical equipment functional?</v>
      </c>
      <c r="D127" s="10" t="str">
        <f>_xlfn.IFNA(VLOOKUP($A127,CompChecksTrans!$A:$C,3,FALSE), "     ")</f>
        <v>3. Presence of equipment corrective action log.</v>
      </c>
    </row>
    <row r="128" spans="1:4" ht="31.5" x14ac:dyDescent="0.25">
      <c r="A128" s="12" t="s">
        <v>4439</v>
      </c>
      <c r="B128" s="10" t="str">
        <f>_xlfn.IFNA(VLOOKUP($A128,CompChecksTrans!$A:$C,2,FALSE), "")</f>
        <v>EQUIP1.4</v>
      </c>
      <c r="C128" s="10" t="str">
        <f>_xlfn.IFNA(VLOOKUP(B128,Phase1!A$4:C$129,3,FALSE),"")</f>
        <v>Has the laboratory identified critical needs for specific pieces of equipment that must be present in order for the piece of equipment to function?</v>
      </c>
      <c r="D128" s="10" t="str">
        <f>_xlfn.IFNA(VLOOKUP($A128,CompChecksTrans!$A:$C,3,FALSE), "     ")</f>
        <v>1. Presence of list of all critical spare parts needed for critical equipment.</v>
      </c>
    </row>
    <row r="129" spans="1:4" ht="31.5" x14ac:dyDescent="0.25">
      <c r="A129" s="12" t="s">
        <v>4440</v>
      </c>
      <c r="B129" s="10" t="str">
        <f>_xlfn.IFNA(VLOOKUP($A129,CompChecksTrans!$A:$C,2,FALSE), "")</f>
        <v>EQUIP1.4</v>
      </c>
      <c r="C129" s="10" t="str">
        <f>_xlfn.IFNA(VLOOKUP(B129,Phase1!A$4:C$129,3,FALSE),"")</f>
        <v>Has the laboratory identified critical needs for specific pieces of equipment that must be present in order for the piece of equipment to function?</v>
      </c>
      <c r="D129" s="10" t="str">
        <f>_xlfn.IFNA(VLOOKUP($A129,CompChecksTrans!$A:$C,3,FALSE), "     ")</f>
        <v>2. Presence of those spare parts within the laboratory</v>
      </c>
    </row>
    <row r="130" spans="1:4" x14ac:dyDescent="0.25">
      <c r="A130" s="12" t="s">
        <v>4441</v>
      </c>
      <c r="B130" s="10" t="str">
        <f>_xlfn.IFNA(VLOOKUP($A130,CompChecksTrans!$A:$C,2,FALSE), "")</f>
        <v>EQUIP1.5</v>
      </c>
      <c r="C130" s="10" t="str">
        <f>_xlfn.IFNA(VLOOKUP(B130,Phase1!A$4:C$129,3,FALSE),"")</f>
        <v>Are SOPs present for all pieces of equipment?</v>
      </c>
      <c r="D130" s="10" t="str">
        <f>_xlfn.IFNA(VLOOKUP($A130,CompChecksTrans!$A:$C,3,FALSE), "     ")</f>
        <v>Presence of SOPs for all pieces of equipment such as:
- BSC
- Centrifuge
- Spectrophotometer
- Blood count analyzer
- Incubator
- Freezer
- ...etc.</v>
      </c>
    </row>
    <row r="131" spans="1:4" ht="31.5" x14ac:dyDescent="0.25">
      <c r="A131" s="12" t="s">
        <v>4442</v>
      </c>
      <c r="B131" s="10" t="str">
        <f>_xlfn.IFNA(VLOOKUP($A131,CompChecksTrans!$A:$C,2,FALSE), "")</f>
        <v>EQUIP1.7</v>
      </c>
      <c r="C131" s="10" t="str">
        <f>_xlfn.IFNA(VLOOKUP(B131,Phase1!A$4:C$129,3,FALSE),"")</f>
        <v>Are Equipment SOPs stored at a logical location (near the equipment they have been written for), accessible to all staff members?</v>
      </c>
      <c r="D131" s="10" t="str">
        <f>_xlfn.IFNA(VLOOKUP($A131,CompChecksTrans!$A:$C,3,FALSE), "     ")</f>
        <v>Presence of equipment SOPs nearby the location of equipment or accessible to all staff members</v>
      </c>
    </row>
    <row r="132" spans="1:4" ht="78.75" x14ac:dyDescent="0.25">
      <c r="A132" s="12" t="s">
        <v>4443</v>
      </c>
      <c r="B132" s="10" t="str">
        <f>_xlfn.IFNA(VLOOKUP($A132,CompChecksTrans!$A:$C,2,FALSE), "")</f>
        <v>PI1.1</v>
      </c>
      <c r="C132" s="10" t="str">
        <f>_xlfn.IFNA(VLOOKUP(B132,Phase1!A$4:C$129,3,FALSE),"")</f>
        <v>Are all items available in the laboratory stock recorded in a Stock Inventory Register?
Take a sample by checking for two or three supplies in the stock if their Stock Cards are in the Stock Inventory Register and check if the Stock Cards are up-to-date.</v>
      </c>
      <c r="D132" s="10" t="str">
        <f>_xlfn.IFNA(VLOOKUP($A132,CompChecksTrans!$A:$C,3,FALSE), "     ")</f>
        <v>1. Presence of  Stock Card for every item in Stock Inventory Register folder</v>
      </c>
    </row>
    <row r="133" spans="1:4" ht="78.75" x14ac:dyDescent="0.25">
      <c r="A133" s="12" t="s">
        <v>4444</v>
      </c>
      <c r="B133" s="10" t="str">
        <f>_xlfn.IFNA(VLOOKUP($A133,CompChecksTrans!$A:$C,2,FALSE), "")</f>
        <v>PI1.1</v>
      </c>
      <c r="C133" s="10" t="str">
        <f>_xlfn.IFNA(VLOOKUP(B133,Phase1!A$4:C$129,3,FALSE),"")</f>
        <v>Are all items available in the laboratory stock recorded in a Stock Inventory Register?
Take a sample by checking for two or three supplies in the stock if their Stock Cards are in the Stock Inventory Register and check if the Stock Cards are up-to-date.</v>
      </c>
      <c r="D133" s="10" t="str">
        <f>_xlfn.IFNA(VLOOKUP($A133,CompChecksTrans!$A:$C,3,FALSE), "     ")</f>
        <v>2. Present of up to date stock card for every item</v>
      </c>
    </row>
    <row r="134" spans="1:4" ht="78.75" x14ac:dyDescent="0.25">
      <c r="A134" s="12" t="s">
        <v>4445</v>
      </c>
      <c r="B134" s="10" t="str">
        <f>_xlfn.IFNA(VLOOKUP($A134,CompChecksTrans!$A:$C,2,FALSE), "")</f>
        <v>PI1.1</v>
      </c>
      <c r="C134" s="10" t="str">
        <f>_xlfn.IFNA(VLOOKUP(B134,Phase1!A$4:C$129,3,FALSE),"")</f>
        <v>Are all items available in the laboratory stock recorded in a Stock Inventory Register?
Take a sample by checking for two or three supplies in the stock if their Stock Cards are in the Stock Inventory Register and check if the Stock Cards are up-to-date.</v>
      </c>
      <c r="D134" s="10" t="str">
        <f>_xlfn.IFNA(VLOOKUP($A134,CompChecksTrans!$A:$C,3,FALSE), "     ")</f>
        <v>3. Presence of minute of meeting</v>
      </c>
    </row>
    <row r="135" spans="1:4" x14ac:dyDescent="0.25">
      <c r="A135" s="12" t="s">
        <v>4446</v>
      </c>
      <c r="B135" s="10" t="str">
        <f>_xlfn.IFNA(VLOOKUP($A135,CompChecksTrans!$A:$C,2,FALSE), "")</f>
        <v>PI1.2</v>
      </c>
      <c r="C135" s="10" t="str">
        <f>_xlfn.IFNA(VLOOKUP(B135,Phase1!A$4:C$129,3,FALSE),"")</f>
        <v>Is the stock register in accordance with the actual stock (i.e. is it up-to-date)?</v>
      </c>
      <c r="D135" s="10" t="str">
        <f>_xlfn.IFNA(VLOOKUP($A135,CompChecksTrans!$A:$C,3,FALSE), "     ")</f>
        <v>1. Actual number of each item match with number in Stock Card.</v>
      </c>
    </row>
    <row r="136" spans="1:4" ht="63" x14ac:dyDescent="0.25">
      <c r="A136" s="12" t="s">
        <v>4447</v>
      </c>
      <c r="B136" s="10" t="str">
        <f>_xlfn.IFNA(VLOOKUP($A136,CompChecksTrans!$A:$C,2,FALSE), "")</f>
        <v>PI1.3</v>
      </c>
      <c r="C136" s="10" t="str">
        <f>_xlfn.IFNA(VLOOKUP(B136,Phase1!A$4:C$129,3,FALSE),"")</f>
        <v>Do staff members know the correct procedure of taking items from the stock?
Take a sample by asking random staff members.</v>
      </c>
      <c r="D136" s="10" t="str">
        <f>_xlfn.IFNA(VLOOKUP($A136,CompChecksTrans!$A:$C,3,FALSE), "     ")</f>
        <v>1. Presence of procedure for taking items from the stock</v>
      </c>
    </row>
    <row r="137" spans="1:4" ht="63" x14ac:dyDescent="0.25">
      <c r="A137" s="12" t="s">
        <v>4448</v>
      </c>
      <c r="B137" s="10" t="str">
        <f>_xlfn.IFNA(VLOOKUP($A137,CompChecksTrans!$A:$C,2,FALSE), "")</f>
        <v>PI1.3</v>
      </c>
      <c r="C137" s="10" t="str">
        <f>_xlfn.IFNA(VLOOKUP(B137,Phase1!A$4:C$129,3,FALSE),"")</f>
        <v>Do staff members know the correct procedure of taking items from the stock?
Take a sample by asking random staff members.</v>
      </c>
      <c r="D137" s="10" t="str">
        <f>_xlfn.IFNA(VLOOKUP($A137,CompChecksTrans!$A:$C,3,FALSE), "     ")</f>
        <v>2. Presence of the Read and Understand List</v>
      </c>
    </row>
    <row r="138" spans="1:4" ht="31.5" x14ac:dyDescent="0.25">
      <c r="A138" s="12" t="s">
        <v>4449</v>
      </c>
      <c r="B138" s="10" t="str">
        <f>_xlfn.IFNA(VLOOKUP($A138,CompChecksTrans!$A:$C,2,FALSE), "")</f>
        <v>PM1.1</v>
      </c>
      <c r="C138" s="10" t="str">
        <f>_xlfn.IFNA(VLOOKUP(B138,Phase1!A$4:C$129,3,FALSE),"")</f>
        <v>Does the laboratory have a Request Form that includes at least the following details (tick off):</v>
      </c>
      <c r="D138" s="10" t="str">
        <f>_xlfn.IFNA(VLOOKUP($A138,CompChecksTrans!$A:$C,3,FALSE), "     ")</f>
        <v>1. Presence of up-to-date Request Form including all required elements</v>
      </c>
    </row>
    <row r="139" spans="1:4" x14ac:dyDescent="0.25">
      <c r="A139" s="12" t="s">
        <v>4450</v>
      </c>
      <c r="B139" s="10" t="str">
        <f>_xlfn.IFNA(VLOOKUP($A139,CompChecksTrans!$A:$C,2,FALSE), "")</f>
        <v>PM1.2</v>
      </c>
      <c r="C139" s="10" t="str">
        <f>_xlfn.IFNA(VLOOKUP(B139,Phase1!A$4:C$129,3,FALSE),"")</f>
        <v>Is the Request Form for Laboratory Testing clear?</v>
      </c>
      <c r="D139" s="10" t="str">
        <f>_xlfn.IFNA(VLOOKUP($A139,CompChecksTrans!$A:$C,3,FALSE), "     ")</f>
        <v>1. Presence of clearly printed request form</v>
      </c>
    </row>
    <row r="140" spans="1:4" ht="31.5" x14ac:dyDescent="0.25">
      <c r="A140" s="12" t="s">
        <v>4451</v>
      </c>
      <c r="B140" s="10" t="str">
        <f>_xlfn.IFNA(VLOOKUP($A140,CompChecksTrans!$A:$C,2,FALSE), "")</f>
        <v>PM1.3</v>
      </c>
      <c r="C140" s="10" t="str">
        <f>_xlfn.IFNA(VLOOKUP(B140,Phase1!A$4:C$129,3,FALSE),"")</f>
        <v>Does the Request Form for Laboratory Testing provide clear guidance on how it should be filled-out?</v>
      </c>
      <c r="D140" s="10" t="str">
        <f>_xlfn.IFNA(VLOOKUP($A140,CompChecksTrans!$A:$C,3,FALSE), "     ")</f>
        <v>Presence minute of the meeting.</v>
      </c>
    </row>
    <row r="141" spans="1:4" ht="31.5" x14ac:dyDescent="0.25">
      <c r="A141" s="12" t="s">
        <v>4452</v>
      </c>
      <c r="B141" s="10" t="str">
        <f>_xlfn.IFNA(VLOOKUP($A141,CompChecksTrans!$A:$C,2,FALSE), "")</f>
        <v>PM1.4</v>
      </c>
      <c r="C141" s="10" t="str">
        <f>_xlfn.IFNA(VLOOKUP(B141,Phase1!A$4:C$129,3,FALSE),"")</f>
        <v>Has the laboratory identified and listed all the tests performed to determine which SOPs need to be written?</v>
      </c>
      <c r="D141" s="10" t="str">
        <f>_xlfn.IFNA(VLOOKUP($A141,CompChecksTrans!$A:$C,3,FALSE), "     ")</f>
        <v>1. Presence of the list of all tests performed in the laboratory.</v>
      </c>
    </row>
    <row r="142" spans="1:4" ht="31.5" x14ac:dyDescent="0.25">
      <c r="A142" s="12" t="s">
        <v>4453</v>
      </c>
      <c r="B142" s="10" t="str">
        <f>_xlfn.IFNA(VLOOKUP($A142,CompChecksTrans!$A:$C,2,FALSE), "")</f>
        <v>PM1.4</v>
      </c>
      <c r="C142" s="10" t="str">
        <f>_xlfn.IFNA(VLOOKUP(B142,Phase1!A$4:C$129,3,FALSE),"")</f>
        <v>Has the laboratory identified and listed all the tests performed to determine which SOPs need to be written?</v>
      </c>
      <c r="D142" s="10" t="str">
        <f>_xlfn.IFNA(VLOOKUP($A142,CompChecksTrans!$A:$C,3,FALSE), "     ")</f>
        <v>2. Presence of the SOPs on all tests</v>
      </c>
    </row>
    <row r="143" spans="1:4" ht="31.5" x14ac:dyDescent="0.25">
      <c r="A143" s="12" t="s">
        <v>4454</v>
      </c>
      <c r="B143" s="10" t="str">
        <f>_xlfn.IFNA(VLOOKUP($A143,CompChecksTrans!$A:$C,2,FALSE), "")</f>
        <v>PM1.4</v>
      </c>
      <c r="C143" s="10" t="str">
        <f>_xlfn.IFNA(VLOOKUP(B143,Phase1!A$4:C$129,3,FALSE),"")</f>
        <v>Has the laboratory identified and listed all the tests performed to determine which SOPs need to be written?</v>
      </c>
      <c r="D143" s="10" t="str">
        <f>_xlfn.IFNA(VLOOKUP($A143,CompChecksTrans!$A:$C,3,FALSE), "     ")</f>
        <v>3. Presence of the Read and Understand List</v>
      </c>
    </row>
    <row r="144" spans="1:4" ht="31.5" x14ac:dyDescent="0.25">
      <c r="A144" s="12" t="s">
        <v>4455</v>
      </c>
      <c r="B144" s="10" t="str">
        <f>_xlfn.IFNA(VLOOKUP($A144,CompChecksTrans!$A:$C,2,FALSE), "")</f>
        <v>DR1.1</v>
      </c>
      <c r="C144" s="10" t="str">
        <f>_xlfn.IFNA(VLOOKUP(B144,Phase1!A$4:C$129,3,FALSE),"")</f>
        <v>Does the laboratory have a Master SOP that explains how to write SOPs?</v>
      </c>
      <c r="D144" s="10" t="str">
        <f>_xlfn.IFNA(VLOOKUP($A144,CompChecksTrans!$A:$C,3,FALSE), "     ")</f>
        <v>1. Presence of Master SOP</v>
      </c>
    </row>
    <row r="145" spans="1:4" ht="31.5" x14ac:dyDescent="0.25">
      <c r="A145" s="12" t="s">
        <v>4456</v>
      </c>
      <c r="B145" s="10" t="str">
        <f>_xlfn.IFNA(VLOOKUP($A145,CompChecksTrans!$A:$C,2,FALSE), "")</f>
        <v>DR1.1</v>
      </c>
      <c r="C145" s="10" t="str">
        <f>_xlfn.IFNA(VLOOKUP(B145,Phase1!A$4:C$129,3,FALSE),"")</f>
        <v>Does the laboratory have a Master SOP that explains how to write SOPs?</v>
      </c>
      <c r="D145" s="10" t="str">
        <f>_xlfn.IFNA(VLOOKUP($A145,CompChecksTrans!$A:$C,3,FALSE), "     ")</f>
        <v>2. Presence of folder named  "Procedure SOPs". with Master SOP inside.</v>
      </c>
    </row>
    <row r="146" spans="1:4" ht="31.5" x14ac:dyDescent="0.25">
      <c r="A146" s="12" t="s">
        <v>4457</v>
      </c>
      <c r="B146" s="10" t="str">
        <f>_xlfn.IFNA(VLOOKUP($A146,CompChecksTrans!$A:$C,2,FALSE), "")</f>
        <v>DR1.1</v>
      </c>
      <c r="C146" s="10" t="str">
        <f>_xlfn.IFNA(VLOOKUP(B146,Phase1!A$4:C$129,3,FALSE),"")</f>
        <v>Does the laboratory have a Master SOP that explains how to write SOPs?</v>
      </c>
      <c r="D146" s="10" t="str">
        <f>_xlfn.IFNA(VLOOKUP($A146,CompChecksTrans!$A:$C,3,FALSE), "     ")</f>
        <v>3. Presence of the Read and Understand List.</v>
      </c>
    </row>
    <row r="147" spans="1:4" x14ac:dyDescent="0.25">
      <c r="A147" s="12" t="s">
        <v>4458</v>
      </c>
      <c r="B147" s="10" t="str">
        <f>_xlfn.IFNA(VLOOKUP($A147,CompChecksTrans!$A:$C,2,FALSE), "")</f>
        <v/>
      </c>
      <c r="C147" s="10" t="str">
        <f>_xlfn.IFNA(VLOOKUP(B147,Phase1!A$4:C$129,3,FALSE),"")</f>
        <v/>
      </c>
      <c r="D147" s="10" t="str">
        <f>_xlfn.IFNA(VLOOKUP($A147,CompChecksTrans!$A:$C,3,FALSE), "     ")</f>
        <v xml:space="preserve">     </v>
      </c>
    </row>
    <row r="148" spans="1:4" x14ac:dyDescent="0.25">
      <c r="A148" s="12" t="s">
        <v>4459</v>
      </c>
      <c r="B148" s="10" t="str">
        <f>_xlfn.IFNA(VLOOKUP($A148,CompChecksTrans!$A:$C,2,FALSE), "")</f>
        <v/>
      </c>
      <c r="C148" s="10" t="str">
        <f>_xlfn.IFNA(VLOOKUP(B148,Phase1!A$4:C$129,3,FALSE),"")</f>
        <v/>
      </c>
      <c r="D148" s="10" t="str">
        <f>_xlfn.IFNA(VLOOKUP($A148,CompChecksTrans!$A:$C,3,FALSE), "     ")</f>
        <v xml:space="preserve">     </v>
      </c>
    </row>
    <row r="149" spans="1:4" ht="31.5" x14ac:dyDescent="0.25">
      <c r="A149" s="12" t="s">
        <v>4460</v>
      </c>
      <c r="B149" s="10" t="str">
        <f>_xlfn.IFNA(VLOOKUP($A149,CompChecksTrans!$A:$C,2,FALSE), "")</f>
        <v/>
      </c>
      <c r="C149" s="10" t="str">
        <f>_xlfn.IFNA(VLOOKUP(B149,Phase1!A$4:C$129,3,FALSE),"")</f>
        <v/>
      </c>
      <c r="D149" s="10" t="str">
        <f>_xlfn.IFNA(VLOOKUP($A149,CompChecksTrans!$A:$C,3,FALSE), "     ")</f>
        <v xml:space="preserve">     </v>
      </c>
    </row>
    <row r="150" spans="1:4" ht="31.5" x14ac:dyDescent="0.25">
      <c r="A150" s="12" t="s">
        <v>4461</v>
      </c>
      <c r="B150" s="10" t="str">
        <f>_xlfn.IFNA(VLOOKUP($A150,CompChecksTrans!$A:$C,2,FALSE), "")</f>
        <v/>
      </c>
      <c r="C150" s="10" t="str">
        <f>_xlfn.IFNA(VLOOKUP(B150,Phase1!A$4:C$129,3,FALSE),"")</f>
        <v/>
      </c>
      <c r="D150" s="10" t="str">
        <f>_xlfn.IFNA(VLOOKUP($A150,CompChecksTrans!$A:$C,3,FALSE), "     ")</f>
        <v xml:space="preserve">     </v>
      </c>
    </row>
    <row r="151" spans="1:4" ht="31.5" x14ac:dyDescent="0.25">
      <c r="A151" s="12" t="s">
        <v>4462</v>
      </c>
      <c r="B151" s="10" t="str">
        <f>_xlfn.IFNA(VLOOKUP($A151,CompChecksTrans!$A:$C,2,FALSE), "")</f>
        <v/>
      </c>
      <c r="C151" s="10" t="str">
        <f>_xlfn.IFNA(VLOOKUP(B151,Phase1!A$4:C$129,3,FALSE),"")</f>
        <v/>
      </c>
      <c r="D151" s="10" t="str">
        <f>_xlfn.IFNA(VLOOKUP($A151,CompChecksTrans!$A:$C,3,FALSE), "     ")</f>
        <v xml:space="preserve">     </v>
      </c>
    </row>
    <row r="152" spans="1:4" x14ac:dyDescent="0.25">
      <c r="A152" s="12" t="s">
        <v>4463</v>
      </c>
      <c r="B152" s="10" t="str">
        <f>_xlfn.IFNA(VLOOKUP($A152,CompChecksTrans!$A:$C,2,FALSE), "")</f>
        <v/>
      </c>
      <c r="C152" s="10" t="str">
        <f>_xlfn.IFNA(VLOOKUP(B152,Phase1!A$4:C$129,3,FALSE),"")</f>
        <v/>
      </c>
      <c r="D152" s="10" t="str">
        <f>_xlfn.IFNA(VLOOKUP($A152,CompChecksTrans!$A:$C,3,FALSE), "     ")</f>
        <v xml:space="preserve">     </v>
      </c>
    </row>
    <row r="153" spans="1:4" x14ac:dyDescent="0.25">
      <c r="A153" s="12" t="s">
        <v>4464</v>
      </c>
      <c r="B153" s="10" t="str">
        <f>_xlfn.IFNA(VLOOKUP($A153,CompChecksTrans!$A:$C,2,FALSE), "")</f>
        <v/>
      </c>
      <c r="C153" s="10" t="str">
        <f>_xlfn.IFNA(VLOOKUP(B153,Phase1!A$4:C$129,3,FALSE),"")</f>
        <v/>
      </c>
      <c r="D153" s="10" t="str">
        <f>_xlfn.IFNA(VLOOKUP($A153,CompChecksTrans!$A:$C,3,FALSE), "     ")</f>
        <v xml:space="preserve">     </v>
      </c>
    </row>
    <row r="154" spans="1:4" x14ac:dyDescent="0.25">
      <c r="A154" s="12" t="s">
        <v>4465</v>
      </c>
      <c r="B154" s="10" t="str">
        <f>_xlfn.IFNA(VLOOKUP($A154,CompChecksTrans!$A:$C,2,FALSE), "")</f>
        <v/>
      </c>
      <c r="C154" s="10" t="str">
        <f>_xlfn.IFNA(VLOOKUP(B154,Phase1!A$4:C$129,3,FALSE),"")</f>
        <v/>
      </c>
      <c r="D154" s="10" t="str">
        <f>_xlfn.IFNA(VLOOKUP($A154,CompChecksTrans!$A:$C,3,FALSE), "     ")</f>
        <v xml:space="preserve">     </v>
      </c>
    </row>
    <row r="155" spans="1:4" x14ac:dyDescent="0.25">
      <c r="A155" s="12" t="s">
        <v>4466</v>
      </c>
      <c r="B155" s="10" t="str">
        <f>_xlfn.IFNA(VLOOKUP($A155,CompChecksTrans!$A:$C,2,FALSE), "")</f>
        <v/>
      </c>
      <c r="C155" s="10" t="str">
        <f>_xlfn.IFNA(VLOOKUP(B155,Phase1!A$4:C$129,3,FALSE),"")</f>
        <v/>
      </c>
      <c r="D155" s="10" t="str">
        <f>_xlfn.IFNA(VLOOKUP($A155,CompChecksTrans!$A:$C,3,FALSE), "     ")</f>
        <v xml:space="preserve">     </v>
      </c>
    </row>
    <row r="156" spans="1:4" x14ac:dyDescent="0.25">
      <c r="A156" s="12" t="s">
        <v>4467</v>
      </c>
      <c r="B156" s="10" t="str">
        <f>_xlfn.IFNA(VLOOKUP($A156,CompChecksTrans!$A:$C,2,FALSE), "")</f>
        <v/>
      </c>
      <c r="C156" s="10" t="str">
        <f>_xlfn.IFNA(VLOOKUP(B156,Phase1!A$4:C$129,3,FALSE),"")</f>
        <v/>
      </c>
      <c r="D156" s="10" t="str">
        <f>_xlfn.IFNA(VLOOKUP($A156,CompChecksTrans!$A:$C,3,FALSE), "     ")</f>
        <v xml:space="preserve">     </v>
      </c>
    </row>
    <row r="157" spans="1:4" x14ac:dyDescent="0.25">
      <c r="A157" s="12" t="s">
        <v>4468</v>
      </c>
      <c r="B157" s="10" t="str">
        <f>_xlfn.IFNA(VLOOKUP($A157,CompChecksTrans!$A:$C,2,FALSE), "")</f>
        <v/>
      </c>
      <c r="C157" s="10" t="str">
        <f>_xlfn.IFNA(VLOOKUP(B157,Phase1!A$4:C$129,3,FALSE),"")</f>
        <v/>
      </c>
      <c r="D157" s="10" t="str">
        <f>_xlfn.IFNA(VLOOKUP($A157,CompChecksTrans!$A:$C,3,FALSE), "     ")</f>
        <v xml:space="preserve">     </v>
      </c>
    </row>
    <row r="158" spans="1:4" x14ac:dyDescent="0.25">
      <c r="A158" s="12" t="s">
        <v>4469</v>
      </c>
      <c r="B158" s="10" t="str">
        <f>_xlfn.IFNA(VLOOKUP($A158,CompChecksTrans!$A:$C,2,FALSE), "")</f>
        <v/>
      </c>
      <c r="C158" s="10" t="str">
        <f>_xlfn.IFNA(VLOOKUP(B158,Phase1!A$4:C$129,3,FALSE),"")</f>
        <v/>
      </c>
      <c r="D158" s="10" t="str">
        <f>_xlfn.IFNA(VLOOKUP($A158,CompChecksTrans!$A:$C,3,FALSE), "     ")</f>
        <v xml:space="preserve">     </v>
      </c>
    </row>
    <row r="159" spans="1:4" x14ac:dyDescent="0.25">
      <c r="A159" s="12" t="s">
        <v>4470</v>
      </c>
      <c r="B159" s="10" t="str">
        <f>_xlfn.IFNA(VLOOKUP($A159,CompChecksTrans!$A:$C,2,FALSE), "")</f>
        <v/>
      </c>
      <c r="C159" s="10" t="str">
        <f>_xlfn.IFNA(VLOOKUP(B159,Phase1!A$4:C$129,3,FALSE),"")</f>
        <v/>
      </c>
      <c r="D159" s="10" t="str">
        <f>_xlfn.IFNA(VLOOKUP($A159,CompChecksTrans!$A:$C,3,FALSE), "     ")</f>
        <v xml:space="preserve">     </v>
      </c>
    </row>
    <row r="160" spans="1:4" x14ac:dyDescent="0.25">
      <c r="A160" s="12" t="s">
        <v>4471</v>
      </c>
      <c r="B160" s="10" t="str">
        <f>_xlfn.IFNA(VLOOKUP($A160,CompChecksTrans!$A:$C,2,FALSE), "")</f>
        <v/>
      </c>
      <c r="C160" s="10" t="str">
        <f>_xlfn.IFNA(VLOOKUP(B160,Phase1!A$4:C$129,3,FALSE),"")</f>
        <v/>
      </c>
      <c r="D160" s="10" t="str">
        <f>_xlfn.IFNA(VLOOKUP($A160,CompChecksTrans!$A:$C,3,FALSE), "     ")</f>
        <v xml:space="preserve">     </v>
      </c>
    </row>
    <row r="161" spans="1:4" x14ac:dyDescent="0.25">
      <c r="A161" s="12" t="s">
        <v>4472</v>
      </c>
      <c r="B161" s="10" t="str">
        <f>_xlfn.IFNA(VLOOKUP($A161,CompChecksTrans!$A:$C,2,FALSE), "")</f>
        <v/>
      </c>
      <c r="C161" s="10" t="str">
        <f>_xlfn.IFNA(VLOOKUP(B161,Phase1!A$4:C$129,3,FALSE),"")</f>
        <v/>
      </c>
      <c r="D161" s="10" t="str">
        <f>_xlfn.IFNA(VLOOKUP($A161,CompChecksTrans!$A:$C,3,FALSE), "     ")</f>
        <v xml:space="preserve">     </v>
      </c>
    </row>
    <row r="162" spans="1:4" x14ac:dyDescent="0.25">
      <c r="A162" s="12" t="s">
        <v>4473</v>
      </c>
      <c r="B162" s="10" t="str">
        <f>_xlfn.IFNA(VLOOKUP($A162,CompChecksTrans!$A:$C,2,FALSE), "")</f>
        <v/>
      </c>
      <c r="C162" s="10" t="str">
        <f>_xlfn.IFNA(VLOOKUP(B162,Phase1!A$4:C$129,3,FALSE),"")</f>
        <v/>
      </c>
      <c r="D162" s="10" t="str">
        <f>_xlfn.IFNA(VLOOKUP($A162,CompChecksTrans!$A:$C,3,FALSE), "     ")</f>
        <v xml:space="preserve">     </v>
      </c>
    </row>
    <row r="163" spans="1:4" x14ac:dyDescent="0.25">
      <c r="A163" s="12" t="s">
        <v>4474</v>
      </c>
      <c r="B163" s="10" t="str">
        <f>_xlfn.IFNA(VLOOKUP($A163,CompChecksTrans!$A:$C,2,FALSE), "")</f>
        <v/>
      </c>
      <c r="C163" s="10" t="str">
        <f>_xlfn.IFNA(VLOOKUP(B163,Phase1!A$4:C$129,3,FALSE),"")</f>
        <v/>
      </c>
      <c r="D163" s="10" t="str">
        <f>_xlfn.IFNA(VLOOKUP($A163,CompChecksTrans!$A:$C,3,FALSE), "     ")</f>
        <v xml:space="preserve">     </v>
      </c>
    </row>
    <row r="164" spans="1:4" x14ac:dyDescent="0.25">
      <c r="A164" s="12" t="s">
        <v>4475</v>
      </c>
      <c r="B164" s="10" t="str">
        <f>_xlfn.IFNA(VLOOKUP($A164,CompChecksTrans!$A:$C,2,FALSE), "")</f>
        <v/>
      </c>
      <c r="C164" s="10" t="str">
        <f>_xlfn.IFNA(VLOOKUP(B164,Phase1!A$4:C$129,3,FALSE),"")</f>
        <v/>
      </c>
      <c r="D164" s="10" t="str">
        <f>_xlfn.IFNA(VLOOKUP($A164,CompChecksTrans!$A:$C,3,FALSE), "     ")</f>
        <v xml:space="preserve">     </v>
      </c>
    </row>
    <row r="165" spans="1:4" x14ac:dyDescent="0.25">
      <c r="A165" s="12" t="s">
        <v>4476</v>
      </c>
      <c r="B165" s="10" t="str">
        <f>_xlfn.IFNA(VLOOKUP($A165,CompChecksTrans!$A:$C,2,FALSE), "")</f>
        <v/>
      </c>
      <c r="C165" s="10" t="str">
        <f>_xlfn.IFNA(VLOOKUP(B165,Phase1!A$4:C$129,3,FALSE),"")</f>
        <v/>
      </c>
      <c r="D165" s="10" t="str">
        <f>_xlfn.IFNA(VLOOKUP($A165,CompChecksTrans!$A:$C,3,FALSE), "     ")</f>
        <v xml:space="preserve">     </v>
      </c>
    </row>
    <row r="166" spans="1:4" x14ac:dyDescent="0.25">
      <c r="A166" s="12" t="s">
        <v>4477</v>
      </c>
      <c r="B166" s="10" t="str">
        <f>_xlfn.IFNA(VLOOKUP($A166,CompChecksTrans!$A:$C,2,FALSE), "")</f>
        <v/>
      </c>
      <c r="C166" s="10" t="str">
        <f>_xlfn.IFNA(VLOOKUP(B166,Phase1!A$4:C$129,3,FALSE),"")</f>
        <v/>
      </c>
      <c r="D166" s="10" t="str">
        <f>_xlfn.IFNA(VLOOKUP($A166,CompChecksTrans!$A:$C,3,FALSE), "     ")</f>
        <v xml:space="preserve">     </v>
      </c>
    </row>
    <row r="167" spans="1:4" x14ac:dyDescent="0.25">
      <c r="A167" s="12" t="s">
        <v>4478</v>
      </c>
      <c r="B167" s="10" t="str">
        <f>_xlfn.IFNA(VLOOKUP($A167,CompChecksTrans!$A:$C,2,FALSE), "")</f>
        <v/>
      </c>
      <c r="C167" s="10" t="str">
        <f>_xlfn.IFNA(VLOOKUP(B167,Phase1!A$4:C$129,3,FALSE),"")</f>
        <v/>
      </c>
      <c r="D167" s="10" t="str">
        <f>_xlfn.IFNA(VLOOKUP($A167,CompChecksTrans!$A:$C,3,FALSE), "     ")</f>
        <v xml:space="preserve">     </v>
      </c>
    </row>
    <row r="168" spans="1:4" x14ac:dyDescent="0.25">
      <c r="A168" s="12" t="s">
        <v>4479</v>
      </c>
      <c r="B168" s="10" t="str">
        <f>_xlfn.IFNA(VLOOKUP($A168,CompChecksTrans!$A:$C,2,FALSE), "")</f>
        <v/>
      </c>
      <c r="C168" s="10" t="str">
        <f>_xlfn.IFNA(VLOOKUP(B168,Phase1!A$4:C$129,3,FALSE),"")</f>
        <v/>
      </c>
      <c r="D168" s="10" t="str">
        <f>_xlfn.IFNA(VLOOKUP($A168,CompChecksTrans!$A:$C,3,FALSE), "     ")</f>
        <v xml:space="preserve">     </v>
      </c>
    </row>
    <row r="169" spans="1:4" x14ac:dyDescent="0.25">
      <c r="A169" s="12" t="s">
        <v>4480</v>
      </c>
      <c r="B169" s="10" t="str">
        <f>_xlfn.IFNA(VLOOKUP($A169,CompChecksTrans!$A:$C,2,FALSE), "")</f>
        <v/>
      </c>
      <c r="C169" s="10" t="str">
        <f>_xlfn.IFNA(VLOOKUP(B169,Phase1!A$4:C$129,3,FALSE),"")</f>
        <v/>
      </c>
      <c r="D169" s="10" t="str">
        <f>_xlfn.IFNA(VLOOKUP($A169,CompChecksTrans!$A:$C,3,FALSE), "     ")</f>
        <v xml:space="preserve">     </v>
      </c>
    </row>
    <row r="170" spans="1:4" x14ac:dyDescent="0.25">
      <c r="A170" s="12" t="s">
        <v>4481</v>
      </c>
      <c r="B170" s="10" t="str">
        <f>_xlfn.IFNA(VLOOKUP($A170,CompChecksTrans!$A:$C,2,FALSE), "")</f>
        <v/>
      </c>
      <c r="C170" s="10" t="str">
        <f>_xlfn.IFNA(VLOOKUP(B170,Phase1!A$4:C$129,3,FALSE),"")</f>
        <v/>
      </c>
      <c r="D170" s="10" t="str">
        <f>_xlfn.IFNA(VLOOKUP($A170,CompChecksTrans!$A:$C,3,FALSE), "     ")</f>
        <v xml:space="preserve">     </v>
      </c>
    </row>
    <row r="171" spans="1:4" x14ac:dyDescent="0.25">
      <c r="A171" s="12" t="s">
        <v>4482</v>
      </c>
      <c r="B171" s="10" t="str">
        <f>_xlfn.IFNA(VLOOKUP($A171,CompChecksTrans!$A:$C,2,FALSE), "")</f>
        <v/>
      </c>
      <c r="C171" s="10" t="str">
        <f>_xlfn.IFNA(VLOOKUP(B171,Phase1!A$4:C$129,3,FALSE),"")</f>
        <v/>
      </c>
      <c r="D171" s="10" t="str">
        <f>_xlfn.IFNA(VLOOKUP($A171,CompChecksTrans!$A:$C,3,FALSE), "     ")</f>
        <v xml:space="preserve">     </v>
      </c>
    </row>
    <row r="172" spans="1:4" x14ac:dyDescent="0.25">
      <c r="A172" s="12" t="s">
        <v>4483</v>
      </c>
      <c r="B172" s="10" t="str">
        <f>_xlfn.IFNA(VLOOKUP($A172,CompChecksTrans!$A:$C,2,FALSE), "")</f>
        <v/>
      </c>
      <c r="C172" s="10" t="str">
        <f>_xlfn.IFNA(VLOOKUP(B172,Phase1!A$4:C$129,3,FALSE),"")</f>
        <v/>
      </c>
      <c r="D172" s="10" t="str">
        <f>_xlfn.IFNA(VLOOKUP($A172,CompChecksTrans!$A:$C,3,FALSE), "     ")</f>
        <v xml:space="preserve">     </v>
      </c>
    </row>
    <row r="173" spans="1:4" x14ac:dyDescent="0.25">
      <c r="A173" s="12" t="s">
        <v>4484</v>
      </c>
      <c r="B173" s="10" t="str">
        <f>_xlfn.IFNA(VLOOKUP($A173,CompChecksTrans!$A:$C,2,FALSE), "")</f>
        <v/>
      </c>
      <c r="C173" s="10" t="str">
        <f>_xlfn.IFNA(VLOOKUP(B173,Phase1!A$4:C$129,3,FALSE),"")</f>
        <v/>
      </c>
      <c r="D173" s="10" t="str">
        <f>_xlfn.IFNA(VLOOKUP($A173,CompChecksTrans!$A:$C,3,FALSE), "     ")</f>
        <v xml:space="preserve">     </v>
      </c>
    </row>
    <row r="174" spans="1:4" x14ac:dyDescent="0.25">
      <c r="A174" s="12" t="s">
        <v>4485</v>
      </c>
      <c r="B174" s="10" t="str">
        <f>_xlfn.IFNA(VLOOKUP($A174,CompChecksTrans!$A:$C,2,FALSE), "")</f>
        <v/>
      </c>
      <c r="C174" s="10" t="str">
        <f>_xlfn.IFNA(VLOOKUP(B174,Phase1!A$4:C$129,3,FALSE),"")</f>
        <v/>
      </c>
      <c r="D174" s="10" t="str">
        <f>_xlfn.IFNA(VLOOKUP($A174,CompChecksTrans!$A:$C,3,FALSE), "     ")</f>
        <v xml:space="preserve">     </v>
      </c>
    </row>
    <row r="175" spans="1:4" x14ac:dyDescent="0.25">
      <c r="A175" s="12" t="s">
        <v>4486</v>
      </c>
      <c r="B175" s="10" t="str">
        <f>_xlfn.IFNA(VLOOKUP($A175,CompChecksTrans!$A:$C,2,FALSE), "")</f>
        <v/>
      </c>
      <c r="C175" s="10" t="str">
        <f>_xlfn.IFNA(VLOOKUP(B175,Phase1!A$4:C$129,3,FALSE),"")</f>
        <v/>
      </c>
      <c r="D175" s="10" t="str">
        <f>_xlfn.IFNA(VLOOKUP($A175,CompChecksTrans!$A:$C,3,FALSE), "     ")</f>
        <v xml:space="preserve">     </v>
      </c>
    </row>
    <row r="176" spans="1:4" x14ac:dyDescent="0.25">
      <c r="A176" s="12" t="s">
        <v>4487</v>
      </c>
      <c r="B176" s="10" t="str">
        <f>_xlfn.IFNA(VLOOKUP($A176,CompChecksTrans!$A:$C,2,FALSE), "")</f>
        <v/>
      </c>
      <c r="C176" s="10" t="str">
        <f>_xlfn.IFNA(VLOOKUP(B176,Phase1!A$4:C$129,3,FALSE),"")</f>
        <v/>
      </c>
      <c r="D176" s="10" t="str">
        <f>_xlfn.IFNA(VLOOKUP($A176,CompChecksTrans!$A:$C,3,FALSE), "     ")</f>
        <v xml:space="preserve">     </v>
      </c>
    </row>
    <row r="177" spans="1:4" x14ac:dyDescent="0.25">
      <c r="A177" s="12" t="s">
        <v>4488</v>
      </c>
      <c r="B177" s="10" t="str">
        <f>_xlfn.IFNA(VLOOKUP($A177,CompChecksTrans!$A:$C,2,FALSE), "")</f>
        <v/>
      </c>
      <c r="C177" s="10" t="str">
        <f>_xlfn.IFNA(VLOOKUP(B177,Phase1!A$4:C$129,3,FALSE),"")</f>
        <v/>
      </c>
      <c r="D177" s="10" t="str">
        <f>_xlfn.IFNA(VLOOKUP($A177,CompChecksTrans!$A:$C,3,FALSE), "     ")</f>
        <v xml:space="preserve">     </v>
      </c>
    </row>
    <row r="178" spans="1:4" x14ac:dyDescent="0.25">
      <c r="A178" s="12" t="s">
        <v>4489</v>
      </c>
      <c r="B178" s="10" t="str">
        <f>_xlfn.IFNA(VLOOKUP($A178,CompChecksTrans!$A:$C,2,FALSE), "")</f>
        <v/>
      </c>
      <c r="C178" s="10" t="str">
        <f>_xlfn.IFNA(VLOOKUP(B178,Phase1!A$4:C$129,3,FALSE),"")</f>
        <v/>
      </c>
      <c r="D178" s="10" t="str">
        <f>_xlfn.IFNA(VLOOKUP($A178,CompChecksTrans!$A:$C,3,FALSE), "     ")</f>
        <v xml:space="preserve">     </v>
      </c>
    </row>
    <row r="179" spans="1:4" x14ac:dyDescent="0.25">
      <c r="A179" s="12" t="s">
        <v>4490</v>
      </c>
      <c r="B179" s="10" t="str">
        <f>_xlfn.IFNA(VLOOKUP($A179,CompChecksTrans!$A:$C,2,FALSE), "")</f>
        <v/>
      </c>
      <c r="C179" s="10" t="str">
        <f>_xlfn.IFNA(VLOOKUP(B179,Phase1!A$4:C$129,3,FALSE),"")</f>
        <v/>
      </c>
      <c r="D179" s="10" t="str">
        <f>_xlfn.IFNA(VLOOKUP($A179,CompChecksTrans!$A:$C,3,FALSE), "     ")</f>
        <v xml:space="preserve">     </v>
      </c>
    </row>
    <row r="180" spans="1:4" x14ac:dyDescent="0.25">
      <c r="A180" s="12" t="s">
        <v>4491</v>
      </c>
      <c r="B180" s="10" t="str">
        <f>_xlfn.IFNA(VLOOKUP($A180,CompChecksTrans!$A:$C,2,FALSE), "")</f>
        <v/>
      </c>
      <c r="C180" s="10" t="str">
        <f>_xlfn.IFNA(VLOOKUP(B180,Phase1!A$4:C$129,3,FALSE),"")</f>
        <v/>
      </c>
      <c r="D180" s="10" t="str">
        <f>_xlfn.IFNA(VLOOKUP($A180,CompChecksTrans!$A:$C,3,FALSE), "     ")</f>
        <v xml:space="preserve">     </v>
      </c>
    </row>
    <row r="181" spans="1:4" x14ac:dyDescent="0.25">
      <c r="A181" s="12" t="s">
        <v>4492</v>
      </c>
      <c r="B181" s="10" t="str">
        <f>_xlfn.IFNA(VLOOKUP($A181,CompChecksTrans!$A:$C,2,FALSE), "")</f>
        <v/>
      </c>
      <c r="C181" s="10" t="str">
        <f>_xlfn.IFNA(VLOOKUP(B181,Phase1!A$4:C$129,3,FALSE),"")</f>
        <v/>
      </c>
      <c r="D181" s="10" t="str">
        <f>_xlfn.IFNA(VLOOKUP($A181,CompChecksTrans!$A:$C,3,FALSE), "     ")</f>
        <v xml:space="preserve">     </v>
      </c>
    </row>
    <row r="182" spans="1:4" x14ac:dyDescent="0.25">
      <c r="A182" s="12" t="s">
        <v>4493</v>
      </c>
      <c r="B182" s="10" t="str">
        <f>_xlfn.IFNA(VLOOKUP($A182,CompChecksTrans!$A:$C,2,FALSE), "")</f>
        <v/>
      </c>
      <c r="C182" s="10" t="str">
        <f>_xlfn.IFNA(VLOOKUP(B182,Phase1!A$4:C$129,3,FALSE),"")</f>
        <v/>
      </c>
      <c r="D182" s="10" t="str">
        <f>_xlfn.IFNA(VLOOKUP($A182,CompChecksTrans!$A:$C,3,FALSE), "     ")</f>
        <v xml:space="preserve">     </v>
      </c>
    </row>
    <row r="183" spans="1:4" x14ac:dyDescent="0.25">
      <c r="A183" s="12" t="s">
        <v>4494</v>
      </c>
      <c r="B183" s="10" t="str">
        <f>_xlfn.IFNA(VLOOKUP($A183,CompChecksTrans!$A:$C,2,FALSE), "")</f>
        <v/>
      </c>
      <c r="C183" s="10" t="str">
        <f>_xlfn.IFNA(VLOOKUP(B183,Phase1!A$4:C$129,3,FALSE),"")</f>
        <v/>
      </c>
      <c r="D183" s="10" t="str">
        <f>_xlfn.IFNA(VLOOKUP($A183,CompChecksTrans!$A:$C,3,FALSE), "     ")</f>
        <v xml:space="preserve">     </v>
      </c>
    </row>
    <row r="184" spans="1:4" x14ac:dyDescent="0.25">
      <c r="A184" s="12" t="s">
        <v>4495</v>
      </c>
      <c r="B184" s="10" t="str">
        <f>_xlfn.IFNA(VLOOKUP($A184,CompChecksTrans!$A:$C,2,FALSE), "")</f>
        <v/>
      </c>
      <c r="C184" s="10" t="str">
        <f>_xlfn.IFNA(VLOOKUP(B184,Phase1!A$4:C$129,3,FALSE),"")</f>
        <v/>
      </c>
      <c r="D184" s="10" t="str">
        <f>_xlfn.IFNA(VLOOKUP($A184,CompChecksTrans!$A:$C,3,FALSE), "     ")</f>
        <v xml:space="preserve">     </v>
      </c>
    </row>
    <row r="185" spans="1:4" x14ac:dyDescent="0.25">
      <c r="A185" s="12" t="s">
        <v>4496</v>
      </c>
      <c r="B185" s="10" t="str">
        <f>_xlfn.IFNA(VLOOKUP($A185,CompChecksTrans!$A:$C,2,FALSE), "")</f>
        <v/>
      </c>
      <c r="C185" s="10" t="str">
        <f>_xlfn.IFNA(VLOOKUP(B185,Phase1!A$4:C$129,3,FALSE),"")</f>
        <v/>
      </c>
      <c r="D185" s="10" t="str">
        <f>_xlfn.IFNA(VLOOKUP($A185,CompChecksTrans!$A:$C,3,FALSE), "     ")</f>
        <v xml:space="preserve">     </v>
      </c>
    </row>
    <row r="186" spans="1:4" x14ac:dyDescent="0.25">
      <c r="A186" s="12" t="s">
        <v>4497</v>
      </c>
      <c r="B186" s="10" t="str">
        <f>_xlfn.IFNA(VLOOKUP($A186,CompChecksTrans!$A:$C,2,FALSE), "")</f>
        <v/>
      </c>
      <c r="C186" s="10" t="str">
        <f>_xlfn.IFNA(VLOOKUP(B186,Phase1!A$4:C$129,3,FALSE),"")</f>
        <v/>
      </c>
      <c r="D186" s="10" t="str">
        <f>_xlfn.IFNA(VLOOKUP($A186,CompChecksTrans!$A:$C,3,FALSE), "     ")</f>
        <v xml:space="preserve">     </v>
      </c>
    </row>
    <row r="187" spans="1:4" x14ac:dyDescent="0.25">
      <c r="A187" s="12" t="s">
        <v>4498</v>
      </c>
      <c r="B187" s="10" t="str">
        <f>_xlfn.IFNA(VLOOKUP($A187,CompChecksTrans!$A:$C,2,FALSE), "")</f>
        <v/>
      </c>
      <c r="C187" s="10" t="str">
        <f>_xlfn.IFNA(VLOOKUP(B187,Phase1!A$4:C$129,3,FALSE),"")</f>
        <v/>
      </c>
      <c r="D187" s="10" t="str">
        <f>_xlfn.IFNA(VLOOKUP($A187,CompChecksTrans!$A:$C,3,FALSE), "     ")</f>
        <v xml:space="preserve">     </v>
      </c>
    </row>
    <row r="188" spans="1:4" x14ac:dyDescent="0.25">
      <c r="A188" s="12" t="s">
        <v>4499</v>
      </c>
      <c r="B188" s="10" t="str">
        <f>_xlfn.IFNA(VLOOKUP($A188,CompChecksTrans!$A:$C,2,FALSE), "")</f>
        <v/>
      </c>
      <c r="C188" s="10" t="str">
        <f>_xlfn.IFNA(VLOOKUP(B188,Phase1!A$4:C$129,3,FALSE),"")</f>
        <v/>
      </c>
      <c r="D188" s="10" t="str">
        <f>_xlfn.IFNA(VLOOKUP($A188,CompChecksTrans!$A:$C,3,FALSE), "     ")</f>
        <v xml:space="preserve">     </v>
      </c>
    </row>
    <row r="189" spans="1:4" x14ac:dyDescent="0.25">
      <c r="A189" s="12" t="s">
        <v>4500</v>
      </c>
      <c r="B189" s="10" t="str">
        <f>_xlfn.IFNA(VLOOKUP($A189,CompChecksTrans!$A:$C,2,FALSE), "")</f>
        <v/>
      </c>
      <c r="C189" s="10" t="str">
        <f>_xlfn.IFNA(VLOOKUP(B189,Phase1!A$4:C$129,3,FALSE),"")</f>
        <v/>
      </c>
      <c r="D189" s="10" t="str">
        <f>_xlfn.IFNA(VLOOKUP($A189,CompChecksTrans!$A:$C,3,FALSE), "     ")</f>
        <v xml:space="preserve">     </v>
      </c>
    </row>
    <row r="190" spans="1:4" x14ac:dyDescent="0.25">
      <c r="A190" s="12" t="s">
        <v>4501</v>
      </c>
      <c r="B190" s="10" t="str">
        <f>_xlfn.IFNA(VLOOKUP($A190,CompChecksTrans!$A:$C,2,FALSE), "")</f>
        <v/>
      </c>
      <c r="C190" s="10" t="str">
        <f>_xlfn.IFNA(VLOOKUP(B190,Phase1!A$4:C$129,3,FALSE),"")</f>
        <v/>
      </c>
      <c r="D190" s="10" t="str">
        <f>_xlfn.IFNA(VLOOKUP($A190,CompChecksTrans!$A:$C,3,FALSE), "     ")</f>
        <v xml:space="preserve">     </v>
      </c>
    </row>
    <row r="191" spans="1:4" x14ac:dyDescent="0.25">
      <c r="A191" s="12" t="s">
        <v>4502</v>
      </c>
      <c r="B191" s="10" t="str">
        <f>_xlfn.IFNA(VLOOKUP($A191,CompChecksTrans!$A:$C,2,FALSE), "")</f>
        <v/>
      </c>
      <c r="C191" s="10" t="str">
        <f>_xlfn.IFNA(VLOOKUP(B191,Phase1!A$4:C$129,3,FALSE),"")</f>
        <v/>
      </c>
      <c r="D191" s="10" t="str">
        <f>_xlfn.IFNA(VLOOKUP($A191,CompChecksTrans!$A:$C,3,FALSE), "     ")</f>
        <v xml:space="preserve">     </v>
      </c>
    </row>
    <row r="192" spans="1:4" x14ac:dyDescent="0.25">
      <c r="A192" s="12" t="s">
        <v>4503</v>
      </c>
      <c r="B192" s="10" t="str">
        <f>_xlfn.IFNA(VLOOKUP($A192,CompChecksTrans!$A:$C,2,FALSE), "")</f>
        <v/>
      </c>
      <c r="C192" s="10" t="str">
        <f>_xlfn.IFNA(VLOOKUP(B192,Phase1!A$4:C$129,3,FALSE),"")</f>
        <v/>
      </c>
      <c r="D192" s="10" t="str">
        <f>_xlfn.IFNA(VLOOKUP($A192,CompChecksTrans!$A:$C,3,FALSE), "     ")</f>
        <v xml:space="preserve">     </v>
      </c>
    </row>
    <row r="193" spans="1:4" x14ac:dyDescent="0.25">
      <c r="A193" s="12" t="s">
        <v>4504</v>
      </c>
      <c r="B193" s="10" t="str">
        <f>_xlfn.IFNA(VLOOKUP($A193,CompChecksTrans!$A:$C,2,FALSE), "")</f>
        <v/>
      </c>
      <c r="C193" s="10" t="str">
        <f>_xlfn.IFNA(VLOOKUP(B193,Phase1!A$4:C$129,3,FALSE),"")</f>
        <v/>
      </c>
      <c r="D193" s="10" t="str">
        <f>_xlfn.IFNA(VLOOKUP($A193,CompChecksTrans!$A:$C,3,FALSE), "     ")</f>
        <v xml:space="preserve">     </v>
      </c>
    </row>
    <row r="194" spans="1:4" x14ac:dyDescent="0.25">
      <c r="A194" s="12" t="s">
        <v>4505</v>
      </c>
      <c r="B194" s="10" t="str">
        <f>_xlfn.IFNA(VLOOKUP($A194,CompChecksTrans!$A:$C,2,FALSE), "")</f>
        <v/>
      </c>
      <c r="C194" s="10" t="str">
        <f>_xlfn.IFNA(VLOOKUP(B194,Phase1!A$4:C$129,3,FALSE),"")</f>
        <v/>
      </c>
      <c r="D194" s="10" t="str">
        <f>_xlfn.IFNA(VLOOKUP($A194,CompChecksTrans!$A:$C,3,FALSE), "     ")</f>
        <v xml:space="preserve">     </v>
      </c>
    </row>
    <row r="195" spans="1:4" x14ac:dyDescent="0.25">
      <c r="A195" s="12" t="s">
        <v>4506</v>
      </c>
      <c r="B195" s="10" t="str">
        <f>_xlfn.IFNA(VLOOKUP($A195,CompChecksTrans!$A:$C,2,FALSE), "")</f>
        <v/>
      </c>
      <c r="C195" s="10" t="str">
        <f>_xlfn.IFNA(VLOOKUP(B195,Phase1!A$4:C$129,3,FALSE),"")</f>
        <v/>
      </c>
      <c r="D195" s="10" t="str">
        <f>_xlfn.IFNA(VLOOKUP($A195,CompChecksTrans!$A:$C,3,FALSE), "     ")</f>
        <v xml:space="preserve">     </v>
      </c>
    </row>
    <row r="196" spans="1:4" x14ac:dyDescent="0.25">
      <c r="A196" s="12" t="s">
        <v>4507</v>
      </c>
      <c r="B196" s="10" t="str">
        <f>_xlfn.IFNA(VLOOKUP($A196,CompChecksTrans!$A:$C,2,FALSE), "")</f>
        <v/>
      </c>
      <c r="C196" s="10" t="str">
        <f>_xlfn.IFNA(VLOOKUP(B196,Phase1!A$4:C$129,3,FALSE),"")</f>
        <v/>
      </c>
      <c r="D196" s="10" t="str">
        <f>_xlfn.IFNA(VLOOKUP($A196,CompChecksTrans!$A:$C,3,FALSE), "     ")</f>
        <v xml:space="preserve">     </v>
      </c>
    </row>
    <row r="197" spans="1:4" x14ac:dyDescent="0.25">
      <c r="A197" s="12" t="s">
        <v>4508</v>
      </c>
      <c r="B197" s="10" t="str">
        <f>_xlfn.IFNA(VLOOKUP($A197,CompChecksTrans!$A:$C,2,FALSE), "")</f>
        <v/>
      </c>
      <c r="C197" s="10" t="str">
        <f>_xlfn.IFNA(VLOOKUP(B197,Phase1!A$4:C$129,3,FALSE),"")</f>
        <v/>
      </c>
      <c r="D197" s="10" t="str">
        <f>_xlfn.IFNA(VLOOKUP($A197,CompChecksTrans!$A:$C,3,FALSE), "     ")</f>
        <v xml:space="preserve">     </v>
      </c>
    </row>
    <row r="198" spans="1:4" x14ac:dyDescent="0.25">
      <c r="A198" s="12" t="s">
        <v>4509</v>
      </c>
      <c r="B198" s="10" t="str">
        <f>_xlfn.IFNA(VLOOKUP($A198,CompChecksTrans!$A:$C,2,FALSE), "")</f>
        <v/>
      </c>
      <c r="C198" s="10" t="str">
        <f>_xlfn.IFNA(VLOOKUP(B198,Phase1!A$4:C$129,3,FALSE),"")</f>
        <v/>
      </c>
      <c r="D198" s="10" t="str">
        <f>_xlfn.IFNA(VLOOKUP($A198,CompChecksTrans!$A:$C,3,FALSE), "     ")</f>
        <v xml:space="preserve">     </v>
      </c>
    </row>
    <row r="199" spans="1:4" x14ac:dyDescent="0.25">
      <c r="A199" s="12" t="s">
        <v>4510</v>
      </c>
      <c r="B199" s="10" t="str">
        <f>_xlfn.IFNA(VLOOKUP($A199,CompChecksTrans!$A:$C,2,FALSE), "")</f>
        <v/>
      </c>
      <c r="C199" s="10" t="str">
        <f>_xlfn.IFNA(VLOOKUP(B199,Phase1!A$4:C$129,3,FALSE),"")</f>
        <v/>
      </c>
      <c r="D199" s="10" t="str">
        <f>_xlfn.IFNA(VLOOKUP($A199,CompChecksTrans!$A:$C,3,FALSE), "     ")</f>
        <v xml:space="preserve">     </v>
      </c>
    </row>
    <row r="200" spans="1:4" x14ac:dyDescent="0.25">
      <c r="A200" s="12" t="s">
        <v>4511</v>
      </c>
      <c r="B200" s="10" t="str">
        <f>_xlfn.IFNA(VLOOKUP($A200,CompChecksTrans!$A:$C,2,FALSE), "")</f>
        <v/>
      </c>
      <c r="C200" s="10" t="str">
        <f>_xlfn.IFNA(VLOOKUP(B200,Phase1!A$4:C$129,3,FALSE),"")</f>
        <v/>
      </c>
      <c r="D200" s="10" t="str">
        <f>_xlfn.IFNA(VLOOKUP($A200,CompChecksTrans!$A:$C,3,FALSE), "     ")</f>
        <v xml:space="preserve">     </v>
      </c>
    </row>
    <row r="201" spans="1:4" x14ac:dyDescent="0.25">
      <c r="A201" s="12" t="s">
        <v>4512</v>
      </c>
      <c r="B201" s="10" t="str">
        <f>_xlfn.IFNA(VLOOKUP($A201,CompChecksTrans!$A:$C,2,FALSE), "")</f>
        <v/>
      </c>
      <c r="C201" s="10" t="str">
        <f>_xlfn.IFNA(VLOOKUP(B201,Phase1!A$4:C$129,3,FALSE),"")</f>
        <v/>
      </c>
      <c r="D201" s="10" t="str">
        <f>_xlfn.IFNA(VLOOKUP($A201,CompChecksTrans!$A:$C,3,FALSE), "     ")</f>
        <v xml:space="preserve">     </v>
      </c>
    </row>
    <row r="202" spans="1:4" x14ac:dyDescent="0.25">
      <c r="A202" s="12" t="s">
        <v>4513</v>
      </c>
      <c r="B202" s="10" t="str">
        <f>_xlfn.IFNA(VLOOKUP($A202,CompChecksTrans!$A:$C,2,FALSE), "")</f>
        <v/>
      </c>
      <c r="C202" s="10" t="str">
        <f>_xlfn.IFNA(VLOOKUP(B202,Phase1!A$4:C$129,3,FALSE),"")</f>
        <v/>
      </c>
      <c r="D202" s="10" t="str">
        <f>_xlfn.IFNA(VLOOKUP($A202,CompChecksTrans!$A:$C,3,FALSE), "     ")</f>
        <v xml:space="preserve">     </v>
      </c>
    </row>
    <row r="203" spans="1:4" x14ac:dyDescent="0.25">
      <c r="A203" s="12" t="s">
        <v>4514</v>
      </c>
      <c r="B203" s="10" t="str">
        <f>_xlfn.IFNA(VLOOKUP($A203,CompChecksTrans!$A:$C,2,FALSE), "")</f>
        <v/>
      </c>
      <c r="C203" s="10" t="str">
        <f>_xlfn.IFNA(VLOOKUP(B203,Phase1!A$4:C$129,3,FALSE),"")</f>
        <v/>
      </c>
      <c r="D203" s="10" t="str">
        <f>_xlfn.IFNA(VLOOKUP($A203,CompChecksTrans!$A:$C,3,FALSE), "     ")</f>
        <v xml:space="preserve">     </v>
      </c>
    </row>
    <row r="204" spans="1:4" x14ac:dyDescent="0.25">
      <c r="A204" s="12" t="s">
        <v>4515</v>
      </c>
      <c r="B204" s="10" t="str">
        <f>_xlfn.IFNA(VLOOKUP($A204,CompChecksTrans!$A:$C,2,FALSE), "")</f>
        <v/>
      </c>
      <c r="C204" s="10" t="str">
        <f>_xlfn.IFNA(VLOOKUP(B204,Phase1!A$4:C$129,3,FALSE),"")</f>
        <v/>
      </c>
      <c r="D204" s="10" t="str">
        <f>_xlfn.IFNA(VLOOKUP($A204,CompChecksTrans!$A:$C,3,FALSE), "     ")</f>
        <v xml:space="preserve">     </v>
      </c>
    </row>
    <row r="205" spans="1:4" x14ac:dyDescent="0.25">
      <c r="A205" s="12" t="s">
        <v>4516</v>
      </c>
      <c r="B205" s="10" t="str">
        <f>_xlfn.IFNA(VLOOKUP($A205,CompChecksTrans!$A:$C,2,FALSE), "")</f>
        <v/>
      </c>
      <c r="C205" s="10" t="str">
        <f>_xlfn.IFNA(VLOOKUP(B205,Phase1!A$4:C$129,3,FALSE),"")</f>
        <v/>
      </c>
      <c r="D205" s="10" t="str">
        <f>_xlfn.IFNA(VLOOKUP($A205,CompChecksTrans!$A:$C,3,FALSE), "     ")</f>
        <v xml:space="preserve">     </v>
      </c>
    </row>
    <row r="206" spans="1:4" x14ac:dyDescent="0.25">
      <c r="A206" s="12" t="s">
        <v>4517</v>
      </c>
      <c r="B206" s="10" t="str">
        <f>_xlfn.IFNA(VLOOKUP($A206,CompChecksTrans!$A:$C,2,FALSE), "")</f>
        <v/>
      </c>
      <c r="C206" s="10" t="str">
        <f>_xlfn.IFNA(VLOOKUP(B206,Phase1!A$4:C$129,3,FALSE),"")</f>
        <v/>
      </c>
      <c r="D206" s="10" t="str">
        <f>_xlfn.IFNA(VLOOKUP($A206,CompChecksTrans!$A:$C,3,FALSE), "     ")</f>
        <v xml:space="preserve">     </v>
      </c>
    </row>
    <row r="207" spans="1:4" x14ac:dyDescent="0.25">
      <c r="A207" s="12" t="s">
        <v>4518</v>
      </c>
      <c r="B207" s="10" t="str">
        <f>_xlfn.IFNA(VLOOKUP($A207,CompChecksTrans!$A:$C,2,FALSE), "")</f>
        <v/>
      </c>
      <c r="C207" s="10" t="str">
        <f>_xlfn.IFNA(VLOOKUP(B207,Phase1!A$4:C$129,3,FALSE),"")</f>
        <v/>
      </c>
      <c r="D207" s="10" t="str">
        <f>_xlfn.IFNA(VLOOKUP($A207,CompChecksTrans!$A:$C,3,FALSE), "     ")</f>
        <v xml:space="preserve">     </v>
      </c>
    </row>
    <row r="208" spans="1:4" x14ac:dyDescent="0.25">
      <c r="A208" s="12" t="s">
        <v>4519</v>
      </c>
      <c r="B208" s="10" t="str">
        <f>_xlfn.IFNA(VLOOKUP($A208,CompChecksTrans!$A:$C,2,FALSE), "")</f>
        <v/>
      </c>
      <c r="C208" s="10" t="str">
        <f>_xlfn.IFNA(VLOOKUP(B208,Phase1!A$4:C$129,3,FALSE),"")</f>
        <v/>
      </c>
      <c r="D208" s="10" t="str">
        <f>_xlfn.IFNA(VLOOKUP($A208,CompChecksTrans!$A:$C,3,FALSE), "     ")</f>
        <v xml:space="preserve">     </v>
      </c>
    </row>
    <row r="209" spans="1:4" x14ac:dyDescent="0.25">
      <c r="A209" s="12" t="s">
        <v>4520</v>
      </c>
      <c r="B209" s="10" t="str">
        <f>_xlfn.IFNA(VLOOKUP($A209,CompChecksTrans!$A:$C,2,FALSE), "")</f>
        <v/>
      </c>
      <c r="C209" s="10" t="str">
        <f>_xlfn.IFNA(VLOOKUP(B209,Phase1!A$4:C$129,3,FALSE),"")</f>
        <v/>
      </c>
      <c r="D209" s="10" t="str">
        <f>_xlfn.IFNA(VLOOKUP($A209,CompChecksTrans!$A:$C,3,FALSE), "     ")</f>
        <v xml:space="preserve">     </v>
      </c>
    </row>
    <row r="210" spans="1:4" x14ac:dyDescent="0.25">
      <c r="A210" s="12" t="s">
        <v>4521</v>
      </c>
      <c r="B210" s="10" t="str">
        <f>_xlfn.IFNA(VLOOKUP($A210,CompChecksTrans!$A:$C,2,FALSE), "")</f>
        <v/>
      </c>
      <c r="C210" s="10" t="str">
        <f>_xlfn.IFNA(VLOOKUP(B210,Phase1!A$4:C$129,3,FALSE),"")</f>
        <v/>
      </c>
      <c r="D210" s="10" t="str">
        <f>_xlfn.IFNA(VLOOKUP($A210,CompChecksTrans!$A:$C,3,FALSE), "     ")</f>
        <v xml:space="preserve">     </v>
      </c>
    </row>
    <row r="211" spans="1:4" x14ac:dyDescent="0.25">
      <c r="A211" s="12" t="s">
        <v>4522</v>
      </c>
      <c r="B211" s="10" t="str">
        <f>_xlfn.IFNA(VLOOKUP($A211,CompChecksTrans!$A:$C,2,FALSE), "")</f>
        <v/>
      </c>
      <c r="C211" s="10" t="str">
        <f>_xlfn.IFNA(VLOOKUP(B211,Phase1!A$4:C$129,3,FALSE),"")</f>
        <v/>
      </c>
      <c r="D211" s="10" t="str">
        <f>_xlfn.IFNA(VLOOKUP($A211,CompChecksTrans!$A:$C,3,FALSE), "     ")</f>
        <v xml:space="preserve">     </v>
      </c>
    </row>
    <row r="212" spans="1:4" x14ac:dyDescent="0.25">
      <c r="A212" s="12" t="s">
        <v>4523</v>
      </c>
      <c r="B212" s="10" t="str">
        <f>_xlfn.IFNA(VLOOKUP($A212,CompChecksTrans!$A:$C,2,FALSE), "")</f>
        <v/>
      </c>
      <c r="C212" s="10" t="str">
        <f>_xlfn.IFNA(VLOOKUP(B212,Phase1!A$4:C$129,3,FALSE),"")</f>
        <v/>
      </c>
      <c r="D212" s="10" t="str">
        <f>_xlfn.IFNA(VLOOKUP($A212,CompChecksTrans!$A:$C,3,FALSE), "     ")</f>
        <v xml:space="preserve">     </v>
      </c>
    </row>
    <row r="213" spans="1:4" x14ac:dyDescent="0.25">
      <c r="A213" s="12" t="s">
        <v>4524</v>
      </c>
      <c r="B213" s="10" t="str">
        <f>_xlfn.IFNA(VLOOKUP($A213,CompChecksTrans!$A:$C,2,FALSE), "")</f>
        <v/>
      </c>
      <c r="C213" s="10" t="str">
        <f>_xlfn.IFNA(VLOOKUP(B213,Phase1!A$4:C$129,3,FALSE),"")</f>
        <v/>
      </c>
      <c r="D213" s="10" t="str">
        <f>_xlfn.IFNA(VLOOKUP($A213,CompChecksTrans!$A:$C,3,FALSE), "     ")</f>
        <v xml:space="preserve">     </v>
      </c>
    </row>
    <row r="214" spans="1:4" x14ac:dyDescent="0.25">
      <c r="A214" s="12" t="s">
        <v>4525</v>
      </c>
      <c r="B214" s="10" t="str">
        <f>_xlfn.IFNA(VLOOKUP($A214,CompChecksTrans!$A:$C,2,FALSE), "")</f>
        <v/>
      </c>
      <c r="C214" s="10" t="str">
        <f>_xlfn.IFNA(VLOOKUP(B214,Phase1!A$4:C$129,3,FALSE),"")</f>
        <v/>
      </c>
      <c r="D214" s="10" t="str">
        <f>_xlfn.IFNA(VLOOKUP($A214,CompChecksTrans!$A:$C,3,FALSE), "     ")</f>
        <v xml:space="preserve">     </v>
      </c>
    </row>
    <row r="215" spans="1:4" x14ac:dyDescent="0.25">
      <c r="A215" s="12" t="s">
        <v>4526</v>
      </c>
      <c r="B215" s="10" t="str">
        <f>_xlfn.IFNA(VLOOKUP($A215,CompChecksTrans!$A:$C,2,FALSE), "")</f>
        <v/>
      </c>
      <c r="C215" s="10" t="str">
        <f>_xlfn.IFNA(VLOOKUP(B215,Phase1!A$4:C$129,3,FALSE),"")</f>
        <v/>
      </c>
      <c r="D215" s="10" t="str">
        <f>_xlfn.IFNA(VLOOKUP($A215,CompChecksTrans!$A:$C,3,FALSE), "     ")</f>
        <v xml:space="preserve">     </v>
      </c>
    </row>
    <row r="216" spans="1:4" x14ac:dyDescent="0.25">
      <c r="A216" s="12" t="s">
        <v>4527</v>
      </c>
      <c r="B216" s="10" t="str">
        <f>_xlfn.IFNA(VLOOKUP($A216,CompChecksTrans!$A:$C,2,FALSE), "")</f>
        <v/>
      </c>
      <c r="C216" s="10" t="str">
        <f>_xlfn.IFNA(VLOOKUP(B216,Phase1!A$4:C$129,3,FALSE),"")</f>
        <v/>
      </c>
      <c r="D216" s="10" t="str">
        <f>_xlfn.IFNA(VLOOKUP($A216,CompChecksTrans!$A:$C,3,FALSE), "     ")</f>
        <v xml:space="preserve">     </v>
      </c>
    </row>
    <row r="217" spans="1:4" x14ac:dyDescent="0.25">
      <c r="A217" s="12" t="s">
        <v>4528</v>
      </c>
      <c r="B217" s="10" t="str">
        <f>_xlfn.IFNA(VLOOKUP($A217,CompChecksTrans!$A:$C,2,FALSE), "")</f>
        <v/>
      </c>
      <c r="C217" s="10" t="str">
        <f>_xlfn.IFNA(VLOOKUP(B217,Phase1!A$4:C$129,3,FALSE),"")</f>
        <v/>
      </c>
      <c r="D217" s="10" t="str">
        <f>_xlfn.IFNA(VLOOKUP($A217,CompChecksTrans!$A:$C,3,FALSE), "     ")</f>
        <v xml:space="preserve">     </v>
      </c>
    </row>
    <row r="218" spans="1:4" x14ac:dyDescent="0.25">
      <c r="A218" s="12" t="s">
        <v>4529</v>
      </c>
      <c r="B218" s="10" t="str">
        <f>_xlfn.IFNA(VLOOKUP($A218,CompChecksTrans!$A:$C,2,FALSE), "")</f>
        <v/>
      </c>
      <c r="C218" s="10" t="str">
        <f>_xlfn.IFNA(VLOOKUP(B218,Phase1!A$4:C$129,3,FALSE),"")</f>
        <v/>
      </c>
      <c r="D218" s="10" t="str">
        <f>_xlfn.IFNA(VLOOKUP($A218,CompChecksTrans!$A:$C,3,FALSE), "     ")</f>
        <v xml:space="preserve">     </v>
      </c>
    </row>
    <row r="219" spans="1:4" x14ac:dyDescent="0.25">
      <c r="A219" s="12" t="s">
        <v>4530</v>
      </c>
      <c r="B219" s="10" t="str">
        <f>_xlfn.IFNA(VLOOKUP($A219,CompChecksTrans!$A:$C,2,FALSE), "")</f>
        <v/>
      </c>
      <c r="C219" s="10" t="str">
        <f>_xlfn.IFNA(VLOOKUP(B219,Phase1!A$4:C$129,3,FALSE),"")</f>
        <v/>
      </c>
      <c r="D219" s="10" t="str">
        <f>_xlfn.IFNA(VLOOKUP($A219,CompChecksTrans!$A:$C,3,FALSE), "     ")</f>
        <v xml:space="preserve">     </v>
      </c>
    </row>
    <row r="220" spans="1:4" x14ac:dyDescent="0.25">
      <c r="A220" s="12" t="s">
        <v>4531</v>
      </c>
      <c r="B220" s="10" t="str">
        <f>_xlfn.IFNA(VLOOKUP($A220,CompChecksTrans!$A:$C,2,FALSE), "")</f>
        <v/>
      </c>
      <c r="C220" s="10" t="str">
        <f>_xlfn.IFNA(VLOOKUP(B220,Phase1!A$4:C$129,3,FALSE),"")</f>
        <v/>
      </c>
      <c r="D220" s="10" t="str">
        <f>_xlfn.IFNA(VLOOKUP($A220,CompChecksTrans!$A:$C,3,FALSE), "     ")</f>
        <v xml:space="preserve">     </v>
      </c>
    </row>
    <row r="221" spans="1:4" x14ac:dyDescent="0.25">
      <c r="A221" s="12" t="s">
        <v>4532</v>
      </c>
      <c r="B221" s="10" t="str">
        <f>_xlfn.IFNA(VLOOKUP($A221,CompChecksTrans!$A:$C,2,FALSE), "")</f>
        <v/>
      </c>
      <c r="C221" s="10" t="str">
        <f>_xlfn.IFNA(VLOOKUP(B221,Phase1!A$4:C$129,3,FALSE),"")</f>
        <v/>
      </c>
      <c r="D221" s="10" t="str">
        <f>_xlfn.IFNA(VLOOKUP($A221,CompChecksTrans!$A:$C,3,FALSE), "     ")</f>
        <v xml:space="preserve">     </v>
      </c>
    </row>
    <row r="222" spans="1:4" x14ac:dyDescent="0.25">
      <c r="A222" s="12" t="s">
        <v>4533</v>
      </c>
      <c r="B222" s="10" t="str">
        <f>_xlfn.IFNA(VLOOKUP($A222,CompChecksTrans!$A:$C,2,FALSE), "")</f>
        <v/>
      </c>
      <c r="C222" s="10" t="str">
        <f>_xlfn.IFNA(VLOOKUP(B222,Phase1!A$4:C$129,3,FALSE),"")</f>
        <v/>
      </c>
      <c r="D222" s="10" t="str">
        <f>_xlfn.IFNA(VLOOKUP($A222,CompChecksTrans!$A:$C,3,FALSE), "     ")</f>
        <v xml:space="preserve">     </v>
      </c>
    </row>
    <row r="223" spans="1:4" x14ac:dyDescent="0.25">
      <c r="A223" s="12" t="s">
        <v>4534</v>
      </c>
      <c r="B223" s="10" t="str">
        <f>_xlfn.IFNA(VLOOKUP($A223,CompChecksTrans!$A:$C,2,FALSE), "")</f>
        <v/>
      </c>
      <c r="C223" s="10" t="str">
        <f>_xlfn.IFNA(VLOOKUP(B223,Phase1!A$4:C$129,3,FALSE),"")</f>
        <v/>
      </c>
      <c r="D223" s="10" t="str">
        <f>_xlfn.IFNA(VLOOKUP($A223,CompChecksTrans!$A:$C,3,FALSE), "     ")</f>
        <v xml:space="preserve">     </v>
      </c>
    </row>
    <row r="224" spans="1:4" x14ac:dyDescent="0.25">
      <c r="A224" s="12" t="s">
        <v>4535</v>
      </c>
      <c r="B224" s="10" t="str">
        <f>_xlfn.IFNA(VLOOKUP($A224,CompChecksTrans!$A:$C,2,FALSE), "")</f>
        <v/>
      </c>
      <c r="C224" s="10" t="str">
        <f>_xlfn.IFNA(VLOOKUP(B224,Phase1!A$4:C$129,3,FALSE),"")</f>
        <v/>
      </c>
      <c r="D224" s="10" t="str">
        <f>_xlfn.IFNA(VLOOKUP($A224,CompChecksTrans!$A:$C,3,FALSE), "     ")</f>
        <v xml:space="preserve">     </v>
      </c>
    </row>
    <row r="225" spans="1:4" x14ac:dyDescent="0.25">
      <c r="A225" s="12" t="s">
        <v>4536</v>
      </c>
      <c r="B225" s="10" t="str">
        <f>_xlfn.IFNA(VLOOKUP($A225,CompChecksTrans!$A:$C,2,FALSE), "")</f>
        <v/>
      </c>
      <c r="C225" s="10" t="str">
        <f>_xlfn.IFNA(VLOOKUP(B225,Phase1!A$4:C$129,3,FALSE),"")</f>
        <v/>
      </c>
      <c r="D225" s="10" t="str">
        <f>_xlfn.IFNA(VLOOKUP($A225,CompChecksTrans!$A:$C,3,FALSE), "     ")</f>
        <v xml:space="preserve">     </v>
      </c>
    </row>
    <row r="226" spans="1:4" x14ac:dyDescent="0.25">
      <c r="A226" s="12" t="s">
        <v>4537</v>
      </c>
      <c r="B226" s="10" t="str">
        <f>_xlfn.IFNA(VLOOKUP($A226,CompChecksTrans!$A:$C,2,FALSE), "")</f>
        <v/>
      </c>
      <c r="C226" s="10" t="str">
        <f>_xlfn.IFNA(VLOOKUP(B226,Phase1!A$4:C$129,3,FALSE),"")</f>
        <v/>
      </c>
      <c r="D226" s="10" t="str">
        <f>_xlfn.IFNA(VLOOKUP($A226,CompChecksTrans!$A:$C,3,FALSE), "     ")</f>
        <v xml:space="preserve">     </v>
      </c>
    </row>
    <row r="227" spans="1:4" x14ac:dyDescent="0.25">
      <c r="A227" s="12" t="s">
        <v>4538</v>
      </c>
      <c r="B227" s="10" t="str">
        <f>_xlfn.IFNA(VLOOKUP($A227,CompChecksTrans!$A:$C,2,FALSE), "")</f>
        <v/>
      </c>
      <c r="C227" s="10" t="str">
        <f>_xlfn.IFNA(VLOOKUP(B227,Phase1!A$4:C$129,3,FALSE),"")</f>
        <v/>
      </c>
      <c r="D227" s="10" t="str">
        <f>_xlfn.IFNA(VLOOKUP($A227,CompChecksTrans!$A:$C,3,FALSE), "     ")</f>
        <v xml:space="preserve">     </v>
      </c>
    </row>
    <row r="228" spans="1:4" x14ac:dyDescent="0.25">
      <c r="A228" s="12" t="s">
        <v>4539</v>
      </c>
      <c r="B228" s="10" t="str">
        <f>_xlfn.IFNA(VLOOKUP($A228,CompChecksTrans!$A:$C,2,FALSE), "")</f>
        <v/>
      </c>
      <c r="C228" s="10" t="str">
        <f>_xlfn.IFNA(VLOOKUP(B228,Phase1!A$4:C$129,3,FALSE),"")</f>
        <v/>
      </c>
      <c r="D228" s="10" t="str">
        <f>_xlfn.IFNA(VLOOKUP($A228,CompChecksTrans!$A:$C,3,FALSE), "     ")</f>
        <v xml:space="preserve">     </v>
      </c>
    </row>
    <row r="229" spans="1:4" x14ac:dyDescent="0.25">
      <c r="A229" s="12" t="s">
        <v>4540</v>
      </c>
      <c r="B229" s="10" t="str">
        <f>_xlfn.IFNA(VLOOKUP($A229,CompChecksTrans!$A:$C,2,FALSE), "")</f>
        <v/>
      </c>
      <c r="C229" s="10" t="str">
        <f>_xlfn.IFNA(VLOOKUP(B229,Phase1!A$4:C$129,3,FALSE),"")</f>
        <v/>
      </c>
      <c r="D229" s="10" t="str">
        <f>_xlfn.IFNA(VLOOKUP($A229,CompChecksTrans!$A:$C,3,FALSE), "     ")</f>
        <v xml:space="preserve">     </v>
      </c>
    </row>
    <row r="230" spans="1:4" x14ac:dyDescent="0.25">
      <c r="A230" s="12" t="s">
        <v>4541</v>
      </c>
      <c r="B230" s="10" t="str">
        <f>_xlfn.IFNA(VLOOKUP($A230,CompChecksTrans!$A:$C,2,FALSE), "")</f>
        <v/>
      </c>
      <c r="C230" s="10" t="str">
        <f>_xlfn.IFNA(VLOOKUP(B230,Phase1!A$4:C$129,3,FALSE),"")</f>
        <v/>
      </c>
      <c r="D230" s="10" t="str">
        <f>_xlfn.IFNA(VLOOKUP($A230,CompChecksTrans!$A:$C,3,FALSE), "     ")</f>
        <v xml:space="preserve">     </v>
      </c>
    </row>
    <row r="231" spans="1:4" x14ac:dyDescent="0.25">
      <c r="A231" s="12" t="s">
        <v>4542</v>
      </c>
      <c r="B231" s="10" t="str">
        <f>_xlfn.IFNA(VLOOKUP($A231,CompChecksTrans!$A:$C,2,FALSE), "")</f>
        <v/>
      </c>
      <c r="C231" s="10" t="str">
        <f>_xlfn.IFNA(VLOOKUP(B231,Phase1!A$4:C$129,3,FALSE),"")</f>
        <v/>
      </c>
      <c r="D231" s="10" t="str">
        <f>_xlfn.IFNA(VLOOKUP($A231,CompChecksTrans!$A:$C,3,FALSE), "     ")</f>
        <v xml:space="preserve">     </v>
      </c>
    </row>
    <row r="232" spans="1:4" x14ac:dyDescent="0.25">
      <c r="A232" s="12" t="s">
        <v>4543</v>
      </c>
      <c r="B232" s="10" t="str">
        <f>_xlfn.IFNA(VLOOKUP($A232,CompChecksTrans!$A:$C,2,FALSE), "")</f>
        <v/>
      </c>
      <c r="C232" s="10" t="str">
        <f>_xlfn.IFNA(VLOOKUP(B232,Phase1!A$4:C$129,3,FALSE),"")</f>
        <v/>
      </c>
      <c r="D232" s="10" t="str">
        <f>_xlfn.IFNA(VLOOKUP($A232,CompChecksTrans!$A:$C,3,FALSE), "     ")</f>
        <v xml:space="preserve">     </v>
      </c>
    </row>
    <row r="233" spans="1:4" x14ac:dyDescent="0.25">
      <c r="A233" s="12" t="s">
        <v>4544</v>
      </c>
      <c r="B233" s="10" t="str">
        <f>_xlfn.IFNA(VLOOKUP($A233,CompChecksTrans!$A:$C,2,FALSE), "")</f>
        <v/>
      </c>
      <c r="C233" s="10" t="str">
        <f>_xlfn.IFNA(VLOOKUP(B233,Phase1!A$4:C$129,3,FALSE),"")</f>
        <v/>
      </c>
      <c r="D233" s="10" t="str">
        <f>_xlfn.IFNA(VLOOKUP($A233,CompChecksTrans!$A:$C,3,FALSE), "     ")</f>
        <v xml:space="preserve">     </v>
      </c>
    </row>
    <row r="234" spans="1:4" x14ac:dyDescent="0.25">
      <c r="A234" s="12" t="s">
        <v>4545</v>
      </c>
      <c r="B234" s="10" t="str">
        <f>_xlfn.IFNA(VLOOKUP($A234,CompChecksTrans!$A:$C,2,FALSE), "")</f>
        <v/>
      </c>
      <c r="C234" s="10" t="str">
        <f>_xlfn.IFNA(VLOOKUP(B234,Phase1!A$4:C$129,3,FALSE),"")</f>
        <v/>
      </c>
      <c r="D234" s="10" t="str">
        <f>_xlfn.IFNA(VLOOKUP($A234,CompChecksTrans!$A:$C,3,FALSE), "     ")</f>
        <v xml:space="preserve">     </v>
      </c>
    </row>
    <row r="235" spans="1:4" x14ac:dyDescent="0.25">
      <c r="A235" s="12" t="s">
        <v>4546</v>
      </c>
      <c r="B235" s="10" t="str">
        <f>_xlfn.IFNA(VLOOKUP($A235,CompChecksTrans!$A:$C,2,FALSE), "")</f>
        <v/>
      </c>
      <c r="C235" s="10" t="str">
        <f>_xlfn.IFNA(VLOOKUP(B235,Phase1!A$4:C$129,3,FALSE),"")</f>
        <v/>
      </c>
      <c r="D235" s="10" t="str">
        <f>_xlfn.IFNA(VLOOKUP($A235,CompChecksTrans!$A:$C,3,FALSE), "     ")</f>
        <v xml:space="preserve">     </v>
      </c>
    </row>
    <row r="236" spans="1:4" x14ac:dyDescent="0.25">
      <c r="A236" s="12" t="s">
        <v>4547</v>
      </c>
      <c r="B236" s="10" t="str">
        <f>_xlfn.IFNA(VLOOKUP($A236,CompChecksTrans!$A:$C,2,FALSE), "")</f>
        <v/>
      </c>
      <c r="C236" s="10" t="str">
        <f>_xlfn.IFNA(VLOOKUP(B236,Phase1!A$4:C$129,3,FALSE),"")</f>
        <v/>
      </c>
      <c r="D236" s="10" t="str">
        <f>_xlfn.IFNA(VLOOKUP($A236,CompChecksTrans!$A:$C,3,FALSE), "     ")</f>
        <v xml:space="preserve">     </v>
      </c>
    </row>
    <row r="237" spans="1:4" x14ac:dyDescent="0.25">
      <c r="A237" s="12" t="s">
        <v>4548</v>
      </c>
      <c r="B237" s="10" t="str">
        <f>_xlfn.IFNA(VLOOKUP($A237,CompChecksTrans!$A:$C,2,FALSE), "")</f>
        <v/>
      </c>
      <c r="C237" s="10" t="str">
        <f>_xlfn.IFNA(VLOOKUP(B237,Phase1!A$4:C$129,3,FALSE),"")</f>
        <v/>
      </c>
      <c r="D237" s="10" t="str">
        <f>_xlfn.IFNA(VLOOKUP($A237,CompChecksTrans!$A:$C,3,FALSE), "     ")</f>
        <v xml:space="preserve">     </v>
      </c>
    </row>
    <row r="238" spans="1:4" x14ac:dyDescent="0.25">
      <c r="A238" s="12" t="s">
        <v>4549</v>
      </c>
      <c r="B238" s="10" t="str">
        <f>_xlfn.IFNA(VLOOKUP($A238,CompChecksTrans!$A:$C,2,FALSE), "")</f>
        <v/>
      </c>
      <c r="C238" s="10" t="str">
        <f>_xlfn.IFNA(VLOOKUP(B238,Phase1!A$4:C$129,3,FALSE),"")</f>
        <v/>
      </c>
      <c r="D238" s="10" t="str">
        <f>_xlfn.IFNA(VLOOKUP($A238,CompChecksTrans!$A:$C,3,FALSE), "     ")</f>
        <v xml:space="preserve">     </v>
      </c>
    </row>
    <row r="239" spans="1:4" x14ac:dyDescent="0.25">
      <c r="A239" s="12" t="s">
        <v>4550</v>
      </c>
      <c r="B239" s="10" t="str">
        <f>_xlfn.IFNA(VLOOKUP($A239,CompChecksTrans!$A:$C,2,FALSE), "")</f>
        <v/>
      </c>
      <c r="C239" s="10" t="str">
        <f>_xlfn.IFNA(VLOOKUP(B239,Phase1!A$4:C$129,3,FALSE),"")</f>
        <v/>
      </c>
      <c r="D239" s="10" t="str">
        <f>_xlfn.IFNA(VLOOKUP($A239,CompChecksTrans!$A:$C,3,FALSE), "     ")</f>
        <v xml:space="preserve">     </v>
      </c>
    </row>
    <row r="240" spans="1:4" x14ac:dyDescent="0.25">
      <c r="A240" s="12" t="s">
        <v>4551</v>
      </c>
      <c r="B240" s="10" t="str">
        <f>_xlfn.IFNA(VLOOKUP($A240,CompChecksTrans!$A:$C,2,FALSE), "")</f>
        <v/>
      </c>
      <c r="C240" s="10" t="str">
        <f>_xlfn.IFNA(VLOOKUP(B240,Phase1!A$4:C$129,3,FALSE),"")</f>
        <v/>
      </c>
      <c r="D240" s="10" t="str">
        <f>_xlfn.IFNA(VLOOKUP($A240,CompChecksTrans!$A:$C,3,FALSE), "     ")</f>
        <v xml:space="preserve">     </v>
      </c>
    </row>
    <row r="241" spans="1:4" x14ac:dyDescent="0.25">
      <c r="A241" s="12" t="s">
        <v>4552</v>
      </c>
      <c r="B241" s="10" t="str">
        <f>_xlfn.IFNA(VLOOKUP($A241,CompChecksTrans!$A:$C,2,FALSE), "")</f>
        <v/>
      </c>
      <c r="C241" s="10" t="str">
        <f>_xlfn.IFNA(VLOOKUP(B241,Phase1!A$4:C$129,3,FALSE),"")</f>
        <v/>
      </c>
      <c r="D241" s="10" t="str">
        <f>_xlfn.IFNA(VLOOKUP($A241,CompChecksTrans!$A:$C,3,FALSE), "     ")</f>
        <v xml:space="preserve">     </v>
      </c>
    </row>
    <row r="242" spans="1:4" x14ac:dyDescent="0.25">
      <c r="A242" s="12" t="s">
        <v>4553</v>
      </c>
      <c r="B242" s="10" t="str">
        <f>_xlfn.IFNA(VLOOKUP($A242,CompChecksTrans!$A:$C,2,FALSE), "")</f>
        <v/>
      </c>
      <c r="C242" s="10" t="str">
        <f>_xlfn.IFNA(VLOOKUP(B242,Phase1!A$4:C$129,3,FALSE),"")</f>
        <v/>
      </c>
      <c r="D242" s="10" t="str">
        <f>_xlfn.IFNA(VLOOKUP($A242,CompChecksTrans!$A:$C,3,FALSE), "     ")</f>
        <v xml:space="preserve">     </v>
      </c>
    </row>
    <row r="243" spans="1:4" x14ac:dyDescent="0.25">
      <c r="A243" s="12" t="s">
        <v>4554</v>
      </c>
      <c r="B243" s="10" t="str">
        <f>_xlfn.IFNA(VLOOKUP($A243,CompChecksTrans!$A:$C,2,FALSE), "")</f>
        <v/>
      </c>
      <c r="C243" s="10" t="str">
        <f>_xlfn.IFNA(VLOOKUP(B243,Phase1!A$4:C$129,3,FALSE),"")</f>
        <v/>
      </c>
      <c r="D243" s="10" t="str">
        <f>_xlfn.IFNA(VLOOKUP($A243,CompChecksTrans!$A:$C,3,FALSE), "     ")</f>
        <v xml:space="preserve">     </v>
      </c>
    </row>
    <row r="244" spans="1:4" x14ac:dyDescent="0.25">
      <c r="A244" s="12" t="s">
        <v>4555</v>
      </c>
      <c r="B244" s="10" t="str">
        <f>_xlfn.IFNA(VLOOKUP($A244,CompChecksTrans!$A:$C,2,FALSE), "")</f>
        <v/>
      </c>
      <c r="C244" s="10" t="str">
        <f>_xlfn.IFNA(VLOOKUP(B244,Phase1!A$4:C$129,3,FALSE),"")</f>
        <v/>
      </c>
      <c r="D244" s="10" t="str">
        <f>_xlfn.IFNA(VLOOKUP($A244,CompChecksTrans!$A:$C,3,FALSE), "     ")</f>
        <v xml:space="preserve">     </v>
      </c>
    </row>
    <row r="245" spans="1:4" x14ac:dyDescent="0.25">
      <c r="A245" s="12" t="s">
        <v>4556</v>
      </c>
      <c r="B245" s="10" t="str">
        <f>_xlfn.IFNA(VLOOKUP($A245,CompChecksTrans!$A:$C,2,FALSE), "")</f>
        <v/>
      </c>
      <c r="C245" s="10" t="str">
        <f>_xlfn.IFNA(VLOOKUP(B245,Phase1!A$4:C$129,3,FALSE),"")</f>
        <v/>
      </c>
      <c r="D245" s="10" t="str">
        <f>_xlfn.IFNA(VLOOKUP($A245,CompChecksTrans!$A:$C,3,FALSE), "     ")</f>
        <v xml:space="preserve">     </v>
      </c>
    </row>
    <row r="246" spans="1:4" x14ac:dyDescent="0.25">
      <c r="A246" s="12" t="s">
        <v>4557</v>
      </c>
      <c r="B246" s="10" t="str">
        <f>_xlfn.IFNA(VLOOKUP($A246,CompChecksTrans!$A:$C,2,FALSE), "")</f>
        <v/>
      </c>
      <c r="C246" s="10" t="str">
        <f>_xlfn.IFNA(VLOOKUP(B246,Phase1!A$4:C$129,3,FALSE),"")</f>
        <v/>
      </c>
      <c r="D246" s="10" t="str">
        <f>_xlfn.IFNA(VLOOKUP($A246,CompChecksTrans!$A:$C,3,FALSE), "     ")</f>
        <v xml:space="preserve">     </v>
      </c>
    </row>
    <row r="247" spans="1:4" x14ac:dyDescent="0.25">
      <c r="A247" s="12" t="s">
        <v>4558</v>
      </c>
      <c r="B247" s="10" t="str">
        <f>_xlfn.IFNA(VLOOKUP($A247,CompChecksTrans!$A:$C,2,FALSE), "")</f>
        <v/>
      </c>
      <c r="C247" s="10" t="str">
        <f>_xlfn.IFNA(VLOOKUP(B247,Phase1!A$4:C$129,3,FALSE),"")</f>
        <v/>
      </c>
      <c r="D247" s="10" t="str">
        <f>_xlfn.IFNA(VLOOKUP($A247,CompChecksTrans!$A:$C,3,FALSE), "     ")</f>
        <v xml:space="preserve">     </v>
      </c>
    </row>
    <row r="248" spans="1:4" x14ac:dyDescent="0.25">
      <c r="A248" s="12" t="s">
        <v>4559</v>
      </c>
      <c r="B248" s="10" t="str">
        <f>_xlfn.IFNA(VLOOKUP($A248,CompChecksTrans!$A:$C,2,FALSE), "")</f>
        <v/>
      </c>
      <c r="C248" s="10" t="str">
        <f>_xlfn.IFNA(VLOOKUP(B248,Phase1!A$4:C$129,3,FALSE),"")</f>
        <v/>
      </c>
      <c r="D248" s="10" t="str">
        <f>_xlfn.IFNA(VLOOKUP($A248,CompChecksTrans!$A:$C,3,FALSE), "     ")</f>
        <v xml:space="preserve">     </v>
      </c>
    </row>
    <row r="249" spans="1:4" x14ac:dyDescent="0.25">
      <c r="A249" s="12" t="s">
        <v>4560</v>
      </c>
      <c r="B249" s="10" t="str">
        <f>_xlfn.IFNA(VLOOKUP($A249,CompChecksTrans!$A:$C,2,FALSE), "")</f>
        <v/>
      </c>
      <c r="C249" s="10" t="str">
        <f>_xlfn.IFNA(VLOOKUP(B249,Phase1!A$4:C$129,3,FALSE),"")</f>
        <v/>
      </c>
      <c r="D249" s="10" t="str">
        <f>_xlfn.IFNA(VLOOKUP($A249,CompChecksTrans!$A:$C,3,FALSE), "     ")</f>
        <v xml:space="preserve">     </v>
      </c>
    </row>
    <row r="250" spans="1:4" x14ac:dyDescent="0.25">
      <c r="A250" s="12" t="s">
        <v>4561</v>
      </c>
      <c r="B250" s="10" t="str">
        <f>_xlfn.IFNA(VLOOKUP($A250,CompChecksTrans!$A:$C,2,FALSE), "")</f>
        <v/>
      </c>
      <c r="C250" s="10" t="str">
        <f>_xlfn.IFNA(VLOOKUP(B250,Phase1!A$4:C$129,3,FALSE),"")</f>
        <v/>
      </c>
      <c r="D250" s="10" t="str">
        <f>_xlfn.IFNA(VLOOKUP($A250,CompChecksTrans!$A:$C,3,FALSE), "     ")</f>
        <v xml:space="preserve">     </v>
      </c>
    </row>
    <row r="251" spans="1:4" x14ac:dyDescent="0.25">
      <c r="A251" s="12" t="s">
        <v>4562</v>
      </c>
      <c r="B251" s="10" t="str">
        <f>_xlfn.IFNA(VLOOKUP($A251,CompChecksTrans!$A:$C,2,FALSE), "")</f>
        <v/>
      </c>
      <c r="C251" s="10" t="str">
        <f>_xlfn.IFNA(VLOOKUP(B251,Phase1!A$4:C$129,3,FALSE),"")</f>
        <v/>
      </c>
      <c r="D251" s="10" t="str">
        <f>_xlfn.IFNA(VLOOKUP($A251,CompChecksTrans!$A:$C,3,FALSE), "     ")</f>
        <v xml:space="preserve">     </v>
      </c>
    </row>
    <row r="252" spans="1:4" x14ac:dyDescent="0.25">
      <c r="A252" s="12" t="s">
        <v>4563</v>
      </c>
      <c r="B252" s="10" t="str">
        <f>_xlfn.IFNA(VLOOKUP($A252,CompChecksTrans!$A:$C,2,FALSE), "")</f>
        <v/>
      </c>
      <c r="C252" s="10" t="str">
        <f>_xlfn.IFNA(VLOOKUP(B252,Phase1!A$4:C$129,3,FALSE),"")</f>
        <v/>
      </c>
      <c r="D252" s="10" t="str">
        <f>_xlfn.IFNA(VLOOKUP($A252,CompChecksTrans!$A:$C,3,FALSE), "     ")</f>
        <v xml:space="preserve">     </v>
      </c>
    </row>
    <row r="253" spans="1:4" x14ac:dyDescent="0.25">
      <c r="A253" s="12" t="s">
        <v>4564</v>
      </c>
      <c r="B253" s="10" t="str">
        <f>_xlfn.IFNA(VLOOKUP($A253,CompChecksTrans!$A:$C,2,FALSE), "")</f>
        <v/>
      </c>
      <c r="C253" s="10" t="str">
        <f>_xlfn.IFNA(VLOOKUP(B253,Phase1!A$4:C$129,3,FALSE),"")</f>
        <v/>
      </c>
      <c r="D253" s="10" t="str">
        <f>_xlfn.IFNA(VLOOKUP($A253,CompChecksTrans!$A:$C,3,FALSE), "     ")</f>
        <v xml:space="preserve">     </v>
      </c>
    </row>
    <row r="254" spans="1:4" x14ac:dyDescent="0.25">
      <c r="A254" s="12" t="s">
        <v>4565</v>
      </c>
      <c r="B254" s="10" t="str">
        <f>_xlfn.IFNA(VLOOKUP($A254,CompChecksTrans!$A:$C,2,FALSE), "")</f>
        <v/>
      </c>
      <c r="C254" s="10" t="str">
        <f>_xlfn.IFNA(VLOOKUP(B254,Phase1!A$4:C$129,3,FALSE),"")</f>
        <v/>
      </c>
      <c r="D254" s="10" t="str">
        <f>_xlfn.IFNA(VLOOKUP($A254,CompChecksTrans!$A:$C,3,FALSE), "     ")</f>
        <v xml:space="preserve">     </v>
      </c>
    </row>
    <row r="255" spans="1:4" x14ac:dyDescent="0.25">
      <c r="A255" s="12" t="s">
        <v>4566</v>
      </c>
      <c r="B255" s="10" t="str">
        <f>_xlfn.IFNA(VLOOKUP($A255,CompChecksTrans!$A:$C,2,FALSE), "")</f>
        <v/>
      </c>
      <c r="C255" s="10" t="str">
        <f>_xlfn.IFNA(VLOOKUP(B255,Phase1!A$4:C$129,3,FALSE),"")</f>
        <v/>
      </c>
      <c r="D255" s="10" t="str">
        <f>_xlfn.IFNA(VLOOKUP($A255,CompChecksTrans!$A:$C,3,FALSE), "     ")</f>
        <v xml:space="preserve">     </v>
      </c>
    </row>
    <row r="256" spans="1:4" x14ac:dyDescent="0.25">
      <c r="A256" s="12" t="s">
        <v>4567</v>
      </c>
      <c r="B256" s="10" t="str">
        <f>_xlfn.IFNA(VLOOKUP($A256,CompChecksTrans!$A:$C,2,FALSE), "")</f>
        <v/>
      </c>
      <c r="C256" s="10" t="str">
        <f>_xlfn.IFNA(VLOOKUP(B256,Phase1!A$4:C$129,3,FALSE),"")</f>
        <v/>
      </c>
      <c r="D256" s="10" t="str">
        <f>_xlfn.IFNA(VLOOKUP($A256,CompChecksTrans!$A:$C,3,FALSE), "     ")</f>
        <v xml:space="preserve">     </v>
      </c>
    </row>
    <row r="257" spans="1:4" x14ac:dyDescent="0.25">
      <c r="A257" s="12" t="s">
        <v>4568</v>
      </c>
      <c r="B257" s="10" t="str">
        <f>_xlfn.IFNA(VLOOKUP($A257,CompChecksTrans!$A:$C,2,FALSE), "")</f>
        <v/>
      </c>
      <c r="C257" s="10" t="str">
        <f>_xlfn.IFNA(VLOOKUP(B257,Phase1!A$4:C$129,3,FALSE),"")</f>
        <v/>
      </c>
      <c r="D257" s="10" t="str">
        <f>_xlfn.IFNA(VLOOKUP($A257,CompChecksTrans!$A:$C,3,FALSE), "     ")</f>
        <v xml:space="preserve">     </v>
      </c>
    </row>
    <row r="258" spans="1:4" x14ac:dyDescent="0.25">
      <c r="A258" s="12" t="s">
        <v>4569</v>
      </c>
      <c r="B258" s="10" t="str">
        <f>_xlfn.IFNA(VLOOKUP($A258,CompChecksTrans!$A:$C,2,FALSE), "")</f>
        <v/>
      </c>
      <c r="C258" s="10" t="str">
        <f>_xlfn.IFNA(VLOOKUP(B258,Phase1!A$4:C$129,3,FALSE),"")</f>
        <v/>
      </c>
      <c r="D258" s="10" t="str">
        <f>_xlfn.IFNA(VLOOKUP($A258,CompChecksTrans!$A:$C,3,FALSE), "     ")</f>
        <v xml:space="preserve">     </v>
      </c>
    </row>
    <row r="259" spans="1:4" x14ac:dyDescent="0.25">
      <c r="A259" s="12" t="s">
        <v>4570</v>
      </c>
      <c r="B259" s="10" t="str">
        <f>_xlfn.IFNA(VLOOKUP($A259,CompChecksTrans!$A:$C,2,FALSE), "")</f>
        <v/>
      </c>
      <c r="C259" s="10" t="str">
        <f>_xlfn.IFNA(VLOOKUP(B259,Phase1!A$4:C$129,3,FALSE),"")</f>
        <v/>
      </c>
      <c r="D259" s="10" t="str">
        <f>_xlfn.IFNA(VLOOKUP($A259,CompChecksTrans!$A:$C,3,FALSE), "     ")</f>
        <v xml:space="preserve">     </v>
      </c>
    </row>
    <row r="260" spans="1:4" x14ac:dyDescent="0.25">
      <c r="A260" s="12" t="s">
        <v>4571</v>
      </c>
      <c r="B260" s="10" t="str">
        <f>_xlfn.IFNA(VLOOKUP($A260,CompChecksTrans!$A:$C,2,FALSE), "")</f>
        <v/>
      </c>
      <c r="C260" s="10" t="str">
        <f>_xlfn.IFNA(VLOOKUP(B260,Phase1!A$4:C$129,3,FALSE),"")</f>
        <v/>
      </c>
      <c r="D260" s="10" t="str">
        <f>_xlfn.IFNA(VLOOKUP($A260,CompChecksTrans!$A:$C,3,FALSE), "     ")</f>
        <v xml:space="preserve">     </v>
      </c>
    </row>
    <row r="261" spans="1:4" x14ac:dyDescent="0.25">
      <c r="A261" s="12" t="s">
        <v>4572</v>
      </c>
      <c r="B261" s="10" t="str">
        <f>_xlfn.IFNA(VLOOKUP($A261,CompChecksTrans!$A:$C,2,FALSE), "")</f>
        <v/>
      </c>
      <c r="C261" s="10" t="str">
        <f>_xlfn.IFNA(VLOOKUP(B261,Phase1!A$4:C$129,3,FALSE),"")</f>
        <v/>
      </c>
      <c r="D261" s="10" t="str">
        <f>_xlfn.IFNA(VLOOKUP($A261,CompChecksTrans!$A:$C,3,FALSE), "     ")</f>
        <v xml:space="preserve">     </v>
      </c>
    </row>
    <row r="262" spans="1:4" x14ac:dyDescent="0.25">
      <c r="A262" s="12" t="s">
        <v>4573</v>
      </c>
      <c r="B262" s="10" t="str">
        <f>_xlfn.IFNA(VLOOKUP($A262,CompChecksTrans!$A:$C,2,FALSE), "")</f>
        <v/>
      </c>
      <c r="C262" s="10" t="str">
        <f>_xlfn.IFNA(VLOOKUP(B262,Phase1!A$4:C$129,3,FALSE),"")</f>
        <v/>
      </c>
      <c r="D262" s="10" t="str">
        <f>_xlfn.IFNA(VLOOKUP($A262,CompChecksTrans!$A:$C,3,FALSE), "     ")</f>
        <v xml:space="preserve">     </v>
      </c>
    </row>
    <row r="263" spans="1:4" x14ac:dyDescent="0.25">
      <c r="A263" s="12" t="s">
        <v>4574</v>
      </c>
      <c r="B263" s="10" t="str">
        <f>_xlfn.IFNA(VLOOKUP($A263,CompChecksTrans!$A:$C,2,FALSE), "")</f>
        <v/>
      </c>
      <c r="C263" s="10" t="str">
        <f>_xlfn.IFNA(VLOOKUP(B263,Phase1!A$4:C$129,3,FALSE),"")</f>
        <v/>
      </c>
      <c r="D263" s="10" t="str">
        <f>_xlfn.IFNA(VLOOKUP($A263,CompChecksTrans!$A:$C,3,FALSE), "     ")</f>
        <v xml:space="preserve">     </v>
      </c>
    </row>
    <row r="264" spans="1:4" x14ac:dyDescent="0.25">
      <c r="A264" s="12" t="s">
        <v>4575</v>
      </c>
      <c r="B264" s="10" t="str">
        <f>_xlfn.IFNA(VLOOKUP($A264,CompChecksTrans!$A:$C,2,FALSE), "")</f>
        <v/>
      </c>
      <c r="C264" s="10" t="str">
        <f>_xlfn.IFNA(VLOOKUP(B264,Phase1!A$4:C$129,3,FALSE),"")</f>
        <v/>
      </c>
      <c r="D264" s="10" t="str">
        <f>_xlfn.IFNA(VLOOKUP($A264,CompChecksTrans!$A:$C,3,FALSE), "     ")</f>
        <v xml:space="preserve">     </v>
      </c>
    </row>
    <row r="265" spans="1:4" x14ac:dyDescent="0.25">
      <c r="A265" s="12" t="s">
        <v>4576</v>
      </c>
      <c r="B265" s="10" t="str">
        <f>_xlfn.IFNA(VLOOKUP($A265,CompChecksTrans!$A:$C,2,FALSE), "")</f>
        <v/>
      </c>
      <c r="C265" s="10" t="str">
        <f>_xlfn.IFNA(VLOOKUP(B265,Phase1!A$4:C$129,3,FALSE),"")</f>
        <v/>
      </c>
      <c r="D265" s="10" t="str">
        <f>_xlfn.IFNA(VLOOKUP($A265,CompChecksTrans!$A:$C,3,FALSE), "     ")</f>
        <v xml:space="preserve">     </v>
      </c>
    </row>
    <row r="266" spans="1:4" x14ac:dyDescent="0.25">
      <c r="A266" s="12" t="s">
        <v>4577</v>
      </c>
      <c r="B266" s="10" t="str">
        <f>_xlfn.IFNA(VLOOKUP($A266,CompChecksTrans!$A:$C,2,FALSE), "")</f>
        <v/>
      </c>
      <c r="C266" s="10" t="str">
        <f>_xlfn.IFNA(VLOOKUP(B266,Phase1!A$4:C$129,3,FALSE),"")</f>
        <v/>
      </c>
      <c r="D266" s="10" t="str">
        <f>_xlfn.IFNA(VLOOKUP($A266,CompChecksTrans!$A:$C,3,FALSE), "     ")</f>
        <v xml:space="preserve">     </v>
      </c>
    </row>
    <row r="267" spans="1:4" x14ac:dyDescent="0.25">
      <c r="A267" s="12" t="s">
        <v>4578</v>
      </c>
      <c r="B267" s="10" t="str">
        <f>_xlfn.IFNA(VLOOKUP($A267,CompChecksTrans!$A:$C,2,FALSE), "")</f>
        <v/>
      </c>
      <c r="C267" s="10" t="str">
        <f>_xlfn.IFNA(VLOOKUP(B267,Phase1!A$4:C$129,3,FALSE),"")</f>
        <v/>
      </c>
      <c r="D267" s="10" t="str">
        <f>_xlfn.IFNA(VLOOKUP($A267,CompChecksTrans!$A:$C,3,FALSE), "     ")</f>
        <v xml:space="preserve">     </v>
      </c>
    </row>
    <row r="268" spans="1:4" x14ac:dyDescent="0.25">
      <c r="A268" s="12" t="s">
        <v>4579</v>
      </c>
      <c r="B268" s="10" t="str">
        <f>_xlfn.IFNA(VLOOKUP($A268,CompChecksTrans!$A:$C,2,FALSE), "")</f>
        <v/>
      </c>
      <c r="C268" s="10" t="str">
        <f>_xlfn.IFNA(VLOOKUP(B268,Phase1!A$4:C$129,3,FALSE),"")</f>
        <v/>
      </c>
      <c r="D268" s="10" t="str">
        <f>_xlfn.IFNA(VLOOKUP($A268,CompChecksTrans!$A:$C,3,FALSE), "     ")</f>
        <v xml:space="preserve">     </v>
      </c>
    </row>
    <row r="269" spans="1:4" x14ac:dyDescent="0.25">
      <c r="A269" s="12" t="s">
        <v>4580</v>
      </c>
      <c r="B269" s="10" t="str">
        <f>_xlfn.IFNA(VLOOKUP($A269,CompChecksTrans!$A:$C,2,FALSE), "")</f>
        <v/>
      </c>
      <c r="C269" s="10" t="str">
        <f>_xlfn.IFNA(VLOOKUP(B269,Phase1!A$4:C$129,3,FALSE),"")</f>
        <v/>
      </c>
      <c r="D269" s="10" t="str">
        <f>_xlfn.IFNA(VLOOKUP($A269,CompChecksTrans!$A:$C,3,FALSE), "     ")</f>
        <v xml:space="preserve">     </v>
      </c>
    </row>
    <row r="270" spans="1:4" x14ac:dyDescent="0.25">
      <c r="A270" s="12" t="s">
        <v>4581</v>
      </c>
      <c r="B270" s="10" t="str">
        <f>_xlfn.IFNA(VLOOKUP($A270,CompChecksTrans!$A:$C,2,FALSE), "")</f>
        <v/>
      </c>
      <c r="C270" s="10" t="str">
        <f>_xlfn.IFNA(VLOOKUP(B270,Phase1!A$4:C$129,3,FALSE),"")</f>
        <v/>
      </c>
      <c r="D270" s="10" t="str">
        <f>_xlfn.IFNA(VLOOKUP($A270,CompChecksTrans!$A:$C,3,FALSE), "     ")</f>
        <v xml:space="preserve">     </v>
      </c>
    </row>
    <row r="271" spans="1:4" x14ac:dyDescent="0.25">
      <c r="A271" s="12" t="s">
        <v>4582</v>
      </c>
      <c r="B271" s="10" t="str">
        <f>_xlfn.IFNA(VLOOKUP($A271,CompChecksTrans!$A:$C,2,FALSE), "")</f>
        <v/>
      </c>
      <c r="C271" s="10" t="str">
        <f>_xlfn.IFNA(VLOOKUP(B271,Phase1!A$4:C$129,3,FALSE),"")</f>
        <v/>
      </c>
      <c r="D271" s="10" t="str">
        <f>_xlfn.IFNA(VLOOKUP($A271,CompChecksTrans!$A:$C,3,FALSE), "     ")</f>
        <v xml:space="preserve">     </v>
      </c>
    </row>
    <row r="272" spans="1:4" x14ac:dyDescent="0.25">
      <c r="A272" s="12" t="s">
        <v>4583</v>
      </c>
      <c r="B272" s="10" t="str">
        <f>_xlfn.IFNA(VLOOKUP($A272,CompChecksTrans!$A:$C,2,FALSE), "")</f>
        <v/>
      </c>
      <c r="C272" s="10" t="str">
        <f>_xlfn.IFNA(VLOOKUP(B272,Phase1!A$4:C$129,3,FALSE),"")</f>
        <v/>
      </c>
      <c r="D272" s="10" t="str">
        <f>_xlfn.IFNA(VLOOKUP($A272,CompChecksTrans!$A:$C,3,FALSE), "     ")</f>
        <v xml:space="preserve">     </v>
      </c>
    </row>
    <row r="273" spans="1:4" x14ac:dyDescent="0.25">
      <c r="A273" s="12" t="s">
        <v>4584</v>
      </c>
      <c r="B273" s="10" t="str">
        <f>_xlfn.IFNA(VLOOKUP($A273,CompChecksTrans!$A:$C,2,FALSE), "")</f>
        <v/>
      </c>
      <c r="C273" s="10" t="str">
        <f>_xlfn.IFNA(VLOOKUP(B273,Phase1!A$4:C$129,3,FALSE),"")</f>
        <v/>
      </c>
      <c r="D273" s="10" t="str">
        <f>_xlfn.IFNA(VLOOKUP($A273,CompChecksTrans!$A:$C,3,FALSE), "     ")</f>
        <v xml:space="preserve">     </v>
      </c>
    </row>
    <row r="274" spans="1:4" x14ac:dyDescent="0.25">
      <c r="A274" s="12" t="s">
        <v>4585</v>
      </c>
      <c r="B274" s="10" t="str">
        <f>_xlfn.IFNA(VLOOKUP($A274,CompChecksTrans!$A:$C,2,FALSE), "")</f>
        <v/>
      </c>
      <c r="C274" s="10" t="str">
        <f>_xlfn.IFNA(VLOOKUP(B274,Phase1!A$4:C$129,3,FALSE),"")</f>
        <v/>
      </c>
      <c r="D274" s="10" t="str">
        <f>_xlfn.IFNA(VLOOKUP($A274,CompChecksTrans!$A:$C,3,FALSE), "     ")</f>
        <v xml:space="preserve">     </v>
      </c>
    </row>
    <row r="275" spans="1:4" x14ac:dyDescent="0.25">
      <c r="A275" s="12" t="s">
        <v>4586</v>
      </c>
      <c r="B275" s="10" t="str">
        <f>_xlfn.IFNA(VLOOKUP($A275,CompChecksTrans!$A:$C,2,FALSE), "")</f>
        <v/>
      </c>
      <c r="C275" s="10" t="str">
        <f>_xlfn.IFNA(VLOOKUP(B275,Phase1!A$4:C$129,3,FALSE),"")</f>
        <v/>
      </c>
      <c r="D275" s="10" t="str">
        <f>_xlfn.IFNA(VLOOKUP($A275,CompChecksTrans!$A:$C,3,FALSE), "     ")</f>
        <v xml:space="preserve">     </v>
      </c>
    </row>
    <row r="276" spans="1:4" x14ac:dyDescent="0.25">
      <c r="A276" s="12" t="s">
        <v>4587</v>
      </c>
      <c r="B276" s="10" t="str">
        <f>_xlfn.IFNA(VLOOKUP($A276,CompChecksTrans!$A:$C,2,FALSE), "")</f>
        <v/>
      </c>
      <c r="C276" s="10" t="str">
        <f>_xlfn.IFNA(VLOOKUP(B276,Phase1!A$4:C$129,3,FALSE),"")</f>
        <v/>
      </c>
      <c r="D276" s="10" t="str">
        <f>_xlfn.IFNA(VLOOKUP($A276,CompChecksTrans!$A:$C,3,FALSE), "     ")</f>
        <v xml:space="preserve">     </v>
      </c>
    </row>
    <row r="277" spans="1:4" x14ac:dyDescent="0.25">
      <c r="A277" s="12" t="s">
        <v>4588</v>
      </c>
      <c r="B277" s="10" t="str">
        <f>_xlfn.IFNA(VLOOKUP($A277,CompChecksTrans!$A:$C,2,FALSE), "")</f>
        <v/>
      </c>
      <c r="C277" s="10" t="str">
        <f>_xlfn.IFNA(VLOOKUP(B277,Phase1!A$4:C$129,3,FALSE),"")</f>
        <v/>
      </c>
      <c r="D277" s="10" t="str">
        <f>_xlfn.IFNA(VLOOKUP($A277,CompChecksTrans!$A:$C,3,FALSE), "     ")</f>
        <v xml:space="preserve">     </v>
      </c>
    </row>
    <row r="278" spans="1:4" x14ac:dyDescent="0.25">
      <c r="A278" s="12" t="s">
        <v>4589</v>
      </c>
      <c r="B278" s="10" t="str">
        <f>_xlfn.IFNA(VLOOKUP($A278,CompChecksTrans!$A:$C,2,FALSE), "")</f>
        <v/>
      </c>
      <c r="C278" s="10" t="str">
        <f>_xlfn.IFNA(VLOOKUP(B278,Phase1!A$4:C$129,3,FALSE),"")</f>
        <v/>
      </c>
      <c r="D278" s="10" t="str">
        <f>_xlfn.IFNA(VLOOKUP($A278,CompChecksTrans!$A:$C,3,FALSE), "     ")</f>
        <v xml:space="preserve">     </v>
      </c>
    </row>
    <row r="279" spans="1:4" x14ac:dyDescent="0.25">
      <c r="A279" s="12" t="s">
        <v>4590</v>
      </c>
      <c r="B279" s="10" t="str">
        <f>_xlfn.IFNA(VLOOKUP($A279,CompChecksTrans!$A:$C,2,FALSE), "")</f>
        <v/>
      </c>
      <c r="C279" s="10" t="str">
        <f>_xlfn.IFNA(VLOOKUP(B279,Phase1!A$4:C$129,3,FALSE),"")</f>
        <v/>
      </c>
      <c r="D279" s="10" t="str">
        <f>_xlfn.IFNA(VLOOKUP($A279,CompChecksTrans!$A:$C,3,FALSE), "     ")</f>
        <v xml:space="preserve">     </v>
      </c>
    </row>
    <row r="280" spans="1:4" x14ac:dyDescent="0.25">
      <c r="A280" s="12" t="s">
        <v>4591</v>
      </c>
      <c r="B280" s="10" t="str">
        <f>_xlfn.IFNA(VLOOKUP($A280,CompChecksTrans!$A:$C,2,FALSE), "")</f>
        <v/>
      </c>
      <c r="C280" s="10" t="str">
        <f>_xlfn.IFNA(VLOOKUP(B280,Phase1!A$4:C$129,3,FALSE),"")</f>
        <v/>
      </c>
      <c r="D280" s="10" t="str">
        <f>_xlfn.IFNA(VLOOKUP($A280,CompChecksTrans!$A:$C,3,FALSE), "     ")</f>
        <v xml:space="preserve">     </v>
      </c>
    </row>
    <row r="281" spans="1:4" x14ac:dyDescent="0.25">
      <c r="A281" s="12" t="s">
        <v>4592</v>
      </c>
      <c r="B281" s="10" t="str">
        <f>_xlfn.IFNA(VLOOKUP($A281,CompChecksTrans!$A:$C,2,FALSE), "")</f>
        <v/>
      </c>
      <c r="C281" s="10" t="str">
        <f>_xlfn.IFNA(VLOOKUP(B281,Phase1!A$4:C$129,3,FALSE),"")</f>
        <v/>
      </c>
      <c r="D281" s="10" t="str">
        <f>_xlfn.IFNA(VLOOKUP($A281,CompChecksTrans!$A:$C,3,FALSE), "     ")</f>
        <v xml:space="preserve">     </v>
      </c>
    </row>
    <row r="282" spans="1:4" x14ac:dyDescent="0.25">
      <c r="A282" s="12" t="s">
        <v>4593</v>
      </c>
      <c r="B282" s="10" t="str">
        <f>_xlfn.IFNA(VLOOKUP($A282,CompChecksTrans!$A:$C,2,FALSE), "")</f>
        <v/>
      </c>
      <c r="C282" s="10" t="str">
        <f>_xlfn.IFNA(VLOOKUP(B282,Phase1!A$4:C$129,3,FALSE),"")</f>
        <v/>
      </c>
      <c r="D282" s="10" t="str">
        <f>_xlfn.IFNA(VLOOKUP($A282,CompChecksTrans!$A:$C,3,FALSE), "     ")</f>
        <v xml:space="preserve">     </v>
      </c>
    </row>
    <row r="283" spans="1:4" x14ac:dyDescent="0.25">
      <c r="A283" s="12" t="s">
        <v>4594</v>
      </c>
      <c r="B283" s="10" t="str">
        <f>_xlfn.IFNA(VLOOKUP($A283,CompChecksTrans!$A:$C,2,FALSE), "")</f>
        <v/>
      </c>
      <c r="C283" s="10" t="str">
        <f>_xlfn.IFNA(VLOOKUP(B283,Phase1!A$4:C$129,3,FALSE),"")</f>
        <v/>
      </c>
      <c r="D283" s="10" t="str">
        <f>_xlfn.IFNA(VLOOKUP($A283,CompChecksTrans!$A:$C,3,FALSE), "     ")</f>
        <v xml:space="preserve">     </v>
      </c>
    </row>
    <row r="284" spans="1:4" x14ac:dyDescent="0.25">
      <c r="A284" s="12" t="s">
        <v>4595</v>
      </c>
      <c r="B284" s="10" t="str">
        <f>_xlfn.IFNA(VLOOKUP($A284,CompChecksTrans!$A:$C,2,FALSE), "")</f>
        <v/>
      </c>
      <c r="C284" s="10" t="str">
        <f>_xlfn.IFNA(VLOOKUP(B284,Phase1!A$4:C$129,3,FALSE),"")</f>
        <v/>
      </c>
      <c r="D284" s="10" t="str">
        <f>_xlfn.IFNA(VLOOKUP($A284,CompChecksTrans!$A:$C,3,FALSE), "     ")</f>
        <v xml:space="preserve">     </v>
      </c>
    </row>
    <row r="285" spans="1:4" x14ac:dyDescent="0.25">
      <c r="A285" s="12" t="s">
        <v>4596</v>
      </c>
      <c r="B285" s="10" t="str">
        <f>_xlfn.IFNA(VLOOKUP($A285,CompChecksTrans!$A:$C,2,FALSE), "")</f>
        <v/>
      </c>
      <c r="C285" s="10" t="str">
        <f>_xlfn.IFNA(VLOOKUP(B285,Phase1!A$4:C$129,3,FALSE),"")</f>
        <v/>
      </c>
      <c r="D285" s="10" t="str">
        <f>_xlfn.IFNA(VLOOKUP($A285,CompChecksTrans!$A:$C,3,FALSE), "     ")</f>
        <v xml:space="preserve">     </v>
      </c>
    </row>
    <row r="286" spans="1:4" x14ac:dyDescent="0.25">
      <c r="A286" s="12" t="s">
        <v>4597</v>
      </c>
      <c r="B286" s="10" t="str">
        <f>_xlfn.IFNA(VLOOKUP($A286,CompChecksTrans!$A:$C,2,FALSE), "")</f>
        <v/>
      </c>
      <c r="C286" s="10" t="str">
        <f>_xlfn.IFNA(VLOOKUP(B286,Phase1!A$4:C$129,3,FALSE),"")</f>
        <v/>
      </c>
      <c r="D286" s="10" t="str">
        <f>_xlfn.IFNA(VLOOKUP($A286,CompChecksTrans!$A:$C,3,FALSE), "     ")</f>
        <v xml:space="preserve">     </v>
      </c>
    </row>
    <row r="287" spans="1:4" x14ac:dyDescent="0.25">
      <c r="A287" s="12" t="s">
        <v>4598</v>
      </c>
      <c r="B287" s="10" t="str">
        <f>_xlfn.IFNA(VLOOKUP($A287,CompChecksTrans!$A:$C,2,FALSE), "")</f>
        <v/>
      </c>
      <c r="C287" s="10" t="str">
        <f>_xlfn.IFNA(VLOOKUP(B287,Phase1!A$4:C$129,3,FALSE),"")</f>
        <v/>
      </c>
      <c r="D287" s="10" t="str">
        <f>_xlfn.IFNA(VLOOKUP($A287,CompChecksTrans!$A:$C,3,FALSE), "     ")</f>
        <v xml:space="preserve">     </v>
      </c>
    </row>
    <row r="288" spans="1:4" x14ac:dyDescent="0.25">
      <c r="A288" s="12" t="s">
        <v>4599</v>
      </c>
      <c r="B288" s="10" t="str">
        <f>_xlfn.IFNA(VLOOKUP($A288,CompChecksTrans!$A:$C,2,FALSE), "")</f>
        <v/>
      </c>
      <c r="C288" s="10" t="str">
        <f>_xlfn.IFNA(VLOOKUP(B288,Phase1!A$4:C$129,3,FALSE),"")</f>
        <v/>
      </c>
      <c r="D288" s="10" t="str">
        <f>_xlfn.IFNA(VLOOKUP($A288,CompChecksTrans!$A:$C,3,FALSE), "     ")</f>
        <v xml:space="preserve">     </v>
      </c>
    </row>
    <row r="289" spans="1:4" x14ac:dyDescent="0.25">
      <c r="A289" s="12" t="s">
        <v>4600</v>
      </c>
      <c r="B289" s="10" t="str">
        <f>_xlfn.IFNA(VLOOKUP($A289,CompChecksTrans!$A:$C,2,FALSE), "")</f>
        <v/>
      </c>
      <c r="C289" s="10" t="str">
        <f>_xlfn.IFNA(VLOOKUP(B289,Phase1!A$4:C$129,3,FALSE),"")</f>
        <v/>
      </c>
      <c r="D289" s="10" t="str">
        <f>_xlfn.IFNA(VLOOKUP($A289,CompChecksTrans!$A:$C,3,FALSE), "     ")</f>
        <v xml:space="preserve">     </v>
      </c>
    </row>
    <row r="290" spans="1:4" x14ac:dyDescent="0.25">
      <c r="A290" s="12" t="s">
        <v>4601</v>
      </c>
      <c r="B290" s="10" t="str">
        <f>_xlfn.IFNA(VLOOKUP($A290,CompChecksTrans!$A:$C,2,FALSE), "")</f>
        <v/>
      </c>
      <c r="C290" s="10" t="str">
        <f>_xlfn.IFNA(VLOOKUP(B290,Phase1!A$4:C$129,3,FALSE),"")</f>
        <v/>
      </c>
      <c r="D290" s="10" t="str">
        <f>_xlfn.IFNA(VLOOKUP($A290,CompChecksTrans!$A:$C,3,FALSE), "     ")</f>
        <v xml:space="preserve">     </v>
      </c>
    </row>
    <row r="291" spans="1:4" x14ac:dyDescent="0.25">
      <c r="A291" s="12" t="s">
        <v>4602</v>
      </c>
      <c r="B291" s="10" t="str">
        <f>_xlfn.IFNA(VLOOKUP($A291,CompChecksTrans!$A:$C,2,FALSE), "")</f>
        <v/>
      </c>
      <c r="C291" s="10" t="str">
        <f>_xlfn.IFNA(VLOOKUP(B291,Phase1!A$4:C$129,3,FALSE),"")</f>
        <v/>
      </c>
      <c r="D291" s="10" t="str">
        <f>_xlfn.IFNA(VLOOKUP($A291,CompChecksTrans!$A:$C,3,FALSE), "     ")</f>
        <v xml:space="preserve">     </v>
      </c>
    </row>
    <row r="292" spans="1:4" x14ac:dyDescent="0.25">
      <c r="A292" s="12" t="s">
        <v>4603</v>
      </c>
      <c r="B292" s="10" t="str">
        <f>_xlfn.IFNA(VLOOKUP($A292,CompChecksTrans!$A:$C,2,FALSE), "")</f>
        <v/>
      </c>
      <c r="C292" s="10" t="str">
        <f>_xlfn.IFNA(VLOOKUP(B292,Phase1!A$4:C$129,3,FALSE),"")</f>
        <v/>
      </c>
      <c r="D292" s="10" t="str">
        <f>_xlfn.IFNA(VLOOKUP($A292,CompChecksTrans!$A:$C,3,FALSE), "     ")</f>
        <v xml:space="preserve">     </v>
      </c>
    </row>
    <row r="293" spans="1:4" x14ac:dyDescent="0.25">
      <c r="A293" s="12" t="s">
        <v>4604</v>
      </c>
      <c r="B293" s="10" t="str">
        <f>_xlfn.IFNA(VLOOKUP($A293,CompChecksTrans!$A:$C,2,FALSE), "")</f>
        <v/>
      </c>
      <c r="C293" s="10" t="str">
        <f>_xlfn.IFNA(VLOOKUP(B293,Phase1!A$4:C$129,3,FALSE),"")</f>
        <v/>
      </c>
      <c r="D293" s="10" t="str">
        <f>_xlfn.IFNA(VLOOKUP($A293,CompChecksTrans!$A:$C,3,FALSE), "     ")</f>
        <v xml:space="preserve">     </v>
      </c>
    </row>
    <row r="294" spans="1:4" x14ac:dyDescent="0.25">
      <c r="A294" s="12" t="s">
        <v>4605</v>
      </c>
      <c r="B294" s="10" t="str">
        <f>_xlfn.IFNA(VLOOKUP($A294,CompChecksTrans!$A:$C,2,FALSE), "")</f>
        <v/>
      </c>
      <c r="C294" s="10" t="str">
        <f>_xlfn.IFNA(VLOOKUP(B294,Phase1!A$4:C$129,3,FALSE),"")</f>
        <v/>
      </c>
      <c r="D294" s="10" t="str">
        <f>_xlfn.IFNA(VLOOKUP($A294,CompChecksTrans!$A:$C,3,FALSE), "     ")</f>
        <v xml:space="preserve">     </v>
      </c>
    </row>
    <row r="295" spans="1:4" x14ac:dyDescent="0.25">
      <c r="A295" s="12" t="s">
        <v>4606</v>
      </c>
      <c r="B295" s="10" t="str">
        <f>_xlfn.IFNA(VLOOKUP($A295,CompChecksTrans!$A:$C,2,FALSE), "")</f>
        <v/>
      </c>
      <c r="C295" s="10" t="str">
        <f>_xlfn.IFNA(VLOOKUP(B295,Phase1!A$4:C$129,3,FALSE),"")</f>
        <v/>
      </c>
      <c r="D295" s="10" t="str">
        <f>_xlfn.IFNA(VLOOKUP($A295,CompChecksTrans!$A:$C,3,FALSE), "     ")</f>
        <v xml:space="preserve">     </v>
      </c>
    </row>
    <row r="296" spans="1:4" x14ac:dyDescent="0.25">
      <c r="A296" s="12" t="s">
        <v>4607</v>
      </c>
      <c r="B296" s="10" t="str">
        <f>_xlfn.IFNA(VLOOKUP($A296,CompChecksTrans!$A:$C,2,FALSE), "")</f>
        <v/>
      </c>
      <c r="C296" s="10" t="str">
        <f>_xlfn.IFNA(VLOOKUP(B296,Phase1!A$4:C$129,3,FALSE),"")</f>
        <v/>
      </c>
      <c r="D296" s="10" t="str">
        <f>_xlfn.IFNA(VLOOKUP($A296,CompChecksTrans!$A:$C,3,FALSE), "     ")</f>
        <v xml:space="preserve">     </v>
      </c>
    </row>
    <row r="297" spans="1:4" x14ac:dyDescent="0.25">
      <c r="A297" s="12" t="s">
        <v>4608</v>
      </c>
      <c r="B297" s="10" t="str">
        <f>_xlfn.IFNA(VLOOKUP($A297,CompChecksTrans!$A:$C,2,FALSE), "")</f>
        <v/>
      </c>
      <c r="C297" s="10" t="str">
        <f>_xlfn.IFNA(VLOOKUP(B297,Phase1!A$4:C$129,3,FALSE),"")</f>
        <v/>
      </c>
      <c r="D297" s="10" t="str">
        <f>_xlfn.IFNA(VLOOKUP($A297,CompChecksTrans!$A:$C,3,FALSE), "     ")</f>
        <v xml:space="preserve">     </v>
      </c>
    </row>
    <row r="298" spans="1:4" x14ac:dyDescent="0.25">
      <c r="A298" s="12" t="s">
        <v>4609</v>
      </c>
      <c r="B298" s="10" t="str">
        <f>_xlfn.IFNA(VLOOKUP($A298,CompChecksTrans!$A:$C,2,FALSE), "")</f>
        <v/>
      </c>
      <c r="C298" s="10" t="str">
        <f>_xlfn.IFNA(VLOOKUP(B298,Phase1!A$4:C$129,3,FALSE),"")</f>
        <v/>
      </c>
      <c r="D298" s="10" t="str">
        <f>_xlfn.IFNA(VLOOKUP($A298,CompChecksTrans!$A:$C,3,FALSE), "     ")</f>
        <v xml:space="preserve">     </v>
      </c>
    </row>
    <row r="299" spans="1:4" x14ac:dyDescent="0.25">
      <c r="A299" s="12" t="s">
        <v>4610</v>
      </c>
      <c r="B299" s="10" t="str">
        <f>_xlfn.IFNA(VLOOKUP($A299,CompChecksTrans!$A:$C,2,FALSE), "")</f>
        <v/>
      </c>
      <c r="C299" s="10" t="str">
        <f>_xlfn.IFNA(VLOOKUP(B299,Phase1!A$4:C$129,3,FALSE),"")</f>
        <v/>
      </c>
      <c r="D299" s="10" t="str">
        <f>_xlfn.IFNA(VLOOKUP($A299,CompChecksTrans!$A:$C,3,FALSE), "     ")</f>
        <v xml:space="preserve">     </v>
      </c>
    </row>
    <row r="300" spans="1:4" x14ac:dyDescent="0.25">
      <c r="A300" s="12" t="s">
        <v>4611</v>
      </c>
      <c r="B300" s="10" t="str">
        <f>_xlfn.IFNA(VLOOKUP($A300,CompChecksTrans!$A:$C,2,FALSE), "")</f>
        <v/>
      </c>
      <c r="C300" s="10" t="str">
        <f>_xlfn.IFNA(VLOOKUP(B300,Phase1!A$4:C$129,3,FALSE),"")</f>
        <v/>
      </c>
      <c r="D300" s="10" t="str">
        <f>_xlfn.IFNA(VLOOKUP($A300,CompChecksTrans!$A:$C,3,FALSE), "     ")</f>
        <v xml:space="preserve">     </v>
      </c>
    </row>
    <row r="301" spans="1:4" x14ac:dyDescent="0.25">
      <c r="A301" s="12" t="s">
        <v>4612</v>
      </c>
      <c r="B301" s="10" t="str">
        <f>_xlfn.IFNA(VLOOKUP($A301,CompChecksTrans!$A:$C,2,FALSE), "")</f>
        <v/>
      </c>
      <c r="C301" s="10" t="str">
        <f>_xlfn.IFNA(VLOOKUP(B301,Phase1!A$4:C$129,3,FALSE),"")</f>
        <v/>
      </c>
      <c r="D301" s="10" t="str">
        <f>_xlfn.IFNA(VLOOKUP($A301,CompChecksTrans!$A:$C,3,FALSE), "     ")</f>
        <v xml:space="preserve">     </v>
      </c>
    </row>
    <row r="302" spans="1:4" x14ac:dyDescent="0.25">
      <c r="A302" s="12" t="s">
        <v>4613</v>
      </c>
      <c r="B302" s="10" t="str">
        <f>_xlfn.IFNA(VLOOKUP($A302,CompChecksTrans!$A:$C,2,FALSE), "")</f>
        <v/>
      </c>
      <c r="C302" s="10" t="str">
        <f>_xlfn.IFNA(VLOOKUP(B302,Phase1!A$4:C$129,3,FALSE),"")</f>
        <v/>
      </c>
      <c r="D302" s="10" t="str">
        <f>_xlfn.IFNA(VLOOKUP($A302,CompChecksTrans!$A:$C,3,FALSE), "     ")</f>
        <v xml:space="preserve">     </v>
      </c>
    </row>
    <row r="303" spans="1:4" x14ac:dyDescent="0.25">
      <c r="A303" s="12" t="s">
        <v>4614</v>
      </c>
      <c r="B303" s="10" t="str">
        <f>_xlfn.IFNA(VLOOKUP($A303,CompChecksTrans!$A:$C,2,FALSE), "")</f>
        <v/>
      </c>
      <c r="C303" s="10" t="str">
        <f>_xlfn.IFNA(VLOOKUP(B303,Phase1!A$4:C$129,3,FALSE),"")</f>
        <v/>
      </c>
      <c r="D303" s="10" t="str">
        <f>_xlfn.IFNA(VLOOKUP($A303,CompChecksTrans!$A:$C,3,FALSE), "     ")</f>
        <v xml:space="preserve">     </v>
      </c>
    </row>
    <row r="304" spans="1:4" x14ac:dyDescent="0.25">
      <c r="A304" s="12" t="s">
        <v>4615</v>
      </c>
      <c r="B304" s="10" t="str">
        <f>_xlfn.IFNA(VLOOKUP($A304,CompChecksTrans!$A:$C,2,FALSE), "")</f>
        <v/>
      </c>
      <c r="C304" s="10" t="str">
        <f>_xlfn.IFNA(VLOOKUP(B304,Phase1!A$4:C$129,3,FALSE),"")</f>
        <v/>
      </c>
      <c r="D304" s="10" t="str">
        <f>_xlfn.IFNA(VLOOKUP($A304,CompChecksTrans!$A:$C,3,FALSE), "     ")</f>
        <v xml:space="preserve">     </v>
      </c>
    </row>
    <row r="305" spans="1:4" x14ac:dyDescent="0.25">
      <c r="A305" s="12" t="s">
        <v>4616</v>
      </c>
      <c r="B305" s="10" t="str">
        <f>_xlfn.IFNA(VLOOKUP($A305,CompChecksTrans!$A:$C,2,FALSE), "")</f>
        <v/>
      </c>
      <c r="C305" s="10" t="str">
        <f>_xlfn.IFNA(VLOOKUP(B305,Phase1!A$4:C$129,3,FALSE),"")</f>
        <v/>
      </c>
      <c r="D305" s="10" t="str">
        <f>_xlfn.IFNA(VLOOKUP($A305,CompChecksTrans!$A:$C,3,FALSE), "     ")</f>
        <v xml:space="preserve">     </v>
      </c>
    </row>
    <row r="306" spans="1:4" x14ac:dyDescent="0.25">
      <c r="A306" s="12" t="s">
        <v>4617</v>
      </c>
      <c r="B306" s="10" t="str">
        <f>_xlfn.IFNA(VLOOKUP($A306,CompChecksTrans!$A:$C,2,FALSE), "")</f>
        <v/>
      </c>
      <c r="C306" s="10" t="str">
        <f>_xlfn.IFNA(VLOOKUP(B306,Phase1!A$4:C$129,3,FALSE),"")</f>
        <v/>
      </c>
      <c r="D306" s="10" t="str">
        <f>_xlfn.IFNA(VLOOKUP($A306,CompChecksTrans!$A:$C,3,FALSE), "     ")</f>
        <v xml:space="preserve">     </v>
      </c>
    </row>
    <row r="307" spans="1:4" x14ac:dyDescent="0.25">
      <c r="A307" s="12" t="s">
        <v>4618</v>
      </c>
      <c r="B307" s="10" t="str">
        <f>_xlfn.IFNA(VLOOKUP($A307,CompChecksTrans!$A:$C,2,FALSE), "")</f>
        <v/>
      </c>
      <c r="C307" s="10" t="str">
        <f>_xlfn.IFNA(VLOOKUP(B307,Phase1!A$4:C$129,3,FALSE),"")</f>
        <v/>
      </c>
      <c r="D307" s="10" t="str">
        <f>_xlfn.IFNA(VLOOKUP($A307,CompChecksTrans!$A:$C,3,FALSE), "     ")</f>
        <v xml:space="preserve">     </v>
      </c>
    </row>
    <row r="308" spans="1:4" x14ac:dyDescent="0.25">
      <c r="A308" s="12" t="s">
        <v>4619</v>
      </c>
      <c r="B308" s="10" t="str">
        <f>_xlfn.IFNA(VLOOKUP($A308,CompChecksTrans!$A:$C,2,FALSE), "")</f>
        <v/>
      </c>
      <c r="C308" s="10" t="str">
        <f>_xlfn.IFNA(VLOOKUP(B308,Phase1!A$4:C$129,3,FALSE),"")</f>
        <v/>
      </c>
      <c r="D308" s="10" t="str">
        <f>_xlfn.IFNA(VLOOKUP($A308,CompChecksTrans!$A:$C,3,FALSE), "     ")</f>
        <v xml:space="preserve">     </v>
      </c>
    </row>
    <row r="309" spans="1:4" x14ac:dyDescent="0.25">
      <c r="A309" s="12" t="s">
        <v>4620</v>
      </c>
      <c r="B309" s="10" t="str">
        <f>_xlfn.IFNA(VLOOKUP($A309,CompChecksTrans!$A:$C,2,FALSE), "")</f>
        <v/>
      </c>
      <c r="C309" s="10" t="str">
        <f>_xlfn.IFNA(VLOOKUP(B309,Phase1!A$4:C$129,3,FALSE),"")</f>
        <v/>
      </c>
      <c r="D309" s="10" t="str">
        <f>_xlfn.IFNA(VLOOKUP($A309,CompChecksTrans!$A:$C,3,FALSE), "     ")</f>
        <v xml:space="preserve">     </v>
      </c>
    </row>
    <row r="310" spans="1:4" x14ac:dyDescent="0.25">
      <c r="A310" s="12" t="s">
        <v>4621</v>
      </c>
      <c r="B310" s="10" t="str">
        <f>_xlfn.IFNA(VLOOKUP($A310,CompChecksTrans!$A:$C,2,FALSE), "")</f>
        <v/>
      </c>
      <c r="C310" s="10" t="str">
        <f>_xlfn.IFNA(VLOOKUP(B310,Phase1!A$4:C$129,3,FALSE),"")</f>
        <v/>
      </c>
      <c r="D310" s="10" t="str">
        <f>_xlfn.IFNA(VLOOKUP($A310,CompChecksTrans!$A:$C,3,FALSE), "     ")</f>
        <v xml:space="preserve">     </v>
      </c>
    </row>
    <row r="311" spans="1:4" x14ac:dyDescent="0.25">
      <c r="A311" s="12" t="s">
        <v>4622</v>
      </c>
      <c r="B311" s="10" t="str">
        <f>_xlfn.IFNA(VLOOKUP($A311,CompChecksTrans!$A:$C,2,FALSE), "")</f>
        <v/>
      </c>
      <c r="C311" s="10" t="str">
        <f>_xlfn.IFNA(VLOOKUP(B311,Phase1!A$4:C$129,3,FALSE),"")</f>
        <v/>
      </c>
      <c r="D311" s="10" t="str">
        <f>_xlfn.IFNA(VLOOKUP($A311,CompChecksTrans!$A:$C,3,FALSE), "     ")</f>
        <v xml:space="preserve">     </v>
      </c>
    </row>
    <row r="312" spans="1:4" x14ac:dyDescent="0.25">
      <c r="A312" s="12" t="s">
        <v>4623</v>
      </c>
      <c r="B312" s="10" t="str">
        <f>_xlfn.IFNA(VLOOKUP($A312,CompChecksTrans!$A:$C,2,FALSE), "")</f>
        <v/>
      </c>
      <c r="C312" s="10" t="str">
        <f>_xlfn.IFNA(VLOOKUP(B312,Phase1!A$4:C$129,3,FALSE),"")</f>
        <v/>
      </c>
      <c r="D312" s="10" t="str">
        <f>_xlfn.IFNA(VLOOKUP($A312,CompChecksTrans!$A:$C,3,FALSE), "     ")</f>
        <v xml:space="preserve">     </v>
      </c>
    </row>
    <row r="313" spans="1:4" x14ac:dyDescent="0.25">
      <c r="A313" s="12" t="s">
        <v>4624</v>
      </c>
      <c r="B313" s="10" t="str">
        <f>_xlfn.IFNA(VLOOKUP($A313,CompChecksTrans!$A:$C,2,FALSE), "")</f>
        <v/>
      </c>
      <c r="C313" s="10" t="str">
        <f>_xlfn.IFNA(VLOOKUP(B313,Phase1!A$4:C$129,3,FALSE),"")</f>
        <v/>
      </c>
      <c r="D313" s="10" t="str">
        <f>_xlfn.IFNA(VLOOKUP($A313,CompChecksTrans!$A:$C,3,FALSE), "     ")</f>
        <v xml:space="preserve">     </v>
      </c>
    </row>
    <row r="314" spans="1:4" x14ac:dyDescent="0.25">
      <c r="A314" s="12" t="s">
        <v>4625</v>
      </c>
      <c r="B314" s="10" t="str">
        <f>_xlfn.IFNA(VLOOKUP($A314,CompChecksTrans!$A:$C,2,FALSE), "")</f>
        <v/>
      </c>
      <c r="C314" s="10" t="str">
        <f>_xlfn.IFNA(VLOOKUP(B314,Phase1!A$4:C$129,3,FALSE),"")</f>
        <v/>
      </c>
      <c r="D314" s="10" t="str">
        <f>_xlfn.IFNA(VLOOKUP($A314,CompChecksTrans!$A:$C,3,FALSE), "     ")</f>
        <v xml:space="preserve">     </v>
      </c>
    </row>
    <row r="315" spans="1:4" x14ac:dyDescent="0.25">
      <c r="A315" s="12" t="s">
        <v>4626</v>
      </c>
      <c r="B315" s="10" t="str">
        <f>_xlfn.IFNA(VLOOKUP($A315,CompChecksTrans!$A:$C,2,FALSE), "")</f>
        <v/>
      </c>
      <c r="C315" s="10" t="str">
        <f>_xlfn.IFNA(VLOOKUP(B315,Phase1!A$4:C$129,3,FALSE),"")</f>
        <v/>
      </c>
      <c r="D315" s="10" t="str">
        <f>_xlfn.IFNA(VLOOKUP($A315,CompChecksTrans!$A:$C,3,FALSE), "     ")</f>
        <v xml:space="preserve">     </v>
      </c>
    </row>
    <row r="316" spans="1:4" x14ac:dyDescent="0.25">
      <c r="A316" s="12" t="s">
        <v>4627</v>
      </c>
      <c r="B316" s="10" t="str">
        <f>_xlfn.IFNA(VLOOKUP($A316,CompChecksTrans!$A:$C,2,FALSE), "")</f>
        <v/>
      </c>
      <c r="C316" s="10" t="str">
        <f>_xlfn.IFNA(VLOOKUP(B316,Phase1!A$4:C$129,3,FALSE),"")</f>
        <v/>
      </c>
      <c r="D316" s="10" t="str">
        <f>_xlfn.IFNA(VLOOKUP($A316,CompChecksTrans!$A:$C,3,FALSE), "     ")</f>
        <v xml:space="preserve">     </v>
      </c>
    </row>
    <row r="317" spans="1:4" x14ac:dyDescent="0.25">
      <c r="A317" s="12" t="s">
        <v>4628</v>
      </c>
      <c r="B317" s="10" t="str">
        <f>_xlfn.IFNA(VLOOKUP($A317,CompChecksTrans!$A:$C,2,FALSE), "")</f>
        <v/>
      </c>
      <c r="C317" s="10" t="str">
        <f>_xlfn.IFNA(VLOOKUP(B317,Phase1!A$4:C$129,3,FALSE),"")</f>
        <v/>
      </c>
      <c r="D317" s="10" t="str">
        <f>_xlfn.IFNA(VLOOKUP($A317,CompChecksTrans!$A:$C,3,FALSE), "     ")</f>
        <v xml:space="preserve">     </v>
      </c>
    </row>
    <row r="318" spans="1:4" x14ac:dyDescent="0.25">
      <c r="A318" s="12" t="s">
        <v>4629</v>
      </c>
      <c r="B318" s="10" t="str">
        <f>_xlfn.IFNA(VLOOKUP($A318,CompChecksTrans!$A:$C,2,FALSE), "")</f>
        <v/>
      </c>
      <c r="C318" s="10" t="str">
        <f>_xlfn.IFNA(VLOOKUP(B318,Phase1!A$4:C$129,3,FALSE),"")</f>
        <v/>
      </c>
      <c r="D318" s="10" t="str">
        <f>_xlfn.IFNA(VLOOKUP($A318,CompChecksTrans!$A:$C,3,FALSE), "     ")</f>
        <v xml:space="preserve">     </v>
      </c>
    </row>
    <row r="319" spans="1:4" x14ac:dyDescent="0.25">
      <c r="A319" s="12" t="s">
        <v>4630</v>
      </c>
      <c r="B319" s="10" t="str">
        <f>_xlfn.IFNA(VLOOKUP($A319,CompChecksTrans!$A:$C,2,FALSE), "")</f>
        <v/>
      </c>
      <c r="C319" s="10" t="str">
        <f>_xlfn.IFNA(VLOOKUP(B319,Phase1!A$4:C$129,3,FALSE),"")</f>
        <v/>
      </c>
      <c r="D319" s="10" t="str">
        <f>_xlfn.IFNA(VLOOKUP($A319,CompChecksTrans!$A:$C,3,FALSE), "     ")</f>
        <v xml:space="preserve">     </v>
      </c>
    </row>
    <row r="320" spans="1:4" x14ac:dyDescent="0.25">
      <c r="A320" s="12" t="s">
        <v>4631</v>
      </c>
      <c r="B320" s="10" t="str">
        <f>_xlfn.IFNA(VLOOKUP($A320,CompChecksTrans!$A:$C,2,FALSE), "")</f>
        <v/>
      </c>
      <c r="C320" s="10" t="str">
        <f>_xlfn.IFNA(VLOOKUP(B320,Phase1!A$4:C$129,3,FALSE),"")</f>
        <v/>
      </c>
      <c r="D320" s="10" t="str">
        <f>_xlfn.IFNA(VLOOKUP($A320,CompChecksTrans!$A:$C,3,FALSE), "     ")</f>
        <v xml:space="preserve">     </v>
      </c>
    </row>
    <row r="321" spans="1:4" x14ac:dyDescent="0.25">
      <c r="A321" s="12" t="s">
        <v>4632</v>
      </c>
      <c r="B321" s="10" t="str">
        <f>_xlfn.IFNA(VLOOKUP($A321,CompChecksTrans!$A:$C,2,FALSE), "")</f>
        <v/>
      </c>
      <c r="C321" s="10" t="str">
        <f>_xlfn.IFNA(VLOOKUP(B321,Phase1!A$4:C$129,3,FALSE),"")</f>
        <v/>
      </c>
      <c r="D321" s="10" t="str">
        <f>_xlfn.IFNA(VLOOKUP($A321,CompChecksTrans!$A:$C,3,FALSE), "     ")</f>
        <v xml:space="preserve">     </v>
      </c>
    </row>
    <row r="322" spans="1:4" x14ac:dyDescent="0.25">
      <c r="A322" s="12" t="s">
        <v>4633</v>
      </c>
      <c r="B322" s="10" t="str">
        <f>_xlfn.IFNA(VLOOKUP($A322,CompChecksTrans!$A:$C,2,FALSE), "")</f>
        <v/>
      </c>
      <c r="C322" s="10" t="str">
        <f>_xlfn.IFNA(VLOOKUP(B322,Phase1!A$4:C$129,3,FALSE),"")</f>
        <v/>
      </c>
      <c r="D322" s="10" t="str">
        <f>_xlfn.IFNA(VLOOKUP($A322,CompChecksTrans!$A:$C,3,FALSE), "     ")</f>
        <v xml:space="preserve">     </v>
      </c>
    </row>
    <row r="323" spans="1:4" x14ac:dyDescent="0.25">
      <c r="A323" s="12" t="s">
        <v>4634</v>
      </c>
      <c r="B323" s="10" t="str">
        <f>_xlfn.IFNA(VLOOKUP($A323,CompChecksTrans!$A:$C,2,FALSE), "")</f>
        <v/>
      </c>
      <c r="C323" s="10" t="str">
        <f>_xlfn.IFNA(VLOOKUP(B323,Phase1!A$4:C$129,3,FALSE),"")</f>
        <v/>
      </c>
      <c r="D323" s="10" t="str">
        <f>_xlfn.IFNA(VLOOKUP($A323,CompChecksTrans!$A:$C,3,FALSE), "     ")</f>
        <v xml:space="preserve">     </v>
      </c>
    </row>
    <row r="324" spans="1:4" x14ac:dyDescent="0.25">
      <c r="A324" s="12" t="s">
        <v>4635</v>
      </c>
      <c r="B324" s="10" t="str">
        <f>_xlfn.IFNA(VLOOKUP($A324,CompChecksTrans!$A:$C,2,FALSE), "")</f>
        <v/>
      </c>
      <c r="C324" s="10" t="str">
        <f>_xlfn.IFNA(VLOOKUP(B324,Phase1!A$4:C$129,3,FALSE),"")</f>
        <v/>
      </c>
      <c r="D324" s="10" t="str">
        <f>_xlfn.IFNA(VLOOKUP($A324,CompChecksTrans!$A:$C,3,FALSE), "     ")</f>
        <v xml:space="preserve">     </v>
      </c>
    </row>
    <row r="325" spans="1:4" x14ac:dyDescent="0.25">
      <c r="A325" s="12" t="s">
        <v>4636</v>
      </c>
      <c r="B325" s="10" t="str">
        <f>_xlfn.IFNA(VLOOKUP($A325,CompChecksTrans!$A:$C,2,FALSE), "")</f>
        <v/>
      </c>
      <c r="C325" s="10" t="str">
        <f>_xlfn.IFNA(VLOOKUP(B325,Phase1!A$4:C$129,3,FALSE),"")</f>
        <v/>
      </c>
      <c r="D325" s="10" t="str">
        <f>_xlfn.IFNA(VLOOKUP($A325,CompChecksTrans!$A:$C,3,FALSE), "     ")</f>
        <v xml:space="preserve">     </v>
      </c>
    </row>
    <row r="326" spans="1:4" x14ac:dyDescent="0.25">
      <c r="A326" s="12" t="s">
        <v>4637</v>
      </c>
      <c r="B326" s="10" t="str">
        <f>_xlfn.IFNA(VLOOKUP($A326,CompChecksTrans!$A:$C,2,FALSE), "")</f>
        <v/>
      </c>
      <c r="C326" s="10" t="str">
        <f>_xlfn.IFNA(VLOOKUP(B326,Phase1!A$4:C$129,3,FALSE),"")</f>
        <v/>
      </c>
      <c r="D326" s="10" t="str">
        <f>_xlfn.IFNA(VLOOKUP($A326,CompChecksTrans!$A:$C,3,FALSE), "     ")</f>
        <v xml:space="preserve">     </v>
      </c>
    </row>
    <row r="327" spans="1:4" x14ac:dyDescent="0.25">
      <c r="A327" s="12" t="s">
        <v>4638</v>
      </c>
      <c r="B327" s="10" t="str">
        <f>_xlfn.IFNA(VLOOKUP($A327,CompChecksTrans!$A:$C,2,FALSE), "")</f>
        <v/>
      </c>
      <c r="C327" s="10" t="str">
        <f>_xlfn.IFNA(VLOOKUP(B327,Phase1!A$4:C$129,3,FALSE),"")</f>
        <v/>
      </c>
      <c r="D327" s="10" t="str">
        <f>_xlfn.IFNA(VLOOKUP($A327,CompChecksTrans!$A:$C,3,FALSE), "     ")</f>
        <v xml:space="preserve">     </v>
      </c>
    </row>
    <row r="328" spans="1:4" x14ac:dyDescent="0.25">
      <c r="A328" s="12" t="s">
        <v>4639</v>
      </c>
      <c r="B328" s="10" t="str">
        <f>_xlfn.IFNA(VLOOKUP($A328,CompChecksTrans!$A:$C,2,FALSE), "")</f>
        <v/>
      </c>
      <c r="C328" s="10" t="str">
        <f>_xlfn.IFNA(VLOOKUP(B328,Phase1!A$4:C$129,3,FALSE),"")</f>
        <v/>
      </c>
      <c r="D328" s="10" t="str">
        <f>_xlfn.IFNA(VLOOKUP($A328,CompChecksTrans!$A:$C,3,FALSE), "     ")</f>
        <v xml:space="preserve">     </v>
      </c>
    </row>
    <row r="329" spans="1:4" x14ac:dyDescent="0.25">
      <c r="A329" s="12" t="s">
        <v>4640</v>
      </c>
      <c r="B329" s="10" t="str">
        <f>_xlfn.IFNA(VLOOKUP($A329,CompChecksTrans!$A:$C,2,FALSE), "")</f>
        <v/>
      </c>
      <c r="C329" s="10" t="str">
        <f>_xlfn.IFNA(VLOOKUP(B329,Phase1!A$4:C$129,3,FALSE),"")</f>
        <v/>
      </c>
      <c r="D329" s="10" t="str">
        <f>_xlfn.IFNA(VLOOKUP($A329,CompChecksTrans!$A:$C,3,FALSE), "     ")</f>
        <v xml:space="preserve">     </v>
      </c>
    </row>
    <row r="330" spans="1:4" x14ac:dyDescent="0.25">
      <c r="A330" s="12" t="s">
        <v>4641</v>
      </c>
      <c r="B330" s="10" t="str">
        <f>_xlfn.IFNA(VLOOKUP($A330,CompChecksTrans!$A:$C,2,FALSE), "")</f>
        <v/>
      </c>
      <c r="C330" s="10" t="str">
        <f>_xlfn.IFNA(VLOOKUP(B330,Phase1!A$4:C$129,3,FALSE),"")</f>
        <v/>
      </c>
      <c r="D330" s="10" t="str">
        <f>_xlfn.IFNA(VLOOKUP($A330,CompChecksTrans!$A:$C,3,FALSE), "     ")</f>
        <v xml:space="preserve">     </v>
      </c>
    </row>
    <row r="331" spans="1:4" x14ac:dyDescent="0.25">
      <c r="A331" s="12" t="s">
        <v>4642</v>
      </c>
      <c r="B331" s="10" t="str">
        <f>_xlfn.IFNA(VLOOKUP($A331,CompChecksTrans!$A:$C,2,FALSE), "")</f>
        <v/>
      </c>
      <c r="C331" s="10" t="str">
        <f>_xlfn.IFNA(VLOOKUP(B331,Phase1!A$4:C$129,3,FALSE),"")</f>
        <v/>
      </c>
      <c r="D331" s="10" t="str">
        <f>_xlfn.IFNA(VLOOKUP($A331,CompChecksTrans!$A:$C,3,FALSE), "     ")</f>
        <v xml:space="preserve">     </v>
      </c>
    </row>
    <row r="332" spans="1:4" x14ac:dyDescent="0.25">
      <c r="A332" s="12" t="s">
        <v>4643</v>
      </c>
      <c r="B332" s="10" t="str">
        <f>_xlfn.IFNA(VLOOKUP($A332,CompChecksTrans!$A:$C,2,FALSE), "")</f>
        <v/>
      </c>
      <c r="C332" s="10" t="str">
        <f>_xlfn.IFNA(VLOOKUP(B332,Phase1!A$4:C$129,3,FALSE),"")</f>
        <v/>
      </c>
      <c r="D332" s="10" t="str">
        <f>_xlfn.IFNA(VLOOKUP($A332,CompChecksTrans!$A:$C,3,FALSE), "     ")</f>
        <v xml:space="preserve">     </v>
      </c>
    </row>
    <row r="333" spans="1:4" x14ac:dyDescent="0.25">
      <c r="A333" s="12" t="s">
        <v>4644</v>
      </c>
      <c r="B333" s="10" t="str">
        <f>_xlfn.IFNA(VLOOKUP($A333,CompChecksTrans!$A:$C,2,FALSE), "")</f>
        <v/>
      </c>
      <c r="C333" s="10" t="str">
        <f>_xlfn.IFNA(VLOOKUP(B333,Phase1!A$4:C$129,3,FALSE),"")</f>
        <v/>
      </c>
      <c r="D333" s="10" t="str">
        <f>_xlfn.IFNA(VLOOKUP($A333,CompChecksTrans!$A:$C,3,FALSE), "     ")</f>
        <v xml:space="preserve">     </v>
      </c>
    </row>
    <row r="334" spans="1:4" x14ac:dyDescent="0.25">
      <c r="A334" s="12" t="s">
        <v>4645</v>
      </c>
      <c r="B334" s="10" t="str">
        <f>_xlfn.IFNA(VLOOKUP($A334,CompChecksTrans!$A:$C,2,FALSE), "")</f>
        <v/>
      </c>
      <c r="C334" s="10" t="str">
        <f>_xlfn.IFNA(VLOOKUP(B334,Phase1!A$4:C$129,3,FALSE),"")</f>
        <v/>
      </c>
      <c r="D334" s="10" t="str">
        <f>_xlfn.IFNA(VLOOKUP($A334,CompChecksTrans!$A:$C,3,FALSE), "     ")</f>
        <v xml:space="preserve">     </v>
      </c>
    </row>
    <row r="335" spans="1:4" x14ac:dyDescent="0.25">
      <c r="A335" s="12" t="s">
        <v>4646</v>
      </c>
      <c r="B335" s="10" t="str">
        <f>_xlfn.IFNA(VLOOKUP($A335,CompChecksTrans!$A:$C,2,FALSE), "")</f>
        <v/>
      </c>
      <c r="C335" s="10" t="str">
        <f>_xlfn.IFNA(VLOOKUP(B335,Phase1!A$4:C$129,3,FALSE),"")</f>
        <v/>
      </c>
      <c r="D335" s="10" t="str">
        <f>_xlfn.IFNA(VLOOKUP($A335,CompChecksTrans!$A:$C,3,FALSE), "     ")</f>
        <v xml:space="preserve">     </v>
      </c>
    </row>
    <row r="336" spans="1:4" x14ac:dyDescent="0.25">
      <c r="A336" s="12" t="s">
        <v>4647</v>
      </c>
      <c r="B336" s="10" t="str">
        <f>_xlfn.IFNA(VLOOKUP($A336,CompChecksTrans!$A:$C,2,FALSE), "")</f>
        <v/>
      </c>
      <c r="C336" s="10" t="str">
        <f>_xlfn.IFNA(VLOOKUP(B336,Phase1!A$4:C$129,3,FALSE),"")</f>
        <v/>
      </c>
      <c r="D336" s="10" t="str">
        <f>_xlfn.IFNA(VLOOKUP($A336,CompChecksTrans!$A:$C,3,FALSE), "     ")</f>
        <v xml:space="preserve">     </v>
      </c>
    </row>
    <row r="337" spans="1:4" x14ac:dyDescent="0.25">
      <c r="A337" s="12" t="s">
        <v>4648</v>
      </c>
      <c r="B337" s="10" t="str">
        <f>_xlfn.IFNA(VLOOKUP($A337,CompChecksTrans!$A:$C,2,FALSE), "")</f>
        <v/>
      </c>
      <c r="C337" s="10" t="str">
        <f>_xlfn.IFNA(VLOOKUP(B337,Phase1!A$4:C$129,3,FALSE),"")</f>
        <v/>
      </c>
      <c r="D337" s="10" t="str">
        <f>_xlfn.IFNA(VLOOKUP($A337,CompChecksTrans!$A:$C,3,FALSE), "     ")</f>
        <v xml:space="preserve">     </v>
      </c>
    </row>
    <row r="338" spans="1:4" x14ac:dyDescent="0.25">
      <c r="A338" s="12" t="s">
        <v>4649</v>
      </c>
      <c r="B338" s="10" t="str">
        <f>_xlfn.IFNA(VLOOKUP($A338,CompChecksTrans!$A:$C,2,FALSE), "")</f>
        <v/>
      </c>
      <c r="C338" s="10" t="str">
        <f>_xlfn.IFNA(VLOOKUP(B338,Phase1!A$4:C$129,3,FALSE),"")</f>
        <v/>
      </c>
      <c r="D338" s="10" t="str">
        <f>_xlfn.IFNA(VLOOKUP($A338,CompChecksTrans!$A:$C,3,FALSE), "     ")</f>
        <v xml:space="preserve">     </v>
      </c>
    </row>
    <row r="339" spans="1:4" x14ac:dyDescent="0.25">
      <c r="A339" s="12" t="s">
        <v>4650</v>
      </c>
      <c r="B339" s="10" t="str">
        <f>_xlfn.IFNA(VLOOKUP($A339,CompChecksTrans!$A:$C,2,FALSE), "")</f>
        <v/>
      </c>
      <c r="C339" s="10" t="str">
        <f>_xlfn.IFNA(VLOOKUP(B339,Phase1!A$4:C$129,3,FALSE),"")</f>
        <v/>
      </c>
      <c r="D339" s="10" t="str">
        <f>_xlfn.IFNA(VLOOKUP($A339,CompChecksTrans!$A:$C,3,FALSE), "     ")</f>
        <v xml:space="preserve">     </v>
      </c>
    </row>
    <row r="340" spans="1:4" x14ac:dyDescent="0.25">
      <c r="A340" s="12" t="s">
        <v>4651</v>
      </c>
      <c r="B340" s="10" t="str">
        <f>_xlfn.IFNA(VLOOKUP($A340,CompChecksTrans!$A:$C,2,FALSE), "")</f>
        <v/>
      </c>
      <c r="C340" s="10" t="str">
        <f>_xlfn.IFNA(VLOOKUP(B340,Phase1!A$4:C$129,3,FALSE),"")</f>
        <v/>
      </c>
      <c r="D340" s="10" t="str">
        <f>_xlfn.IFNA(VLOOKUP($A340,CompChecksTrans!$A:$C,3,FALSE), "     ")</f>
        <v xml:space="preserve">     </v>
      </c>
    </row>
    <row r="341" spans="1:4" x14ac:dyDescent="0.25">
      <c r="A341" s="12" t="s">
        <v>4652</v>
      </c>
      <c r="B341" s="10" t="str">
        <f>_xlfn.IFNA(VLOOKUP($A341,CompChecksTrans!$A:$C,2,FALSE), "")</f>
        <v/>
      </c>
      <c r="C341" s="10" t="str">
        <f>_xlfn.IFNA(VLOOKUP(B341,Phase1!A$4:C$129,3,FALSE),"")</f>
        <v/>
      </c>
      <c r="D341" s="10" t="str">
        <f>_xlfn.IFNA(VLOOKUP($A341,CompChecksTrans!$A:$C,3,FALSE), "     ")</f>
        <v xml:space="preserve">     </v>
      </c>
    </row>
    <row r="342" spans="1:4" x14ac:dyDescent="0.25">
      <c r="A342" s="12" t="s">
        <v>4653</v>
      </c>
      <c r="B342" s="10" t="str">
        <f>_xlfn.IFNA(VLOOKUP($A342,CompChecksTrans!$A:$C,2,FALSE), "")</f>
        <v/>
      </c>
      <c r="C342" s="10" t="str">
        <f>_xlfn.IFNA(VLOOKUP(B342,Phase1!A$4:C$129,3,FALSE),"")</f>
        <v/>
      </c>
      <c r="D342" s="10" t="str">
        <f>_xlfn.IFNA(VLOOKUP($A342,CompChecksTrans!$A:$C,3,FALSE), "     ")</f>
        <v xml:space="preserve">     </v>
      </c>
    </row>
    <row r="343" spans="1:4" x14ac:dyDescent="0.25">
      <c r="A343" s="12" t="s">
        <v>4654</v>
      </c>
      <c r="B343" s="10" t="str">
        <f>_xlfn.IFNA(VLOOKUP($A343,CompChecksTrans!$A:$C,2,FALSE), "")</f>
        <v/>
      </c>
      <c r="C343" s="10" t="str">
        <f>_xlfn.IFNA(VLOOKUP(B343,Phase1!A$4:C$129,3,FALSE),"")</f>
        <v/>
      </c>
      <c r="D343" s="10" t="str">
        <f>_xlfn.IFNA(VLOOKUP($A343,CompChecksTrans!$A:$C,3,FALSE), "     ")</f>
        <v xml:space="preserve">     </v>
      </c>
    </row>
    <row r="344" spans="1:4" x14ac:dyDescent="0.25">
      <c r="A344" s="12" t="s">
        <v>4655</v>
      </c>
      <c r="B344" s="10" t="str">
        <f>_xlfn.IFNA(VLOOKUP($A344,CompChecksTrans!$A:$C,2,FALSE), "")</f>
        <v/>
      </c>
      <c r="C344" s="10" t="str">
        <f>_xlfn.IFNA(VLOOKUP(B344,Phase1!A$4:C$129,3,FALSE),"")</f>
        <v/>
      </c>
      <c r="D344" s="10" t="str">
        <f>_xlfn.IFNA(VLOOKUP($A344,CompChecksTrans!$A:$C,3,FALSE), "     ")</f>
        <v xml:space="preserve">     </v>
      </c>
    </row>
    <row r="345" spans="1:4" x14ac:dyDescent="0.25">
      <c r="A345" s="12" t="s">
        <v>4656</v>
      </c>
      <c r="B345" s="10" t="str">
        <f>_xlfn.IFNA(VLOOKUP($A345,CompChecksTrans!$A:$C,2,FALSE), "")</f>
        <v/>
      </c>
      <c r="C345" s="10" t="str">
        <f>_xlfn.IFNA(VLOOKUP(B345,Phase1!A$4:C$129,3,FALSE),"")</f>
        <v/>
      </c>
      <c r="D345" s="10" t="str">
        <f>_xlfn.IFNA(VLOOKUP($A345,CompChecksTrans!$A:$C,3,FALSE), "     ")</f>
        <v xml:space="preserve">     </v>
      </c>
    </row>
    <row r="346" spans="1:4" x14ac:dyDescent="0.25">
      <c r="A346" s="12" t="s">
        <v>4657</v>
      </c>
      <c r="B346" s="10" t="str">
        <f>_xlfn.IFNA(VLOOKUP($A346,CompChecksTrans!$A:$C,2,FALSE), "")</f>
        <v/>
      </c>
      <c r="C346" s="10" t="str">
        <f>_xlfn.IFNA(VLOOKUP(B346,Phase1!A$4:C$129,3,FALSE),"")</f>
        <v/>
      </c>
      <c r="D346" s="10" t="str">
        <f>_xlfn.IFNA(VLOOKUP($A346,CompChecksTrans!$A:$C,3,FALSE), "     ")</f>
        <v xml:space="preserve">     </v>
      </c>
    </row>
    <row r="347" spans="1:4" x14ac:dyDescent="0.25">
      <c r="A347" s="12" t="s">
        <v>4658</v>
      </c>
      <c r="B347" s="10" t="str">
        <f>_xlfn.IFNA(VLOOKUP($A347,CompChecksTrans!$A:$C,2,FALSE), "")</f>
        <v/>
      </c>
      <c r="C347" s="10" t="str">
        <f>_xlfn.IFNA(VLOOKUP(B347,Phase1!A$4:C$129,3,FALSE),"")</f>
        <v/>
      </c>
      <c r="D347" s="10" t="str">
        <f>_xlfn.IFNA(VLOOKUP($A347,CompChecksTrans!$A:$C,3,FALSE), "     ")</f>
        <v xml:space="preserve">     </v>
      </c>
    </row>
    <row r="348" spans="1:4" x14ac:dyDescent="0.25">
      <c r="A348" s="12" t="s">
        <v>4659</v>
      </c>
      <c r="B348" s="10" t="str">
        <f>_xlfn.IFNA(VLOOKUP($A348,CompChecksTrans!$A:$C,2,FALSE), "")</f>
        <v/>
      </c>
      <c r="C348" s="10" t="str">
        <f>_xlfn.IFNA(VLOOKUP(B348,Phase1!A$4:C$129,3,FALSE),"")</f>
        <v/>
      </c>
      <c r="D348" s="10" t="str">
        <f>_xlfn.IFNA(VLOOKUP($A348,CompChecksTrans!$A:$C,3,FALSE), "     ")</f>
        <v xml:space="preserve">     </v>
      </c>
    </row>
    <row r="349" spans="1:4" x14ac:dyDescent="0.25">
      <c r="A349" s="12" t="s">
        <v>4660</v>
      </c>
      <c r="B349" s="10" t="str">
        <f>_xlfn.IFNA(VLOOKUP($A349,CompChecksTrans!$A:$C,2,FALSE), "")</f>
        <v/>
      </c>
      <c r="C349" s="10" t="str">
        <f>_xlfn.IFNA(VLOOKUP(B349,Phase1!A$4:C$129,3,FALSE),"")</f>
        <v/>
      </c>
      <c r="D349" s="10" t="str">
        <f>_xlfn.IFNA(VLOOKUP($A349,CompChecksTrans!$A:$C,3,FALSE), "     ")</f>
        <v xml:space="preserve">     </v>
      </c>
    </row>
    <row r="350" spans="1:4" x14ac:dyDescent="0.25">
      <c r="A350" s="12" t="s">
        <v>4661</v>
      </c>
      <c r="B350" s="10" t="str">
        <f>_xlfn.IFNA(VLOOKUP($A350,CompChecksTrans!$A:$C,2,FALSE), "")</f>
        <v/>
      </c>
      <c r="C350" s="10" t="str">
        <f>_xlfn.IFNA(VLOOKUP(B350,Phase1!A$4:C$129,3,FALSE),"")</f>
        <v/>
      </c>
      <c r="D350" s="10" t="str">
        <f>_xlfn.IFNA(VLOOKUP($A350,CompChecksTrans!$A:$C,3,FALSE), "     ")</f>
        <v xml:space="preserve">     </v>
      </c>
    </row>
    <row r="351" spans="1:4" x14ac:dyDescent="0.25">
      <c r="A351" s="12" t="s">
        <v>4662</v>
      </c>
      <c r="B351" s="10" t="str">
        <f>_xlfn.IFNA(VLOOKUP($A351,CompChecksTrans!$A:$C,2,FALSE), "")</f>
        <v/>
      </c>
      <c r="C351" s="10" t="str">
        <f>_xlfn.IFNA(VLOOKUP(B351,Phase1!A$4:C$129,3,FALSE),"")</f>
        <v/>
      </c>
      <c r="D351" s="10" t="str">
        <f>_xlfn.IFNA(VLOOKUP($A351,CompChecksTrans!$A:$C,3,FALSE), "     ")</f>
        <v xml:space="preserve">     </v>
      </c>
    </row>
    <row r="352" spans="1:4" x14ac:dyDescent="0.25">
      <c r="A352" s="12" t="s">
        <v>4663</v>
      </c>
      <c r="B352" s="10" t="str">
        <f>_xlfn.IFNA(VLOOKUP($A352,CompChecksTrans!$A:$C,2,FALSE), "")</f>
        <v/>
      </c>
      <c r="C352" s="10" t="str">
        <f>_xlfn.IFNA(VLOOKUP(B352,Phase1!A$4:C$129,3,FALSE),"")</f>
        <v/>
      </c>
      <c r="D352" s="10" t="str">
        <f>_xlfn.IFNA(VLOOKUP($A352,CompChecksTrans!$A:$C,3,FALSE), "     ")</f>
        <v xml:space="preserve">     </v>
      </c>
    </row>
    <row r="353" spans="1:4" x14ac:dyDescent="0.25">
      <c r="A353" s="12" t="s">
        <v>4664</v>
      </c>
      <c r="B353" s="10" t="str">
        <f>_xlfn.IFNA(VLOOKUP($A353,CompChecksTrans!$A:$C,2,FALSE), "")</f>
        <v/>
      </c>
      <c r="C353" s="10" t="str">
        <f>_xlfn.IFNA(VLOOKUP(B353,Phase1!A$4:C$129,3,FALSE),"")</f>
        <v/>
      </c>
      <c r="D353" s="10" t="str">
        <f>_xlfn.IFNA(VLOOKUP($A353,CompChecksTrans!$A:$C,3,FALSE), "     ")</f>
        <v xml:space="preserve">     </v>
      </c>
    </row>
    <row r="354" spans="1:4" x14ac:dyDescent="0.25">
      <c r="A354" s="12" t="s">
        <v>4665</v>
      </c>
      <c r="B354" s="10" t="str">
        <f>_xlfn.IFNA(VLOOKUP($A354,CompChecksTrans!$A:$C,2,FALSE), "")</f>
        <v/>
      </c>
      <c r="C354" s="10" t="str">
        <f>_xlfn.IFNA(VLOOKUP(B354,Phase1!A$4:C$129,3,FALSE),"")</f>
        <v/>
      </c>
      <c r="D354" s="10" t="str">
        <f>_xlfn.IFNA(VLOOKUP($A354,CompChecksTrans!$A:$C,3,FALSE), "     ")</f>
        <v xml:space="preserve">     </v>
      </c>
    </row>
    <row r="355" spans="1:4" x14ac:dyDescent="0.25">
      <c r="A355" s="12" t="s">
        <v>4666</v>
      </c>
      <c r="B355" s="10" t="str">
        <f>_xlfn.IFNA(VLOOKUP($A355,CompChecksTrans!$A:$C,2,FALSE), "")</f>
        <v/>
      </c>
      <c r="C355" s="10" t="str">
        <f>_xlfn.IFNA(VLOOKUP(B355,Phase1!A$4:C$129,3,FALSE),"")</f>
        <v/>
      </c>
      <c r="D355" s="10" t="str">
        <f>_xlfn.IFNA(VLOOKUP($A355,CompChecksTrans!$A:$C,3,FALSE), "     ")</f>
        <v xml:space="preserve">     </v>
      </c>
    </row>
    <row r="356" spans="1:4" x14ac:dyDescent="0.25">
      <c r="A356" s="12" t="s">
        <v>4667</v>
      </c>
      <c r="B356" s="10" t="str">
        <f>_xlfn.IFNA(VLOOKUP($A356,CompChecksTrans!$A:$C,2,FALSE), "")</f>
        <v/>
      </c>
      <c r="C356" s="10" t="str">
        <f>_xlfn.IFNA(VLOOKUP(B356,Phase1!A$4:C$129,3,FALSE),"")</f>
        <v/>
      </c>
      <c r="D356" s="10" t="str">
        <f>_xlfn.IFNA(VLOOKUP($A356,CompChecksTrans!$A:$C,3,FALSE), "     ")</f>
        <v xml:space="preserve">     </v>
      </c>
    </row>
    <row r="357" spans="1:4" x14ac:dyDescent="0.25">
      <c r="A357" s="12" t="s">
        <v>4668</v>
      </c>
      <c r="B357" s="10" t="str">
        <f>_xlfn.IFNA(VLOOKUP($A357,CompChecksTrans!$A:$C,2,FALSE), "")</f>
        <v/>
      </c>
      <c r="C357" s="10" t="str">
        <f>_xlfn.IFNA(VLOOKUP(B357,Phase1!A$4:C$129,3,FALSE),"")</f>
        <v/>
      </c>
      <c r="D357" s="10" t="str">
        <f>_xlfn.IFNA(VLOOKUP($A357,CompChecksTrans!$A:$C,3,FALSE), "     ")</f>
        <v xml:space="preserve">     </v>
      </c>
    </row>
    <row r="358" spans="1:4" x14ac:dyDescent="0.25">
      <c r="A358" s="12" t="s">
        <v>4669</v>
      </c>
      <c r="B358" s="10" t="str">
        <f>_xlfn.IFNA(VLOOKUP($A358,CompChecksTrans!$A:$C,2,FALSE), "")</f>
        <v/>
      </c>
      <c r="C358" s="10" t="str">
        <f>_xlfn.IFNA(VLOOKUP(B358,Phase1!A$4:C$129,3,FALSE),"")</f>
        <v/>
      </c>
      <c r="D358" s="10" t="str">
        <f>_xlfn.IFNA(VLOOKUP($A358,CompChecksTrans!$A:$C,3,FALSE), "     ")</f>
        <v xml:space="preserve">     </v>
      </c>
    </row>
    <row r="359" spans="1:4" x14ac:dyDescent="0.25">
      <c r="A359" s="12" t="s">
        <v>4670</v>
      </c>
      <c r="B359" s="10" t="str">
        <f>_xlfn.IFNA(VLOOKUP($A359,CompChecksTrans!$A:$C,2,FALSE), "")</f>
        <v/>
      </c>
      <c r="C359" s="10" t="str">
        <f>_xlfn.IFNA(VLOOKUP(B359,Phase1!A$4:C$129,3,FALSE),"")</f>
        <v/>
      </c>
      <c r="D359" s="10" t="str">
        <f>_xlfn.IFNA(VLOOKUP($A359,CompChecksTrans!$A:$C,3,FALSE), "     ")</f>
        <v xml:space="preserve">     </v>
      </c>
    </row>
    <row r="360" spans="1:4" x14ac:dyDescent="0.25">
      <c r="A360" s="12" t="s">
        <v>4671</v>
      </c>
      <c r="B360" s="10" t="str">
        <f>_xlfn.IFNA(VLOOKUP($A360,CompChecksTrans!$A:$C,2,FALSE), "")</f>
        <v/>
      </c>
      <c r="C360" s="10" t="str">
        <f>_xlfn.IFNA(VLOOKUP(B360,Phase1!A$4:C$129,3,FALSE),"")</f>
        <v/>
      </c>
      <c r="D360" s="10" t="str">
        <f>_xlfn.IFNA(VLOOKUP($A360,CompChecksTrans!$A:$C,3,FALSE), "     ")</f>
        <v xml:space="preserve">     </v>
      </c>
    </row>
    <row r="361" spans="1:4" x14ac:dyDescent="0.25">
      <c r="A361" s="12" t="s">
        <v>4672</v>
      </c>
      <c r="B361" s="10" t="str">
        <f>_xlfn.IFNA(VLOOKUP($A361,CompChecksTrans!$A:$C,2,FALSE), "")</f>
        <v/>
      </c>
      <c r="C361" s="10" t="str">
        <f>_xlfn.IFNA(VLOOKUP(B361,Phase1!A$4:C$129,3,FALSE),"")</f>
        <v/>
      </c>
      <c r="D361" s="10" t="str">
        <f>_xlfn.IFNA(VLOOKUP($A361,CompChecksTrans!$A:$C,3,FALSE), "     ")</f>
        <v xml:space="preserve">     </v>
      </c>
    </row>
    <row r="362" spans="1:4" x14ac:dyDescent="0.25">
      <c r="A362" s="12" t="s">
        <v>4673</v>
      </c>
      <c r="B362" s="10" t="str">
        <f>_xlfn.IFNA(VLOOKUP($A362,CompChecksTrans!$A:$C,2,FALSE), "")</f>
        <v/>
      </c>
      <c r="C362" s="10" t="str">
        <f>_xlfn.IFNA(VLOOKUP(B362,Phase1!A$4:C$129,3,FALSE),"")</f>
        <v/>
      </c>
      <c r="D362" s="10" t="str">
        <f>_xlfn.IFNA(VLOOKUP($A362,CompChecksTrans!$A:$C,3,FALSE), "     ")</f>
        <v xml:space="preserve">     </v>
      </c>
    </row>
    <row r="363" spans="1:4" x14ac:dyDescent="0.25">
      <c r="A363" s="12" t="s">
        <v>4674</v>
      </c>
      <c r="B363" s="10" t="str">
        <f>_xlfn.IFNA(VLOOKUP($A363,CompChecksTrans!$A:$C,2,FALSE), "")</f>
        <v/>
      </c>
      <c r="C363" s="10" t="str">
        <f>_xlfn.IFNA(VLOOKUP(B363,Phase1!A$4:C$129,3,FALSE),"")</f>
        <v/>
      </c>
      <c r="D363" s="10" t="str">
        <f>_xlfn.IFNA(VLOOKUP($A363,CompChecksTrans!$A:$C,3,FALSE), "     ")</f>
        <v xml:space="preserve">     </v>
      </c>
    </row>
    <row r="364" spans="1:4" x14ac:dyDescent="0.25">
      <c r="A364" s="12" t="s">
        <v>4675</v>
      </c>
      <c r="B364" s="10" t="str">
        <f>_xlfn.IFNA(VLOOKUP($A364,CompChecksTrans!$A:$C,2,FALSE), "")</f>
        <v/>
      </c>
      <c r="C364" s="10" t="str">
        <f>_xlfn.IFNA(VLOOKUP(B364,Phase1!A$4:C$129,3,FALSE),"")</f>
        <v/>
      </c>
      <c r="D364" s="10" t="str">
        <f>_xlfn.IFNA(VLOOKUP($A364,CompChecksTrans!$A:$C,3,FALSE), "     ")</f>
        <v xml:space="preserve">     </v>
      </c>
    </row>
    <row r="365" spans="1:4" x14ac:dyDescent="0.25">
      <c r="A365" s="12" t="s">
        <v>4676</v>
      </c>
      <c r="B365" s="10" t="str">
        <f>_xlfn.IFNA(VLOOKUP($A365,CompChecksTrans!$A:$C,2,FALSE), "")</f>
        <v/>
      </c>
      <c r="C365" s="10" t="str">
        <f>_xlfn.IFNA(VLOOKUP(B365,Phase1!A$4:C$129,3,FALSE),"")</f>
        <v/>
      </c>
      <c r="D365" s="10" t="str">
        <f>_xlfn.IFNA(VLOOKUP($A365,CompChecksTrans!$A:$C,3,FALSE), "     ")</f>
        <v xml:space="preserve">     </v>
      </c>
    </row>
    <row r="366" spans="1:4" x14ac:dyDescent="0.25">
      <c r="A366" s="12" t="s">
        <v>4677</v>
      </c>
      <c r="B366" s="10" t="str">
        <f>_xlfn.IFNA(VLOOKUP($A366,CompChecksTrans!$A:$C,2,FALSE), "")</f>
        <v/>
      </c>
      <c r="C366" s="10" t="str">
        <f>_xlfn.IFNA(VLOOKUP(B366,Phase1!A$4:C$129,3,FALSE),"")</f>
        <v/>
      </c>
      <c r="D366" s="10" t="str">
        <f>_xlfn.IFNA(VLOOKUP($A366,CompChecksTrans!$A:$C,3,FALSE), "     ")</f>
        <v xml:space="preserve">     </v>
      </c>
    </row>
    <row r="367" spans="1:4" x14ac:dyDescent="0.25">
      <c r="A367" s="12" t="s">
        <v>4678</v>
      </c>
      <c r="B367" s="10" t="str">
        <f>_xlfn.IFNA(VLOOKUP($A367,CompChecksTrans!$A:$C,2,FALSE), "")</f>
        <v/>
      </c>
      <c r="C367" s="10" t="str">
        <f>_xlfn.IFNA(VLOOKUP(B367,Phase1!A$4:C$129,3,FALSE),"")</f>
        <v/>
      </c>
      <c r="D367" s="10" t="str">
        <f>_xlfn.IFNA(VLOOKUP($A367,CompChecksTrans!$A:$C,3,FALSE), "     ")</f>
        <v xml:space="preserve">     </v>
      </c>
    </row>
    <row r="368" spans="1:4" x14ac:dyDescent="0.25">
      <c r="A368" s="12" t="s">
        <v>4679</v>
      </c>
      <c r="B368" s="10" t="str">
        <f>_xlfn.IFNA(VLOOKUP($A368,CompChecksTrans!$A:$C,2,FALSE), "")</f>
        <v/>
      </c>
      <c r="C368" s="10" t="str">
        <f>_xlfn.IFNA(VLOOKUP(B368,Phase1!A$4:C$129,3,FALSE),"")</f>
        <v/>
      </c>
      <c r="D368" s="10" t="str">
        <f>_xlfn.IFNA(VLOOKUP($A368,CompChecksTrans!$A:$C,3,FALSE), "     ")</f>
        <v xml:space="preserve">     </v>
      </c>
    </row>
    <row r="369" spans="1:4" x14ac:dyDescent="0.25">
      <c r="A369" s="12" t="s">
        <v>4680</v>
      </c>
      <c r="B369" s="10" t="str">
        <f>_xlfn.IFNA(VLOOKUP($A369,CompChecksTrans!$A:$C,2,FALSE), "")</f>
        <v/>
      </c>
      <c r="C369" s="10" t="str">
        <f>_xlfn.IFNA(VLOOKUP(B369,Phase1!A$4:C$129,3,FALSE),"")</f>
        <v/>
      </c>
      <c r="D369" s="10" t="str">
        <f>_xlfn.IFNA(VLOOKUP($A369,CompChecksTrans!$A:$C,3,FALSE), "     ")</f>
        <v xml:space="preserve">     </v>
      </c>
    </row>
    <row r="370" spans="1:4" x14ac:dyDescent="0.25">
      <c r="A370" s="12" t="s">
        <v>4681</v>
      </c>
      <c r="B370" s="10" t="str">
        <f>_xlfn.IFNA(VLOOKUP($A370,CompChecksTrans!$A:$C,2,FALSE), "")</f>
        <v/>
      </c>
      <c r="C370" s="10" t="str">
        <f>_xlfn.IFNA(VLOOKUP(B370,Phase1!A$4:C$129,3,FALSE),"")</f>
        <v/>
      </c>
      <c r="D370" s="10" t="str">
        <f>_xlfn.IFNA(VLOOKUP($A370,CompChecksTrans!$A:$C,3,FALSE), "     ")</f>
        <v xml:space="preserve">     </v>
      </c>
    </row>
    <row r="371" spans="1:4" x14ac:dyDescent="0.25">
      <c r="A371" s="12" t="s">
        <v>4682</v>
      </c>
      <c r="B371" s="10" t="str">
        <f>_xlfn.IFNA(VLOOKUP($A371,CompChecksTrans!$A:$C,2,FALSE), "")</f>
        <v/>
      </c>
      <c r="C371" s="10" t="str">
        <f>_xlfn.IFNA(VLOOKUP(B371,Phase1!A$4:C$129,3,FALSE),"")</f>
        <v/>
      </c>
      <c r="D371" s="10" t="str">
        <f>_xlfn.IFNA(VLOOKUP($A371,CompChecksTrans!$A:$C,3,FALSE), "     ")</f>
        <v xml:space="preserve">     </v>
      </c>
    </row>
    <row r="372" spans="1:4" x14ac:dyDescent="0.25">
      <c r="A372" s="12" t="s">
        <v>4683</v>
      </c>
      <c r="B372" s="10" t="str">
        <f>_xlfn.IFNA(VLOOKUP($A372,CompChecksTrans!$A:$C,2,FALSE), "")</f>
        <v/>
      </c>
      <c r="C372" s="10" t="str">
        <f>_xlfn.IFNA(VLOOKUP(B372,Phase1!A$4:C$129,3,FALSE),"")</f>
        <v/>
      </c>
      <c r="D372" s="10" t="str">
        <f>_xlfn.IFNA(VLOOKUP($A372,CompChecksTrans!$A:$C,3,FALSE), "     ")</f>
        <v xml:space="preserve">     </v>
      </c>
    </row>
    <row r="373" spans="1:4" x14ac:dyDescent="0.25">
      <c r="A373" s="12" t="s">
        <v>4684</v>
      </c>
      <c r="B373" s="10" t="str">
        <f>_xlfn.IFNA(VLOOKUP($A373,CompChecksTrans!$A:$C,2,FALSE), "")</f>
        <v/>
      </c>
      <c r="C373" s="10" t="str">
        <f>_xlfn.IFNA(VLOOKUP(B373,Phase1!A$4:C$129,3,FALSE),"")</f>
        <v/>
      </c>
      <c r="D373" s="10" t="str">
        <f>_xlfn.IFNA(VLOOKUP($A373,CompChecksTrans!$A:$C,3,FALSE), "     ")</f>
        <v xml:space="preserve">     </v>
      </c>
    </row>
    <row r="374" spans="1:4" x14ac:dyDescent="0.25">
      <c r="A374" s="12" t="s">
        <v>4685</v>
      </c>
      <c r="B374" s="10" t="str">
        <f>_xlfn.IFNA(VLOOKUP($A374,CompChecksTrans!$A:$C,2,FALSE), "")</f>
        <v/>
      </c>
      <c r="C374" s="10" t="str">
        <f>_xlfn.IFNA(VLOOKUP(B374,Phase1!A$4:C$129,3,FALSE),"")</f>
        <v/>
      </c>
      <c r="D374" s="10" t="str">
        <f>_xlfn.IFNA(VLOOKUP($A374,CompChecksTrans!$A:$C,3,FALSE), "     ")</f>
        <v xml:space="preserve">     </v>
      </c>
    </row>
    <row r="375" spans="1:4" x14ac:dyDescent="0.25">
      <c r="A375" s="12" t="s">
        <v>4686</v>
      </c>
      <c r="B375" s="10" t="str">
        <f>_xlfn.IFNA(VLOOKUP($A375,CompChecksTrans!$A:$C,2,FALSE), "")</f>
        <v/>
      </c>
      <c r="C375" s="10" t="str">
        <f>_xlfn.IFNA(VLOOKUP(B375,Phase1!A$4:C$129,3,FALSE),"")</f>
        <v/>
      </c>
      <c r="D375" s="10" t="str">
        <f>_xlfn.IFNA(VLOOKUP($A375,CompChecksTrans!$A:$C,3,FALSE), "     ")</f>
        <v xml:space="preserve">     </v>
      </c>
    </row>
    <row r="376" spans="1:4" x14ac:dyDescent="0.25">
      <c r="A376" s="12" t="s">
        <v>4687</v>
      </c>
      <c r="B376" s="10" t="str">
        <f>_xlfn.IFNA(VLOOKUP($A376,CompChecksTrans!$A:$C,2,FALSE), "")</f>
        <v/>
      </c>
      <c r="C376" s="10" t="str">
        <f>_xlfn.IFNA(VLOOKUP(B376,Phase1!A$4:C$129,3,FALSE),"")</f>
        <v/>
      </c>
      <c r="D376" s="10" t="str">
        <f>_xlfn.IFNA(VLOOKUP($A376,CompChecksTrans!$A:$C,3,FALSE), "     ")</f>
        <v xml:space="preserve">     </v>
      </c>
    </row>
    <row r="377" spans="1:4" x14ac:dyDescent="0.25">
      <c r="A377" s="12" t="s">
        <v>4688</v>
      </c>
      <c r="B377" s="10" t="str">
        <f>_xlfn.IFNA(VLOOKUP($A377,CompChecksTrans!$A:$C,2,FALSE), "")</f>
        <v/>
      </c>
      <c r="C377" s="10" t="str">
        <f>_xlfn.IFNA(VLOOKUP(B377,Phase1!A$4:C$129,3,FALSE),"")</f>
        <v/>
      </c>
      <c r="D377" s="10" t="str">
        <f>_xlfn.IFNA(VLOOKUP($A377,CompChecksTrans!$A:$C,3,FALSE), "     ")</f>
        <v xml:space="preserve">     </v>
      </c>
    </row>
    <row r="378" spans="1:4" x14ac:dyDescent="0.25">
      <c r="A378" s="12" t="s">
        <v>4689</v>
      </c>
      <c r="B378" s="10" t="str">
        <f>_xlfn.IFNA(VLOOKUP($A378,CompChecksTrans!$A:$C,2,FALSE), "")</f>
        <v/>
      </c>
      <c r="C378" s="10" t="str">
        <f>_xlfn.IFNA(VLOOKUP(B378,Phase1!A$4:C$129,3,FALSE),"")</f>
        <v/>
      </c>
      <c r="D378" s="10" t="str">
        <f>_xlfn.IFNA(VLOOKUP($A378,CompChecksTrans!$A:$C,3,FALSE), "     ")</f>
        <v xml:space="preserve">     </v>
      </c>
    </row>
    <row r="379" spans="1:4" x14ac:dyDescent="0.25">
      <c r="A379" s="12" t="s">
        <v>4690</v>
      </c>
      <c r="B379" s="10" t="str">
        <f>_xlfn.IFNA(VLOOKUP($A379,CompChecksTrans!$A:$C,2,FALSE), "")</f>
        <v/>
      </c>
      <c r="C379" s="10" t="str">
        <f>_xlfn.IFNA(VLOOKUP(B379,Phase1!A$4:C$129,3,FALSE),"")</f>
        <v/>
      </c>
      <c r="D379" s="10" t="str">
        <f>_xlfn.IFNA(VLOOKUP($A379,CompChecksTrans!$A:$C,3,FALSE), "     ")</f>
        <v xml:space="preserve">     </v>
      </c>
    </row>
    <row r="380" spans="1:4" x14ac:dyDescent="0.25">
      <c r="A380" s="12" t="s">
        <v>4691</v>
      </c>
      <c r="B380" s="10" t="str">
        <f>_xlfn.IFNA(VLOOKUP($A380,CompChecksTrans!$A:$C,2,FALSE), "")</f>
        <v/>
      </c>
      <c r="C380" s="10" t="str">
        <f>_xlfn.IFNA(VLOOKUP(B380,Phase1!A$4:C$129,3,FALSE),"")</f>
        <v/>
      </c>
      <c r="D380" s="10" t="str">
        <f>_xlfn.IFNA(VLOOKUP($A380,CompChecksTrans!$A:$C,3,FALSE), "     ")</f>
        <v xml:space="preserve">     </v>
      </c>
    </row>
    <row r="381" spans="1:4" x14ac:dyDescent="0.25">
      <c r="A381" s="12" t="s">
        <v>4692</v>
      </c>
      <c r="B381" s="10" t="str">
        <f>_xlfn.IFNA(VLOOKUP($A381,CompChecksTrans!$A:$C,2,FALSE), "")</f>
        <v/>
      </c>
      <c r="C381" s="10" t="str">
        <f>_xlfn.IFNA(VLOOKUP(B381,Phase1!A$4:C$129,3,FALSE),"")</f>
        <v/>
      </c>
      <c r="D381" s="10" t="str">
        <f>_xlfn.IFNA(VLOOKUP($A381,CompChecksTrans!$A:$C,3,FALSE), "     ")</f>
        <v xml:space="preserve">     </v>
      </c>
    </row>
    <row r="382" spans="1:4" x14ac:dyDescent="0.25">
      <c r="A382" s="12" t="s">
        <v>4693</v>
      </c>
      <c r="B382" s="10" t="str">
        <f>_xlfn.IFNA(VLOOKUP($A382,CompChecksTrans!$A:$C,2,FALSE), "")</f>
        <v/>
      </c>
      <c r="C382" s="10" t="str">
        <f>_xlfn.IFNA(VLOOKUP(B382,Phase1!A$4:C$129,3,FALSE),"")</f>
        <v/>
      </c>
      <c r="D382" s="10" t="str">
        <f>_xlfn.IFNA(VLOOKUP($A382,CompChecksTrans!$A:$C,3,FALSE), "     ")</f>
        <v xml:space="preserve">     </v>
      </c>
    </row>
    <row r="383" spans="1:4" x14ac:dyDescent="0.25">
      <c r="A383" s="12" t="s">
        <v>4694</v>
      </c>
      <c r="B383" s="10" t="str">
        <f>_xlfn.IFNA(VLOOKUP($A383,CompChecksTrans!$A:$C,2,FALSE), "")</f>
        <v/>
      </c>
      <c r="C383" s="10" t="str">
        <f>_xlfn.IFNA(VLOOKUP(B383,Phase1!A$4:C$129,3,FALSE),"")</f>
        <v/>
      </c>
      <c r="D383" s="10" t="str">
        <f>_xlfn.IFNA(VLOOKUP($A383,CompChecksTrans!$A:$C,3,FALSE), "     ")</f>
        <v xml:space="preserve">     </v>
      </c>
    </row>
    <row r="384" spans="1:4" x14ac:dyDescent="0.25">
      <c r="A384" s="12" t="s">
        <v>4695</v>
      </c>
      <c r="B384" s="10" t="str">
        <f>_xlfn.IFNA(VLOOKUP($A384,CompChecksTrans!$A:$C,2,FALSE), "")</f>
        <v/>
      </c>
      <c r="C384" s="10" t="str">
        <f>_xlfn.IFNA(VLOOKUP(B384,Phase1!A$4:C$129,3,FALSE),"")</f>
        <v/>
      </c>
      <c r="D384" s="10" t="str">
        <f>_xlfn.IFNA(VLOOKUP($A384,CompChecksTrans!$A:$C,3,FALSE), "     ")</f>
        <v xml:space="preserve">     </v>
      </c>
    </row>
    <row r="385" spans="1:4" x14ac:dyDescent="0.25">
      <c r="A385" s="12" t="s">
        <v>4696</v>
      </c>
      <c r="B385" s="10" t="str">
        <f>_xlfn.IFNA(VLOOKUP($A385,CompChecksTrans!$A:$C,2,FALSE), "")</f>
        <v/>
      </c>
      <c r="C385" s="10" t="str">
        <f>_xlfn.IFNA(VLOOKUP(B385,Phase1!A$4:C$129,3,FALSE),"")</f>
        <v/>
      </c>
      <c r="D385" s="10" t="str">
        <f>_xlfn.IFNA(VLOOKUP($A385,CompChecksTrans!$A:$C,3,FALSE), "     ")</f>
        <v xml:space="preserve">     </v>
      </c>
    </row>
    <row r="386" spans="1:4" x14ac:dyDescent="0.25">
      <c r="A386" s="12" t="s">
        <v>4697</v>
      </c>
      <c r="B386" s="10" t="str">
        <f>_xlfn.IFNA(VLOOKUP($A386,CompChecksTrans!$A:$C,2,FALSE), "")</f>
        <v/>
      </c>
      <c r="C386" s="10" t="str">
        <f>_xlfn.IFNA(VLOOKUP(B386,Phase1!A$4:C$129,3,FALSE),"")</f>
        <v/>
      </c>
      <c r="D386" s="10" t="str">
        <f>_xlfn.IFNA(VLOOKUP($A386,CompChecksTrans!$A:$C,3,FALSE), "     ")</f>
        <v xml:space="preserve">     </v>
      </c>
    </row>
    <row r="387" spans="1:4" x14ac:dyDescent="0.25">
      <c r="A387" s="12" t="s">
        <v>4698</v>
      </c>
      <c r="B387" s="10" t="str">
        <f>_xlfn.IFNA(VLOOKUP($A387,CompChecksTrans!$A:$C,2,FALSE), "")</f>
        <v/>
      </c>
      <c r="C387" s="10" t="str">
        <f>_xlfn.IFNA(VLOOKUP(B387,Phase1!A$4:C$129,3,FALSE),"")</f>
        <v/>
      </c>
      <c r="D387" s="10" t="str">
        <f>_xlfn.IFNA(VLOOKUP($A387,CompChecksTrans!$A:$C,3,FALSE), "     ")</f>
        <v xml:space="preserve">     </v>
      </c>
    </row>
    <row r="388" spans="1:4" x14ac:dyDescent="0.25">
      <c r="A388" s="12" t="s">
        <v>4699</v>
      </c>
      <c r="B388" s="10" t="str">
        <f>_xlfn.IFNA(VLOOKUP($A388,CompChecksTrans!$A:$C,2,FALSE), "")</f>
        <v/>
      </c>
      <c r="C388" s="10" t="str">
        <f>_xlfn.IFNA(VLOOKUP(B388,Phase1!A$4:C$129,3,FALSE),"")</f>
        <v/>
      </c>
      <c r="D388" s="10" t="str">
        <f>_xlfn.IFNA(VLOOKUP($A388,CompChecksTrans!$A:$C,3,FALSE), "     ")</f>
        <v xml:space="preserve">     </v>
      </c>
    </row>
    <row r="389" spans="1:4" x14ac:dyDescent="0.25">
      <c r="A389" s="12" t="s">
        <v>4700</v>
      </c>
      <c r="B389" s="10" t="str">
        <f>_xlfn.IFNA(VLOOKUP($A389,CompChecksTrans!$A:$C,2,FALSE), "")</f>
        <v/>
      </c>
      <c r="C389" s="10" t="str">
        <f>_xlfn.IFNA(VLOOKUP(B389,Phase1!A$4:C$129,3,FALSE),"")</f>
        <v/>
      </c>
      <c r="D389" s="10" t="str">
        <f>_xlfn.IFNA(VLOOKUP($A389,CompChecksTrans!$A:$C,3,FALSE), "     ")</f>
        <v xml:space="preserve">     </v>
      </c>
    </row>
    <row r="390" spans="1:4" x14ac:dyDescent="0.25">
      <c r="A390" s="12" t="s">
        <v>4701</v>
      </c>
      <c r="B390" s="10" t="str">
        <f>_xlfn.IFNA(VLOOKUP($A390,CompChecksTrans!$A:$C,2,FALSE), "")</f>
        <v/>
      </c>
      <c r="C390" s="10" t="str">
        <f>_xlfn.IFNA(VLOOKUP(B390,Phase1!A$4:C$129,3,FALSE),"")</f>
        <v/>
      </c>
      <c r="D390" s="10" t="str">
        <f>_xlfn.IFNA(VLOOKUP($A390,CompChecksTrans!$A:$C,3,FALSE), "     ")</f>
        <v xml:space="preserve">     </v>
      </c>
    </row>
    <row r="391" spans="1:4" x14ac:dyDescent="0.25">
      <c r="A391" s="12" t="s">
        <v>4702</v>
      </c>
      <c r="B391" s="10" t="str">
        <f>_xlfn.IFNA(VLOOKUP($A391,CompChecksTrans!$A:$C,2,FALSE), "")</f>
        <v/>
      </c>
      <c r="C391" s="10" t="str">
        <f>_xlfn.IFNA(VLOOKUP(B391,Phase1!A$4:C$129,3,FALSE),"")</f>
        <v/>
      </c>
      <c r="D391" s="10" t="str">
        <f>_xlfn.IFNA(VLOOKUP($A391,CompChecksTrans!$A:$C,3,FALSE), "     ")</f>
        <v xml:space="preserve">     </v>
      </c>
    </row>
    <row r="392" spans="1:4" x14ac:dyDescent="0.25">
      <c r="A392" s="12" t="s">
        <v>4703</v>
      </c>
      <c r="B392" s="10" t="str">
        <f>_xlfn.IFNA(VLOOKUP($A392,CompChecksTrans!$A:$C,2,FALSE), "")</f>
        <v/>
      </c>
      <c r="C392" s="10" t="str">
        <f>_xlfn.IFNA(VLOOKUP(B392,Phase1!A$4:C$129,3,FALSE),"")</f>
        <v/>
      </c>
      <c r="D392" s="10" t="str">
        <f>_xlfn.IFNA(VLOOKUP($A392,CompChecksTrans!$A:$C,3,FALSE), "     ")</f>
        <v xml:space="preserve">     </v>
      </c>
    </row>
    <row r="393" spans="1:4" x14ac:dyDescent="0.25">
      <c r="A393" s="12" t="s">
        <v>4704</v>
      </c>
      <c r="B393" s="10" t="str">
        <f>_xlfn.IFNA(VLOOKUP($A393,CompChecksTrans!$A:$C,2,FALSE), "")</f>
        <v/>
      </c>
      <c r="C393" s="10" t="str">
        <f>_xlfn.IFNA(VLOOKUP(B393,Phase1!A$4:C$129,3,FALSE),"")</f>
        <v/>
      </c>
      <c r="D393" s="10" t="str">
        <f>_xlfn.IFNA(VLOOKUP($A393,CompChecksTrans!$A:$C,3,FALSE), "     ")</f>
        <v xml:space="preserve">     </v>
      </c>
    </row>
    <row r="394" spans="1:4" x14ac:dyDescent="0.25">
      <c r="A394" s="12" t="s">
        <v>4705</v>
      </c>
      <c r="B394" s="10" t="str">
        <f>_xlfn.IFNA(VLOOKUP($A394,CompChecksTrans!$A:$C,2,FALSE), "")</f>
        <v/>
      </c>
      <c r="C394" s="10" t="str">
        <f>_xlfn.IFNA(VLOOKUP(B394,Phase1!A$4:C$129,3,FALSE),"")</f>
        <v/>
      </c>
      <c r="D394" s="10" t="str">
        <f>_xlfn.IFNA(VLOOKUP($A394,CompChecksTrans!$A:$C,3,FALSE), "     ")</f>
        <v xml:space="preserve">     </v>
      </c>
    </row>
    <row r="395" spans="1:4" x14ac:dyDescent="0.25">
      <c r="A395" s="12" t="s">
        <v>4706</v>
      </c>
      <c r="B395" s="10" t="str">
        <f>_xlfn.IFNA(VLOOKUP($A395,CompChecksTrans!$A:$C,2,FALSE), "")</f>
        <v/>
      </c>
      <c r="C395" s="10" t="str">
        <f>_xlfn.IFNA(VLOOKUP(B395,Phase1!A$4:C$129,3,FALSE),"")</f>
        <v/>
      </c>
      <c r="D395" s="10" t="str">
        <f>_xlfn.IFNA(VLOOKUP($A395,CompChecksTrans!$A:$C,3,FALSE), "     ")</f>
        <v xml:space="preserve">     </v>
      </c>
    </row>
    <row r="396" spans="1:4" x14ac:dyDescent="0.25">
      <c r="A396" s="12" t="s">
        <v>4707</v>
      </c>
      <c r="B396" s="10" t="str">
        <f>_xlfn.IFNA(VLOOKUP($A396,CompChecksTrans!$A:$C,2,FALSE), "")</f>
        <v/>
      </c>
      <c r="C396" s="10" t="str">
        <f>_xlfn.IFNA(VLOOKUP(B396,Phase1!A$4:C$129,3,FALSE),"")</f>
        <v/>
      </c>
      <c r="D396" s="10" t="str">
        <f>_xlfn.IFNA(VLOOKUP($A396,CompChecksTrans!$A:$C,3,FALSE), "     ")</f>
        <v xml:space="preserve">     </v>
      </c>
    </row>
    <row r="397" spans="1:4" x14ac:dyDescent="0.25">
      <c r="A397" s="12" t="s">
        <v>4708</v>
      </c>
      <c r="B397" s="10" t="str">
        <f>_xlfn.IFNA(VLOOKUP($A397,CompChecksTrans!$A:$C,2,FALSE), "")</f>
        <v/>
      </c>
      <c r="C397" s="10" t="str">
        <f>_xlfn.IFNA(VLOOKUP(B397,Phase1!A$4:C$129,3,FALSE),"")</f>
        <v/>
      </c>
      <c r="D397" s="10" t="str">
        <f>_xlfn.IFNA(VLOOKUP($A397,CompChecksTrans!$A:$C,3,FALSE), "     ")</f>
        <v xml:space="preserve">     </v>
      </c>
    </row>
    <row r="398" spans="1:4" x14ac:dyDescent="0.25">
      <c r="A398" s="12" t="s">
        <v>4709</v>
      </c>
      <c r="B398" s="10" t="str">
        <f>_xlfn.IFNA(VLOOKUP($A398,CompChecksTrans!$A:$C,2,FALSE), "")</f>
        <v/>
      </c>
      <c r="C398" s="10" t="str">
        <f>_xlfn.IFNA(VLOOKUP(B398,Phase1!A$4:C$129,3,FALSE),"")</f>
        <v/>
      </c>
      <c r="D398" s="10" t="str">
        <f>_xlfn.IFNA(VLOOKUP($A398,CompChecksTrans!$A:$C,3,FALSE), "     ")</f>
        <v xml:space="preserve">     </v>
      </c>
    </row>
    <row r="399" spans="1:4" x14ac:dyDescent="0.25">
      <c r="A399" s="12" t="s">
        <v>4710</v>
      </c>
      <c r="B399" s="10" t="str">
        <f>_xlfn.IFNA(VLOOKUP($A399,CompChecksTrans!$A:$C,2,FALSE), "")</f>
        <v/>
      </c>
      <c r="C399" s="10" t="str">
        <f>_xlfn.IFNA(VLOOKUP(B399,Phase1!A$4:C$129,3,FALSE),"")</f>
        <v/>
      </c>
      <c r="D399" s="10" t="str">
        <f>_xlfn.IFNA(VLOOKUP($A399,CompChecksTrans!$A:$C,3,FALSE), "     ")</f>
        <v xml:space="preserve">     </v>
      </c>
    </row>
    <row r="400" spans="1:4" x14ac:dyDescent="0.25">
      <c r="A400" s="12" t="s">
        <v>4711</v>
      </c>
      <c r="B400" s="10" t="str">
        <f>_xlfn.IFNA(VLOOKUP($A400,CompChecksTrans!$A:$C,2,FALSE), "")</f>
        <v/>
      </c>
      <c r="C400" s="10" t="str">
        <f>_xlfn.IFNA(VLOOKUP(B400,Phase1!A$4:C$129,3,FALSE),"")</f>
        <v/>
      </c>
      <c r="D400" s="10" t="str">
        <f>_xlfn.IFNA(VLOOKUP($A400,CompChecksTrans!$A:$C,3,FALSE), "     ")</f>
        <v xml:space="preserve">     </v>
      </c>
    </row>
    <row r="401" spans="1:4" x14ac:dyDescent="0.25">
      <c r="A401" s="12" t="s">
        <v>4712</v>
      </c>
      <c r="B401" s="10" t="str">
        <f>_xlfn.IFNA(VLOOKUP($A401,CompChecksTrans!$A:$C,2,FALSE), "")</f>
        <v/>
      </c>
      <c r="C401" s="10" t="str">
        <f>_xlfn.IFNA(VLOOKUP(B401,Phase1!A$4:C$129,3,FALSE),"")</f>
        <v/>
      </c>
      <c r="D401" s="10" t="str">
        <f>_xlfn.IFNA(VLOOKUP($A401,CompChecksTrans!$A:$C,3,FALSE), "     ")</f>
        <v xml:space="preserve">     </v>
      </c>
    </row>
    <row r="402" spans="1:4" x14ac:dyDescent="0.25">
      <c r="A402" s="12" t="s">
        <v>4713</v>
      </c>
      <c r="B402" s="10" t="str">
        <f>_xlfn.IFNA(VLOOKUP($A402,CompChecksTrans!$A:$C,2,FALSE), "")</f>
        <v/>
      </c>
      <c r="C402" s="10" t="str">
        <f>_xlfn.IFNA(VLOOKUP(B402,Phase1!A$4:C$129,3,FALSE),"")</f>
        <v/>
      </c>
      <c r="D402" s="10" t="str">
        <f>_xlfn.IFNA(VLOOKUP($A402,CompChecksTrans!$A:$C,3,FALSE), "     ")</f>
        <v xml:space="preserve">     </v>
      </c>
    </row>
    <row r="403" spans="1:4" x14ac:dyDescent="0.25">
      <c r="A403" s="12" t="s">
        <v>4714</v>
      </c>
      <c r="B403" s="10" t="str">
        <f>_xlfn.IFNA(VLOOKUP($A403,CompChecksTrans!$A:$C,2,FALSE), "")</f>
        <v/>
      </c>
      <c r="C403" s="10" t="str">
        <f>_xlfn.IFNA(VLOOKUP(B403,Phase1!A$4:C$129,3,FALSE),"")</f>
        <v/>
      </c>
      <c r="D403" s="10" t="str">
        <f>_xlfn.IFNA(VLOOKUP($A403,CompChecksTrans!$A:$C,3,FALSE), "     ")</f>
        <v xml:space="preserve">     </v>
      </c>
    </row>
    <row r="404" spans="1:4" x14ac:dyDescent="0.25">
      <c r="A404" s="12" t="s">
        <v>4715</v>
      </c>
      <c r="B404" s="10" t="str">
        <f>_xlfn.IFNA(VLOOKUP($A404,CompChecksTrans!$A:$C,2,FALSE), "")</f>
        <v/>
      </c>
      <c r="C404" s="10" t="str">
        <f>_xlfn.IFNA(VLOOKUP(B404,Phase1!A$4:C$129,3,FALSE),"")</f>
        <v/>
      </c>
      <c r="D404" s="10" t="str">
        <f>_xlfn.IFNA(VLOOKUP($A404,CompChecksTrans!$A:$C,3,FALSE), "     ")</f>
        <v xml:space="preserve">     </v>
      </c>
    </row>
    <row r="405" spans="1:4" x14ac:dyDescent="0.25">
      <c r="A405" s="12" t="s">
        <v>4716</v>
      </c>
      <c r="B405" s="10" t="str">
        <f>_xlfn.IFNA(VLOOKUP($A405,CompChecksTrans!$A:$C,2,FALSE), "")</f>
        <v/>
      </c>
      <c r="C405" s="10" t="str">
        <f>_xlfn.IFNA(VLOOKUP(B405,Phase1!A$4:C$129,3,FALSE),"")</f>
        <v/>
      </c>
      <c r="D405" s="10" t="str">
        <f>_xlfn.IFNA(VLOOKUP($A405,CompChecksTrans!$A:$C,3,FALSE), "     ")</f>
        <v xml:space="preserve">     </v>
      </c>
    </row>
    <row r="406" spans="1:4" x14ac:dyDescent="0.25">
      <c r="A406" s="12" t="s">
        <v>4717</v>
      </c>
      <c r="B406" s="10" t="str">
        <f>_xlfn.IFNA(VLOOKUP($A406,CompChecksTrans!$A:$C,2,FALSE), "")</f>
        <v/>
      </c>
      <c r="C406" s="10" t="str">
        <f>_xlfn.IFNA(VLOOKUP(B406,Phase1!A$4:C$129,3,FALSE),"")</f>
        <v/>
      </c>
      <c r="D406" s="10" t="str">
        <f>_xlfn.IFNA(VLOOKUP($A406,CompChecksTrans!$A:$C,3,FALSE), "     ")</f>
        <v xml:space="preserve">     </v>
      </c>
    </row>
    <row r="407" spans="1:4" x14ac:dyDescent="0.25">
      <c r="A407" s="12" t="s">
        <v>4718</v>
      </c>
      <c r="B407" s="10" t="str">
        <f>_xlfn.IFNA(VLOOKUP($A407,CompChecksTrans!$A:$C,2,FALSE), "")</f>
        <v/>
      </c>
      <c r="C407" s="10" t="str">
        <f>_xlfn.IFNA(VLOOKUP(B407,Phase1!A$4:C$129,3,FALSE),"")</f>
        <v/>
      </c>
      <c r="D407" s="10" t="str">
        <f>_xlfn.IFNA(VLOOKUP($A407,CompChecksTrans!$A:$C,3,FALSE), "     ")</f>
        <v xml:space="preserve">     </v>
      </c>
    </row>
    <row r="408" spans="1:4" x14ac:dyDescent="0.25">
      <c r="A408" s="12" t="s">
        <v>4719</v>
      </c>
      <c r="B408" s="10" t="str">
        <f>_xlfn.IFNA(VLOOKUP($A408,CompChecksTrans!$A:$C,2,FALSE), "")</f>
        <v/>
      </c>
      <c r="C408" s="10" t="str">
        <f>_xlfn.IFNA(VLOOKUP(B408,Phase1!A$4:C$129,3,FALSE),"")</f>
        <v/>
      </c>
      <c r="D408" s="10" t="str">
        <f>_xlfn.IFNA(VLOOKUP($A408,CompChecksTrans!$A:$C,3,FALSE), "     ")</f>
        <v xml:space="preserve">     </v>
      </c>
    </row>
    <row r="409" spans="1:4" x14ac:dyDescent="0.25">
      <c r="A409" s="12" t="s">
        <v>4720</v>
      </c>
      <c r="B409" s="10" t="str">
        <f>_xlfn.IFNA(VLOOKUP($A409,CompChecksTrans!$A:$C,2,FALSE), "")</f>
        <v/>
      </c>
      <c r="C409" s="10" t="str">
        <f>_xlfn.IFNA(VLOOKUP(B409,Phase1!A$4:C$129,3,FALSE),"")</f>
        <v/>
      </c>
      <c r="D409" s="10" t="str">
        <f>_xlfn.IFNA(VLOOKUP($A409,CompChecksTrans!$A:$C,3,FALSE), "     ")</f>
        <v xml:space="preserve">     </v>
      </c>
    </row>
    <row r="410" spans="1:4" x14ac:dyDescent="0.25">
      <c r="A410" s="12" t="s">
        <v>4721</v>
      </c>
      <c r="B410" s="10" t="str">
        <f>_xlfn.IFNA(VLOOKUP($A410,CompChecksTrans!$A:$C,2,FALSE), "")</f>
        <v/>
      </c>
      <c r="C410" s="10" t="str">
        <f>_xlfn.IFNA(VLOOKUP(B410,Phase1!A$4:C$129,3,FALSE),"")</f>
        <v/>
      </c>
      <c r="D410" s="10" t="str">
        <f>_xlfn.IFNA(VLOOKUP($A410,CompChecksTrans!$A:$C,3,FALSE), "     ")</f>
        <v xml:space="preserve">     </v>
      </c>
    </row>
    <row r="411" spans="1:4" x14ac:dyDescent="0.25">
      <c r="A411" s="12" t="s">
        <v>4722</v>
      </c>
      <c r="B411" s="10" t="str">
        <f>_xlfn.IFNA(VLOOKUP($A411,CompChecksTrans!$A:$C,2,FALSE), "")</f>
        <v/>
      </c>
      <c r="C411" s="10" t="str">
        <f>_xlfn.IFNA(VLOOKUP(B411,Phase1!A$4:C$129,3,FALSE),"")</f>
        <v/>
      </c>
      <c r="D411" s="10" t="str">
        <f>_xlfn.IFNA(VLOOKUP($A411,CompChecksTrans!$A:$C,3,FALSE), "     ")</f>
        <v xml:space="preserve">     </v>
      </c>
    </row>
    <row r="412" spans="1:4" x14ac:dyDescent="0.25">
      <c r="A412" s="12" t="s">
        <v>4723</v>
      </c>
      <c r="B412" s="10" t="str">
        <f>_xlfn.IFNA(VLOOKUP($A412,CompChecksTrans!$A:$C,2,FALSE), "")</f>
        <v/>
      </c>
      <c r="C412" s="10" t="str">
        <f>_xlfn.IFNA(VLOOKUP(B412,Phase1!A$4:C$129,3,FALSE),"")</f>
        <v/>
      </c>
      <c r="D412" s="10" t="str">
        <f>_xlfn.IFNA(VLOOKUP($A412,CompChecksTrans!$A:$C,3,FALSE), "     ")</f>
        <v xml:space="preserve">     </v>
      </c>
    </row>
    <row r="413" spans="1:4" x14ac:dyDescent="0.25">
      <c r="A413" s="12" t="s">
        <v>4724</v>
      </c>
      <c r="B413" s="10" t="str">
        <f>_xlfn.IFNA(VLOOKUP($A413,CompChecksTrans!$A:$C,2,FALSE), "")</f>
        <v/>
      </c>
      <c r="C413" s="10" t="str">
        <f>_xlfn.IFNA(VLOOKUP(B413,Phase1!A$4:C$129,3,FALSE),"")</f>
        <v/>
      </c>
      <c r="D413" s="10" t="str">
        <f>_xlfn.IFNA(VLOOKUP($A413,CompChecksTrans!$A:$C,3,FALSE), "     ")</f>
        <v xml:space="preserve">     </v>
      </c>
    </row>
    <row r="414" spans="1:4" x14ac:dyDescent="0.25">
      <c r="A414" s="12" t="s">
        <v>4725</v>
      </c>
      <c r="B414" s="10" t="str">
        <f>_xlfn.IFNA(VLOOKUP($A414,CompChecksTrans!$A:$C,2,FALSE), "")</f>
        <v/>
      </c>
      <c r="C414" s="10" t="str">
        <f>_xlfn.IFNA(VLOOKUP(B414,Phase1!A$4:C$129,3,FALSE),"")</f>
        <v/>
      </c>
      <c r="D414" s="10" t="str">
        <f>_xlfn.IFNA(VLOOKUP($A414,CompChecksTrans!$A:$C,3,FALSE), "     ")</f>
        <v xml:space="preserve">     </v>
      </c>
    </row>
    <row r="415" spans="1:4" x14ac:dyDescent="0.25">
      <c r="A415" s="12" t="s">
        <v>4726</v>
      </c>
      <c r="B415" s="10" t="str">
        <f>_xlfn.IFNA(VLOOKUP($A415,CompChecksTrans!$A:$C,2,FALSE), "")</f>
        <v/>
      </c>
      <c r="C415" s="10" t="str">
        <f>_xlfn.IFNA(VLOOKUP(B415,Phase1!A$4:C$129,3,FALSE),"")</f>
        <v/>
      </c>
      <c r="D415" s="10" t="str">
        <f>_xlfn.IFNA(VLOOKUP($A415,CompChecksTrans!$A:$C,3,FALSE), "     ")</f>
        <v xml:space="preserve">     </v>
      </c>
    </row>
    <row r="416" spans="1:4" x14ac:dyDescent="0.25">
      <c r="A416" s="12" t="s">
        <v>4727</v>
      </c>
      <c r="B416" s="10" t="str">
        <f>_xlfn.IFNA(VLOOKUP($A416,CompChecksTrans!$A:$C,2,FALSE), "")</f>
        <v/>
      </c>
      <c r="C416" s="10" t="str">
        <f>_xlfn.IFNA(VLOOKUP(B416,Phase1!A$4:C$129,3,FALSE),"")</f>
        <v/>
      </c>
      <c r="D416" s="10" t="str">
        <f>_xlfn.IFNA(VLOOKUP($A416,CompChecksTrans!$A:$C,3,FALSE), "     ")</f>
        <v xml:space="preserve">     </v>
      </c>
    </row>
    <row r="417" spans="1:4" x14ac:dyDescent="0.25">
      <c r="A417" s="12" t="s">
        <v>4728</v>
      </c>
      <c r="B417" s="10" t="str">
        <f>_xlfn.IFNA(VLOOKUP($A417,CompChecksTrans!$A:$C,2,FALSE), "")</f>
        <v/>
      </c>
      <c r="C417" s="10" t="str">
        <f>_xlfn.IFNA(VLOOKUP(B417,Phase1!A$4:C$129,3,FALSE),"")</f>
        <v/>
      </c>
      <c r="D417" s="10" t="str">
        <f>_xlfn.IFNA(VLOOKUP($A417,CompChecksTrans!$A:$C,3,FALSE), "     ")</f>
        <v xml:space="preserve">     </v>
      </c>
    </row>
    <row r="418" spans="1:4" x14ac:dyDescent="0.25">
      <c r="A418" s="12" t="s">
        <v>4729</v>
      </c>
      <c r="B418" s="10" t="str">
        <f>_xlfn.IFNA(VLOOKUP($A418,CompChecksTrans!$A:$C,2,FALSE), "")</f>
        <v/>
      </c>
      <c r="C418" s="10" t="str">
        <f>_xlfn.IFNA(VLOOKUP(B418,Phase1!A$4:C$129,3,FALSE),"")</f>
        <v/>
      </c>
      <c r="D418" s="10" t="str">
        <f>_xlfn.IFNA(VLOOKUP($A418,CompChecksTrans!$A:$C,3,FALSE), "     ")</f>
        <v xml:space="preserve">     </v>
      </c>
    </row>
    <row r="419" spans="1:4" x14ac:dyDescent="0.25">
      <c r="A419" s="12" t="s">
        <v>4730</v>
      </c>
      <c r="B419" s="10" t="str">
        <f>_xlfn.IFNA(VLOOKUP($A419,CompChecksTrans!$A:$C,2,FALSE), "")</f>
        <v/>
      </c>
      <c r="C419" s="10" t="str">
        <f>_xlfn.IFNA(VLOOKUP(B419,Phase1!A$4:C$129,3,FALSE),"")</f>
        <v/>
      </c>
      <c r="D419" s="10" t="str">
        <f>_xlfn.IFNA(VLOOKUP($A419,CompChecksTrans!$A:$C,3,FALSE), "     ")</f>
        <v xml:space="preserve">     </v>
      </c>
    </row>
    <row r="420" spans="1:4" x14ac:dyDescent="0.25">
      <c r="A420" s="12" t="s">
        <v>4731</v>
      </c>
      <c r="B420" s="10" t="str">
        <f>_xlfn.IFNA(VLOOKUP($A420,CompChecksTrans!$A:$C,2,FALSE), "")</f>
        <v/>
      </c>
      <c r="C420" s="10" t="str">
        <f>_xlfn.IFNA(VLOOKUP(B420,Phase1!A$4:C$129,3,FALSE),"")</f>
        <v/>
      </c>
      <c r="D420" s="10" t="str">
        <f>_xlfn.IFNA(VLOOKUP($A420,CompChecksTrans!$A:$C,3,FALSE), "     ")</f>
        <v xml:space="preserve">     </v>
      </c>
    </row>
    <row r="421" spans="1:4" x14ac:dyDescent="0.25">
      <c r="A421" s="12" t="s">
        <v>4732</v>
      </c>
      <c r="B421" s="10" t="str">
        <f>_xlfn.IFNA(VLOOKUP($A421,CompChecksTrans!$A:$C,2,FALSE), "")</f>
        <v/>
      </c>
      <c r="C421" s="10" t="str">
        <f>_xlfn.IFNA(VLOOKUP(B421,Phase1!A$4:C$129,3,FALSE),"")</f>
        <v/>
      </c>
      <c r="D421" s="10" t="str">
        <f>_xlfn.IFNA(VLOOKUP($A421,CompChecksTrans!$A:$C,3,FALSE), "     ")</f>
        <v xml:space="preserve">     </v>
      </c>
    </row>
    <row r="422" spans="1:4" x14ac:dyDescent="0.25">
      <c r="A422" s="12" t="s">
        <v>4733</v>
      </c>
      <c r="B422" s="10" t="str">
        <f>_xlfn.IFNA(VLOOKUP($A422,CompChecksTrans!$A:$C,2,FALSE), "")</f>
        <v/>
      </c>
      <c r="C422" s="10" t="str">
        <f>_xlfn.IFNA(VLOOKUP(B422,Phase1!A$4:C$129,3,FALSE),"")</f>
        <v/>
      </c>
      <c r="D422" s="10" t="str">
        <f>_xlfn.IFNA(VLOOKUP($A422,CompChecksTrans!$A:$C,3,FALSE), "     ")</f>
        <v xml:space="preserve">     </v>
      </c>
    </row>
    <row r="423" spans="1:4" x14ac:dyDescent="0.25">
      <c r="A423" s="12" t="s">
        <v>4734</v>
      </c>
      <c r="B423" s="10" t="str">
        <f>_xlfn.IFNA(VLOOKUP($A423,CompChecksTrans!$A:$C,2,FALSE), "")</f>
        <v/>
      </c>
      <c r="C423" s="10" t="str">
        <f>_xlfn.IFNA(VLOOKUP(B423,Phase1!A$4:C$129,3,FALSE),"")</f>
        <v/>
      </c>
      <c r="D423" s="10" t="str">
        <f>_xlfn.IFNA(VLOOKUP($A423,CompChecksTrans!$A:$C,3,FALSE), "     ")</f>
        <v xml:space="preserve">     </v>
      </c>
    </row>
    <row r="424" spans="1:4" x14ac:dyDescent="0.25">
      <c r="A424" s="12" t="s">
        <v>4735</v>
      </c>
      <c r="B424" s="10" t="str">
        <f>_xlfn.IFNA(VLOOKUP($A424,CompChecksTrans!$A:$C,2,FALSE), "")</f>
        <v/>
      </c>
      <c r="C424" s="10" t="str">
        <f>_xlfn.IFNA(VLOOKUP(B424,Phase1!A$4:C$129,3,FALSE),"")</f>
        <v/>
      </c>
      <c r="D424" s="10" t="str">
        <f>_xlfn.IFNA(VLOOKUP($A424,CompChecksTrans!$A:$C,3,FALSE), "     ")</f>
        <v xml:space="preserve">     </v>
      </c>
    </row>
    <row r="425" spans="1:4" x14ac:dyDescent="0.25">
      <c r="A425" s="12" t="s">
        <v>4736</v>
      </c>
      <c r="B425" s="10" t="str">
        <f>_xlfn.IFNA(VLOOKUP($A425,CompChecksTrans!$A:$C,2,FALSE), "")</f>
        <v/>
      </c>
      <c r="C425" s="10" t="str">
        <f>_xlfn.IFNA(VLOOKUP(B425,Phase1!A$4:C$129,3,FALSE),"")</f>
        <v/>
      </c>
      <c r="D425" s="10" t="str">
        <f>_xlfn.IFNA(VLOOKUP($A425,CompChecksTrans!$A:$C,3,FALSE), "     ")</f>
        <v xml:space="preserve">     </v>
      </c>
    </row>
    <row r="426" spans="1:4" x14ac:dyDescent="0.25">
      <c r="A426" s="12" t="s">
        <v>4737</v>
      </c>
      <c r="B426" s="10" t="str">
        <f>_xlfn.IFNA(VLOOKUP($A426,CompChecksTrans!$A:$C,2,FALSE), "")</f>
        <v/>
      </c>
      <c r="C426" s="10" t="str">
        <f>_xlfn.IFNA(VLOOKUP(B426,Phase1!A$4:C$129,3,FALSE),"")</f>
        <v/>
      </c>
      <c r="D426" s="10" t="str">
        <f>_xlfn.IFNA(VLOOKUP($A426,CompChecksTrans!$A:$C,3,FALSE), "     ")</f>
        <v xml:space="preserve">     </v>
      </c>
    </row>
    <row r="427" spans="1:4" x14ac:dyDescent="0.25">
      <c r="A427" s="12" t="s">
        <v>4738</v>
      </c>
      <c r="B427" s="10" t="str">
        <f>_xlfn.IFNA(VLOOKUP($A427,CompChecksTrans!$A:$C,2,FALSE), "")</f>
        <v/>
      </c>
      <c r="C427" s="10" t="str">
        <f>_xlfn.IFNA(VLOOKUP(B427,Phase1!A$4:C$129,3,FALSE),"")</f>
        <v/>
      </c>
      <c r="D427" s="10" t="str">
        <f>_xlfn.IFNA(VLOOKUP($A427,CompChecksTrans!$A:$C,3,FALSE), "     ")</f>
        <v xml:space="preserve">     </v>
      </c>
    </row>
    <row r="428" spans="1:4" x14ac:dyDescent="0.25">
      <c r="A428" s="12" t="s">
        <v>4739</v>
      </c>
      <c r="B428" s="10" t="str">
        <f>_xlfn.IFNA(VLOOKUP($A428,CompChecksTrans!$A:$C,2,FALSE), "")</f>
        <v/>
      </c>
      <c r="C428" s="10" t="str">
        <f>_xlfn.IFNA(VLOOKUP(B428,Phase1!A$4:C$129,3,FALSE),"")</f>
        <v/>
      </c>
      <c r="D428" s="10" t="str">
        <f>_xlfn.IFNA(VLOOKUP($A428,CompChecksTrans!$A:$C,3,FALSE), "     ")</f>
        <v xml:space="preserve">     </v>
      </c>
    </row>
    <row r="429" spans="1:4" x14ac:dyDescent="0.25">
      <c r="A429" s="12" t="s">
        <v>4740</v>
      </c>
      <c r="B429" s="10" t="str">
        <f>_xlfn.IFNA(VLOOKUP($A429,CompChecksTrans!$A:$C,2,FALSE), "")</f>
        <v/>
      </c>
      <c r="C429" s="10" t="str">
        <f>_xlfn.IFNA(VLOOKUP(B429,Phase1!A$4:C$129,3,FALSE),"")</f>
        <v/>
      </c>
      <c r="D429" s="10" t="str">
        <f>_xlfn.IFNA(VLOOKUP($A429,CompChecksTrans!$A:$C,3,FALSE), "     ")</f>
        <v xml:space="preserve">     </v>
      </c>
    </row>
    <row r="430" spans="1:4" x14ac:dyDescent="0.25">
      <c r="A430" s="12" t="s">
        <v>4741</v>
      </c>
      <c r="B430" s="10" t="str">
        <f>_xlfn.IFNA(VLOOKUP($A430,CompChecksTrans!$A:$C,2,FALSE), "")</f>
        <v/>
      </c>
      <c r="C430" s="10" t="str">
        <f>_xlfn.IFNA(VLOOKUP(B430,Phase1!A$4:C$129,3,FALSE),"")</f>
        <v/>
      </c>
      <c r="D430" s="10" t="str">
        <f>_xlfn.IFNA(VLOOKUP($A430,CompChecksTrans!$A:$C,3,FALSE), "     ")</f>
        <v xml:space="preserve">     </v>
      </c>
    </row>
    <row r="431" spans="1:4" x14ac:dyDescent="0.25">
      <c r="A431" s="12" t="s">
        <v>4742</v>
      </c>
      <c r="B431" s="10" t="str">
        <f>_xlfn.IFNA(VLOOKUP($A431,CompChecksTrans!$A:$C,2,FALSE), "")</f>
        <v/>
      </c>
      <c r="C431" s="10" t="str">
        <f>_xlfn.IFNA(VLOOKUP(B431,Phase1!A$4:C$129,3,FALSE),"")</f>
        <v/>
      </c>
      <c r="D431" s="10" t="str">
        <f>_xlfn.IFNA(VLOOKUP($A431,CompChecksTrans!$A:$C,3,FALSE), "     ")</f>
        <v xml:space="preserve">     </v>
      </c>
    </row>
    <row r="432" spans="1:4" x14ac:dyDescent="0.25">
      <c r="A432" s="12" t="s">
        <v>4743</v>
      </c>
      <c r="B432" s="10" t="str">
        <f>_xlfn.IFNA(VLOOKUP($A432,CompChecksTrans!$A:$C,2,FALSE), "")</f>
        <v/>
      </c>
      <c r="C432" s="10" t="str">
        <f>_xlfn.IFNA(VLOOKUP(B432,Phase1!A$4:C$129,3,FALSE),"")</f>
        <v/>
      </c>
      <c r="D432" s="10" t="str">
        <f>_xlfn.IFNA(VLOOKUP($A432,CompChecksTrans!$A:$C,3,FALSE), "     ")</f>
        <v xml:space="preserve">     </v>
      </c>
    </row>
    <row r="433" spans="1:4" x14ac:dyDescent="0.25">
      <c r="A433" s="12" t="s">
        <v>4744</v>
      </c>
      <c r="B433" s="10" t="str">
        <f>_xlfn.IFNA(VLOOKUP($A433,CompChecksTrans!$A:$C,2,FALSE), "")</f>
        <v/>
      </c>
      <c r="C433" s="10" t="str">
        <f>_xlfn.IFNA(VLOOKUP(B433,Phase1!A$4:C$129,3,FALSE),"")</f>
        <v/>
      </c>
      <c r="D433" s="10" t="str">
        <f>_xlfn.IFNA(VLOOKUP($A433,CompChecksTrans!$A:$C,3,FALSE), "     ")</f>
        <v xml:space="preserve">     </v>
      </c>
    </row>
    <row r="434" spans="1:4" x14ac:dyDescent="0.25">
      <c r="A434" s="12" t="s">
        <v>4745</v>
      </c>
      <c r="B434" s="10" t="str">
        <f>_xlfn.IFNA(VLOOKUP($A434,CompChecksTrans!$A:$C,2,FALSE), "")</f>
        <v/>
      </c>
      <c r="C434" s="10" t="str">
        <f>_xlfn.IFNA(VLOOKUP(B434,Phase1!A$4:C$129,3,FALSE),"")</f>
        <v/>
      </c>
      <c r="D434" s="10" t="str">
        <f>_xlfn.IFNA(VLOOKUP($A434,CompChecksTrans!$A:$C,3,FALSE), "     ")</f>
        <v xml:space="preserve">     </v>
      </c>
    </row>
    <row r="435" spans="1:4" x14ac:dyDescent="0.25">
      <c r="A435" s="12" t="s">
        <v>4746</v>
      </c>
      <c r="B435" s="10" t="str">
        <f>_xlfn.IFNA(VLOOKUP($A435,CompChecksTrans!$A:$C,2,FALSE), "")</f>
        <v/>
      </c>
      <c r="C435" s="10" t="str">
        <f>_xlfn.IFNA(VLOOKUP(B435,Phase1!A$4:C$129,3,FALSE),"")</f>
        <v/>
      </c>
      <c r="D435" s="10" t="str">
        <f>_xlfn.IFNA(VLOOKUP($A435,CompChecksTrans!$A:$C,3,FALSE), "     ")</f>
        <v xml:space="preserve">     </v>
      </c>
    </row>
    <row r="436" spans="1:4" x14ac:dyDescent="0.25">
      <c r="A436" s="12" t="s">
        <v>4747</v>
      </c>
      <c r="B436" s="10" t="str">
        <f>_xlfn.IFNA(VLOOKUP($A436,CompChecksTrans!$A:$C,2,FALSE), "")</f>
        <v/>
      </c>
      <c r="C436" s="10" t="str">
        <f>_xlfn.IFNA(VLOOKUP(B436,Phase1!A$4:C$129,3,FALSE),"")</f>
        <v/>
      </c>
      <c r="D436" s="10" t="str">
        <f>_xlfn.IFNA(VLOOKUP($A436,CompChecksTrans!$A:$C,3,FALSE), "     ")</f>
        <v xml:space="preserve">     </v>
      </c>
    </row>
    <row r="437" spans="1:4" x14ac:dyDescent="0.25">
      <c r="A437" s="12" t="s">
        <v>4748</v>
      </c>
      <c r="B437" s="10" t="str">
        <f>_xlfn.IFNA(VLOOKUP($A437,CompChecksTrans!$A:$C,2,FALSE), "")</f>
        <v/>
      </c>
      <c r="C437" s="10" t="str">
        <f>_xlfn.IFNA(VLOOKUP(B437,Phase1!A$4:C$129,3,FALSE),"")</f>
        <v/>
      </c>
      <c r="D437" s="10" t="str">
        <f>_xlfn.IFNA(VLOOKUP($A437,CompChecksTrans!$A:$C,3,FALSE), "     ")</f>
        <v xml:space="preserve">     </v>
      </c>
    </row>
    <row r="438" spans="1:4" x14ac:dyDescent="0.25">
      <c r="A438" s="12" t="s">
        <v>4749</v>
      </c>
      <c r="B438" s="10" t="str">
        <f>_xlfn.IFNA(VLOOKUP($A438,CompChecksTrans!$A:$C,2,FALSE), "")</f>
        <v/>
      </c>
      <c r="C438" s="10" t="str">
        <f>_xlfn.IFNA(VLOOKUP(B438,Phase1!A$4:C$129,3,FALSE),"")</f>
        <v/>
      </c>
      <c r="D438" s="10" t="str">
        <f>_xlfn.IFNA(VLOOKUP($A438,CompChecksTrans!$A:$C,3,FALSE), "     ")</f>
        <v xml:space="preserve">     </v>
      </c>
    </row>
    <row r="439" spans="1:4" x14ac:dyDescent="0.25">
      <c r="A439" s="12" t="s">
        <v>4750</v>
      </c>
      <c r="B439" s="10" t="str">
        <f>_xlfn.IFNA(VLOOKUP($A439,CompChecksTrans!$A:$C,2,FALSE), "")</f>
        <v/>
      </c>
      <c r="C439" s="10" t="str">
        <f>_xlfn.IFNA(VLOOKUP(B439,Phase1!A$4:C$129,3,FALSE),"")</f>
        <v/>
      </c>
      <c r="D439" s="10" t="str">
        <f>_xlfn.IFNA(VLOOKUP($A439,CompChecksTrans!$A:$C,3,FALSE), "     ")</f>
        <v xml:space="preserve">     </v>
      </c>
    </row>
    <row r="440" spans="1:4" x14ac:dyDescent="0.25">
      <c r="A440" s="12" t="s">
        <v>4751</v>
      </c>
      <c r="B440" s="10" t="str">
        <f>_xlfn.IFNA(VLOOKUP($A440,CompChecksTrans!$A:$C,2,FALSE), "")</f>
        <v/>
      </c>
      <c r="C440" s="10" t="str">
        <f>_xlfn.IFNA(VLOOKUP(B440,Phase1!A$4:C$129,3,FALSE),"")</f>
        <v/>
      </c>
      <c r="D440" s="10" t="str">
        <f>_xlfn.IFNA(VLOOKUP($A440,CompChecksTrans!$A:$C,3,FALSE), "     ")</f>
        <v xml:space="preserve">     </v>
      </c>
    </row>
    <row r="441" spans="1:4" x14ac:dyDescent="0.25">
      <c r="A441" s="12" t="s">
        <v>4752</v>
      </c>
      <c r="B441" s="10" t="str">
        <f>_xlfn.IFNA(VLOOKUP($A441,CompChecksTrans!$A:$C,2,FALSE), "")</f>
        <v/>
      </c>
      <c r="C441" s="10" t="str">
        <f>_xlfn.IFNA(VLOOKUP(B441,Phase1!A$4:C$129,3,FALSE),"")</f>
        <v/>
      </c>
      <c r="D441" s="10" t="str">
        <f>_xlfn.IFNA(VLOOKUP($A441,CompChecksTrans!$A:$C,3,FALSE), "     ")</f>
        <v xml:space="preserve">     </v>
      </c>
    </row>
    <row r="442" spans="1:4" x14ac:dyDescent="0.25">
      <c r="A442" s="12" t="s">
        <v>4753</v>
      </c>
      <c r="B442" s="10" t="str">
        <f>_xlfn.IFNA(VLOOKUP($A442,CompChecksTrans!$A:$C,2,FALSE), "")</f>
        <v/>
      </c>
      <c r="C442" s="10" t="str">
        <f>_xlfn.IFNA(VLOOKUP(B442,Phase1!A$4:C$129,3,FALSE),"")</f>
        <v/>
      </c>
      <c r="D442" s="10" t="str">
        <f>_xlfn.IFNA(VLOOKUP($A442,CompChecksTrans!$A:$C,3,FALSE), "     ")</f>
        <v xml:space="preserve">     </v>
      </c>
    </row>
    <row r="443" spans="1:4" x14ac:dyDescent="0.25">
      <c r="A443" s="12" t="s">
        <v>4754</v>
      </c>
      <c r="B443" s="10" t="str">
        <f>_xlfn.IFNA(VLOOKUP($A443,CompChecksTrans!$A:$C,2,FALSE), "")</f>
        <v/>
      </c>
      <c r="C443" s="10" t="str">
        <f>_xlfn.IFNA(VLOOKUP(B443,Phase1!A$4:C$129,3,FALSE),"")</f>
        <v/>
      </c>
      <c r="D443" s="10" t="str">
        <f>_xlfn.IFNA(VLOOKUP($A443,CompChecksTrans!$A:$C,3,FALSE), "     ")</f>
        <v xml:space="preserve">     </v>
      </c>
    </row>
    <row r="444" spans="1:4" x14ac:dyDescent="0.25">
      <c r="A444" s="12" t="s">
        <v>4755</v>
      </c>
      <c r="B444" s="10" t="str">
        <f>_xlfn.IFNA(VLOOKUP($A444,CompChecksTrans!$A:$C,2,FALSE), "")</f>
        <v/>
      </c>
      <c r="C444" s="10" t="str">
        <f>_xlfn.IFNA(VLOOKUP(B444,Phase1!A$4:C$129,3,FALSE),"")</f>
        <v/>
      </c>
      <c r="D444" s="10" t="str">
        <f>_xlfn.IFNA(VLOOKUP($A444,CompChecksTrans!$A:$C,3,FALSE), "     ")</f>
        <v xml:space="preserve">     </v>
      </c>
    </row>
    <row r="445" spans="1:4" x14ac:dyDescent="0.25">
      <c r="A445" s="12" t="s">
        <v>4756</v>
      </c>
      <c r="B445" s="10" t="str">
        <f>_xlfn.IFNA(VLOOKUP($A445,CompChecksTrans!$A:$C,2,FALSE), "")</f>
        <v/>
      </c>
      <c r="C445" s="10" t="str">
        <f>_xlfn.IFNA(VLOOKUP(B445,Phase1!A$4:C$129,3,FALSE),"")</f>
        <v/>
      </c>
      <c r="D445" s="10" t="str">
        <f>_xlfn.IFNA(VLOOKUP($A445,CompChecksTrans!$A:$C,3,FALSE), "     ")</f>
        <v xml:space="preserve">     </v>
      </c>
    </row>
    <row r="446" spans="1:4" x14ac:dyDescent="0.25">
      <c r="A446" s="12" t="s">
        <v>4757</v>
      </c>
      <c r="B446" s="10" t="str">
        <f>_xlfn.IFNA(VLOOKUP($A446,CompChecksTrans!$A:$C,2,FALSE), "")</f>
        <v/>
      </c>
      <c r="C446" s="10" t="str">
        <f>_xlfn.IFNA(VLOOKUP(B446,Phase1!A$4:C$129,3,FALSE),"")</f>
        <v/>
      </c>
      <c r="D446" s="10" t="str">
        <f>_xlfn.IFNA(VLOOKUP($A446,CompChecksTrans!$A:$C,3,FALSE), "     ")</f>
        <v xml:space="preserve">     </v>
      </c>
    </row>
    <row r="447" spans="1:4" x14ac:dyDescent="0.25">
      <c r="A447" s="12" t="s">
        <v>4758</v>
      </c>
      <c r="B447" s="10" t="str">
        <f>_xlfn.IFNA(VLOOKUP($A447,CompChecksTrans!$A:$C,2,FALSE), "")</f>
        <v/>
      </c>
      <c r="C447" s="10" t="str">
        <f>_xlfn.IFNA(VLOOKUP(B447,Phase1!A$4:C$129,3,FALSE),"")</f>
        <v/>
      </c>
      <c r="D447" s="10" t="str">
        <f>_xlfn.IFNA(VLOOKUP($A447,CompChecksTrans!$A:$C,3,FALSE), "     ")</f>
        <v xml:space="preserve">     </v>
      </c>
    </row>
    <row r="448" spans="1:4" x14ac:dyDescent="0.25">
      <c r="A448" s="12" t="s">
        <v>4759</v>
      </c>
      <c r="B448" s="10" t="str">
        <f>_xlfn.IFNA(VLOOKUP($A448,CompChecksTrans!$A:$C,2,FALSE), "")</f>
        <v/>
      </c>
      <c r="C448" s="10" t="str">
        <f>_xlfn.IFNA(VLOOKUP(B448,Phase1!A$4:C$129,3,FALSE),"")</f>
        <v/>
      </c>
      <c r="D448" s="10" t="str">
        <f>_xlfn.IFNA(VLOOKUP($A448,CompChecksTrans!$A:$C,3,FALSE), "     ")</f>
        <v xml:space="preserve">     </v>
      </c>
    </row>
    <row r="449" spans="1:4" x14ac:dyDescent="0.25">
      <c r="A449" s="12" t="s">
        <v>4760</v>
      </c>
      <c r="B449" s="10" t="str">
        <f>_xlfn.IFNA(VLOOKUP($A449,CompChecksTrans!$A:$C,2,FALSE), "")</f>
        <v/>
      </c>
      <c r="C449" s="10" t="str">
        <f>_xlfn.IFNA(VLOOKUP(B449,Phase1!A$4:C$129,3,FALSE),"")</f>
        <v/>
      </c>
      <c r="D449" s="10" t="str">
        <f>_xlfn.IFNA(VLOOKUP($A449,CompChecksTrans!$A:$C,3,FALSE), "     ")</f>
        <v xml:space="preserve">     </v>
      </c>
    </row>
    <row r="450" spans="1:4" x14ac:dyDescent="0.25">
      <c r="A450" s="12" t="s">
        <v>4761</v>
      </c>
      <c r="B450" s="10" t="str">
        <f>_xlfn.IFNA(VLOOKUP($A450,CompChecksTrans!$A:$C,2,FALSE), "")</f>
        <v/>
      </c>
      <c r="C450" s="10" t="str">
        <f>_xlfn.IFNA(VLOOKUP(B450,Phase1!A$4:C$129,3,FALSE),"")</f>
        <v/>
      </c>
      <c r="D450" s="10" t="str">
        <f>_xlfn.IFNA(VLOOKUP($A450,CompChecksTrans!$A:$C,3,FALSE), "     ")</f>
        <v xml:space="preserve">     </v>
      </c>
    </row>
    <row r="451" spans="1:4" x14ac:dyDescent="0.25">
      <c r="A451" s="12" t="s">
        <v>4762</v>
      </c>
      <c r="B451" s="10" t="str">
        <f>_xlfn.IFNA(VLOOKUP($A451,CompChecksTrans!$A:$C,2,FALSE), "")</f>
        <v/>
      </c>
      <c r="C451" s="10" t="str">
        <f>_xlfn.IFNA(VLOOKUP(B451,Phase1!A$4:C$129,3,FALSE),"")</f>
        <v/>
      </c>
      <c r="D451" s="10" t="str">
        <f>_xlfn.IFNA(VLOOKUP($A451,CompChecksTrans!$A:$C,3,FALSE), "     ")</f>
        <v xml:space="preserve">     </v>
      </c>
    </row>
    <row r="452" spans="1:4" x14ac:dyDescent="0.25">
      <c r="A452" s="12" t="s">
        <v>4763</v>
      </c>
      <c r="B452" s="10" t="str">
        <f>_xlfn.IFNA(VLOOKUP($A452,CompChecksTrans!$A:$C,2,FALSE), "")</f>
        <v/>
      </c>
      <c r="C452" s="10" t="str">
        <f>_xlfn.IFNA(VLOOKUP(B452,Phase1!A$4:C$129,3,FALSE),"")</f>
        <v/>
      </c>
      <c r="D452" s="10" t="str">
        <f>_xlfn.IFNA(VLOOKUP($A452,CompChecksTrans!$A:$C,3,FALSE), "     ")</f>
        <v xml:space="preserve">     </v>
      </c>
    </row>
    <row r="453" spans="1:4" x14ac:dyDescent="0.25">
      <c r="A453" s="12" t="s">
        <v>4764</v>
      </c>
      <c r="B453" s="10" t="str">
        <f>_xlfn.IFNA(VLOOKUP($A453,CompChecksTrans!$A:$C,2,FALSE), "")</f>
        <v/>
      </c>
      <c r="C453" s="10" t="str">
        <f>_xlfn.IFNA(VLOOKUP(B453,Phase1!A$4:C$129,3,FALSE),"")</f>
        <v/>
      </c>
      <c r="D453" s="10" t="str">
        <f>_xlfn.IFNA(VLOOKUP($A453,CompChecksTrans!$A:$C,3,FALSE), "     ")</f>
        <v xml:space="preserve">     </v>
      </c>
    </row>
    <row r="454" spans="1:4" x14ac:dyDescent="0.25">
      <c r="A454" s="12" t="s">
        <v>4765</v>
      </c>
      <c r="B454" s="10" t="str">
        <f>_xlfn.IFNA(VLOOKUP($A454,CompChecksTrans!$A:$C,2,FALSE), "")</f>
        <v/>
      </c>
      <c r="C454" s="10" t="str">
        <f>_xlfn.IFNA(VLOOKUP(B454,Phase1!A$4:C$129,3,FALSE),"")</f>
        <v/>
      </c>
      <c r="D454" s="10" t="str">
        <f>_xlfn.IFNA(VLOOKUP($A454,CompChecksTrans!$A:$C,3,FALSE), "     ")</f>
        <v xml:space="preserve">     </v>
      </c>
    </row>
    <row r="455" spans="1:4" x14ac:dyDescent="0.25">
      <c r="A455" s="12" t="s">
        <v>4766</v>
      </c>
      <c r="B455" s="10" t="str">
        <f>_xlfn.IFNA(VLOOKUP($A455,CompChecksTrans!$A:$C,2,FALSE), "")</f>
        <v/>
      </c>
      <c r="C455" s="10" t="str">
        <f>_xlfn.IFNA(VLOOKUP(B455,Phase1!A$4:C$129,3,FALSE),"")</f>
        <v/>
      </c>
      <c r="D455" s="10" t="str">
        <f>_xlfn.IFNA(VLOOKUP($A455,CompChecksTrans!$A:$C,3,FALSE), "     ")</f>
        <v xml:space="preserve">     </v>
      </c>
    </row>
    <row r="456" spans="1:4" x14ac:dyDescent="0.25">
      <c r="A456" s="12" t="s">
        <v>4767</v>
      </c>
      <c r="B456" s="10" t="str">
        <f>_xlfn.IFNA(VLOOKUP($A456,CompChecksTrans!$A:$C,2,FALSE), "")</f>
        <v/>
      </c>
      <c r="C456" s="10" t="str">
        <f>_xlfn.IFNA(VLOOKUP(B456,Phase1!A$4:C$129,3,FALSE),"")</f>
        <v/>
      </c>
      <c r="D456" s="10" t="str">
        <f>_xlfn.IFNA(VLOOKUP($A456,CompChecksTrans!$A:$C,3,FALSE), "     ")</f>
        <v xml:space="preserve">     </v>
      </c>
    </row>
    <row r="457" spans="1:4" x14ac:dyDescent="0.25">
      <c r="A457" s="12" t="s">
        <v>4768</v>
      </c>
      <c r="B457" s="10" t="str">
        <f>_xlfn.IFNA(VLOOKUP($A457,CompChecksTrans!$A:$C,2,FALSE), "")</f>
        <v/>
      </c>
      <c r="C457" s="10" t="str">
        <f>_xlfn.IFNA(VLOOKUP(B457,Phase1!A$4:C$129,3,FALSE),"")</f>
        <v/>
      </c>
      <c r="D457" s="10" t="str">
        <f>_xlfn.IFNA(VLOOKUP($A457,CompChecksTrans!$A:$C,3,FALSE), "     ")</f>
        <v xml:space="preserve">     </v>
      </c>
    </row>
    <row r="458" spans="1:4" x14ac:dyDescent="0.25">
      <c r="A458" s="12" t="s">
        <v>4769</v>
      </c>
      <c r="B458" s="10" t="str">
        <f>_xlfn.IFNA(VLOOKUP($A458,CompChecksTrans!$A:$C,2,FALSE), "")</f>
        <v/>
      </c>
      <c r="C458" s="10" t="str">
        <f>_xlfn.IFNA(VLOOKUP(B458,Phase1!A$4:C$129,3,FALSE),"")</f>
        <v/>
      </c>
      <c r="D458" s="10" t="str">
        <f>_xlfn.IFNA(VLOOKUP($A458,CompChecksTrans!$A:$C,3,FALSE), "     ")</f>
        <v xml:space="preserve">     </v>
      </c>
    </row>
    <row r="459" spans="1:4" x14ac:dyDescent="0.25">
      <c r="A459" s="12" t="s">
        <v>4770</v>
      </c>
      <c r="B459" s="10" t="str">
        <f>_xlfn.IFNA(VLOOKUP($A459,CompChecksTrans!$A:$C,2,FALSE), "")</f>
        <v/>
      </c>
      <c r="C459" s="10" t="str">
        <f>_xlfn.IFNA(VLOOKUP(B459,Phase1!A$4:C$129,3,FALSE),"")</f>
        <v/>
      </c>
      <c r="D459" s="10" t="str">
        <f>_xlfn.IFNA(VLOOKUP($A459,CompChecksTrans!$A:$C,3,FALSE), "     ")</f>
        <v xml:space="preserve">     </v>
      </c>
    </row>
    <row r="460" spans="1:4" x14ac:dyDescent="0.25">
      <c r="A460" s="12" t="s">
        <v>4771</v>
      </c>
      <c r="B460" s="10" t="str">
        <f>_xlfn.IFNA(VLOOKUP($A460,CompChecksTrans!$A:$C,2,FALSE), "")</f>
        <v/>
      </c>
      <c r="C460" s="10" t="str">
        <f>_xlfn.IFNA(VLOOKUP(B460,Phase1!A$4:C$129,3,FALSE),"")</f>
        <v/>
      </c>
      <c r="D460" s="10" t="str">
        <f>_xlfn.IFNA(VLOOKUP($A460,CompChecksTrans!$A:$C,3,FALSE), "     ")</f>
        <v xml:space="preserve">     </v>
      </c>
    </row>
    <row r="461" spans="1:4" x14ac:dyDescent="0.25">
      <c r="A461" s="12" t="s">
        <v>4772</v>
      </c>
      <c r="B461" s="10" t="str">
        <f>_xlfn.IFNA(VLOOKUP($A461,CompChecksTrans!$A:$C,2,FALSE), "")</f>
        <v/>
      </c>
      <c r="C461" s="10" t="str">
        <f>_xlfn.IFNA(VLOOKUP(B461,Phase1!A$4:C$129,3,FALSE),"")</f>
        <v/>
      </c>
      <c r="D461" s="10" t="str">
        <f>_xlfn.IFNA(VLOOKUP($A461,CompChecksTrans!$A:$C,3,FALSE), "     ")</f>
        <v xml:space="preserve">     </v>
      </c>
    </row>
    <row r="462" spans="1:4" x14ac:dyDescent="0.25">
      <c r="A462" s="12" t="s">
        <v>4773</v>
      </c>
      <c r="B462" s="10" t="str">
        <f>_xlfn.IFNA(VLOOKUP($A462,CompChecksTrans!$A:$C,2,FALSE), "")</f>
        <v/>
      </c>
      <c r="C462" s="10" t="str">
        <f>_xlfn.IFNA(VLOOKUP(B462,Phase1!A$4:C$129,3,FALSE),"")</f>
        <v/>
      </c>
      <c r="D462" s="10" t="str">
        <f>_xlfn.IFNA(VLOOKUP($A462,CompChecksTrans!$A:$C,3,FALSE), "     ")</f>
        <v xml:space="preserve">     </v>
      </c>
    </row>
    <row r="463" spans="1:4" x14ac:dyDescent="0.25">
      <c r="A463" s="12" t="s">
        <v>4774</v>
      </c>
      <c r="B463" s="10" t="str">
        <f>_xlfn.IFNA(VLOOKUP($A463,CompChecksTrans!$A:$C,2,FALSE), "")</f>
        <v/>
      </c>
      <c r="C463" s="10" t="str">
        <f>_xlfn.IFNA(VLOOKUP(B463,Phase1!A$4:C$129,3,FALSE),"")</f>
        <v/>
      </c>
      <c r="D463" s="10" t="str">
        <f>_xlfn.IFNA(VLOOKUP($A463,CompChecksTrans!$A:$C,3,FALSE), "     ")</f>
        <v xml:space="preserve">     </v>
      </c>
    </row>
    <row r="464" spans="1:4" x14ac:dyDescent="0.25">
      <c r="A464" s="12" t="s">
        <v>4775</v>
      </c>
      <c r="B464" s="10" t="str">
        <f>_xlfn.IFNA(VLOOKUP($A464,CompChecksTrans!$A:$C,2,FALSE), "")</f>
        <v/>
      </c>
      <c r="C464" s="10" t="str">
        <f>_xlfn.IFNA(VLOOKUP(B464,Phase1!A$4:C$129,3,FALSE),"")</f>
        <v/>
      </c>
      <c r="D464" s="10" t="str">
        <f>_xlfn.IFNA(VLOOKUP($A464,CompChecksTrans!$A:$C,3,FALSE), "     ")</f>
        <v xml:space="preserve">     </v>
      </c>
    </row>
    <row r="465" spans="1:4" x14ac:dyDescent="0.25">
      <c r="A465" s="12" t="s">
        <v>4776</v>
      </c>
      <c r="B465" s="10" t="str">
        <f>_xlfn.IFNA(VLOOKUP($A465,CompChecksTrans!$A:$C,2,FALSE), "")</f>
        <v/>
      </c>
      <c r="C465" s="10" t="str">
        <f>_xlfn.IFNA(VLOOKUP(B465,Phase1!A$4:C$129,3,FALSE),"")</f>
        <v/>
      </c>
      <c r="D465" s="10" t="str">
        <f>_xlfn.IFNA(VLOOKUP($A465,CompChecksTrans!$A:$C,3,FALSE), "     ")</f>
        <v xml:space="preserve">     </v>
      </c>
    </row>
    <row r="466" spans="1:4" x14ac:dyDescent="0.25">
      <c r="A466" s="12" t="s">
        <v>4777</v>
      </c>
      <c r="B466" s="10" t="str">
        <f>_xlfn.IFNA(VLOOKUP($A466,CompChecksTrans!$A:$C,2,FALSE), "")</f>
        <v/>
      </c>
      <c r="C466" s="10" t="str">
        <f>_xlfn.IFNA(VLOOKUP(B466,Phase1!A$4:C$129,3,FALSE),"")</f>
        <v/>
      </c>
      <c r="D466" s="10" t="str">
        <f>_xlfn.IFNA(VLOOKUP($A466,CompChecksTrans!$A:$C,3,FALSE), "     ")</f>
        <v xml:space="preserve">     </v>
      </c>
    </row>
    <row r="467" spans="1:4" x14ac:dyDescent="0.25">
      <c r="A467" s="12" t="s">
        <v>4778</v>
      </c>
      <c r="B467" s="10" t="str">
        <f>_xlfn.IFNA(VLOOKUP($A467,CompChecksTrans!$A:$C,2,FALSE), "")</f>
        <v/>
      </c>
      <c r="C467" s="10" t="str">
        <f>_xlfn.IFNA(VLOOKUP(B467,Phase1!A$4:C$129,3,FALSE),"")</f>
        <v/>
      </c>
      <c r="D467" s="10" t="str">
        <f>_xlfn.IFNA(VLOOKUP($A467,CompChecksTrans!$A:$C,3,FALSE), "     ")</f>
        <v xml:space="preserve">     </v>
      </c>
    </row>
    <row r="468" spans="1:4" x14ac:dyDescent="0.25">
      <c r="A468" s="12" t="s">
        <v>4779</v>
      </c>
      <c r="B468" s="10" t="str">
        <f>_xlfn.IFNA(VLOOKUP($A468,CompChecksTrans!$A:$C,2,FALSE), "")</f>
        <v/>
      </c>
      <c r="C468" s="10" t="str">
        <f>_xlfn.IFNA(VLOOKUP(B468,Phase1!A$4:C$129,3,FALSE),"")</f>
        <v/>
      </c>
      <c r="D468" s="10" t="str">
        <f>_xlfn.IFNA(VLOOKUP($A468,CompChecksTrans!$A:$C,3,FALSE), "     ")</f>
        <v xml:space="preserve">     </v>
      </c>
    </row>
    <row r="469" spans="1:4" x14ac:dyDescent="0.25">
      <c r="A469" s="12" t="s">
        <v>4780</v>
      </c>
      <c r="B469" s="10" t="str">
        <f>_xlfn.IFNA(VLOOKUP($A469,CompChecksTrans!$A:$C,2,FALSE), "")</f>
        <v/>
      </c>
      <c r="C469" s="10" t="str">
        <f>_xlfn.IFNA(VLOOKUP(B469,Phase1!A$4:C$129,3,FALSE),"")</f>
        <v/>
      </c>
      <c r="D469" s="10" t="str">
        <f>_xlfn.IFNA(VLOOKUP($A469,CompChecksTrans!$A:$C,3,FALSE), "     ")</f>
        <v xml:space="preserve">     </v>
      </c>
    </row>
    <row r="470" spans="1:4" x14ac:dyDescent="0.25">
      <c r="A470" s="12" t="s">
        <v>4781</v>
      </c>
      <c r="B470" s="10" t="str">
        <f>_xlfn.IFNA(VLOOKUP($A470,CompChecksTrans!$A:$C,2,FALSE), "")</f>
        <v/>
      </c>
      <c r="C470" s="10" t="str">
        <f>_xlfn.IFNA(VLOOKUP(B470,Phase1!A$4:C$129,3,FALSE),"")</f>
        <v/>
      </c>
      <c r="D470" s="10" t="str">
        <f>_xlfn.IFNA(VLOOKUP($A470,CompChecksTrans!$A:$C,3,FALSE), "     ")</f>
        <v xml:space="preserve">     </v>
      </c>
    </row>
    <row r="471" spans="1:4" x14ac:dyDescent="0.25">
      <c r="A471" s="12" t="s">
        <v>4782</v>
      </c>
      <c r="B471" s="10" t="str">
        <f>_xlfn.IFNA(VLOOKUP($A471,CompChecksTrans!$A:$C,2,FALSE), "")</f>
        <v/>
      </c>
      <c r="C471" s="10" t="str">
        <f>_xlfn.IFNA(VLOOKUP(B471,Phase1!A$4:C$129,3,FALSE),"")</f>
        <v/>
      </c>
      <c r="D471" s="10" t="str">
        <f>_xlfn.IFNA(VLOOKUP($A471,CompChecksTrans!$A:$C,3,FALSE), "     ")</f>
        <v xml:space="preserve">     </v>
      </c>
    </row>
    <row r="472" spans="1:4" x14ac:dyDescent="0.25">
      <c r="A472" s="12" t="s">
        <v>4783</v>
      </c>
      <c r="B472" s="10" t="str">
        <f>_xlfn.IFNA(VLOOKUP($A472,CompChecksTrans!$A:$C,2,FALSE), "")</f>
        <v/>
      </c>
      <c r="C472" s="10" t="str">
        <f>_xlfn.IFNA(VLOOKUP(B472,Phase1!A$4:C$129,3,FALSE),"")</f>
        <v/>
      </c>
      <c r="D472" s="10" t="str">
        <f>_xlfn.IFNA(VLOOKUP($A472,CompChecksTrans!$A:$C,3,FALSE), "     ")</f>
        <v xml:space="preserve">     </v>
      </c>
    </row>
    <row r="473" spans="1:4" x14ac:dyDescent="0.25">
      <c r="A473" s="12" t="s">
        <v>4784</v>
      </c>
      <c r="B473" s="10" t="str">
        <f>_xlfn.IFNA(VLOOKUP($A473,CompChecksTrans!$A:$C,2,FALSE), "")</f>
        <v/>
      </c>
      <c r="C473" s="10" t="str">
        <f>_xlfn.IFNA(VLOOKUP(B473,Phase1!A$4:C$129,3,FALSE),"")</f>
        <v/>
      </c>
      <c r="D473" s="10" t="str">
        <f>_xlfn.IFNA(VLOOKUP($A473,CompChecksTrans!$A:$C,3,FALSE), "     ")</f>
        <v xml:space="preserve">     </v>
      </c>
    </row>
    <row r="474" spans="1:4" x14ac:dyDescent="0.25">
      <c r="A474" s="12" t="s">
        <v>4785</v>
      </c>
      <c r="B474" s="10" t="str">
        <f>_xlfn.IFNA(VLOOKUP($A474,CompChecksTrans!$A:$C,2,FALSE), "")</f>
        <v/>
      </c>
      <c r="C474" s="10" t="str">
        <f>_xlfn.IFNA(VLOOKUP(B474,Phase1!A$4:C$129,3,FALSE),"")</f>
        <v/>
      </c>
      <c r="D474" s="10" t="str">
        <f>_xlfn.IFNA(VLOOKUP($A474,CompChecksTrans!$A:$C,3,FALSE), "     ")</f>
        <v xml:space="preserve">     </v>
      </c>
    </row>
    <row r="475" spans="1:4" x14ac:dyDescent="0.25">
      <c r="A475" s="12" t="s">
        <v>4786</v>
      </c>
      <c r="B475" s="10" t="str">
        <f>_xlfn.IFNA(VLOOKUP($A475,CompChecksTrans!$A:$C,2,FALSE), "")</f>
        <v/>
      </c>
      <c r="C475" s="10" t="str">
        <f>_xlfn.IFNA(VLOOKUP(B475,Phase1!A$4:C$129,3,FALSE),"")</f>
        <v/>
      </c>
      <c r="D475" s="10" t="str">
        <f>_xlfn.IFNA(VLOOKUP($A475,CompChecksTrans!$A:$C,3,FALSE), "     ")</f>
        <v xml:space="preserve">     </v>
      </c>
    </row>
    <row r="476" spans="1:4" x14ac:dyDescent="0.25">
      <c r="A476" s="12" t="s">
        <v>4787</v>
      </c>
      <c r="B476" s="10" t="str">
        <f>_xlfn.IFNA(VLOOKUP($A476,CompChecksTrans!$A:$C,2,FALSE), "")</f>
        <v/>
      </c>
      <c r="C476" s="10" t="str">
        <f>_xlfn.IFNA(VLOOKUP(B476,Phase1!A$4:C$129,3,FALSE),"")</f>
        <v/>
      </c>
      <c r="D476" s="10" t="str">
        <f>_xlfn.IFNA(VLOOKUP($A476,CompChecksTrans!$A:$C,3,FALSE), "     ")</f>
        <v xml:space="preserve">     </v>
      </c>
    </row>
    <row r="477" spans="1:4" x14ac:dyDescent="0.25">
      <c r="A477" s="12" t="s">
        <v>4788</v>
      </c>
      <c r="B477" s="10" t="str">
        <f>_xlfn.IFNA(VLOOKUP($A477,CompChecksTrans!$A:$C,2,FALSE), "")</f>
        <v/>
      </c>
      <c r="C477" s="10" t="str">
        <f>_xlfn.IFNA(VLOOKUP(B477,Phase1!A$4:C$129,3,FALSE),"")</f>
        <v/>
      </c>
      <c r="D477" s="10" t="str">
        <f>_xlfn.IFNA(VLOOKUP($A477,CompChecksTrans!$A:$C,3,FALSE), "     ")</f>
        <v xml:space="preserve">     </v>
      </c>
    </row>
    <row r="478" spans="1:4" x14ac:dyDescent="0.25">
      <c r="A478" s="12" t="s">
        <v>4789</v>
      </c>
      <c r="B478" s="10" t="str">
        <f>_xlfn.IFNA(VLOOKUP($A478,CompChecksTrans!$A:$C,2,FALSE), "")</f>
        <v/>
      </c>
      <c r="C478" s="10" t="str">
        <f>_xlfn.IFNA(VLOOKUP(B478,Phase1!A$4:C$129,3,FALSE),"")</f>
        <v/>
      </c>
      <c r="D478" s="10" t="str">
        <f>_xlfn.IFNA(VLOOKUP($A478,CompChecksTrans!$A:$C,3,FALSE), "     ")</f>
        <v xml:space="preserve">     </v>
      </c>
    </row>
    <row r="479" spans="1:4" x14ac:dyDescent="0.25">
      <c r="A479" s="12" t="s">
        <v>4790</v>
      </c>
      <c r="B479" s="10" t="str">
        <f>_xlfn.IFNA(VLOOKUP($A479,CompChecksTrans!$A:$C,2,FALSE), "")</f>
        <v/>
      </c>
      <c r="C479" s="10" t="str">
        <f>_xlfn.IFNA(VLOOKUP(B479,Phase1!A$4:C$129,3,FALSE),"")</f>
        <v/>
      </c>
      <c r="D479" s="10" t="str">
        <f>_xlfn.IFNA(VLOOKUP($A479,CompChecksTrans!$A:$C,3,FALSE), "     ")</f>
        <v xml:space="preserve">     </v>
      </c>
    </row>
    <row r="480" spans="1:4" x14ac:dyDescent="0.25">
      <c r="A480" s="12" t="s">
        <v>4791</v>
      </c>
      <c r="B480" s="10" t="str">
        <f>_xlfn.IFNA(VLOOKUP($A480,CompChecksTrans!$A:$C,2,FALSE), "")</f>
        <v/>
      </c>
      <c r="C480" s="10" t="str">
        <f>_xlfn.IFNA(VLOOKUP(B480,Phase1!A$4:C$129,3,FALSE),"")</f>
        <v/>
      </c>
      <c r="D480" s="10" t="str">
        <f>_xlfn.IFNA(VLOOKUP($A480,CompChecksTrans!$A:$C,3,FALSE), "     ")</f>
        <v xml:space="preserve">     </v>
      </c>
    </row>
    <row r="481" spans="1:4" x14ac:dyDescent="0.25">
      <c r="A481" s="12" t="s">
        <v>4792</v>
      </c>
      <c r="B481" s="10" t="str">
        <f>_xlfn.IFNA(VLOOKUP($A481,CompChecksTrans!$A:$C,2,FALSE), "")</f>
        <v/>
      </c>
      <c r="C481" s="10" t="str">
        <f>_xlfn.IFNA(VLOOKUP(B481,Phase1!A$4:C$129,3,FALSE),"")</f>
        <v/>
      </c>
      <c r="D481" s="10" t="str">
        <f>_xlfn.IFNA(VLOOKUP($A481,CompChecksTrans!$A:$C,3,FALSE), "     ")</f>
        <v xml:space="preserve">     </v>
      </c>
    </row>
    <row r="482" spans="1:4" x14ac:dyDescent="0.25">
      <c r="A482" s="12" t="s">
        <v>4793</v>
      </c>
      <c r="B482" s="10" t="str">
        <f>_xlfn.IFNA(VLOOKUP($A482,CompChecksTrans!$A:$C,2,FALSE), "")</f>
        <v/>
      </c>
      <c r="C482" s="10" t="str">
        <f>_xlfn.IFNA(VLOOKUP(B482,Phase1!A$4:C$129,3,FALSE),"")</f>
        <v/>
      </c>
      <c r="D482" s="10" t="str">
        <f>_xlfn.IFNA(VLOOKUP($A482,CompChecksTrans!$A:$C,3,FALSE), "     ")</f>
        <v xml:space="preserve">     </v>
      </c>
    </row>
    <row r="483" spans="1:4" x14ac:dyDescent="0.25">
      <c r="A483" s="12" t="s">
        <v>4794</v>
      </c>
      <c r="B483" s="10" t="str">
        <f>_xlfn.IFNA(VLOOKUP($A483,CompChecksTrans!$A:$C,2,FALSE), "")</f>
        <v/>
      </c>
      <c r="C483" s="10" t="str">
        <f>_xlfn.IFNA(VLOOKUP(B483,Phase1!A$4:C$129,3,FALSE),"")</f>
        <v/>
      </c>
      <c r="D483" s="10" t="str">
        <f>_xlfn.IFNA(VLOOKUP($A483,CompChecksTrans!$A:$C,3,FALSE), "     ")</f>
        <v xml:space="preserve">     </v>
      </c>
    </row>
    <row r="484" spans="1:4" x14ac:dyDescent="0.25">
      <c r="A484" s="12" t="s">
        <v>4795</v>
      </c>
      <c r="B484" s="10" t="str">
        <f>_xlfn.IFNA(VLOOKUP($A484,CompChecksTrans!$A:$C,2,FALSE), "")</f>
        <v/>
      </c>
      <c r="C484" s="10" t="str">
        <f>_xlfn.IFNA(VLOOKUP(B484,Phase1!A$4:C$129,3,FALSE),"")</f>
        <v/>
      </c>
      <c r="D484" s="10" t="str">
        <f>_xlfn.IFNA(VLOOKUP($A484,CompChecksTrans!$A:$C,3,FALSE), "     ")</f>
        <v xml:space="preserve">     </v>
      </c>
    </row>
    <row r="485" spans="1:4" x14ac:dyDescent="0.25">
      <c r="A485" s="12" t="s">
        <v>4796</v>
      </c>
      <c r="B485" s="10" t="str">
        <f>_xlfn.IFNA(VLOOKUP($A485,CompChecksTrans!$A:$C,2,FALSE), "")</f>
        <v/>
      </c>
      <c r="C485" s="10" t="str">
        <f>_xlfn.IFNA(VLOOKUP(B485,Phase1!A$4:C$129,3,FALSE),"")</f>
        <v/>
      </c>
      <c r="D485" s="10" t="str">
        <f>_xlfn.IFNA(VLOOKUP($A485,CompChecksTrans!$A:$C,3,FALSE), "     ")</f>
        <v xml:space="preserve">     </v>
      </c>
    </row>
    <row r="486" spans="1:4" x14ac:dyDescent="0.25">
      <c r="A486" s="12" t="s">
        <v>4797</v>
      </c>
      <c r="B486" s="10" t="str">
        <f>_xlfn.IFNA(VLOOKUP($A486,CompChecksTrans!$A:$C,2,FALSE), "")</f>
        <v/>
      </c>
      <c r="C486" s="10" t="str">
        <f>_xlfn.IFNA(VLOOKUP(B486,Phase1!A$4:C$129,3,FALSE),"")</f>
        <v/>
      </c>
      <c r="D486" s="10" t="str">
        <f>_xlfn.IFNA(VLOOKUP($A486,CompChecksTrans!$A:$C,3,FALSE), "     ")</f>
        <v xml:space="preserve">     </v>
      </c>
    </row>
    <row r="487" spans="1:4" x14ac:dyDescent="0.25">
      <c r="A487" s="12" t="s">
        <v>4798</v>
      </c>
      <c r="B487" s="10" t="str">
        <f>_xlfn.IFNA(VLOOKUP($A487,CompChecksTrans!$A:$C,2,FALSE), "")</f>
        <v/>
      </c>
      <c r="C487" s="10" t="str">
        <f>_xlfn.IFNA(VLOOKUP(B487,Phase1!A$4:C$129,3,FALSE),"")</f>
        <v/>
      </c>
      <c r="D487" s="10" t="str">
        <f>_xlfn.IFNA(VLOOKUP($A487,CompChecksTrans!$A:$C,3,FALSE), "     ")</f>
        <v xml:space="preserve">     </v>
      </c>
    </row>
    <row r="488" spans="1:4" x14ac:dyDescent="0.25">
      <c r="A488" s="12" t="s">
        <v>4799</v>
      </c>
      <c r="B488" s="10" t="str">
        <f>_xlfn.IFNA(VLOOKUP($A488,CompChecksTrans!$A:$C,2,FALSE), "")</f>
        <v/>
      </c>
      <c r="C488" s="10" t="str">
        <f>_xlfn.IFNA(VLOOKUP(B488,Phase1!A$4:C$129,3,FALSE),"")</f>
        <v/>
      </c>
      <c r="D488" s="10" t="str">
        <f>_xlfn.IFNA(VLOOKUP($A488,CompChecksTrans!$A:$C,3,FALSE), "     ")</f>
        <v xml:space="preserve">     </v>
      </c>
    </row>
    <row r="489" spans="1:4" x14ac:dyDescent="0.25">
      <c r="A489" s="12" t="s">
        <v>4800</v>
      </c>
      <c r="B489" s="10" t="str">
        <f>_xlfn.IFNA(VLOOKUP($A489,CompChecksTrans!$A:$C,2,FALSE), "")</f>
        <v/>
      </c>
      <c r="C489" s="10" t="str">
        <f>_xlfn.IFNA(VLOOKUP(B489,Phase1!A$4:C$129,3,FALSE),"")</f>
        <v/>
      </c>
      <c r="D489" s="10" t="str">
        <f>_xlfn.IFNA(VLOOKUP($A489,CompChecksTrans!$A:$C,3,FALSE), "     ")</f>
        <v xml:space="preserve">     </v>
      </c>
    </row>
    <row r="490" spans="1:4" x14ac:dyDescent="0.25">
      <c r="A490" s="12" t="s">
        <v>4801</v>
      </c>
      <c r="B490" s="10" t="str">
        <f>_xlfn.IFNA(VLOOKUP($A490,CompChecksTrans!$A:$C,2,FALSE), "")</f>
        <v/>
      </c>
      <c r="C490" s="10" t="str">
        <f>_xlfn.IFNA(VLOOKUP(B490,Phase1!A$4:C$129,3,FALSE),"")</f>
        <v/>
      </c>
      <c r="D490" s="10" t="str">
        <f>_xlfn.IFNA(VLOOKUP($A490,CompChecksTrans!$A:$C,3,FALSE), "     ")</f>
        <v xml:space="preserve">     </v>
      </c>
    </row>
    <row r="491" spans="1:4" x14ac:dyDescent="0.25">
      <c r="A491" s="12" t="s">
        <v>4802</v>
      </c>
      <c r="B491" s="10" t="str">
        <f>_xlfn.IFNA(VLOOKUP($A491,CompChecksTrans!$A:$C,2,FALSE), "")</f>
        <v/>
      </c>
      <c r="C491" s="10" t="str">
        <f>_xlfn.IFNA(VLOOKUP(B491,Phase1!A$4:C$129,3,FALSE),"")</f>
        <v/>
      </c>
      <c r="D491" s="10" t="str">
        <f>_xlfn.IFNA(VLOOKUP($A491,CompChecksTrans!$A:$C,3,FALSE), "     ")</f>
        <v xml:space="preserve">     </v>
      </c>
    </row>
    <row r="492" spans="1:4" x14ac:dyDescent="0.25">
      <c r="A492" s="12" t="s">
        <v>4803</v>
      </c>
      <c r="B492" s="10" t="str">
        <f>_xlfn.IFNA(VLOOKUP($A492,CompChecksTrans!$A:$C,2,FALSE), "")</f>
        <v/>
      </c>
      <c r="C492" s="10" t="str">
        <f>_xlfn.IFNA(VLOOKUP(B492,Phase1!A$4:C$129,3,FALSE),"")</f>
        <v/>
      </c>
      <c r="D492" s="10" t="str">
        <f>_xlfn.IFNA(VLOOKUP($A492,CompChecksTrans!$A:$C,3,FALSE), "     ")</f>
        <v xml:space="preserve">     </v>
      </c>
    </row>
    <row r="493" spans="1:4" x14ac:dyDescent="0.25">
      <c r="A493" s="12" t="s">
        <v>4804</v>
      </c>
      <c r="B493" s="10" t="str">
        <f>_xlfn.IFNA(VLOOKUP($A493,CompChecksTrans!$A:$C,2,FALSE), "")</f>
        <v/>
      </c>
      <c r="C493" s="10" t="str">
        <f>_xlfn.IFNA(VLOOKUP(B493,Phase1!A$4:C$129,3,FALSE),"")</f>
        <v/>
      </c>
      <c r="D493" s="10" t="str">
        <f>_xlfn.IFNA(VLOOKUP($A493,CompChecksTrans!$A:$C,3,FALSE), "     ")</f>
        <v xml:space="preserve">     </v>
      </c>
    </row>
    <row r="494" spans="1:4" x14ac:dyDescent="0.25">
      <c r="A494" s="12" t="s">
        <v>4805</v>
      </c>
      <c r="B494" s="10" t="str">
        <f>_xlfn.IFNA(VLOOKUP($A494,CompChecksTrans!$A:$C,2,FALSE), "")</f>
        <v/>
      </c>
      <c r="C494" s="10" t="str">
        <f>_xlfn.IFNA(VLOOKUP(B494,Phase1!A$4:C$129,3,FALSE),"")</f>
        <v/>
      </c>
      <c r="D494" s="10" t="str">
        <f>_xlfn.IFNA(VLOOKUP($A494,CompChecksTrans!$A:$C,3,FALSE), "     ")</f>
        <v xml:space="preserve">     </v>
      </c>
    </row>
    <row r="495" spans="1:4" x14ac:dyDescent="0.25">
      <c r="A495" s="12" t="s">
        <v>4806</v>
      </c>
      <c r="B495" s="10" t="str">
        <f>_xlfn.IFNA(VLOOKUP($A495,CompChecksTrans!$A:$C,2,FALSE), "")</f>
        <v/>
      </c>
      <c r="C495" s="10" t="str">
        <f>_xlfn.IFNA(VLOOKUP(B495,Phase1!A$4:C$129,3,FALSE),"")</f>
        <v/>
      </c>
      <c r="D495" s="10" t="str">
        <f>_xlfn.IFNA(VLOOKUP($A495,CompChecksTrans!$A:$C,3,FALSE), "     ")</f>
        <v xml:space="preserve">     </v>
      </c>
    </row>
    <row r="496" spans="1:4" x14ac:dyDescent="0.25">
      <c r="A496" s="12" t="s">
        <v>4807</v>
      </c>
      <c r="B496" s="10" t="str">
        <f>_xlfn.IFNA(VLOOKUP($A496,CompChecksTrans!$A:$C,2,FALSE), "")</f>
        <v/>
      </c>
      <c r="C496" s="10" t="str">
        <f>_xlfn.IFNA(VLOOKUP(B496,Phase1!A$4:C$129,3,FALSE),"")</f>
        <v/>
      </c>
      <c r="D496" s="10" t="str">
        <f>_xlfn.IFNA(VLOOKUP($A496,CompChecksTrans!$A:$C,3,FALSE), "     ")</f>
        <v xml:space="preserve">     </v>
      </c>
    </row>
    <row r="497" spans="1:4" x14ac:dyDescent="0.25">
      <c r="A497" s="12" t="s">
        <v>4808</v>
      </c>
      <c r="B497" s="10" t="str">
        <f>_xlfn.IFNA(VLOOKUP($A497,CompChecksTrans!$A:$C,2,FALSE), "")</f>
        <v/>
      </c>
      <c r="C497" s="10" t="str">
        <f>_xlfn.IFNA(VLOOKUP(B497,Phase1!A$4:C$129,3,FALSE),"")</f>
        <v/>
      </c>
      <c r="D497" s="10" t="str">
        <f>_xlfn.IFNA(VLOOKUP($A497,CompChecksTrans!$A:$C,3,FALSE), "     ")</f>
        <v xml:space="preserve">     </v>
      </c>
    </row>
    <row r="498" spans="1:4" x14ac:dyDescent="0.25">
      <c r="A498" s="12" t="s">
        <v>4809</v>
      </c>
      <c r="B498" s="10" t="str">
        <f>_xlfn.IFNA(VLOOKUP($A498,CompChecksTrans!$A:$C,2,FALSE), "")</f>
        <v/>
      </c>
      <c r="C498" s="10" t="str">
        <f>_xlfn.IFNA(VLOOKUP(B498,Phase1!A$4:C$129,3,FALSE),"")</f>
        <v/>
      </c>
      <c r="D498" s="10" t="str">
        <f>_xlfn.IFNA(VLOOKUP($A498,CompChecksTrans!$A:$C,3,FALSE), "     ")</f>
        <v xml:space="preserve">     </v>
      </c>
    </row>
    <row r="499" spans="1:4" x14ac:dyDescent="0.25">
      <c r="A499" s="12" t="s">
        <v>4810</v>
      </c>
      <c r="B499" s="10" t="str">
        <f>_xlfn.IFNA(VLOOKUP($A499,CompChecksTrans!$A:$C,2,FALSE), "")</f>
        <v/>
      </c>
      <c r="C499" s="10" t="str">
        <f>_xlfn.IFNA(VLOOKUP(B499,Phase1!A$4:C$129,3,FALSE),"")</f>
        <v/>
      </c>
      <c r="D499" s="10" t="str">
        <f>_xlfn.IFNA(VLOOKUP($A499,CompChecksTrans!$A:$C,3,FALSE), "     ")</f>
        <v xml:space="preserve">     </v>
      </c>
    </row>
    <row r="500" spans="1:4" x14ac:dyDescent="0.25">
      <c r="A500" s="12" t="s">
        <v>4811</v>
      </c>
      <c r="B500" s="10" t="str">
        <f>_xlfn.IFNA(VLOOKUP($A500,CompChecksTrans!$A:$C,2,FALSE), "")</f>
        <v/>
      </c>
      <c r="C500" s="10" t="str">
        <f>_xlfn.IFNA(VLOOKUP(B500,Phase1!A$4:C$129,3,FALSE),"")</f>
        <v/>
      </c>
      <c r="D500" s="10" t="str">
        <f>_xlfn.IFNA(VLOOKUP($A500,CompChecksTrans!$A:$C,3,FALSE), "     ")</f>
        <v xml:space="preserve">     </v>
      </c>
    </row>
    <row r="501" spans="1:4" x14ac:dyDescent="0.25">
      <c r="A501" s="12" t="s">
        <v>4812</v>
      </c>
      <c r="B501" s="10" t="str">
        <f>_xlfn.IFNA(VLOOKUP($A501,CompChecksTrans!$A:$C,2,FALSE), "")</f>
        <v/>
      </c>
      <c r="C501" s="10" t="str">
        <f>_xlfn.IFNA(VLOOKUP(B501,Phase1!A$4:C$129,3,FALSE),"")</f>
        <v/>
      </c>
      <c r="D501" s="10" t="str">
        <f>_xlfn.IFNA(VLOOKUP($A501,CompChecksTrans!$A:$C,3,FALSE), "     ")</f>
        <v xml:space="preserve">     </v>
      </c>
    </row>
    <row r="502" spans="1:4" x14ac:dyDescent="0.25">
      <c r="A502" s="12" t="s">
        <v>4813</v>
      </c>
      <c r="B502" s="10" t="str">
        <f>_xlfn.IFNA(VLOOKUP($A502,CompChecksTrans!$A:$C,2,FALSE), "")</f>
        <v/>
      </c>
      <c r="C502" s="10" t="str">
        <f>_xlfn.IFNA(VLOOKUP(B502,Phase1!A$4:C$129,3,FALSE),"")</f>
        <v/>
      </c>
      <c r="D502" s="10" t="str">
        <f>_xlfn.IFNA(VLOOKUP($A502,CompChecksTrans!$A:$C,3,FALSE), "     ")</f>
        <v xml:space="preserve">     </v>
      </c>
    </row>
    <row r="503" spans="1:4" x14ac:dyDescent="0.25">
      <c r="A503" s="12" t="s">
        <v>4814</v>
      </c>
      <c r="B503" s="10" t="str">
        <f>_xlfn.IFNA(VLOOKUP($A503,CompChecksTrans!$A:$C,2,FALSE), "")</f>
        <v/>
      </c>
      <c r="C503" s="10" t="str">
        <f>_xlfn.IFNA(VLOOKUP(B503,Phase1!A$4:C$129,3,FALSE),"")</f>
        <v/>
      </c>
      <c r="D503" s="10" t="str">
        <f>_xlfn.IFNA(VLOOKUP($A503,CompChecksTrans!$A:$C,3,FALSE), "     ")</f>
        <v xml:space="preserve">     </v>
      </c>
    </row>
    <row r="504" spans="1:4" x14ac:dyDescent="0.25">
      <c r="A504" s="12" t="s">
        <v>4815</v>
      </c>
      <c r="B504" s="10" t="str">
        <f>_xlfn.IFNA(VLOOKUP($A504,CompChecksTrans!$A:$C,2,FALSE), "")</f>
        <v/>
      </c>
      <c r="C504" s="10" t="str">
        <f>_xlfn.IFNA(VLOOKUP(B504,Phase1!A$4:C$129,3,FALSE),"")</f>
        <v/>
      </c>
      <c r="D504" s="10" t="str">
        <f>_xlfn.IFNA(VLOOKUP($A504,CompChecksTrans!$A:$C,3,FALSE), "     ")</f>
        <v xml:space="preserve">     </v>
      </c>
    </row>
    <row r="505" spans="1:4" x14ac:dyDescent="0.25">
      <c r="A505" s="12" t="s">
        <v>4816</v>
      </c>
      <c r="B505" s="10" t="str">
        <f>_xlfn.IFNA(VLOOKUP($A505,CompChecksTrans!$A:$C,2,FALSE), "")</f>
        <v/>
      </c>
      <c r="C505" s="10" t="str">
        <f>_xlfn.IFNA(VLOOKUP(B505,Phase1!A$4:C$129,3,FALSE),"")</f>
        <v/>
      </c>
      <c r="D505" s="10" t="str">
        <f>_xlfn.IFNA(VLOOKUP($A505,CompChecksTrans!$A:$C,3,FALSE), "     ")</f>
        <v xml:space="preserve">     </v>
      </c>
    </row>
    <row r="506" spans="1:4" x14ac:dyDescent="0.25">
      <c r="A506" s="12" t="s">
        <v>4817</v>
      </c>
      <c r="B506" s="10" t="str">
        <f>_xlfn.IFNA(VLOOKUP($A506,CompChecksTrans!$A:$C,2,FALSE), "")</f>
        <v/>
      </c>
      <c r="C506" s="10" t="str">
        <f>_xlfn.IFNA(VLOOKUP(B506,Phase1!A$4:C$129,3,FALSE),"")</f>
        <v/>
      </c>
      <c r="D506" s="10" t="str">
        <f>_xlfn.IFNA(VLOOKUP($A506,CompChecksTrans!$A:$C,3,FALSE), "     ")</f>
        <v xml:space="preserve">     </v>
      </c>
    </row>
    <row r="507" spans="1:4" x14ac:dyDescent="0.25">
      <c r="A507" s="12" t="s">
        <v>4818</v>
      </c>
      <c r="B507" s="10" t="str">
        <f>_xlfn.IFNA(VLOOKUP($A507,CompChecksTrans!$A:$C,2,FALSE), "")</f>
        <v/>
      </c>
      <c r="C507" s="10" t="str">
        <f>_xlfn.IFNA(VLOOKUP(B507,Phase1!A$4:C$129,3,FALSE),"")</f>
        <v/>
      </c>
      <c r="D507" s="10" t="str">
        <f>_xlfn.IFNA(VLOOKUP($A507,CompChecksTrans!$A:$C,3,FALSE), "     ")</f>
        <v xml:space="preserve">     </v>
      </c>
    </row>
    <row r="508" spans="1:4" x14ac:dyDescent="0.25">
      <c r="A508" s="12" t="s">
        <v>4819</v>
      </c>
      <c r="B508" s="10" t="str">
        <f>_xlfn.IFNA(VLOOKUP($A508,CompChecksTrans!$A:$C,2,FALSE), "")</f>
        <v/>
      </c>
      <c r="C508" s="10" t="str">
        <f>_xlfn.IFNA(VLOOKUP(B508,Phase1!A$4:C$129,3,FALSE),"")</f>
        <v/>
      </c>
      <c r="D508" s="10" t="str">
        <f>_xlfn.IFNA(VLOOKUP($A508,CompChecksTrans!$A:$C,3,FALSE), "     ")</f>
        <v xml:space="preserve">     </v>
      </c>
    </row>
    <row r="509" spans="1:4" x14ac:dyDescent="0.25">
      <c r="A509" s="12" t="s">
        <v>4820</v>
      </c>
      <c r="B509" s="10" t="str">
        <f>_xlfn.IFNA(VLOOKUP($A509,CompChecksTrans!$A:$C,2,FALSE), "")</f>
        <v/>
      </c>
      <c r="C509" s="10" t="str">
        <f>_xlfn.IFNA(VLOOKUP(B509,Phase1!A$4:C$129,3,FALSE),"")</f>
        <v/>
      </c>
      <c r="D509" s="10" t="str">
        <f>_xlfn.IFNA(VLOOKUP($A509,CompChecksTrans!$A:$C,3,FALSE), "     ")</f>
        <v xml:space="preserve">     </v>
      </c>
    </row>
    <row r="510" spans="1:4" x14ac:dyDescent="0.25">
      <c r="A510" s="12" t="s">
        <v>4821</v>
      </c>
      <c r="B510" s="10" t="str">
        <f>_xlfn.IFNA(VLOOKUP($A510,CompChecksTrans!$A:$C,2,FALSE), "")</f>
        <v/>
      </c>
      <c r="C510" s="10" t="str">
        <f>_xlfn.IFNA(VLOOKUP(B510,Phase1!A$4:C$129,3,FALSE),"")</f>
        <v/>
      </c>
      <c r="D510" s="10" t="str">
        <f>_xlfn.IFNA(VLOOKUP($A510,CompChecksTrans!$A:$C,3,FALSE), "     ")</f>
        <v xml:space="preserve">     </v>
      </c>
    </row>
    <row r="511" spans="1:4" x14ac:dyDescent="0.25">
      <c r="A511" s="12" t="s">
        <v>4822</v>
      </c>
      <c r="B511" s="10" t="str">
        <f>_xlfn.IFNA(VLOOKUP($A511,CompChecksTrans!$A:$C,2,FALSE), "")</f>
        <v/>
      </c>
      <c r="C511" s="10" t="str">
        <f>_xlfn.IFNA(VLOOKUP(B511,Phase1!A$4:C$129,3,FALSE),"")</f>
        <v/>
      </c>
      <c r="D511" s="10" t="str">
        <f>_xlfn.IFNA(VLOOKUP($A511,CompChecksTrans!$A:$C,3,FALSE), "     ")</f>
        <v xml:space="preserve">     </v>
      </c>
    </row>
    <row r="512" spans="1:4" x14ac:dyDescent="0.25">
      <c r="A512" s="12" t="s">
        <v>4823</v>
      </c>
      <c r="B512" s="10" t="str">
        <f>_xlfn.IFNA(VLOOKUP($A512,CompChecksTrans!$A:$C,2,FALSE), "")</f>
        <v/>
      </c>
      <c r="C512" s="10" t="str">
        <f>_xlfn.IFNA(VLOOKUP(B512,Phase1!A$4:C$129,3,FALSE),"")</f>
        <v/>
      </c>
      <c r="D512" s="10" t="str">
        <f>_xlfn.IFNA(VLOOKUP($A512,CompChecksTrans!$A:$C,3,FALSE), "     ")</f>
        <v xml:space="preserve">     </v>
      </c>
    </row>
    <row r="513" spans="1:4" x14ac:dyDescent="0.25">
      <c r="A513" s="12" t="s">
        <v>4824</v>
      </c>
      <c r="B513" s="10" t="str">
        <f>_xlfn.IFNA(VLOOKUP($A513,CompChecksTrans!$A:$C,2,FALSE), "")</f>
        <v/>
      </c>
      <c r="C513" s="10" t="str">
        <f>_xlfn.IFNA(VLOOKUP(B513,Phase1!A$4:C$129,3,FALSE),"")</f>
        <v/>
      </c>
      <c r="D513" s="10" t="str">
        <f>_xlfn.IFNA(VLOOKUP($A513,CompChecksTrans!$A:$C,3,FALSE), "     ")</f>
        <v xml:space="preserve">     </v>
      </c>
    </row>
    <row r="514" spans="1:4" x14ac:dyDescent="0.25">
      <c r="A514" s="12" t="s">
        <v>4825</v>
      </c>
      <c r="B514" s="10" t="str">
        <f>_xlfn.IFNA(VLOOKUP($A514,CompChecksTrans!$A:$C,2,FALSE), "")</f>
        <v/>
      </c>
      <c r="C514" s="10" t="str">
        <f>_xlfn.IFNA(VLOOKUP(B514,Phase1!A$4:C$129,3,FALSE),"")</f>
        <v/>
      </c>
      <c r="D514" s="10" t="str">
        <f>_xlfn.IFNA(VLOOKUP($A514,CompChecksTrans!$A:$C,3,FALSE), "     ")</f>
        <v xml:space="preserve">     </v>
      </c>
    </row>
    <row r="515" spans="1:4" x14ac:dyDescent="0.25">
      <c r="A515" s="12" t="s">
        <v>4826</v>
      </c>
      <c r="B515" s="10" t="str">
        <f>_xlfn.IFNA(VLOOKUP($A515,CompChecksTrans!$A:$C,2,FALSE), "")</f>
        <v/>
      </c>
      <c r="C515" s="10" t="str">
        <f>_xlfn.IFNA(VLOOKUP(B515,Phase1!A$4:C$129,3,FALSE),"")</f>
        <v/>
      </c>
      <c r="D515" s="10" t="str">
        <f>_xlfn.IFNA(VLOOKUP($A515,CompChecksTrans!$A:$C,3,FALSE), "     ")</f>
        <v xml:space="preserve">     </v>
      </c>
    </row>
    <row r="516" spans="1:4" x14ac:dyDescent="0.25">
      <c r="A516" s="12" t="s">
        <v>4827</v>
      </c>
      <c r="B516" s="10" t="str">
        <f>_xlfn.IFNA(VLOOKUP($A516,CompChecksTrans!$A:$C,2,FALSE), "")</f>
        <v/>
      </c>
      <c r="C516" s="10" t="str">
        <f>_xlfn.IFNA(VLOOKUP(B516,Phase1!A$4:C$129,3,FALSE),"")</f>
        <v/>
      </c>
      <c r="D516" s="10" t="str">
        <f>_xlfn.IFNA(VLOOKUP($A516,CompChecksTrans!$A:$C,3,FALSE), "     ")</f>
        <v xml:space="preserve">     </v>
      </c>
    </row>
    <row r="517" spans="1:4" x14ac:dyDescent="0.25">
      <c r="A517" s="12" t="s">
        <v>4828</v>
      </c>
      <c r="B517" s="10" t="str">
        <f>_xlfn.IFNA(VLOOKUP($A517,CompChecksTrans!$A:$C,2,FALSE), "")</f>
        <v/>
      </c>
      <c r="C517" s="10" t="str">
        <f>_xlfn.IFNA(VLOOKUP(B517,Phase1!A$4:C$129,3,FALSE),"")</f>
        <v/>
      </c>
      <c r="D517" s="10" t="str">
        <f>_xlfn.IFNA(VLOOKUP($A517,CompChecksTrans!$A:$C,3,FALSE), "     ")</f>
        <v xml:space="preserve">     </v>
      </c>
    </row>
    <row r="518" spans="1:4" x14ac:dyDescent="0.25">
      <c r="A518" s="12" t="s">
        <v>4829</v>
      </c>
      <c r="B518" s="10" t="str">
        <f>_xlfn.IFNA(VLOOKUP($A518,CompChecksTrans!$A:$C,2,FALSE), "")</f>
        <v/>
      </c>
      <c r="C518" s="10" t="str">
        <f>_xlfn.IFNA(VLOOKUP(B518,Phase1!A$4:C$129,3,FALSE),"")</f>
        <v/>
      </c>
      <c r="D518" s="10" t="str">
        <f>_xlfn.IFNA(VLOOKUP($A518,CompChecksTrans!$A:$C,3,FALSE), "     ")</f>
        <v xml:space="preserve">     </v>
      </c>
    </row>
    <row r="519" spans="1:4" x14ac:dyDescent="0.25">
      <c r="A519" s="12" t="s">
        <v>4830</v>
      </c>
      <c r="B519" s="10" t="str">
        <f>_xlfn.IFNA(VLOOKUP($A519,CompChecksTrans!$A:$C,2,FALSE), "")</f>
        <v/>
      </c>
      <c r="C519" s="10" t="str">
        <f>_xlfn.IFNA(VLOOKUP(B519,Phase1!A$4:C$129,3,FALSE),"")</f>
        <v/>
      </c>
      <c r="D519" s="10" t="str">
        <f>_xlfn.IFNA(VLOOKUP($A519,CompChecksTrans!$A:$C,3,FALSE), "     ")</f>
        <v xml:space="preserve">     </v>
      </c>
    </row>
    <row r="520" spans="1:4" x14ac:dyDescent="0.25">
      <c r="A520" s="12" t="s">
        <v>4831</v>
      </c>
      <c r="B520" s="10" t="str">
        <f>_xlfn.IFNA(VLOOKUP($A520,CompChecksTrans!$A:$C,2,FALSE), "")</f>
        <v/>
      </c>
      <c r="C520" s="10" t="str">
        <f>_xlfn.IFNA(VLOOKUP(B520,Phase1!A$4:C$129,3,FALSE),"")</f>
        <v/>
      </c>
      <c r="D520" s="10" t="str">
        <f>_xlfn.IFNA(VLOOKUP($A520,CompChecksTrans!$A:$C,3,FALSE), "     ")</f>
        <v xml:space="preserve">     </v>
      </c>
    </row>
    <row r="521" spans="1:4" x14ac:dyDescent="0.25">
      <c r="A521" s="12" t="s">
        <v>4832</v>
      </c>
      <c r="B521" s="10" t="str">
        <f>_xlfn.IFNA(VLOOKUP($A521,CompChecksTrans!$A:$C,2,FALSE), "")</f>
        <v/>
      </c>
      <c r="C521" s="10" t="str">
        <f>_xlfn.IFNA(VLOOKUP(B521,Phase1!A$4:C$129,3,FALSE),"")</f>
        <v/>
      </c>
      <c r="D521" s="10" t="str">
        <f>_xlfn.IFNA(VLOOKUP($A521,CompChecksTrans!$A:$C,3,FALSE), "     ")</f>
        <v xml:space="preserve">     </v>
      </c>
    </row>
    <row r="522" spans="1:4" x14ac:dyDescent="0.25">
      <c r="A522" s="12" t="s">
        <v>4833</v>
      </c>
      <c r="B522" s="10" t="str">
        <f>_xlfn.IFNA(VLOOKUP($A522,CompChecksTrans!$A:$C,2,FALSE), "")</f>
        <v/>
      </c>
      <c r="C522" s="10" t="str">
        <f>_xlfn.IFNA(VLOOKUP(B522,Phase1!A$4:C$129,3,FALSE),"")</f>
        <v/>
      </c>
      <c r="D522" s="10" t="str">
        <f>_xlfn.IFNA(VLOOKUP($A522,CompChecksTrans!$A:$C,3,FALSE), "     ")</f>
        <v xml:space="preserve">     </v>
      </c>
    </row>
    <row r="523" spans="1:4" x14ac:dyDescent="0.25">
      <c r="A523" s="12" t="s">
        <v>4834</v>
      </c>
      <c r="B523" s="10" t="str">
        <f>_xlfn.IFNA(VLOOKUP($A523,CompChecksTrans!$A:$C,2,FALSE), "")</f>
        <v/>
      </c>
      <c r="C523" s="10" t="str">
        <f>_xlfn.IFNA(VLOOKUP(B523,Phase1!A$4:C$129,3,FALSE),"")</f>
        <v/>
      </c>
      <c r="D523" s="10" t="str">
        <f>_xlfn.IFNA(VLOOKUP($A523,CompChecksTrans!$A:$C,3,FALSE), "     ")</f>
        <v xml:space="preserve">     </v>
      </c>
    </row>
    <row r="524" spans="1:4" x14ac:dyDescent="0.25">
      <c r="A524" s="12" t="s">
        <v>4835</v>
      </c>
      <c r="B524" s="10" t="str">
        <f>_xlfn.IFNA(VLOOKUP($A524,CompChecksTrans!$A:$C,2,FALSE), "")</f>
        <v/>
      </c>
      <c r="C524" s="10" t="str">
        <f>_xlfn.IFNA(VLOOKUP(B524,Phase1!A$4:C$129,3,FALSE),"")</f>
        <v/>
      </c>
      <c r="D524" s="10" t="str">
        <f>_xlfn.IFNA(VLOOKUP($A524,CompChecksTrans!$A:$C,3,FALSE), "     ")</f>
        <v xml:space="preserve">     </v>
      </c>
    </row>
    <row r="525" spans="1:4" x14ac:dyDescent="0.25">
      <c r="A525" s="12" t="s">
        <v>4836</v>
      </c>
      <c r="B525" s="10" t="str">
        <f>_xlfn.IFNA(VLOOKUP($A525,CompChecksTrans!$A:$C,2,FALSE), "")</f>
        <v/>
      </c>
      <c r="C525" s="10" t="str">
        <f>_xlfn.IFNA(VLOOKUP(B525,Phase1!A$4:C$129,3,FALSE),"")</f>
        <v/>
      </c>
      <c r="D525" s="10" t="str">
        <f>_xlfn.IFNA(VLOOKUP($A525,CompChecksTrans!$A:$C,3,FALSE), "     ")</f>
        <v xml:space="preserve">     </v>
      </c>
    </row>
    <row r="526" spans="1:4" x14ac:dyDescent="0.25">
      <c r="A526" s="12" t="s">
        <v>4837</v>
      </c>
      <c r="B526" s="10" t="str">
        <f>_xlfn.IFNA(VLOOKUP($A526,CompChecksTrans!$A:$C,2,FALSE), "")</f>
        <v/>
      </c>
      <c r="C526" s="10" t="str">
        <f>_xlfn.IFNA(VLOOKUP(B526,Phase1!A$4:C$129,3,FALSE),"")</f>
        <v/>
      </c>
      <c r="D526" s="10" t="str">
        <f>_xlfn.IFNA(VLOOKUP($A526,CompChecksTrans!$A:$C,3,FALSE), "     ")</f>
        <v xml:space="preserve">     </v>
      </c>
    </row>
    <row r="527" spans="1:4" x14ac:dyDescent="0.25">
      <c r="A527" s="12" t="s">
        <v>4838</v>
      </c>
      <c r="B527" s="10" t="str">
        <f>_xlfn.IFNA(VLOOKUP($A527,CompChecksTrans!$A:$C,2,FALSE), "")</f>
        <v/>
      </c>
      <c r="C527" s="10" t="str">
        <f>_xlfn.IFNA(VLOOKUP(B527,Phase1!A$4:C$129,3,FALSE),"")</f>
        <v/>
      </c>
      <c r="D527" s="10" t="str">
        <f>_xlfn.IFNA(VLOOKUP($A527,CompChecksTrans!$A:$C,3,FALSE), "     ")</f>
        <v xml:space="preserve">     </v>
      </c>
    </row>
    <row r="528" spans="1:4" x14ac:dyDescent="0.25">
      <c r="A528" s="12" t="s">
        <v>4839</v>
      </c>
      <c r="B528" s="10" t="str">
        <f>_xlfn.IFNA(VLOOKUP($A528,CompChecksTrans!$A:$C,2,FALSE), "")</f>
        <v/>
      </c>
      <c r="C528" s="10" t="str">
        <f>_xlfn.IFNA(VLOOKUP(B528,Phase1!A$4:C$129,3,FALSE),"")</f>
        <v/>
      </c>
      <c r="D528" s="10" t="str">
        <f>_xlfn.IFNA(VLOOKUP($A528,CompChecksTrans!$A:$C,3,FALSE), "     ")</f>
        <v xml:space="preserve">     </v>
      </c>
    </row>
    <row r="529" spans="1:4" x14ac:dyDescent="0.25">
      <c r="A529" s="12" t="s">
        <v>4840</v>
      </c>
      <c r="B529" s="10" t="str">
        <f>_xlfn.IFNA(VLOOKUP($A529,CompChecksTrans!$A:$C,2,FALSE), "")</f>
        <v/>
      </c>
      <c r="C529" s="10" t="str">
        <f>_xlfn.IFNA(VLOOKUP(B529,Phase1!A$4:C$129,3,FALSE),"")</f>
        <v/>
      </c>
      <c r="D529" s="10" t="str">
        <f>_xlfn.IFNA(VLOOKUP($A529,CompChecksTrans!$A:$C,3,FALSE), "     ")</f>
        <v xml:space="preserve">     </v>
      </c>
    </row>
    <row r="530" spans="1:4" x14ac:dyDescent="0.25">
      <c r="A530" s="12" t="s">
        <v>4841</v>
      </c>
      <c r="B530" s="10" t="str">
        <f>_xlfn.IFNA(VLOOKUP($A530,CompChecksTrans!$A:$C,2,FALSE), "")</f>
        <v/>
      </c>
      <c r="C530" s="10" t="str">
        <f>_xlfn.IFNA(VLOOKUP(B530,Phase1!A$4:C$129,3,FALSE),"")</f>
        <v/>
      </c>
      <c r="D530" s="10" t="str">
        <f>_xlfn.IFNA(VLOOKUP($A530,CompChecksTrans!$A:$C,3,FALSE), "     ")</f>
        <v xml:space="preserve">     </v>
      </c>
    </row>
    <row r="531" spans="1:4" x14ac:dyDescent="0.25">
      <c r="A531" s="12" t="s">
        <v>4842</v>
      </c>
      <c r="B531" s="10" t="str">
        <f>_xlfn.IFNA(VLOOKUP($A531,CompChecksTrans!$A:$C,2,FALSE), "")</f>
        <v/>
      </c>
      <c r="C531" s="10" t="str">
        <f>_xlfn.IFNA(VLOOKUP(B531,Phase1!A$4:C$129,3,FALSE),"")</f>
        <v/>
      </c>
      <c r="D531" s="10" t="str">
        <f>_xlfn.IFNA(VLOOKUP($A531,CompChecksTrans!$A:$C,3,FALSE), "     ")</f>
        <v xml:space="preserve">     </v>
      </c>
    </row>
    <row r="532" spans="1:4" x14ac:dyDescent="0.25">
      <c r="A532" s="12" t="s">
        <v>4843</v>
      </c>
      <c r="B532" s="10" t="str">
        <f>_xlfn.IFNA(VLOOKUP($A532,CompChecksTrans!$A:$C,2,FALSE), "")</f>
        <v/>
      </c>
      <c r="C532" s="10" t="str">
        <f>_xlfn.IFNA(VLOOKUP(B532,Phase1!A$4:C$129,3,FALSE),"")</f>
        <v/>
      </c>
      <c r="D532" s="10" t="str">
        <f>_xlfn.IFNA(VLOOKUP($A532,CompChecksTrans!$A:$C,3,FALSE), "     ")</f>
        <v xml:space="preserve">     </v>
      </c>
    </row>
    <row r="533" spans="1:4" x14ac:dyDescent="0.25">
      <c r="A533" s="12" t="s">
        <v>4844</v>
      </c>
      <c r="B533" s="10" t="str">
        <f>_xlfn.IFNA(VLOOKUP($A533,CompChecksTrans!$A:$C,2,FALSE), "")</f>
        <v/>
      </c>
      <c r="C533" s="10" t="str">
        <f>_xlfn.IFNA(VLOOKUP(B533,Phase1!A$4:C$129,3,FALSE),"")</f>
        <v/>
      </c>
      <c r="D533" s="10" t="str">
        <f>_xlfn.IFNA(VLOOKUP($A533,CompChecksTrans!$A:$C,3,FALSE), "     ")</f>
        <v xml:space="preserve">     </v>
      </c>
    </row>
    <row r="534" spans="1:4" x14ac:dyDescent="0.25">
      <c r="A534" s="12" t="s">
        <v>4845</v>
      </c>
      <c r="B534" s="10" t="str">
        <f>_xlfn.IFNA(VLOOKUP($A534,CompChecksTrans!$A:$C,2,FALSE), "")</f>
        <v/>
      </c>
      <c r="C534" s="10" t="str">
        <f>_xlfn.IFNA(VLOOKUP(B534,Phase1!A$4:C$129,3,FALSE),"")</f>
        <v/>
      </c>
      <c r="D534" s="10" t="str">
        <f>_xlfn.IFNA(VLOOKUP($A534,CompChecksTrans!$A:$C,3,FALSE), "     ")</f>
        <v xml:space="preserve">     </v>
      </c>
    </row>
    <row r="535" spans="1:4" x14ac:dyDescent="0.25">
      <c r="A535" s="12" t="s">
        <v>4846</v>
      </c>
      <c r="B535" s="10" t="str">
        <f>_xlfn.IFNA(VLOOKUP($A535,CompChecksTrans!$A:$C,2,FALSE), "")</f>
        <v/>
      </c>
      <c r="C535" s="10" t="str">
        <f>_xlfn.IFNA(VLOOKUP(B535,Phase1!A$4:C$129,3,FALSE),"")</f>
        <v/>
      </c>
      <c r="D535" s="10" t="str">
        <f>_xlfn.IFNA(VLOOKUP($A535,CompChecksTrans!$A:$C,3,FALSE), "     ")</f>
        <v xml:space="preserve">     </v>
      </c>
    </row>
    <row r="536" spans="1:4" x14ac:dyDescent="0.25">
      <c r="A536" s="12" t="s">
        <v>4847</v>
      </c>
      <c r="B536" s="10" t="str">
        <f>_xlfn.IFNA(VLOOKUP($A536,CompChecksTrans!$A:$C,2,FALSE), "")</f>
        <v/>
      </c>
      <c r="C536" s="10" t="str">
        <f>_xlfn.IFNA(VLOOKUP(B536,Phase1!A$4:C$129,3,FALSE),"")</f>
        <v/>
      </c>
      <c r="D536" s="10" t="str">
        <f>_xlfn.IFNA(VLOOKUP($A536,CompChecksTrans!$A:$C,3,FALSE), "     ")</f>
        <v xml:space="preserve">     </v>
      </c>
    </row>
    <row r="537" spans="1:4" x14ac:dyDescent="0.25">
      <c r="A537" s="12" t="s">
        <v>4848</v>
      </c>
      <c r="B537" s="10" t="str">
        <f>_xlfn.IFNA(VLOOKUP($A537,CompChecksTrans!$A:$C,2,FALSE), "")</f>
        <v/>
      </c>
      <c r="C537" s="10" t="str">
        <f>_xlfn.IFNA(VLOOKUP(B537,Phase1!A$4:C$129,3,FALSE),"")</f>
        <v/>
      </c>
      <c r="D537" s="10" t="str">
        <f>_xlfn.IFNA(VLOOKUP($A537,CompChecksTrans!$A:$C,3,FALSE), "     ")</f>
        <v xml:space="preserve">     </v>
      </c>
    </row>
    <row r="538" spans="1:4" x14ac:dyDescent="0.25">
      <c r="A538" s="12" t="s">
        <v>4849</v>
      </c>
      <c r="B538" s="10" t="str">
        <f>_xlfn.IFNA(VLOOKUP($A538,CompChecksTrans!$A:$C,2,FALSE), "")</f>
        <v/>
      </c>
      <c r="C538" s="10" t="str">
        <f>_xlfn.IFNA(VLOOKUP(B538,Phase1!A$4:C$129,3,FALSE),"")</f>
        <v/>
      </c>
      <c r="D538" s="10" t="str">
        <f>_xlfn.IFNA(VLOOKUP($A538,CompChecksTrans!$A:$C,3,FALSE), "     ")</f>
        <v xml:space="preserve">     </v>
      </c>
    </row>
    <row r="539" spans="1:4" x14ac:dyDescent="0.25">
      <c r="A539" s="12" t="s">
        <v>4850</v>
      </c>
      <c r="B539" s="10" t="str">
        <f>_xlfn.IFNA(VLOOKUP($A539,CompChecksTrans!$A:$C,2,FALSE), "")</f>
        <v/>
      </c>
      <c r="C539" s="10" t="str">
        <f>_xlfn.IFNA(VLOOKUP(B539,Phase1!A$4:C$129,3,FALSE),"")</f>
        <v/>
      </c>
      <c r="D539" s="10" t="str">
        <f>_xlfn.IFNA(VLOOKUP($A539,CompChecksTrans!$A:$C,3,FALSE), "     ")</f>
        <v xml:space="preserve">     </v>
      </c>
    </row>
    <row r="540" spans="1:4" x14ac:dyDescent="0.25">
      <c r="A540" s="12" t="s">
        <v>4851</v>
      </c>
      <c r="B540" s="10" t="str">
        <f>_xlfn.IFNA(VLOOKUP($A540,CompChecksTrans!$A:$C,2,FALSE), "")</f>
        <v/>
      </c>
      <c r="C540" s="10" t="str">
        <f>_xlfn.IFNA(VLOOKUP(B540,Phase1!A$4:C$129,3,FALSE),"")</f>
        <v/>
      </c>
      <c r="D540" s="10" t="str">
        <f>_xlfn.IFNA(VLOOKUP($A540,CompChecksTrans!$A:$C,3,FALSE), "     ")</f>
        <v xml:space="preserve">     </v>
      </c>
    </row>
    <row r="541" spans="1:4" x14ac:dyDescent="0.25">
      <c r="A541" s="12" t="s">
        <v>4852</v>
      </c>
      <c r="B541" s="10" t="str">
        <f>_xlfn.IFNA(VLOOKUP($A541,CompChecksTrans!$A:$C,2,FALSE), "")</f>
        <v/>
      </c>
      <c r="C541" s="10" t="str">
        <f>_xlfn.IFNA(VLOOKUP(B541,Phase1!A$4:C$129,3,FALSE),"")</f>
        <v/>
      </c>
      <c r="D541" s="10" t="str">
        <f>_xlfn.IFNA(VLOOKUP($A541,CompChecksTrans!$A:$C,3,FALSE), "     ")</f>
        <v xml:space="preserve">     </v>
      </c>
    </row>
    <row r="542" spans="1:4" x14ac:dyDescent="0.25">
      <c r="A542" s="12" t="s">
        <v>4853</v>
      </c>
      <c r="B542" s="10" t="str">
        <f>_xlfn.IFNA(VLOOKUP($A542,CompChecksTrans!$A:$C,2,FALSE), "")</f>
        <v/>
      </c>
      <c r="C542" s="10" t="str">
        <f>_xlfn.IFNA(VLOOKUP(B542,Phase1!A$4:C$129,3,FALSE),"")</f>
        <v/>
      </c>
      <c r="D542" s="10" t="str">
        <f>_xlfn.IFNA(VLOOKUP($A542,CompChecksTrans!$A:$C,3,FALSE), "     ")</f>
        <v xml:space="preserve">     </v>
      </c>
    </row>
    <row r="543" spans="1:4" x14ac:dyDescent="0.25">
      <c r="A543" s="12" t="s">
        <v>4854</v>
      </c>
      <c r="B543" s="10" t="str">
        <f>_xlfn.IFNA(VLOOKUP($A543,CompChecksTrans!$A:$C,2,FALSE), "")</f>
        <v/>
      </c>
      <c r="C543" s="10" t="str">
        <f>_xlfn.IFNA(VLOOKUP(B543,Phase1!A$4:C$129,3,FALSE),"")</f>
        <v/>
      </c>
      <c r="D543" s="10" t="str">
        <f>_xlfn.IFNA(VLOOKUP($A543,CompChecksTrans!$A:$C,3,FALSE), "     ")</f>
        <v xml:space="preserve">     </v>
      </c>
    </row>
    <row r="544" spans="1:4" x14ac:dyDescent="0.25">
      <c r="A544" s="12" t="s">
        <v>4855</v>
      </c>
      <c r="B544" s="10" t="str">
        <f>_xlfn.IFNA(VLOOKUP($A544,CompChecksTrans!$A:$C,2,FALSE), "")</f>
        <v/>
      </c>
      <c r="C544" s="10" t="str">
        <f>_xlfn.IFNA(VLOOKUP(B544,Phase1!A$4:C$129,3,FALSE),"")</f>
        <v/>
      </c>
      <c r="D544" s="10" t="str">
        <f>_xlfn.IFNA(VLOOKUP($A544,CompChecksTrans!$A:$C,3,FALSE), "     ")</f>
        <v xml:space="preserve">     </v>
      </c>
    </row>
    <row r="545" spans="1:4" x14ac:dyDescent="0.25">
      <c r="A545" s="12" t="s">
        <v>4856</v>
      </c>
      <c r="B545" s="10" t="str">
        <f>_xlfn.IFNA(VLOOKUP($A545,CompChecksTrans!$A:$C,2,FALSE), "")</f>
        <v/>
      </c>
      <c r="C545" s="10" t="str">
        <f>_xlfn.IFNA(VLOOKUP(B545,Phase1!A$4:C$129,3,FALSE),"")</f>
        <v/>
      </c>
      <c r="D545" s="10" t="str">
        <f>_xlfn.IFNA(VLOOKUP($A545,CompChecksTrans!$A:$C,3,FALSE), "     ")</f>
        <v xml:space="preserve">     </v>
      </c>
    </row>
    <row r="546" spans="1:4" x14ac:dyDescent="0.25">
      <c r="A546" s="12" t="s">
        <v>4857</v>
      </c>
      <c r="B546" s="10" t="str">
        <f>_xlfn.IFNA(VLOOKUP($A546,CompChecksTrans!$A:$C,2,FALSE), "")</f>
        <v/>
      </c>
      <c r="C546" s="10" t="str">
        <f>_xlfn.IFNA(VLOOKUP(B546,Phase1!A$4:C$129,3,FALSE),"")</f>
        <v/>
      </c>
      <c r="D546" s="10" t="str">
        <f>_xlfn.IFNA(VLOOKUP($A546,CompChecksTrans!$A:$C,3,FALSE), "     ")</f>
        <v xml:space="preserve">     </v>
      </c>
    </row>
    <row r="547" spans="1:4" x14ac:dyDescent="0.25">
      <c r="A547" s="12" t="s">
        <v>4858</v>
      </c>
      <c r="B547" s="10" t="str">
        <f>_xlfn.IFNA(VLOOKUP($A547,CompChecksTrans!$A:$C,2,FALSE), "")</f>
        <v/>
      </c>
      <c r="C547" s="10" t="str">
        <f>_xlfn.IFNA(VLOOKUP(B547,Phase1!A$4:C$129,3,FALSE),"")</f>
        <v/>
      </c>
      <c r="D547" s="10" t="str">
        <f>_xlfn.IFNA(VLOOKUP($A547,CompChecksTrans!$A:$C,3,FALSE), "     ")</f>
        <v xml:space="preserve">     </v>
      </c>
    </row>
    <row r="548" spans="1:4" x14ac:dyDescent="0.25">
      <c r="A548" s="12" t="s">
        <v>4859</v>
      </c>
      <c r="B548" s="10" t="str">
        <f>_xlfn.IFNA(VLOOKUP($A548,CompChecksTrans!$A:$C,2,FALSE), "")</f>
        <v/>
      </c>
      <c r="C548" s="10" t="str">
        <f>_xlfn.IFNA(VLOOKUP(B548,Phase1!A$4:C$129,3,FALSE),"")</f>
        <v/>
      </c>
      <c r="D548" s="10" t="str">
        <f>_xlfn.IFNA(VLOOKUP($A548,CompChecksTrans!$A:$C,3,FALSE), "     ")</f>
        <v xml:space="preserve">     </v>
      </c>
    </row>
    <row r="549" spans="1:4" x14ac:dyDescent="0.25">
      <c r="A549" s="12" t="s">
        <v>4860</v>
      </c>
      <c r="B549" s="10" t="str">
        <f>_xlfn.IFNA(VLOOKUP($A549,CompChecksTrans!$A:$C,2,FALSE), "")</f>
        <v/>
      </c>
      <c r="C549" s="10" t="str">
        <f>_xlfn.IFNA(VLOOKUP(B549,Phase1!A$4:C$129,3,FALSE),"")</f>
        <v/>
      </c>
      <c r="D549" s="10" t="str">
        <f>_xlfn.IFNA(VLOOKUP($A549,CompChecksTrans!$A:$C,3,FALSE), "     ")</f>
        <v xml:space="preserve">     </v>
      </c>
    </row>
    <row r="550" spans="1:4" x14ac:dyDescent="0.25">
      <c r="A550" s="12" t="s">
        <v>4861</v>
      </c>
      <c r="B550" s="10" t="str">
        <f>_xlfn.IFNA(VLOOKUP($A550,CompChecksTrans!$A:$C,2,FALSE), "")</f>
        <v/>
      </c>
      <c r="C550" s="10" t="str">
        <f>_xlfn.IFNA(VLOOKUP(B550,Phase1!A$4:C$129,3,FALSE),"")</f>
        <v/>
      </c>
      <c r="D550" s="10" t="str">
        <f>_xlfn.IFNA(VLOOKUP($A550,CompChecksTrans!$A:$C,3,FALSE), "     ")</f>
        <v xml:space="preserve">     </v>
      </c>
    </row>
    <row r="551" spans="1:4" x14ac:dyDescent="0.25">
      <c r="A551" s="12" t="s">
        <v>4862</v>
      </c>
      <c r="B551" s="10" t="str">
        <f>_xlfn.IFNA(VLOOKUP($A551,CompChecksTrans!$A:$C,2,FALSE), "")</f>
        <v/>
      </c>
      <c r="C551" s="10" t="str">
        <f>_xlfn.IFNA(VLOOKUP(B551,Phase1!A$4:C$129,3,FALSE),"")</f>
        <v/>
      </c>
      <c r="D551" s="10" t="str">
        <f>_xlfn.IFNA(VLOOKUP($A551,CompChecksTrans!$A:$C,3,FALSE), "     ")</f>
        <v xml:space="preserve">     </v>
      </c>
    </row>
    <row r="552" spans="1:4" x14ac:dyDescent="0.25">
      <c r="A552" s="12" t="s">
        <v>4863</v>
      </c>
      <c r="B552" s="10" t="str">
        <f>_xlfn.IFNA(VLOOKUP($A552,CompChecksTrans!$A:$C,2,FALSE), "")</f>
        <v/>
      </c>
      <c r="C552" s="10" t="str">
        <f>_xlfn.IFNA(VLOOKUP(B552,Phase1!A$4:C$129,3,FALSE),"")</f>
        <v/>
      </c>
      <c r="D552" s="10" t="str">
        <f>_xlfn.IFNA(VLOOKUP($A552,CompChecksTrans!$A:$C,3,FALSE), "     ")</f>
        <v xml:space="preserve">     </v>
      </c>
    </row>
    <row r="553" spans="1:4" x14ac:dyDescent="0.25">
      <c r="A553" s="12" t="s">
        <v>4864</v>
      </c>
      <c r="B553" s="10" t="str">
        <f>_xlfn.IFNA(VLOOKUP($A553,CompChecksTrans!$A:$C,2,FALSE), "")</f>
        <v/>
      </c>
      <c r="C553" s="10" t="str">
        <f>_xlfn.IFNA(VLOOKUP(B553,Phase1!A$4:C$129,3,FALSE),"")</f>
        <v/>
      </c>
      <c r="D553" s="10" t="str">
        <f>_xlfn.IFNA(VLOOKUP($A553,CompChecksTrans!$A:$C,3,FALSE), "     ")</f>
        <v xml:space="preserve">     </v>
      </c>
    </row>
    <row r="554" spans="1:4" x14ac:dyDescent="0.25">
      <c r="A554" s="12" t="s">
        <v>4865</v>
      </c>
      <c r="B554" s="10" t="str">
        <f>_xlfn.IFNA(VLOOKUP($A554,CompChecksTrans!$A:$C,2,FALSE), "")</f>
        <v/>
      </c>
      <c r="C554" s="10" t="str">
        <f>_xlfn.IFNA(VLOOKUP(B554,Phase1!A$4:C$129,3,FALSE),"")</f>
        <v/>
      </c>
      <c r="D554" s="10" t="str">
        <f>_xlfn.IFNA(VLOOKUP($A554,CompChecksTrans!$A:$C,3,FALSE), "     ")</f>
        <v xml:space="preserve">     </v>
      </c>
    </row>
    <row r="555" spans="1:4" x14ac:dyDescent="0.25">
      <c r="A555" s="12" t="s">
        <v>4866</v>
      </c>
      <c r="B555" s="10" t="str">
        <f>_xlfn.IFNA(VLOOKUP($A555,CompChecksTrans!$A:$C,2,FALSE), "")</f>
        <v/>
      </c>
      <c r="C555" s="10" t="str">
        <f>_xlfn.IFNA(VLOOKUP(B555,Phase1!A$4:C$129,3,FALSE),"")</f>
        <v/>
      </c>
      <c r="D555" s="10" t="str">
        <f>_xlfn.IFNA(VLOOKUP($A555,CompChecksTrans!$A:$C,3,FALSE), "     ")</f>
        <v xml:space="preserve">     </v>
      </c>
    </row>
    <row r="556" spans="1:4" x14ac:dyDescent="0.25">
      <c r="A556" s="12" t="s">
        <v>4867</v>
      </c>
      <c r="B556" s="10" t="str">
        <f>_xlfn.IFNA(VLOOKUP($A556,CompChecksTrans!$A:$C,2,FALSE), "")</f>
        <v/>
      </c>
      <c r="C556" s="10" t="str">
        <f>_xlfn.IFNA(VLOOKUP(B556,Phase1!A$4:C$129,3,FALSE),"")</f>
        <v/>
      </c>
      <c r="D556" s="10" t="str">
        <f>_xlfn.IFNA(VLOOKUP($A556,CompChecksTrans!$A:$C,3,FALSE), "     ")</f>
        <v xml:space="preserve">     </v>
      </c>
    </row>
    <row r="557" spans="1:4" x14ac:dyDescent="0.25">
      <c r="A557" s="12" t="s">
        <v>4868</v>
      </c>
      <c r="B557" s="10" t="str">
        <f>_xlfn.IFNA(VLOOKUP($A557,CompChecksTrans!$A:$C,2,FALSE), "")</f>
        <v/>
      </c>
      <c r="C557" s="10" t="str">
        <f>_xlfn.IFNA(VLOOKUP(B557,Phase1!A$4:C$129,3,FALSE),"")</f>
        <v/>
      </c>
      <c r="D557" s="10" t="str">
        <f>_xlfn.IFNA(VLOOKUP($A557,CompChecksTrans!$A:$C,3,FALSE), "     ")</f>
        <v xml:space="preserve">     </v>
      </c>
    </row>
    <row r="558" spans="1:4" x14ac:dyDescent="0.25">
      <c r="A558" s="12" t="s">
        <v>4869</v>
      </c>
      <c r="B558" s="10" t="str">
        <f>_xlfn.IFNA(VLOOKUP($A558,CompChecksTrans!$A:$C,2,FALSE), "")</f>
        <v/>
      </c>
      <c r="C558" s="10" t="str">
        <f>_xlfn.IFNA(VLOOKUP(B558,Phase1!A$4:C$129,3,FALSE),"")</f>
        <v/>
      </c>
      <c r="D558" s="10" t="str">
        <f>_xlfn.IFNA(VLOOKUP($A558,CompChecksTrans!$A:$C,3,FALSE), "     ")</f>
        <v xml:space="preserve">     </v>
      </c>
    </row>
    <row r="559" spans="1:4" x14ac:dyDescent="0.25">
      <c r="A559" s="12" t="s">
        <v>4870</v>
      </c>
      <c r="B559" s="10" t="str">
        <f>_xlfn.IFNA(VLOOKUP($A559,CompChecksTrans!$A:$C,2,FALSE), "")</f>
        <v/>
      </c>
      <c r="C559" s="10" t="str">
        <f>_xlfn.IFNA(VLOOKUP(B559,Phase1!A$4:C$129,3,FALSE),"")</f>
        <v/>
      </c>
      <c r="D559" s="10" t="str">
        <f>_xlfn.IFNA(VLOOKUP($A559,CompChecksTrans!$A:$C,3,FALSE), "     ")</f>
        <v xml:space="preserve">     </v>
      </c>
    </row>
    <row r="560" spans="1:4" x14ac:dyDescent="0.25">
      <c r="A560" s="12" t="s">
        <v>4871</v>
      </c>
      <c r="B560" s="10" t="str">
        <f>_xlfn.IFNA(VLOOKUP($A560,CompChecksTrans!$A:$C,2,FALSE), "")</f>
        <v/>
      </c>
      <c r="C560" s="10" t="str">
        <f>_xlfn.IFNA(VLOOKUP(B560,Phase1!A$4:C$129,3,FALSE),"")</f>
        <v/>
      </c>
      <c r="D560" s="10" t="str">
        <f>_xlfn.IFNA(VLOOKUP($A560,CompChecksTrans!$A:$C,3,FALSE), "     ")</f>
        <v xml:space="preserve">     </v>
      </c>
    </row>
    <row r="561" spans="1:4" x14ac:dyDescent="0.25">
      <c r="A561" s="12" t="s">
        <v>4872</v>
      </c>
      <c r="B561" s="10" t="str">
        <f>_xlfn.IFNA(VLOOKUP($A561,CompChecksTrans!$A:$C,2,FALSE), "")</f>
        <v/>
      </c>
      <c r="C561" s="10" t="str">
        <f>_xlfn.IFNA(VLOOKUP(B561,Phase1!A$4:C$129,3,FALSE),"")</f>
        <v/>
      </c>
      <c r="D561" s="10" t="str">
        <f>_xlfn.IFNA(VLOOKUP($A561,CompChecksTrans!$A:$C,3,FALSE), "     ")</f>
        <v xml:space="preserve">     </v>
      </c>
    </row>
    <row r="562" spans="1:4" x14ac:dyDescent="0.25">
      <c r="A562" s="12" t="s">
        <v>4873</v>
      </c>
      <c r="B562" s="10" t="str">
        <f>_xlfn.IFNA(VLOOKUP($A562,CompChecksTrans!$A:$C,2,FALSE), "")</f>
        <v/>
      </c>
      <c r="C562" s="10" t="str">
        <f>_xlfn.IFNA(VLOOKUP(B562,Phase1!A$4:C$129,3,FALSE),"")</f>
        <v/>
      </c>
      <c r="D562" s="10" t="str">
        <f>_xlfn.IFNA(VLOOKUP($A562,CompChecksTrans!$A:$C,3,FALSE), "     ")</f>
        <v xml:space="preserve">     </v>
      </c>
    </row>
    <row r="563" spans="1:4" x14ac:dyDescent="0.25">
      <c r="A563" s="12" t="s">
        <v>4874</v>
      </c>
      <c r="B563" s="10" t="str">
        <f>_xlfn.IFNA(VLOOKUP($A563,CompChecksTrans!$A:$C,2,FALSE), "")</f>
        <v/>
      </c>
      <c r="C563" s="10" t="str">
        <f>_xlfn.IFNA(VLOOKUP(B563,Phase1!A$4:C$129,3,FALSE),"")</f>
        <v/>
      </c>
      <c r="D563" s="10" t="str">
        <f>_xlfn.IFNA(VLOOKUP($A563,CompChecksTrans!$A:$C,3,FALSE), "     ")</f>
        <v xml:space="preserve">     </v>
      </c>
    </row>
    <row r="564" spans="1:4" x14ac:dyDescent="0.25">
      <c r="A564" s="12" t="s">
        <v>4875</v>
      </c>
      <c r="B564" s="10" t="str">
        <f>_xlfn.IFNA(VLOOKUP($A564,CompChecksTrans!$A:$C,2,FALSE), "")</f>
        <v/>
      </c>
      <c r="C564" s="10" t="str">
        <f>_xlfn.IFNA(VLOOKUP(B564,Phase1!A$4:C$129,3,FALSE),"")</f>
        <v/>
      </c>
      <c r="D564" s="10" t="str">
        <f>_xlfn.IFNA(VLOOKUP($A564,CompChecksTrans!$A:$C,3,FALSE), "     ")</f>
        <v xml:space="preserve">     </v>
      </c>
    </row>
    <row r="565" spans="1:4" x14ac:dyDescent="0.25">
      <c r="A565" s="12" t="s">
        <v>4876</v>
      </c>
      <c r="B565" s="10" t="str">
        <f>_xlfn.IFNA(VLOOKUP($A565,CompChecksTrans!$A:$C,2,FALSE), "")</f>
        <v/>
      </c>
      <c r="C565" s="10" t="str">
        <f>_xlfn.IFNA(VLOOKUP(B565,Phase1!A$4:C$129,3,FALSE),"")</f>
        <v/>
      </c>
      <c r="D565" s="10" t="str">
        <f>_xlfn.IFNA(VLOOKUP($A565,CompChecksTrans!$A:$C,3,FALSE), "     ")</f>
        <v xml:space="preserve">     </v>
      </c>
    </row>
    <row r="566" spans="1:4" x14ac:dyDescent="0.25">
      <c r="A566" s="12" t="s">
        <v>4877</v>
      </c>
      <c r="B566" s="10" t="str">
        <f>_xlfn.IFNA(VLOOKUP($A566,CompChecksTrans!$A:$C,2,FALSE), "")</f>
        <v/>
      </c>
      <c r="C566" s="10" t="str">
        <f>_xlfn.IFNA(VLOOKUP(B566,Phase1!A$4:C$129,3,FALSE),"")</f>
        <v/>
      </c>
      <c r="D566" s="10" t="str">
        <f>_xlfn.IFNA(VLOOKUP($A566,CompChecksTrans!$A:$C,3,FALSE), "     ")</f>
        <v xml:space="preserve">     </v>
      </c>
    </row>
    <row r="567" spans="1:4" x14ac:dyDescent="0.25">
      <c r="A567" s="12" t="s">
        <v>4878</v>
      </c>
      <c r="B567" s="10" t="str">
        <f>_xlfn.IFNA(VLOOKUP($A567,CompChecksTrans!$A:$C,2,FALSE), "")</f>
        <v/>
      </c>
      <c r="C567" s="10" t="str">
        <f>_xlfn.IFNA(VLOOKUP(B567,Phase1!A$4:C$129,3,FALSE),"")</f>
        <v/>
      </c>
      <c r="D567" s="10" t="str">
        <f>_xlfn.IFNA(VLOOKUP($A567,CompChecksTrans!$A:$C,3,FALSE), "     ")</f>
        <v xml:space="preserve">     </v>
      </c>
    </row>
    <row r="568" spans="1:4" x14ac:dyDescent="0.25">
      <c r="A568" s="12" t="s">
        <v>4879</v>
      </c>
      <c r="B568" s="10" t="str">
        <f>_xlfn.IFNA(VLOOKUP($A568,CompChecksTrans!$A:$C,2,FALSE), "")</f>
        <v/>
      </c>
      <c r="C568" s="10" t="str">
        <f>_xlfn.IFNA(VLOOKUP(B568,Phase1!A$4:C$129,3,FALSE),"")</f>
        <v/>
      </c>
      <c r="D568" s="10" t="str">
        <f>_xlfn.IFNA(VLOOKUP($A568,CompChecksTrans!$A:$C,3,FALSE), "     ")</f>
        <v xml:space="preserve">     </v>
      </c>
    </row>
    <row r="569" spans="1:4" x14ac:dyDescent="0.25">
      <c r="A569" s="12" t="s">
        <v>4880</v>
      </c>
      <c r="B569" s="10" t="str">
        <f>_xlfn.IFNA(VLOOKUP($A569,CompChecksTrans!$A:$C,2,FALSE), "")</f>
        <v/>
      </c>
      <c r="C569" s="10" t="str">
        <f>_xlfn.IFNA(VLOOKUP(B569,Phase1!A$4:C$129,3,FALSE),"")</f>
        <v/>
      </c>
      <c r="D569" s="10" t="str">
        <f>_xlfn.IFNA(VLOOKUP($A569,CompChecksTrans!$A:$C,3,FALSE), "     ")</f>
        <v xml:space="preserve">     </v>
      </c>
    </row>
    <row r="570" spans="1:4" x14ac:dyDescent="0.25">
      <c r="A570" s="12" t="s">
        <v>4881</v>
      </c>
      <c r="B570" s="10" t="str">
        <f>_xlfn.IFNA(VLOOKUP($A570,CompChecksTrans!$A:$C,2,FALSE), "")</f>
        <v/>
      </c>
      <c r="C570" s="10" t="str">
        <f>_xlfn.IFNA(VLOOKUP(B570,Phase1!A$4:C$129,3,FALSE),"")</f>
        <v/>
      </c>
      <c r="D570" s="10" t="str">
        <f>_xlfn.IFNA(VLOOKUP($A570,CompChecksTrans!$A:$C,3,FALSE), "     ")</f>
        <v xml:space="preserve">     </v>
      </c>
    </row>
    <row r="571" spans="1:4" x14ac:dyDescent="0.25">
      <c r="A571" s="12" t="s">
        <v>4882</v>
      </c>
      <c r="B571" s="10" t="str">
        <f>_xlfn.IFNA(VLOOKUP($A571,CompChecksTrans!$A:$C,2,FALSE), "")</f>
        <v/>
      </c>
      <c r="C571" s="10" t="str">
        <f>_xlfn.IFNA(VLOOKUP(B571,Phase1!A$4:C$129,3,FALSE),"")</f>
        <v/>
      </c>
      <c r="D571" s="10" t="str">
        <f>_xlfn.IFNA(VLOOKUP($A571,CompChecksTrans!$A:$C,3,FALSE), "     ")</f>
        <v xml:space="preserve">     </v>
      </c>
    </row>
    <row r="572" spans="1:4" x14ac:dyDescent="0.25">
      <c r="A572" s="12" t="s">
        <v>4883</v>
      </c>
      <c r="B572" s="10" t="str">
        <f>_xlfn.IFNA(VLOOKUP($A572,CompChecksTrans!$A:$C,2,FALSE), "")</f>
        <v/>
      </c>
      <c r="C572" s="10" t="str">
        <f>_xlfn.IFNA(VLOOKUP(B572,Phase1!A$4:C$129,3,FALSE),"")</f>
        <v/>
      </c>
      <c r="D572" s="10" t="str">
        <f>_xlfn.IFNA(VLOOKUP($A572,CompChecksTrans!$A:$C,3,FALSE), "     ")</f>
        <v xml:space="preserve">     </v>
      </c>
    </row>
    <row r="573" spans="1:4" x14ac:dyDescent="0.25">
      <c r="A573" s="12" t="s">
        <v>4884</v>
      </c>
      <c r="B573" s="10" t="str">
        <f>_xlfn.IFNA(VLOOKUP($A573,CompChecksTrans!$A:$C,2,FALSE), "")</f>
        <v/>
      </c>
      <c r="C573" s="10" t="str">
        <f>_xlfn.IFNA(VLOOKUP(B573,Phase1!A$4:C$129,3,FALSE),"")</f>
        <v/>
      </c>
      <c r="D573" s="10" t="str">
        <f>_xlfn.IFNA(VLOOKUP($A573,CompChecksTrans!$A:$C,3,FALSE), "     ")</f>
        <v xml:space="preserve">     </v>
      </c>
    </row>
    <row r="574" spans="1:4" x14ac:dyDescent="0.25">
      <c r="A574" s="12" t="s">
        <v>4885</v>
      </c>
      <c r="B574" s="10" t="str">
        <f>_xlfn.IFNA(VLOOKUP($A574,CompChecksTrans!$A:$C,2,FALSE), "")</f>
        <v/>
      </c>
      <c r="C574" s="10" t="str">
        <f>_xlfn.IFNA(VLOOKUP(B574,Phase1!A$4:C$129,3,FALSE),"")</f>
        <v/>
      </c>
      <c r="D574" s="10" t="str">
        <f>_xlfn.IFNA(VLOOKUP($A574,CompChecksTrans!$A:$C,3,FALSE), "     ")</f>
        <v xml:space="preserve">     </v>
      </c>
    </row>
    <row r="575" spans="1:4" x14ac:dyDescent="0.25">
      <c r="A575" s="12" t="s">
        <v>4886</v>
      </c>
      <c r="B575" s="10" t="str">
        <f>_xlfn.IFNA(VLOOKUP($A575,CompChecksTrans!$A:$C,2,FALSE), "")</f>
        <v/>
      </c>
      <c r="C575" s="10" t="str">
        <f>_xlfn.IFNA(VLOOKUP(B575,Phase1!A$4:C$129,3,FALSE),"")</f>
        <v/>
      </c>
      <c r="D575" s="10" t="str">
        <f>_xlfn.IFNA(VLOOKUP($A575,CompChecksTrans!$A:$C,3,FALSE), "     ")</f>
        <v xml:space="preserve">     </v>
      </c>
    </row>
    <row r="576" spans="1:4" x14ac:dyDescent="0.25">
      <c r="A576" s="12" t="s">
        <v>4887</v>
      </c>
      <c r="B576" s="10" t="str">
        <f>_xlfn.IFNA(VLOOKUP($A576,CompChecksTrans!$A:$C,2,FALSE), "")</f>
        <v/>
      </c>
      <c r="C576" s="10" t="str">
        <f>_xlfn.IFNA(VLOOKUP(B576,Phase1!A$4:C$129,3,FALSE),"")</f>
        <v/>
      </c>
      <c r="D576" s="10" t="str">
        <f>_xlfn.IFNA(VLOOKUP($A576,CompChecksTrans!$A:$C,3,FALSE), "     ")</f>
        <v xml:space="preserve">     </v>
      </c>
    </row>
    <row r="577" spans="1:4" x14ac:dyDescent="0.25">
      <c r="A577" s="12" t="s">
        <v>4888</v>
      </c>
      <c r="B577" s="10" t="str">
        <f>_xlfn.IFNA(VLOOKUP($A577,CompChecksTrans!$A:$C,2,FALSE), "")</f>
        <v/>
      </c>
      <c r="C577" s="10" t="str">
        <f>_xlfn.IFNA(VLOOKUP(B577,Phase1!A$4:C$129,3,FALSE),"")</f>
        <v/>
      </c>
      <c r="D577" s="10" t="str">
        <f>_xlfn.IFNA(VLOOKUP($A577,CompChecksTrans!$A:$C,3,FALSE), "     ")</f>
        <v xml:space="preserve">     </v>
      </c>
    </row>
    <row r="578" spans="1:4" x14ac:dyDescent="0.25">
      <c r="A578" s="12" t="s">
        <v>4889</v>
      </c>
      <c r="B578" s="10" t="str">
        <f>_xlfn.IFNA(VLOOKUP($A578,CompChecksTrans!$A:$C,2,FALSE), "")</f>
        <v/>
      </c>
      <c r="C578" s="10" t="str">
        <f>_xlfn.IFNA(VLOOKUP(B578,Phase1!A$4:C$129,3,FALSE),"")</f>
        <v/>
      </c>
      <c r="D578" s="10" t="str">
        <f>_xlfn.IFNA(VLOOKUP($A578,CompChecksTrans!$A:$C,3,FALSE), "     ")</f>
        <v xml:space="preserve">     </v>
      </c>
    </row>
    <row r="579" spans="1:4" x14ac:dyDescent="0.25">
      <c r="A579" s="12" t="s">
        <v>4890</v>
      </c>
      <c r="B579" s="10" t="str">
        <f>_xlfn.IFNA(VLOOKUP($A579,CompChecksTrans!$A:$C,2,FALSE), "")</f>
        <v/>
      </c>
      <c r="C579" s="10" t="str">
        <f>_xlfn.IFNA(VLOOKUP(B579,Phase1!A$4:C$129,3,FALSE),"")</f>
        <v/>
      </c>
      <c r="D579" s="10" t="str">
        <f>_xlfn.IFNA(VLOOKUP($A579,CompChecksTrans!$A:$C,3,FALSE), "     ")</f>
        <v xml:space="preserve">     </v>
      </c>
    </row>
    <row r="580" spans="1:4" x14ac:dyDescent="0.25">
      <c r="A580" s="12" t="s">
        <v>4891</v>
      </c>
      <c r="B580" s="10" t="str">
        <f>_xlfn.IFNA(VLOOKUP($A580,CompChecksTrans!$A:$C,2,FALSE), "")</f>
        <v/>
      </c>
      <c r="C580" s="10" t="str">
        <f>_xlfn.IFNA(VLOOKUP(B580,Phase1!A$4:C$129,3,FALSE),"")</f>
        <v/>
      </c>
      <c r="D580" s="10" t="str">
        <f>_xlfn.IFNA(VLOOKUP($A580,CompChecksTrans!$A:$C,3,FALSE), "     ")</f>
        <v xml:space="preserve">     </v>
      </c>
    </row>
    <row r="581" spans="1:4" x14ac:dyDescent="0.25">
      <c r="A581" s="12" t="s">
        <v>4892</v>
      </c>
      <c r="B581" s="10" t="str">
        <f>_xlfn.IFNA(VLOOKUP($A581,CompChecksTrans!$A:$C,2,FALSE), "")</f>
        <v/>
      </c>
      <c r="C581" s="10" t="str">
        <f>_xlfn.IFNA(VLOOKUP(B581,Phase1!A$4:C$129,3,FALSE),"")</f>
        <v/>
      </c>
      <c r="D581" s="10" t="str">
        <f>_xlfn.IFNA(VLOOKUP($A581,CompChecksTrans!$A:$C,3,FALSE), "     ")</f>
        <v xml:space="preserve">     </v>
      </c>
    </row>
    <row r="582" spans="1:4" x14ac:dyDescent="0.25">
      <c r="A582" s="12" t="s">
        <v>4893</v>
      </c>
      <c r="B582" s="10" t="str">
        <f>_xlfn.IFNA(VLOOKUP($A582,CompChecksTrans!$A:$C,2,FALSE), "")</f>
        <v/>
      </c>
      <c r="C582" s="10" t="str">
        <f>_xlfn.IFNA(VLOOKUP(B582,Phase1!A$4:C$129,3,FALSE),"")</f>
        <v/>
      </c>
      <c r="D582" s="10" t="str">
        <f>_xlfn.IFNA(VLOOKUP($A582,CompChecksTrans!$A:$C,3,FALSE), "     ")</f>
        <v xml:space="preserve">     </v>
      </c>
    </row>
    <row r="583" spans="1:4" x14ac:dyDescent="0.25">
      <c r="A583" s="12" t="s">
        <v>4894</v>
      </c>
      <c r="B583" s="10" t="str">
        <f>_xlfn.IFNA(VLOOKUP($A583,CompChecksTrans!$A:$C,2,FALSE), "")</f>
        <v/>
      </c>
      <c r="C583" s="10" t="str">
        <f>_xlfn.IFNA(VLOOKUP(B583,Phase1!A$4:C$129,3,FALSE),"")</f>
        <v/>
      </c>
      <c r="D583" s="10" t="str">
        <f>_xlfn.IFNA(VLOOKUP($A583,CompChecksTrans!$A:$C,3,FALSE), "     ")</f>
        <v xml:space="preserve">     </v>
      </c>
    </row>
    <row r="584" spans="1:4" x14ac:dyDescent="0.25">
      <c r="A584" s="12" t="s">
        <v>4895</v>
      </c>
      <c r="B584" s="10" t="str">
        <f>_xlfn.IFNA(VLOOKUP($A584,CompChecksTrans!$A:$C,2,FALSE), "")</f>
        <v/>
      </c>
      <c r="C584" s="10" t="str">
        <f>_xlfn.IFNA(VLOOKUP(B584,Phase1!A$4:C$129,3,FALSE),"")</f>
        <v/>
      </c>
      <c r="D584" s="10" t="str">
        <f>_xlfn.IFNA(VLOOKUP($A584,CompChecksTrans!$A:$C,3,FALSE), "     ")</f>
        <v xml:space="preserve">     </v>
      </c>
    </row>
    <row r="585" spans="1:4" x14ac:dyDescent="0.25">
      <c r="A585" s="12" t="s">
        <v>4896</v>
      </c>
      <c r="B585" s="10" t="str">
        <f>_xlfn.IFNA(VLOOKUP($A585,CompChecksTrans!$A:$C,2,FALSE), "")</f>
        <v/>
      </c>
      <c r="C585" s="10" t="str">
        <f>_xlfn.IFNA(VLOOKUP(B585,Phase1!A$4:C$129,3,FALSE),"")</f>
        <v/>
      </c>
      <c r="D585" s="10" t="str">
        <f>_xlfn.IFNA(VLOOKUP($A585,CompChecksTrans!$A:$C,3,FALSE), "     ")</f>
        <v xml:space="preserve">     </v>
      </c>
    </row>
    <row r="586" spans="1:4" x14ac:dyDescent="0.25">
      <c r="A586" s="12" t="s">
        <v>4897</v>
      </c>
      <c r="B586" s="10" t="str">
        <f>_xlfn.IFNA(VLOOKUP($A586,CompChecksTrans!$A:$C,2,FALSE), "")</f>
        <v/>
      </c>
      <c r="C586" s="10" t="str">
        <f>_xlfn.IFNA(VLOOKUP(B586,Phase1!A$4:C$129,3,FALSE),"")</f>
        <v/>
      </c>
      <c r="D586" s="10" t="str">
        <f>_xlfn.IFNA(VLOOKUP($A586,CompChecksTrans!$A:$C,3,FALSE), "     ")</f>
        <v xml:space="preserve">     </v>
      </c>
    </row>
    <row r="587" spans="1:4" x14ac:dyDescent="0.25">
      <c r="A587" s="12" t="s">
        <v>4898</v>
      </c>
      <c r="B587" s="10" t="str">
        <f>_xlfn.IFNA(VLOOKUP($A587,CompChecksTrans!$A:$C,2,FALSE), "")</f>
        <v/>
      </c>
      <c r="C587" s="10" t="str">
        <f>_xlfn.IFNA(VLOOKUP(B587,Phase1!A$4:C$129,3,FALSE),"")</f>
        <v/>
      </c>
      <c r="D587" s="10" t="str">
        <f>_xlfn.IFNA(VLOOKUP($A587,CompChecksTrans!$A:$C,3,FALSE), "     ")</f>
        <v xml:space="preserve">     </v>
      </c>
    </row>
    <row r="588" spans="1:4" x14ac:dyDescent="0.25">
      <c r="A588" s="12" t="s">
        <v>4899</v>
      </c>
      <c r="B588" s="10" t="str">
        <f>_xlfn.IFNA(VLOOKUP($A588,CompChecksTrans!$A:$C,2,FALSE), "")</f>
        <v/>
      </c>
      <c r="C588" s="10" t="str">
        <f>_xlfn.IFNA(VLOOKUP(B588,Phase1!A$4:C$129,3,FALSE),"")</f>
        <v/>
      </c>
      <c r="D588" s="10" t="str">
        <f>_xlfn.IFNA(VLOOKUP($A588,CompChecksTrans!$A:$C,3,FALSE), "     ")</f>
        <v xml:space="preserve">     </v>
      </c>
    </row>
    <row r="589" spans="1:4" x14ac:dyDescent="0.25">
      <c r="A589" s="12" t="s">
        <v>4900</v>
      </c>
      <c r="B589" s="10" t="str">
        <f>_xlfn.IFNA(VLOOKUP($A589,CompChecksTrans!$A:$C,2,FALSE), "")</f>
        <v/>
      </c>
      <c r="C589" s="10" t="str">
        <f>_xlfn.IFNA(VLOOKUP(B589,Phase1!A$4:C$129,3,FALSE),"")</f>
        <v/>
      </c>
      <c r="D589" s="10" t="str">
        <f>_xlfn.IFNA(VLOOKUP($A589,CompChecksTrans!$A:$C,3,FALSE), "     ")</f>
        <v xml:space="preserve">     </v>
      </c>
    </row>
    <row r="590" spans="1:4" x14ac:dyDescent="0.25">
      <c r="A590" s="12" t="s">
        <v>4901</v>
      </c>
      <c r="B590" s="10" t="str">
        <f>_xlfn.IFNA(VLOOKUP($A590,CompChecksTrans!$A:$C,2,FALSE), "")</f>
        <v/>
      </c>
      <c r="C590" s="10" t="str">
        <f>_xlfn.IFNA(VLOOKUP(B590,Phase1!A$4:C$129,3,FALSE),"")</f>
        <v/>
      </c>
      <c r="D590" s="10" t="str">
        <f>_xlfn.IFNA(VLOOKUP($A590,CompChecksTrans!$A:$C,3,FALSE), "     ")</f>
        <v xml:space="preserve">     </v>
      </c>
    </row>
    <row r="591" spans="1:4" x14ac:dyDescent="0.25">
      <c r="A591" s="12" t="s">
        <v>4902</v>
      </c>
      <c r="B591" s="10" t="str">
        <f>_xlfn.IFNA(VLOOKUP($A591,CompChecksTrans!$A:$C,2,FALSE), "")</f>
        <v/>
      </c>
      <c r="C591" s="10" t="str">
        <f>_xlfn.IFNA(VLOOKUP(B591,Phase1!A$4:C$129,3,FALSE),"")</f>
        <v/>
      </c>
      <c r="D591" s="10" t="str">
        <f>_xlfn.IFNA(VLOOKUP($A591,CompChecksTrans!$A:$C,3,FALSE), "     ")</f>
        <v xml:space="preserve">     </v>
      </c>
    </row>
    <row r="592" spans="1:4" x14ac:dyDescent="0.25">
      <c r="A592" s="12" t="s">
        <v>4903</v>
      </c>
      <c r="B592" s="10" t="str">
        <f>_xlfn.IFNA(VLOOKUP($A592,CompChecksTrans!$A:$C,2,FALSE), "")</f>
        <v/>
      </c>
      <c r="C592" s="10" t="str">
        <f>_xlfn.IFNA(VLOOKUP(B592,Phase1!A$4:C$129,3,FALSE),"")</f>
        <v/>
      </c>
      <c r="D592" s="10" t="str">
        <f>_xlfn.IFNA(VLOOKUP($A592,CompChecksTrans!$A:$C,3,FALSE), "     ")</f>
        <v xml:space="preserve">     </v>
      </c>
    </row>
    <row r="593" spans="1:4" x14ac:dyDescent="0.25">
      <c r="A593" s="12" t="s">
        <v>4904</v>
      </c>
      <c r="B593" s="10" t="str">
        <f>_xlfn.IFNA(VLOOKUP($A593,CompChecksTrans!$A:$C,2,FALSE), "")</f>
        <v/>
      </c>
      <c r="C593" s="10" t="str">
        <f>_xlfn.IFNA(VLOOKUP(B593,Phase1!A$4:C$129,3,FALSE),"")</f>
        <v/>
      </c>
      <c r="D593" s="10" t="str">
        <f>_xlfn.IFNA(VLOOKUP($A593,CompChecksTrans!$A:$C,3,FALSE), "     ")</f>
        <v xml:space="preserve">     </v>
      </c>
    </row>
    <row r="594" spans="1:4" x14ac:dyDescent="0.25">
      <c r="A594" s="12" t="s">
        <v>4905</v>
      </c>
      <c r="B594" s="10" t="str">
        <f>_xlfn.IFNA(VLOOKUP($A594,CompChecksTrans!$A:$C,2,FALSE), "")</f>
        <v/>
      </c>
      <c r="C594" s="10" t="str">
        <f>_xlfn.IFNA(VLOOKUP(B594,Phase1!A$4:C$129,3,FALSE),"")</f>
        <v/>
      </c>
      <c r="D594" s="10" t="str">
        <f>_xlfn.IFNA(VLOOKUP($A594,CompChecksTrans!$A:$C,3,FALSE), "     ")</f>
        <v xml:space="preserve">     </v>
      </c>
    </row>
    <row r="595" spans="1:4" x14ac:dyDescent="0.25">
      <c r="A595" s="12" t="s">
        <v>4906</v>
      </c>
      <c r="B595" s="10" t="str">
        <f>_xlfn.IFNA(VLOOKUP($A595,CompChecksTrans!$A:$C,2,FALSE), "")</f>
        <v/>
      </c>
      <c r="C595" s="10" t="str">
        <f>_xlfn.IFNA(VLOOKUP(B595,Phase1!A$4:C$129,3,FALSE),"")</f>
        <v/>
      </c>
      <c r="D595" s="10" t="str">
        <f>_xlfn.IFNA(VLOOKUP($A595,CompChecksTrans!$A:$C,3,FALSE), "     ")</f>
        <v xml:space="preserve">     </v>
      </c>
    </row>
    <row r="596" spans="1:4" x14ac:dyDescent="0.25">
      <c r="A596" s="12" t="s">
        <v>4907</v>
      </c>
      <c r="B596" s="10" t="str">
        <f>_xlfn.IFNA(VLOOKUP($A596,CompChecksTrans!$A:$C,2,FALSE), "")</f>
        <v/>
      </c>
      <c r="C596" s="10" t="str">
        <f>_xlfn.IFNA(VLOOKUP(B596,Phase1!A$4:C$129,3,FALSE),"")</f>
        <v/>
      </c>
      <c r="D596" s="10" t="str">
        <f>_xlfn.IFNA(VLOOKUP($A596,CompChecksTrans!$A:$C,3,FALSE), "     ")</f>
        <v xml:space="preserve">     </v>
      </c>
    </row>
    <row r="597" spans="1:4" x14ac:dyDescent="0.25">
      <c r="A597" s="12" t="s">
        <v>4908</v>
      </c>
      <c r="B597" s="10" t="str">
        <f>_xlfn.IFNA(VLOOKUP($A597,CompChecksTrans!$A:$C,2,FALSE), "")</f>
        <v/>
      </c>
      <c r="C597" s="10" t="str">
        <f>_xlfn.IFNA(VLOOKUP(B597,Phase1!A$4:C$129,3,FALSE),"")</f>
        <v/>
      </c>
      <c r="D597" s="10" t="str">
        <f>_xlfn.IFNA(VLOOKUP($A597,CompChecksTrans!$A:$C,3,FALSE), "     ")</f>
        <v xml:space="preserve">     </v>
      </c>
    </row>
    <row r="598" spans="1:4" x14ac:dyDescent="0.25">
      <c r="A598" s="12" t="s">
        <v>4909</v>
      </c>
      <c r="B598" s="10" t="str">
        <f>_xlfn.IFNA(VLOOKUP($A598,CompChecksTrans!$A:$C,2,FALSE), "")</f>
        <v/>
      </c>
      <c r="C598" s="10" t="str">
        <f>_xlfn.IFNA(VLOOKUP(B598,Phase1!A$4:C$129,3,FALSE),"")</f>
        <v/>
      </c>
      <c r="D598" s="10" t="str">
        <f>_xlfn.IFNA(VLOOKUP($A598,CompChecksTrans!$A:$C,3,FALSE), "     ")</f>
        <v xml:space="preserve">     </v>
      </c>
    </row>
    <row r="599" spans="1:4" x14ac:dyDescent="0.25">
      <c r="A599" s="12" t="s">
        <v>4910</v>
      </c>
      <c r="B599" s="10" t="str">
        <f>_xlfn.IFNA(VLOOKUP($A599,CompChecksTrans!$A:$C,2,FALSE), "")</f>
        <v/>
      </c>
      <c r="C599" s="10" t="str">
        <f>_xlfn.IFNA(VLOOKUP(B599,Phase1!A$4:C$129,3,FALSE),"")</f>
        <v/>
      </c>
      <c r="D599" s="10" t="str">
        <f>_xlfn.IFNA(VLOOKUP($A599,CompChecksTrans!$A:$C,3,FALSE), "     ")</f>
        <v xml:space="preserve">     </v>
      </c>
    </row>
    <row r="600" spans="1:4" x14ac:dyDescent="0.25">
      <c r="A600" s="12" t="s">
        <v>4911</v>
      </c>
      <c r="B600" s="10" t="str">
        <f>_xlfn.IFNA(VLOOKUP($A600,CompChecksTrans!$A:$C,2,FALSE), "")</f>
        <v/>
      </c>
      <c r="C600" s="10" t="str">
        <f>_xlfn.IFNA(VLOOKUP(B600,Phase1!A$4:C$129,3,FALSE),"")</f>
        <v/>
      </c>
      <c r="D600" s="10" t="str">
        <f>_xlfn.IFNA(VLOOKUP($A600,CompChecksTrans!$A:$C,3,FALSE), "     ")</f>
        <v xml:space="preserve">     </v>
      </c>
    </row>
    <row r="601" spans="1:4" x14ac:dyDescent="0.25">
      <c r="A601" s="12" t="s">
        <v>4912</v>
      </c>
      <c r="B601" s="10" t="str">
        <f>_xlfn.IFNA(VLOOKUP($A601,CompChecksTrans!$A:$C,2,FALSE), "")</f>
        <v/>
      </c>
      <c r="C601" s="10" t="str">
        <f>_xlfn.IFNA(VLOOKUP(B601,Phase1!A$4:C$129,3,FALSE),"")</f>
        <v/>
      </c>
      <c r="D601" s="10" t="str">
        <f>_xlfn.IFNA(VLOOKUP($A601,CompChecksTrans!$A:$C,3,FALSE), "     ")</f>
        <v xml:space="preserve">     </v>
      </c>
    </row>
    <row r="602" spans="1:4" x14ac:dyDescent="0.25">
      <c r="A602" s="12" t="s">
        <v>4913</v>
      </c>
      <c r="B602" s="10" t="str">
        <f>_xlfn.IFNA(VLOOKUP($A602,CompChecksTrans!$A:$C,2,FALSE), "")</f>
        <v/>
      </c>
      <c r="C602" s="10" t="str">
        <f>_xlfn.IFNA(VLOOKUP(B602,Phase1!A$4:C$129,3,FALSE),"")</f>
        <v/>
      </c>
      <c r="D602" s="10" t="str">
        <f>_xlfn.IFNA(VLOOKUP($A602,CompChecksTrans!$A:$C,3,FALSE), "     ")</f>
        <v xml:space="preserve">     </v>
      </c>
    </row>
    <row r="603" spans="1:4" x14ac:dyDescent="0.25">
      <c r="A603" s="12" t="s">
        <v>4914</v>
      </c>
      <c r="B603" s="10" t="str">
        <f>_xlfn.IFNA(VLOOKUP($A603,CompChecksTrans!$A:$C,2,FALSE), "")</f>
        <v/>
      </c>
      <c r="C603" s="10" t="str">
        <f>_xlfn.IFNA(VLOOKUP(B603,Phase1!A$4:C$129,3,FALSE),"")</f>
        <v/>
      </c>
      <c r="D603" s="10" t="str">
        <f>_xlfn.IFNA(VLOOKUP($A603,CompChecksTrans!$A:$C,3,FALSE), "     ")</f>
        <v xml:space="preserve">     </v>
      </c>
    </row>
    <row r="604" spans="1:4" x14ac:dyDescent="0.25">
      <c r="A604" s="12" t="s">
        <v>4915</v>
      </c>
      <c r="B604" s="10" t="str">
        <f>_xlfn.IFNA(VLOOKUP($A604,CompChecksTrans!$A:$C,2,FALSE), "")</f>
        <v/>
      </c>
      <c r="C604" s="10" t="str">
        <f>_xlfn.IFNA(VLOOKUP(B604,Phase1!A$4:C$129,3,FALSE),"")</f>
        <v/>
      </c>
      <c r="D604" s="10" t="str">
        <f>_xlfn.IFNA(VLOOKUP($A604,CompChecksTrans!$A:$C,3,FALSE), "     ")</f>
        <v xml:space="preserve">     </v>
      </c>
    </row>
    <row r="605" spans="1:4" x14ac:dyDescent="0.25">
      <c r="A605" s="12" t="s">
        <v>4916</v>
      </c>
      <c r="B605" s="10" t="str">
        <f>_xlfn.IFNA(VLOOKUP($A605,CompChecksTrans!$A:$C,2,FALSE), "")</f>
        <v/>
      </c>
      <c r="C605" s="10" t="str">
        <f>_xlfn.IFNA(VLOOKUP(B605,Phase1!A$4:C$129,3,FALSE),"")</f>
        <v/>
      </c>
      <c r="D605" s="10" t="str">
        <f>_xlfn.IFNA(VLOOKUP($A605,CompChecksTrans!$A:$C,3,FALSE), "     ")</f>
        <v xml:space="preserve">     </v>
      </c>
    </row>
    <row r="606" spans="1:4" x14ac:dyDescent="0.25">
      <c r="A606" s="12" t="s">
        <v>4917</v>
      </c>
      <c r="B606" s="10" t="str">
        <f>_xlfn.IFNA(VLOOKUP($A606,CompChecksTrans!$A:$C,2,FALSE), "")</f>
        <v/>
      </c>
      <c r="C606" s="10" t="str">
        <f>_xlfn.IFNA(VLOOKUP(B606,Phase1!A$4:C$129,3,FALSE),"")</f>
        <v/>
      </c>
      <c r="D606" s="10" t="str">
        <f>_xlfn.IFNA(VLOOKUP($A606,CompChecksTrans!$A:$C,3,FALSE), "     ")</f>
        <v xml:space="preserve">     </v>
      </c>
    </row>
    <row r="607" spans="1:4" x14ac:dyDescent="0.25">
      <c r="A607" s="12" t="s">
        <v>4918</v>
      </c>
      <c r="B607" s="10" t="str">
        <f>_xlfn.IFNA(VLOOKUP($A607,CompChecksTrans!$A:$C,2,FALSE), "")</f>
        <v/>
      </c>
      <c r="C607" s="10" t="str">
        <f>_xlfn.IFNA(VLOOKUP(B607,Phase1!A$4:C$129,3,FALSE),"")</f>
        <v/>
      </c>
      <c r="D607" s="10" t="str">
        <f>_xlfn.IFNA(VLOOKUP($A607,CompChecksTrans!$A:$C,3,FALSE), "     ")</f>
        <v xml:space="preserve">     </v>
      </c>
    </row>
    <row r="608" spans="1:4" x14ac:dyDescent="0.25">
      <c r="A608" s="12" t="s">
        <v>4919</v>
      </c>
      <c r="B608" s="10" t="str">
        <f>_xlfn.IFNA(VLOOKUP($A608,CompChecksTrans!$A:$C,2,FALSE), "")</f>
        <v/>
      </c>
      <c r="C608" s="10" t="str">
        <f>_xlfn.IFNA(VLOOKUP(B608,Phase1!A$4:C$129,3,FALSE),"")</f>
        <v/>
      </c>
      <c r="D608" s="10" t="str">
        <f>_xlfn.IFNA(VLOOKUP($A608,CompChecksTrans!$A:$C,3,FALSE), "     ")</f>
        <v xml:space="preserve">     </v>
      </c>
    </row>
    <row r="609" spans="1:4" x14ac:dyDescent="0.25">
      <c r="A609" s="12" t="s">
        <v>4920</v>
      </c>
      <c r="B609" s="10" t="str">
        <f>_xlfn.IFNA(VLOOKUP($A609,CompChecksTrans!$A:$C,2,FALSE), "")</f>
        <v/>
      </c>
      <c r="C609" s="10" t="str">
        <f>_xlfn.IFNA(VLOOKUP(B609,Phase1!A$4:C$129,3,FALSE),"")</f>
        <v/>
      </c>
      <c r="D609" s="10" t="str">
        <f>_xlfn.IFNA(VLOOKUP($A609,CompChecksTrans!$A:$C,3,FALSE), "     ")</f>
        <v xml:space="preserve">     </v>
      </c>
    </row>
    <row r="610" spans="1:4" x14ac:dyDescent="0.25">
      <c r="A610" s="12" t="s">
        <v>4921</v>
      </c>
      <c r="B610" s="10" t="str">
        <f>_xlfn.IFNA(VLOOKUP($A610,CompChecksTrans!$A:$C,2,FALSE), "")</f>
        <v/>
      </c>
      <c r="C610" s="10" t="str">
        <f>_xlfn.IFNA(VLOOKUP(B610,Phase1!A$4:C$129,3,FALSE),"")</f>
        <v/>
      </c>
      <c r="D610" s="10" t="str">
        <f>_xlfn.IFNA(VLOOKUP($A610,CompChecksTrans!$A:$C,3,FALSE), "     ")</f>
        <v xml:space="preserve">     </v>
      </c>
    </row>
    <row r="611" spans="1:4" x14ac:dyDescent="0.25">
      <c r="A611" s="12" t="s">
        <v>4922</v>
      </c>
      <c r="B611" s="10" t="str">
        <f>_xlfn.IFNA(VLOOKUP($A611,CompChecksTrans!$A:$C,2,FALSE), "")</f>
        <v/>
      </c>
      <c r="C611" s="10" t="str">
        <f>_xlfn.IFNA(VLOOKUP(B611,Phase1!A$4:C$129,3,FALSE),"")</f>
        <v/>
      </c>
      <c r="D611" s="10" t="str">
        <f>_xlfn.IFNA(VLOOKUP($A611,CompChecksTrans!$A:$C,3,FALSE), "     ")</f>
        <v xml:space="preserve">     </v>
      </c>
    </row>
    <row r="612" spans="1:4" x14ac:dyDescent="0.25">
      <c r="A612" s="12" t="s">
        <v>4923</v>
      </c>
      <c r="B612" s="10" t="str">
        <f>_xlfn.IFNA(VLOOKUP($A612,CompChecksTrans!$A:$C,2,FALSE), "")</f>
        <v/>
      </c>
      <c r="C612" s="10" t="str">
        <f>_xlfn.IFNA(VLOOKUP(B612,Phase1!A$4:C$129,3,FALSE),"")</f>
        <v/>
      </c>
      <c r="D612" s="10" t="str">
        <f>_xlfn.IFNA(VLOOKUP($A612,CompChecksTrans!$A:$C,3,FALSE), "     ")</f>
        <v xml:space="preserve">     </v>
      </c>
    </row>
    <row r="613" spans="1:4" x14ac:dyDescent="0.25">
      <c r="A613" s="12" t="s">
        <v>4924</v>
      </c>
      <c r="B613" s="10" t="str">
        <f>_xlfn.IFNA(VLOOKUP($A613,CompChecksTrans!$A:$C,2,FALSE), "")</f>
        <v/>
      </c>
      <c r="C613" s="10" t="str">
        <f>_xlfn.IFNA(VLOOKUP(B613,Phase1!A$4:C$129,3,FALSE),"")</f>
        <v/>
      </c>
      <c r="D613" s="10" t="str">
        <f>_xlfn.IFNA(VLOOKUP($A613,CompChecksTrans!$A:$C,3,FALSE), "     ")</f>
        <v xml:space="preserve">     </v>
      </c>
    </row>
    <row r="614" spans="1:4" x14ac:dyDescent="0.25">
      <c r="A614" s="12" t="s">
        <v>4925</v>
      </c>
      <c r="B614" s="10" t="str">
        <f>_xlfn.IFNA(VLOOKUP($A614,CompChecksTrans!$A:$C,2,FALSE), "")</f>
        <v/>
      </c>
      <c r="C614" s="10" t="str">
        <f>_xlfn.IFNA(VLOOKUP(B614,Phase1!A$4:C$129,3,FALSE),"")</f>
        <v/>
      </c>
      <c r="D614" s="10" t="str">
        <f>_xlfn.IFNA(VLOOKUP($A614,CompChecksTrans!$A:$C,3,FALSE), "     ")</f>
        <v xml:space="preserve">     </v>
      </c>
    </row>
    <row r="615" spans="1:4" x14ac:dyDescent="0.25">
      <c r="A615" s="12" t="s">
        <v>4926</v>
      </c>
      <c r="B615" s="10" t="str">
        <f>_xlfn.IFNA(VLOOKUP($A615,CompChecksTrans!$A:$C,2,FALSE), "")</f>
        <v/>
      </c>
      <c r="C615" s="10" t="str">
        <f>_xlfn.IFNA(VLOOKUP(B615,Phase1!A$4:C$129,3,FALSE),"")</f>
        <v/>
      </c>
      <c r="D615" s="10" t="str">
        <f>_xlfn.IFNA(VLOOKUP($A615,CompChecksTrans!$A:$C,3,FALSE), "     ")</f>
        <v xml:space="preserve">     </v>
      </c>
    </row>
    <row r="616" spans="1:4" x14ac:dyDescent="0.25">
      <c r="A616" s="12" t="s">
        <v>4927</v>
      </c>
      <c r="B616" s="10" t="str">
        <f>_xlfn.IFNA(VLOOKUP($A616,CompChecksTrans!$A:$C,2,FALSE), "")</f>
        <v/>
      </c>
      <c r="C616" s="10" t="str">
        <f>_xlfn.IFNA(VLOOKUP(B616,Phase1!A$4:C$129,3,FALSE),"")</f>
        <v/>
      </c>
      <c r="D616" s="10" t="str">
        <f>_xlfn.IFNA(VLOOKUP($A616,CompChecksTrans!$A:$C,3,FALSE), "     ")</f>
        <v xml:space="preserve">     </v>
      </c>
    </row>
    <row r="617" spans="1:4" x14ac:dyDescent="0.25">
      <c r="A617" s="12" t="s">
        <v>4928</v>
      </c>
      <c r="B617" s="10" t="str">
        <f>_xlfn.IFNA(VLOOKUP($A617,CompChecksTrans!$A:$C,2,FALSE), "")</f>
        <v/>
      </c>
      <c r="C617" s="10" t="str">
        <f>_xlfn.IFNA(VLOOKUP(B617,Phase1!A$4:C$129,3,FALSE),"")</f>
        <v/>
      </c>
      <c r="D617" s="10" t="str">
        <f>_xlfn.IFNA(VLOOKUP($A617,CompChecksTrans!$A:$C,3,FALSE), "     ")</f>
        <v xml:space="preserve">     </v>
      </c>
    </row>
    <row r="618" spans="1:4" x14ac:dyDescent="0.25">
      <c r="A618" s="12" t="s">
        <v>4929</v>
      </c>
      <c r="B618" s="10" t="str">
        <f>_xlfn.IFNA(VLOOKUP($A618,CompChecksTrans!$A:$C,2,FALSE), "")</f>
        <v/>
      </c>
      <c r="C618" s="10" t="str">
        <f>_xlfn.IFNA(VLOOKUP(B618,Phase1!A$4:C$129,3,FALSE),"")</f>
        <v/>
      </c>
      <c r="D618" s="10" t="str">
        <f>_xlfn.IFNA(VLOOKUP($A618,CompChecksTrans!$A:$C,3,FALSE), "     ")</f>
        <v xml:space="preserve">     </v>
      </c>
    </row>
    <row r="619" spans="1:4" x14ac:dyDescent="0.25">
      <c r="A619" s="12" t="s">
        <v>4930</v>
      </c>
      <c r="B619" s="10" t="str">
        <f>_xlfn.IFNA(VLOOKUP($A619,CompChecksTrans!$A:$C,2,FALSE), "")</f>
        <v/>
      </c>
      <c r="C619" s="10" t="str">
        <f>_xlfn.IFNA(VLOOKUP(B619,Phase1!A$4:C$129,3,FALSE),"")</f>
        <v/>
      </c>
      <c r="D619" s="10" t="str">
        <f>_xlfn.IFNA(VLOOKUP($A619,CompChecksTrans!$A:$C,3,FALSE), "     ")</f>
        <v xml:space="preserve">     </v>
      </c>
    </row>
    <row r="620" spans="1:4" x14ac:dyDescent="0.25">
      <c r="A620" s="12" t="s">
        <v>4931</v>
      </c>
      <c r="B620" s="10" t="str">
        <f>_xlfn.IFNA(VLOOKUP($A620,CompChecksTrans!$A:$C,2,FALSE), "")</f>
        <v/>
      </c>
      <c r="C620" s="10" t="str">
        <f>_xlfn.IFNA(VLOOKUP(B620,Phase1!A$4:C$129,3,FALSE),"")</f>
        <v/>
      </c>
      <c r="D620" s="10" t="str">
        <f>_xlfn.IFNA(VLOOKUP($A620,CompChecksTrans!$A:$C,3,FALSE), "     ")</f>
        <v xml:space="preserve">     </v>
      </c>
    </row>
    <row r="621" spans="1:4" x14ac:dyDescent="0.25">
      <c r="A621" s="12" t="s">
        <v>4932</v>
      </c>
      <c r="B621" s="10" t="str">
        <f>_xlfn.IFNA(VLOOKUP($A621,CompChecksTrans!$A:$C,2,FALSE), "")</f>
        <v/>
      </c>
      <c r="C621" s="10" t="str">
        <f>_xlfn.IFNA(VLOOKUP(B621,Phase1!A$4:C$129,3,FALSE),"")</f>
        <v/>
      </c>
      <c r="D621" s="10" t="str">
        <f>_xlfn.IFNA(VLOOKUP($A621,CompChecksTrans!$A:$C,3,FALSE), "     ")</f>
        <v xml:space="preserve">     </v>
      </c>
    </row>
    <row r="622" spans="1:4" x14ac:dyDescent="0.25">
      <c r="A622" s="12" t="s">
        <v>4933</v>
      </c>
      <c r="B622" s="10" t="str">
        <f>_xlfn.IFNA(VLOOKUP($A622,CompChecksTrans!$A:$C,2,FALSE), "")</f>
        <v/>
      </c>
      <c r="C622" s="10" t="str">
        <f>_xlfn.IFNA(VLOOKUP(B622,Phase1!A$4:C$129,3,FALSE),"")</f>
        <v/>
      </c>
      <c r="D622" s="10" t="str">
        <f>_xlfn.IFNA(VLOOKUP($A622,CompChecksTrans!$A:$C,3,FALSE), "     ")</f>
        <v xml:space="preserve">     </v>
      </c>
    </row>
    <row r="623" spans="1:4" x14ac:dyDescent="0.25">
      <c r="A623" s="12" t="s">
        <v>4934</v>
      </c>
      <c r="B623" s="10" t="str">
        <f>_xlfn.IFNA(VLOOKUP($A623,CompChecksTrans!$A:$C,2,FALSE), "")</f>
        <v/>
      </c>
      <c r="C623" s="10" t="str">
        <f>_xlfn.IFNA(VLOOKUP(B623,Phase1!A$4:C$129,3,FALSE),"")</f>
        <v/>
      </c>
      <c r="D623" s="10" t="str">
        <f>_xlfn.IFNA(VLOOKUP($A623,CompChecksTrans!$A:$C,3,FALSE), "     ")</f>
        <v xml:space="preserve">     </v>
      </c>
    </row>
    <row r="624" spans="1:4" x14ac:dyDescent="0.25">
      <c r="A624" s="12" t="s">
        <v>4935</v>
      </c>
      <c r="B624" s="10" t="str">
        <f>_xlfn.IFNA(VLOOKUP($A624,CompChecksTrans!$A:$C,2,FALSE), "")</f>
        <v/>
      </c>
      <c r="C624" s="10" t="str">
        <f>_xlfn.IFNA(VLOOKUP(B624,Phase1!A$4:C$129,3,FALSE),"")</f>
        <v/>
      </c>
      <c r="D624" s="10" t="str">
        <f>_xlfn.IFNA(VLOOKUP($A624,CompChecksTrans!$A:$C,3,FALSE), "     ")</f>
        <v xml:space="preserve">     </v>
      </c>
    </row>
    <row r="625" spans="1:4" x14ac:dyDescent="0.25">
      <c r="A625" s="12" t="s">
        <v>4936</v>
      </c>
      <c r="B625" s="10" t="str">
        <f>_xlfn.IFNA(VLOOKUP($A625,CompChecksTrans!$A:$C,2,FALSE), "")</f>
        <v/>
      </c>
      <c r="C625" s="10" t="str">
        <f>_xlfn.IFNA(VLOOKUP(B625,Phase1!A$4:C$129,3,FALSE),"")</f>
        <v/>
      </c>
      <c r="D625" s="10" t="str">
        <f>_xlfn.IFNA(VLOOKUP($A625,CompChecksTrans!$A:$C,3,FALSE), "     ")</f>
        <v xml:space="preserve">     </v>
      </c>
    </row>
    <row r="626" spans="1:4" x14ac:dyDescent="0.25">
      <c r="A626" s="12" t="s">
        <v>4937</v>
      </c>
      <c r="B626" s="10" t="str">
        <f>_xlfn.IFNA(VLOOKUP($A626,CompChecksTrans!$A:$C,2,FALSE), "")</f>
        <v/>
      </c>
      <c r="C626" s="10" t="str">
        <f>_xlfn.IFNA(VLOOKUP(B626,Phase1!A$4:C$129,3,FALSE),"")</f>
        <v/>
      </c>
      <c r="D626" s="10" t="str">
        <f>_xlfn.IFNA(VLOOKUP($A626,CompChecksTrans!$A:$C,3,FALSE), "     ")</f>
        <v xml:space="preserve">     </v>
      </c>
    </row>
    <row r="627" spans="1:4" x14ac:dyDescent="0.25">
      <c r="A627" s="12" t="s">
        <v>4938</v>
      </c>
      <c r="B627" s="10" t="str">
        <f>_xlfn.IFNA(VLOOKUP($A627,CompChecksTrans!$A:$C,2,FALSE), "")</f>
        <v/>
      </c>
      <c r="C627" s="10" t="str">
        <f>_xlfn.IFNA(VLOOKUP(B627,Phase1!A$4:C$129,3,FALSE),"")</f>
        <v/>
      </c>
      <c r="D627" s="10" t="str">
        <f>_xlfn.IFNA(VLOOKUP($A627,CompChecksTrans!$A:$C,3,FALSE), "     ")</f>
        <v xml:space="preserve">     </v>
      </c>
    </row>
    <row r="628" spans="1:4" x14ac:dyDescent="0.25">
      <c r="A628" s="12" t="s">
        <v>4939</v>
      </c>
      <c r="B628" s="10" t="str">
        <f>_xlfn.IFNA(VLOOKUP($A628,CompChecksTrans!$A:$C,2,FALSE), "")</f>
        <v/>
      </c>
      <c r="C628" s="10" t="str">
        <f>_xlfn.IFNA(VLOOKUP(B628,Phase1!A$4:C$129,3,FALSE),"")</f>
        <v/>
      </c>
      <c r="D628" s="10" t="str">
        <f>_xlfn.IFNA(VLOOKUP($A628,CompChecksTrans!$A:$C,3,FALSE), "     ")</f>
        <v xml:space="preserve">     </v>
      </c>
    </row>
    <row r="629" spans="1:4" x14ac:dyDescent="0.25">
      <c r="A629" s="12" t="s">
        <v>4940</v>
      </c>
      <c r="B629" s="10" t="str">
        <f>_xlfn.IFNA(VLOOKUP($A629,CompChecksTrans!$A:$C,2,FALSE), "")</f>
        <v/>
      </c>
      <c r="C629" s="10" t="str">
        <f>_xlfn.IFNA(VLOOKUP(B629,Phase1!A$4:C$129,3,FALSE),"")</f>
        <v/>
      </c>
      <c r="D629" s="10" t="str">
        <f>_xlfn.IFNA(VLOOKUP($A629,CompChecksTrans!$A:$C,3,FALSE), "     ")</f>
        <v xml:space="preserve">     </v>
      </c>
    </row>
    <row r="630" spans="1:4" x14ac:dyDescent="0.25">
      <c r="A630" s="12" t="s">
        <v>4941</v>
      </c>
      <c r="B630" s="10" t="str">
        <f>_xlfn.IFNA(VLOOKUP($A630,CompChecksTrans!$A:$C,2,FALSE), "")</f>
        <v/>
      </c>
      <c r="C630" s="10" t="str">
        <f>_xlfn.IFNA(VLOOKUP(B630,Phase1!A$4:C$129,3,FALSE),"")</f>
        <v/>
      </c>
      <c r="D630" s="10" t="str">
        <f>_xlfn.IFNA(VLOOKUP($A630,CompChecksTrans!$A:$C,3,FALSE), "     ")</f>
        <v xml:space="preserve">     </v>
      </c>
    </row>
    <row r="631" spans="1:4" x14ac:dyDescent="0.25">
      <c r="A631" s="12" t="s">
        <v>4942</v>
      </c>
      <c r="B631" s="10" t="str">
        <f>_xlfn.IFNA(VLOOKUP($A631,CompChecksTrans!$A:$C,2,FALSE), "")</f>
        <v/>
      </c>
      <c r="C631" s="10" t="str">
        <f>_xlfn.IFNA(VLOOKUP(B631,Phase1!A$4:C$129,3,FALSE),"")</f>
        <v/>
      </c>
      <c r="D631" s="10" t="str">
        <f>_xlfn.IFNA(VLOOKUP($A631,CompChecksTrans!$A:$C,3,FALSE), "     ")</f>
        <v xml:space="preserve">     </v>
      </c>
    </row>
    <row r="632" spans="1:4" x14ac:dyDescent="0.25">
      <c r="A632" s="12" t="s">
        <v>4943</v>
      </c>
      <c r="B632" s="10" t="str">
        <f>_xlfn.IFNA(VLOOKUP($A632,CompChecksTrans!$A:$C,2,FALSE), "")</f>
        <v/>
      </c>
      <c r="C632" s="10" t="str">
        <f>_xlfn.IFNA(VLOOKUP(B632,Phase1!A$4:C$129,3,FALSE),"")</f>
        <v/>
      </c>
      <c r="D632" s="10" t="str">
        <f>_xlfn.IFNA(VLOOKUP($A632,CompChecksTrans!$A:$C,3,FALSE), "     ")</f>
        <v xml:space="preserve">     </v>
      </c>
    </row>
    <row r="633" spans="1:4" x14ac:dyDescent="0.25">
      <c r="A633" s="12" t="s">
        <v>4944</v>
      </c>
      <c r="B633" s="10" t="str">
        <f>_xlfn.IFNA(VLOOKUP($A633,CompChecksTrans!$A:$C,2,FALSE), "")</f>
        <v/>
      </c>
      <c r="C633" s="10" t="str">
        <f>_xlfn.IFNA(VLOOKUP(B633,Phase1!A$4:C$129,3,FALSE),"")</f>
        <v/>
      </c>
      <c r="D633" s="10" t="str">
        <f>_xlfn.IFNA(VLOOKUP($A633,CompChecksTrans!$A:$C,3,FALSE), "     ")</f>
        <v xml:space="preserve">     </v>
      </c>
    </row>
    <row r="634" spans="1:4" x14ac:dyDescent="0.25">
      <c r="A634" s="12" t="s">
        <v>4945</v>
      </c>
      <c r="B634" s="10" t="str">
        <f>_xlfn.IFNA(VLOOKUP($A634,CompChecksTrans!$A:$C,2,FALSE), "")</f>
        <v/>
      </c>
      <c r="C634" s="10" t="str">
        <f>_xlfn.IFNA(VLOOKUP(B634,Phase1!A$4:C$129,3,FALSE),"")</f>
        <v/>
      </c>
      <c r="D634" s="10" t="str">
        <f>_xlfn.IFNA(VLOOKUP($A634,CompChecksTrans!$A:$C,3,FALSE), "     ")</f>
        <v xml:space="preserve">     </v>
      </c>
    </row>
    <row r="635" spans="1:4" x14ac:dyDescent="0.25">
      <c r="A635" s="12" t="s">
        <v>4946</v>
      </c>
      <c r="B635" s="10" t="str">
        <f>_xlfn.IFNA(VLOOKUP($A635,CompChecksTrans!$A:$C,2,FALSE), "")</f>
        <v/>
      </c>
      <c r="C635" s="10" t="str">
        <f>_xlfn.IFNA(VLOOKUP(B635,Phase1!A$4:C$129,3,FALSE),"")</f>
        <v/>
      </c>
      <c r="D635" s="10" t="str">
        <f>_xlfn.IFNA(VLOOKUP($A635,CompChecksTrans!$A:$C,3,FALSE), "     ")</f>
        <v xml:space="preserve">     </v>
      </c>
    </row>
    <row r="636" spans="1:4" x14ac:dyDescent="0.25">
      <c r="A636" s="12" t="s">
        <v>4947</v>
      </c>
      <c r="B636" s="10" t="str">
        <f>_xlfn.IFNA(VLOOKUP($A636,CompChecksTrans!$A:$C,2,FALSE), "")</f>
        <v/>
      </c>
      <c r="C636" s="10" t="str">
        <f>_xlfn.IFNA(VLOOKUP(B636,Phase1!A$4:C$129,3,FALSE),"")</f>
        <v/>
      </c>
      <c r="D636" s="10" t="str">
        <f>_xlfn.IFNA(VLOOKUP($A636,CompChecksTrans!$A:$C,3,FALSE), "     ")</f>
        <v xml:space="preserve">     </v>
      </c>
    </row>
    <row r="637" spans="1:4" x14ac:dyDescent="0.25">
      <c r="A637" s="12" t="s">
        <v>4948</v>
      </c>
      <c r="B637" s="10" t="str">
        <f>_xlfn.IFNA(VLOOKUP($A637,CompChecksTrans!$A:$C,2,FALSE), "")</f>
        <v/>
      </c>
      <c r="C637" s="10" t="str">
        <f>_xlfn.IFNA(VLOOKUP(B637,Phase1!A$4:C$129,3,FALSE),"")</f>
        <v/>
      </c>
      <c r="D637" s="10" t="str">
        <f>_xlfn.IFNA(VLOOKUP($A637,CompChecksTrans!$A:$C,3,FALSE), "     ")</f>
        <v xml:space="preserve">     </v>
      </c>
    </row>
    <row r="638" spans="1:4" x14ac:dyDescent="0.25">
      <c r="A638" s="12" t="s">
        <v>4949</v>
      </c>
      <c r="B638" s="10" t="str">
        <f>_xlfn.IFNA(VLOOKUP($A638,CompChecksTrans!$A:$C,2,FALSE), "")</f>
        <v/>
      </c>
      <c r="C638" s="10" t="str">
        <f>_xlfn.IFNA(VLOOKUP(B638,Phase1!A$4:C$129,3,FALSE),"")</f>
        <v/>
      </c>
      <c r="D638" s="10" t="str">
        <f>_xlfn.IFNA(VLOOKUP($A638,CompChecksTrans!$A:$C,3,FALSE), "     ")</f>
        <v xml:space="preserve">     </v>
      </c>
    </row>
    <row r="639" spans="1:4" x14ac:dyDescent="0.25">
      <c r="A639" s="12" t="s">
        <v>4950</v>
      </c>
      <c r="B639" s="10" t="str">
        <f>_xlfn.IFNA(VLOOKUP($A639,CompChecksTrans!$A:$C,2,FALSE), "")</f>
        <v/>
      </c>
      <c r="C639" s="10" t="str">
        <f>_xlfn.IFNA(VLOOKUP(B639,Phase1!A$4:C$129,3,FALSE),"")</f>
        <v/>
      </c>
      <c r="D639" s="10" t="str">
        <f>_xlfn.IFNA(VLOOKUP($A639,CompChecksTrans!$A:$C,3,FALSE), "     ")</f>
        <v xml:space="preserve">     </v>
      </c>
    </row>
    <row r="640" spans="1:4" x14ac:dyDescent="0.25">
      <c r="A640" s="12" t="s">
        <v>4951</v>
      </c>
      <c r="B640" s="10" t="str">
        <f>_xlfn.IFNA(VLOOKUP($A640,CompChecksTrans!$A:$C,2,FALSE), "")</f>
        <v/>
      </c>
      <c r="C640" s="10" t="str">
        <f>_xlfn.IFNA(VLOOKUP(B640,Phase1!A$4:C$129,3,FALSE),"")</f>
        <v/>
      </c>
      <c r="D640" s="10" t="str">
        <f>_xlfn.IFNA(VLOOKUP($A640,CompChecksTrans!$A:$C,3,FALSE), "     ")</f>
        <v xml:space="preserve">     </v>
      </c>
    </row>
    <row r="641" spans="1:4" x14ac:dyDescent="0.25">
      <c r="A641" s="12" t="s">
        <v>4952</v>
      </c>
      <c r="B641" s="10" t="str">
        <f>_xlfn.IFNA(VLOOKUP($A641,CompChecksTrans!$A:$C,2,FALSE), "")</f>
        <v/>
      </c>
      <c r="C641" s="10" t="str">
        <f>_xlfn.IFNA(VLOOKUP(B641,Phase1!A$4:C$129,3,FALSE),"")</f>
        <v/>
      </c>
      <c r="D641" s="10" t="str">
        <f>_xlfn.IFNA(VLOOKUP($A641,CompChecksTrans!$A:$C,3,FALSE), "     ")</f>
        <v xml:space="preserve">     </v>
      </c>
    </row>
    <row r="642" spans="1:4" x14ac:dyDescent="0.25">
      <c r="A642" s="12" t="s">
        <v>4953</v>
      </c>
      <c r="B642" s="10" t="str">
        <f>_xlfn.IFNA(VLOOKUP($A642,CompChecksTrans!$A:$C,2,FALSE), "")</f>
        <v/>
      </c>
      <c r="C642" s="10" t="str">
        <f>_xlfn.IFNA(VLOOKUP(B642,Phase1!A$4:C$129,3,FALSE),"")</f>
        <v/>
      </c>
      <c r="D642" s="10" t="str">
        <f>_xlfn.IFNA(VLOOKUP($A642,CompChecksTrans!$A:$C,3,FALSE), "     ")</f>
        <v xml:space="preserve">     </v>
      </c>
    </row>
    <row r="643" spans="1:4" x14ac:dyDescent="0.25">
      <c r="A643" s="12" t="s">
        <v>4954</v>
      </c>
      <c r="B643" s="10" t="str">
        <f>_xlfn.IFNA(VLOOKUP($A643,CompChecksTrans!$A:$C,2,FALSE), "")</f>
        <v/>
      </c>
      <c r="C643" s="10" t="str">
        <f>_xlfn.IFNA(VLOOKUP(B643,Phase1!A$4:C$129,3,FALSE),"")</f>
        <v/>
      </c>
      <c r="D643" s="10" t="str">
        <f>_xlfn.IFNA(VLOOKUP($A643,CompChecksTrans!$A:$C,3,FALSE), "     ")</f>
        <v xml:space="preserve">     </v>
      </c>
    </row>
    <row r="644" spans="1:4" x14ac:dyDescent="0.25">
      <c r="A644" s="12" t="s">
        <v>4955</v>
      </c>
      <c r="B644" s="10" t="str">
        <f>_xlfn.IFNA(VLOOKUP($A644,CompChecksTrans!$A:$C,2,FALSE), "")</f>
        <v/>
      </c>
      <c r="C644" s="10" t="str">
        <f>_xlfn.IFNA(VLOOKUP(B644,Phase1!A$4:C$129,3,FALSE),"")</f>
        <v/>
      </c>
      <c r="D644" s="10" t="str">
        <f>_xlfn.IFNA(VLOOKUP($A644,CompChecksTrans!$A:$C,3,FALSE), "     ")</f>
        <v xml:space="preserve">     </v>
      </c>
    </row>
    <row r="645" spans="1:4" x14ac:dyDescent="0.25">
      <c r="A645" s="12" t="s">
        <v>4956</v>
      </c>
      <c r="B645" s="10" t="str">
        <f>_xlfn.IFNA(VLOOKUP($A645,CompChecksTrans!$A:$C,2,FALSE), "")</f>
        <v/>
      </c>
      <c r="C645" s="10" t="str">
        <f>_xlfn.IFNA(VLOOKUP(B645,Phase1!A$4:C$129,3,FALSE),"")</f>
        <v/>
      </c>
      <c r="D645" s="10" t="str">
        <f>_xlfn.IFNA(VLOOKUP($A645,CompChecksTrans!$A:$C,3,FALSE), "     ")</f>
        <v xml:space="preserve">     </v>
      </c>
    </row>
    <row r="646" spans="1:4" x14ac:dyDescent="0.25">
      <c r="A646" s="12" t="s">
        <v>4957</v>
      </c>
      <c r="B646" s="10" t="str">
        <f>_xlfn.IFNA(VLOOKUP($A646,CompChecksTrans!$A:$C,2,FALSE), "")</f>
        <v/>
      </c>
      <c r="C646" s="10" t="str">
        <f>_xlfn.IFNA(VLOOKUP(B646,Phase1!A$4:C$129,3,FALSE),"")</f>
        <v/>
      </c>
      <c r="D646" s="10" t="str">
        <f>_xlfn.IFNA(VLOOKUP($A646,CompChecksTrans!$A:$C,3,FALSE), "     ")</f>
        <v xml:space="preserve">     </v>
      </c>
    </row>
    <row r="647" spans="1:4" x14ac:dyDescent="0.25">
      <c r="A647" s="12" t="s">
        <v>4958</v>
      </c>
      <c r="B647" s="10" t="str">
        <f>_xlfn.IFNA(VLOOKUP($A647,CompChecksTrans!$A:$C,2,FALSE), "")</f>
        <v/>
      </c>
      <c r="C647" s="10" t="str">
        <f>_xlfn.IFNA(VLOOKUP(B647,Phase1!A$4:C$129,3,FALSE),"")</f>
        <v/>
      </c>
      <c r="D647" s="10" t="str">
        <f>_xlfn.IFNA(VLOOKUP($A647,CompChecksTrans!$A:$C,3,FALSE), "     ")</f>
        <v xml:space="preserve">     </v>
      </c>
    </row>
    <row r="648" spans="1:4" x14ac:dyDescent="0.25">
      <c r="A648" s="12" t="s">
        <v>4959</v>
      </c>
      <c r="B648" s="10" t="str">
        <f>_xlfn.IFNA(VLOOKUP($A648,CompChecksTrans!$A:$C,2,FALSE), "")</f>
        <v/>
      </c>
      <c r="C648" s="10" t="str">
        <f>_xlfn.IFNA(VLOOKUP(B648,Phase1!A$4:C$129,3,FALSE),"")</f>
        <v/>
      </c>
      <c r="D648" s="10" t="str">
        <f>_xlfn.IFNA(VLOOKUP($A648,CompChecksTrans!$A:$C,3,FALSE), "     ")</f>
        <v xml:space="preserve">     </v>
      </c>
    </row>
    <row r="649" spans="1:4" x14ac:dyDescent="0.25">
      <c r="A649" s="12" t="s">
        <v>4960</v>
      </c>
      <c r="B649" s="10" t="str">
        <f>_xlfn.IFNA(VLOOKUP($A649,CompChecksTrans!$A:$C,2,FALSE), "")</f>
        <v/>
      </c>
      <c r="C649" s="10" t="str">
        <f>_xlfn.IFNA(VLOOKUP(B649,Phase1!A$4:C$129,3,FALSE),"")</f>
        <v/>
      </c>
      <c r="D649" s="10" t="str">
        <f>_xlfn.IFNA(VLOOKUP($A649,CompChecksTrans!$A:$C,3,FALSE), "     ")</f>
        <v xml:space="preserve">     </v>
      </c>
    </row>
    <row r="650" spans="1:4" x14ac:dyDescent="0.25">
      <c r="A650" s="12" t="s">
        <v>4961</v>
      </c>
      <c r="B650" s="10" t="str">
        <f>_xlfn.IFNA(VLOOKUP($A650,CompChecksTrans!$A:$C,2,FALSE), "")</f>
        <v/>
      </c>
      <c r="C650" s="10" t="str">
        <f>_xlfn.IFNA(VLOOKUP(B650,Phase1!A$4:C$129,3,FALSE),"")</f>
        <v/>
      </c>
      <c r="D650" s="10" t="str">
        <f>_xlfn.IFNA(VLOOKUP($A650,CompChecksTrans!$A:$C,3,FALSE), "     ")</f>
        <v xml:space="preserve">     </v>
      </c>
    </row>
    <row r="651" spans="1:4" x14ac:dyDescent="0.25">
      <c r="A651" s="12" t="s">
        <v>4962</v>
      </c>
      <c r="B651" s="10" t="str">
        <f>_xlfn.IFNA(VLOOKUP($A651,CompChecksTrans!$A:$C,2,FALSE), "")</f>
        <v/>
      </c>
      <c r="C651" s="10" t="str">
        <f>_xlfn.IFNA(VLOOKUP(B651,Phase1!A$4:C$129,3,FALSE),"")</f>
        <v/>
      </c>
      <c r="D651" s="10" t="str">
        <f>_xlfn.IFNA(VLOOKUP($A651,CompChecksTrans!$A:$C,3,FALSE), "     ")</f>
        <v xml:space="preserve">     </v>
      </c>
    </row>
    <row r="652" spans="1:4" x14ac:dyDescent="0.25">
      <c r="A652" s="12" t="s">
        <v>4963</v>
      </c>
      <c r="B652" s="10" t="str">
        <f>_xlfn.IFNA(VLOOKUP($A652,CompChecksTrans!$A:$C,2,FALSE), "")</f>
        <v/>
      </c>
      <c r="C652" s="10" t="str">
        <f>_xlfn.IFNA(VLOOKUP(B652,Phase1!A$4:C$129,3,FALSE),"")</f>
        <v/>
      </c>
      <c r="D652" s="10" t="str">
        <f>_xlfn.IFNA(VLOOKUP($A652,CompChecksTrans!$A:$C,3,FALSE), "     ")</f>
        <v xml:space="preserve">     </v>
      </c>
    </row>
    <row r="653" spans="1:4" x14ac:dyDescent="0.25">
      <c r="A653" s="12" t="s">
        <v>4964</v>
      </c>
      <c r="B653" s="10" t="str">
        <f>_xlfn.IFNA(VLOOKUP($A653,CompChecksTrans!$A:$C,2,FALSE), "")</f>
        <v/>
      </c>
      <c r="C653" s="10" t="str">
        <f>_xlfn.IFNA(VLOOKUP(B653,Phase1!A$4:C$129,3,FALSE),"")</f>
        <v/>
      </c>
      <c r="D653" s="10" t="str">
        <f>_xlfn.IFNA(VLOOKUP($A653,CompChecksTrans!$A:$C,3,FALSE), "     ")</f>
        <v xml:space="preserve">     </v>
      </c>
    </row>
    <row r="654" spans="1:4" x14ac:dyDescent="0.25">
      <c r="A654" s="12" t="s">
        <v>4965</v>
      </c>
      <c r="B654" s="10" t="str">
        <f>_xlfn.IFNA(VLOOKUP($A654,CompChecksTrans!$A:$C,2,FALSE), "")</f>
        <v/>
      </c>
      <c r="C654" s="10" t="str">
        <f>_xlfn.IFNA(VLOOKUP(B654,Phase1!A$4:C$129,3,FALSE),"")</f>
        <v/>
      </c>
      <c r="D654" s="10" t="str">
        <f>_xlfn.IFNA(VLOOKUP($A654,CompChecksTrans!$A:$C,3,FALSE), "     ")</f>
        <v xml:space="preserve">     </v>
      </c>
    </row>
    <row r="655" spans="1:4" x14ac:dyDescent="0.25">
      <c r="A655" s="12" t="s">
        <v>4966</v>
      </c>
      <c r="B655" s="10" t="str">
        <f>_xlfn.IFNA(VLOOKUP($A655,CompChecksTrans!$A:$C,2,FALSE), "")</f>
        <v/>
      </c>
      <c r="C655" s="10" t="str">
        <f>_xlfn.IFNA(VLOOKUP(B655,Phase1!A$4:C$129,3,FALSE),"")</f>
        <v/>
      </c>
      <c r="D655" s="10" t="str">
        <f>_xlfn.IFNA(VLOOKUP($A655,CompChecksTrans!$A:$C,3,FALSE), "     ")</f>
        <v xml:space="preserve">     </v>
      </c>
    </row>
    <row r="656" spans="1:4" x14ac:dyDescent="0.25">
      <c r="A656" s="12" t="s">
        <v>4967</v>
      </c>
      <c r="B656" s="10" t="str">
        <f>_xlfn.IFNA(VLOOKUP($A656,CompChecksTrans!$A:$C,2,FALSE), "")</f>
        <v/>
      </c>
      <c r="C656" s="10" t="str">
        <f>_xlfn.IFNA(VLOOKUP(B656,Phase1!A$4:C$129,3,FALSE),"")</f>
        <v/>
      </c>
      <c r="D656" s="10" t="str">
        <f>_xlfn.IFNA(VLOOKUP($A656,CompChecksTrans!$A:$C,3,FALSE), "     ")</f>
        <v xml:space="preserve">     </v>
      </c>
    </row>
    <row r="657" spans="1:4" x14ac:dyDescent="0.25">
      <c r="A657" s="12" t="s">
        <v>4968</v>
      </c>
      <c r="B657" s="10" t="str">
        <f>_xlfn.IFNA(VLOOKUP($A657,CompChecksTrans!$A:$C,2,FALSE), "")</f>
        <v/>
      </c>
      <c r="C657" s="10" t="str">
        <f>_xlfn.IFNA(VLOOKUP(B657,Phase1!A$4:C$129,3,FALSE),"")</f>
        <v/>
      </c>
      <c r="D657" s="10" t="str">
        <f>_xlfn.IFNA(VLOOKUP($A657,CompChecksTrans!$A:$C,3,FALSE), "     ")</f>
        <v xml:space="preserve">     </v>
      </c>
    </row>
    <row r="658" spans="1:4" x14ac:dyDescent="0.25">
      <c r="A658" s="12" t="s">
        <v>4969</v>
      </c>
      <c r="B658" s="10" t="str">
        <f>_xlfn.IFNA(VLOOKUP($A658,CompChecksTrans!$A:$C,2,FALSE), "")</f>
        <v/>
      </c>
      <c r="C658" s="10" t="str">
        <f>_xlfn.IFNA(VLOOKUP(B658,Phase1!A$4:C$129,3,FALSE),"")</f>
        <v/>
      </c>
      <c r="D658" s="10" t="str">
        <f>_xlfn.IFNA(VLOOKUP($A658,CompChecksTrans!$A:$C,3,FALSE), "     ")</f>
        <v xml:space="preserve">     </v>
      </c>
    </row>
    <row r="659" spans="1:4" x14ac:dyDescent="0.25">
      <c r="A659" s="12" t="s">
        <v>4970</v>
      </c>
      <c r="B659" s="10" t="str">
        <f>_xlfn.IFNA(VLOOKUP($A659,CompChecksTrans!$A:$C,2,FALSE), "")</f>
        <v/>
      </c>
      <c r="C659" s="10" t="str">
        <f>_xlfn.IFNA(VLOOKUP(B659,Phase1!A$4:C$129,3,FALSE),"")</f>
        <v/>
      </c>
      <c r="D659" s="10" t="str">
        <f>_xlfn.IFNA(VLOOKUP($A659,CompChecksTrans!$A:$C,3,FALSE), "     ")</f>
        <v xml:space="preserve">     </v>
      </c>
    </row>
    <row r="660" spans="1:4" x14ac:dyDescent="0.25">
      <c r="A660" s="12" t="s">
        <v>4971</v>
      </c>
      <c r="B660" s="10" t="str">
        <f>_xlfn.IFNA(VLOOKUP($A660,CompChecksTrans!$A:$C,2,FALSE), "")</f>
        <v/>
      </c>
      <c r="C660" s="10" t="str">
        <f>_xlfn.IFNA(VLOOKUP(B660,Phase1!A$4:C$129,3,FALSE),"")</f>
        <v/>
      </c>
      <c r="D660" s="10" t="str">
        <f>_xlfn.IFNA(VLOOKUP($A660,CompChecksTrans!$A:$C,3,FALSE), "     ")</f>
        <v xml:space="preserve">     </v>
      </c>
    </row>
    <row r="661" spans="1:4" x14ac:dyDescent="0.25">
      <c r="A661" s="12" t="s">
        <v>4972</v>
      </c>
      <c r="B661" s="10" t="str">
        <f>_xlfn.IFNA(VLOOKUP($A661,CompChecksTrans!$A:$C,2,FALSE), "")</f>
        <v/>
      </c>
      <c r="C661" s="10" t="str">
        <f>_xlfn.IFNA(VLOOKUP(B661,Phase1!A$4:C$129,3,FALSE),"")</f>
        <v/>
      </c>
      <c r="D661" s="10" t="str">
        <f>_xlfn.IFNA(VLOOKUP($A661,CompChecksTrans!$A:$C,3,FALSE), "     ")</f>
        <v xml:space="preserve">     </v>
      </c>
    </row>
    <row r="662" spans="1:4" x14ac:dyDescent="0.25">
      <c r="A662" s="12" t="s">
        <v>4973</v>
      </c>
      <c r="B662" s="10" t="str">
        <f>_xlfn.IFNA(VLOOKUP($A662,CompChecksTrans!$A:$C,2,FALSE), "")</f>
        <v/>
      </c>
      <c r="C662" s="10" t="str">
        <f>_xlfn.IFNA(VLOOKUP(B662,Phase1!A$4:C$129,3,FALSE),"")</f>
        <v/>
      </c>
      <c r="D662" s="10" t="str">
        <f>_xlfn.IFNA(VLOOKUP($A662,CompChecksTrans!$A:$C,3,FALSE), "     ")</f>
        <v xml:space="preserve">     </v>
      </c>
    </row>
    <row r="663" spans="1:4" x14ac:dyDescent="0.25">
      <c r="A663" s="12" t="s">
        <v>4974</v>
      </c>
      <c r="B663" s="10" t="str">
        <f>_xlfn.IFNA(VLOOKUP($A663,CompChecksTrans!$A:$C,2,FALSE), "")</f>
        <v/>
      </c>
      <c r="C663" s="10" t="str">
        <f>_xlfn.IFNA(VLOOKUP(B663,Phase1!A$4:C$129,3,FALSE),"")</f>
        <v/>
      </c>
      <c r="D663" s="10" t="str">
        <f>_xlfn.IFNA(VLOOKUP($A663,CompChecksTrans!$A:$C,3,FALSE), "     ")</f>
        <v xml:space="preserve">     </v>
      </c>
    </row>
    <row r="664" spans="1:4" x14ac:dyDescent="0.25">
      <c r="A664" s="12" t="s">
        <v>4975</v>
      </c>
      <c r="B664" s="10" t="str">
        <f>_xlfn.IFNA(VLOOKUP($A664,CompChecksTrans!$A:$C,2,FALSE), "")</f>
        <v/>
      </c>
      <c r="C664" s="10" t="str">
        <f>_xlfn.IFNA(VLOOKUP(B664,Phase1!A$4:C$129,3,FALSE),"")</f>
        <v/>
      </c>
      <c r="D664" s="10" t="str">
        <f>_xlfn.IFNA(VLOOKUP($A664,CompChecksTrans!$A:$C,3,FALSE), "     ")</f>
        <v xml:space="preserve">     </v>
      </c>
    </row>
    <row r="665" spans="1:4" x14ac:dyDescent="0.25">
      <c r="A665" s="12" t="s">
        <v>4976</v>
      </c>
      <c r="B665" s="10" t="str">
        <f>_xlfn.IFNA(VLOOKUP($A665,CompChecksTrans!$A:$C,2,FALSE), "")</f>
        <v/>
      </c>
      <c r="C665" s="10" t="str">
        <f>_xlfn.IFNA(VLOOKUP(B665,Phase1!A$4:C$129,3,FALSE),"")</f>
        <v/>
      </c>
      <c r="D665" s="10" t="str">
        <f>_xlfn.IFNA(VLOOKUP($A665,CompChecksTrans!$A:$C,3,FALSE), "     ")</f>
        <v xml:space="preserve">     </v>
      </c>
    </row>
    <row r="666" spans="1:4" x14ac:dyDescent="0.25">
      <c r="A666" s="12" t="s">
        <v>4977</v>
      </c>
      <c r="B666" s="10" t="str">
        <f>_xlfn.IFNA(VLOOKUP($A666,CompChecksTrans!$A:$C,2,FALSE), "")</f>
        <v/>
      </c>
      <c r="C666" s="10" t="str">
        <f>_xlfn.IFNA(VLOOKUP(B666,Phase1!A$4:C$129,3,FALSE),"")</f>
        <v/>
      </c>
      <c r="D666" s="10" t="str">
        <f>_xlfn.IFNA(VLOOKUP($A666,CompChecksTrans!$A:$C,3,FALSE), "     ")</f>
        <v xml:space="preserve">     </v>
      </c>
    </row>
    <row r="667" spans="1:4" x14ac:dyDescent="0.25">
      <c r="A667" s="12" t="s">
        <v>4978</v>
      </c>
      <c r="B667" s="10" t="str">
        <f>_xlfn.IFNA(VLOOKUP($A667,CompChecksTrans!$A:$C,2,FALSE), "")</f>
        <v/>
      </c>
      <c r="C667" s="10" t="str">
        <f>_xlfn.IFNA(VLOOKUP(B667,Phase1!A$4:C$129,3,FALSE),"")</f>
        <v/>
      </c>
      <c r="D667" s="10" t="str">
        <f>_xlfn.IFNA(VLOOKUP($A667,CompChecksTrans!$A:$C,3,FALSE), "     ")</f>
        <v xml:space="preserve">     </v>
      </c>
    </row>
    <row r="668" spans="1:4" x14ac:dyDescent="0.25">
      <c r="A668" s="12" t="s">
        <v>4979</v>
      </c>
      <c r="B668" s="10" t="str">
        <f>_xlfn.IFNA(VLOOKUP($A668,CompChecksTrans!$A:$C,2,FALSE), "")</f>
        <v/>
      </c>
      <c r="C668" s="10" t="str">
        <f>_xlfn.IFNA(VLOOKUP(B668,Phase1!A$4:C$129,3,FALSE),"")</f>
        <v/>
      </c>
      <c r="D668" s="10" t="str">
        <f>_xlfn.IFNA(VLOOKUP($A668,CompChecksTrans!$A:$C,3,FALSE), "     ")</f>
        <v xml:space="preserve">     </v>
      </c>
    </row>
    <row r="669" spans="1:4" x14ac:dyDescent="0.25">
      <c r="A669" s="12" t="s">
        <v>4980</v>
      </c>
      <c r="B669" s="10" t="str">
        <f>_xlfn.IFNA(VLOOKUP($A669,CompChecksTrans!$A:$C,2,FALSE), "")</f>
        <v/>
      </c>
      <c r="C669" s="10" t="str">
        <f>_xlfn.IFNA(VLOOKUP(B669,Phase1!A$4:C$129,3,FALSE),"")</f>
        <v/>
      </c>
      <c r="D669" s="10" t="str">
        <f>_xlfn.IFNA(VLOOKUP($A669,CompChecksTrans!$A:$C,3,FALSE), "     ")</f>
        <v xml:space="preserve">     </v>
      </c>
    </row>
    <row r="670" spans="1:4" x14ac:dyDescent="0.25">
      <c r="A670" s="12" t="s">
        <v>4981</v>
      </c>
      <c r="B670" s="10" t="str">
        <f>_xlfn.IFNA(VLOOKUP($A670,CompChecksTrans!$A:$C,2,FALSE), "")</f>
        <v/>
      </c>
      <c r="C670" s="10" t="str">
        <f>_xlfn.IFNA(VLOOKUP(B670,Phase1!A$4:C$129,3,FALSE),"")</f>
        <v/>
      </c>
      <c r="D670" s="10" t="str">
        <f>_xlfn.IFNA(VLOOKUP($A670,CompChecksTrans!$A:$C,3,FALSE), "     ")</f>
        <v xml:space="preserve">     </v>
      </c>
    </row>
    <row r="671" spans="1:4" x14ac:dyDescent="0.25">
      <c r="A671" s="12" t="s">
        <v>4982</v>
      </c>
      <c r="B671" s="10" t="str">
        <f>_xlfn.IFNA(VLOOKUP($A671,CompChecksTrans!$A:$C,2,FALSE), "")</f>
        <v/>
      </c>
      <c r="C671" s="10" t="str">
        <f>_xlfn.IFNA(VLOOKUP(B671,Phase1!A$4:C$129,3,FALSE),"")</f>
        <v/>
      </c>
      <c r="D671" s="10" t="str">
        <f>_xlfn.IFNA(VLOOKUP($A671,CompChecksTrans!$A:$C,3,FALSE), "     ")</f>
        <v xml:space="preserve">     </v>
      </c>
    </row>
    <row r="672" spans="1:4" x14ac:dyDescent="0.25">
      <c r="A672" s="12" t="s">
        <v>4983</v>
      </c>
      <c r="B672" s="10" t="str">
        <f>_xlfn.IFNA(VLOOKUP($A672,CompChecksTrans!$A:$C,2,FALSE), "")</f>
        <v/>
      </c>
      <c r="C672" s="10" t="str">
        <f>_xlfn.IFNA(VLOOKUP(B672,Phase1!A$4:C$129,3,FALSE),"")</f>
        <v/>
      </c>
      <c r="D672" s="10" t="str">
        <f>_xlfn.IFNA(VLOOKUP($A672,CompChecksTrans!$A:$C,3,FALSE), "     ")</f>
        <v xml:space="preserve">     </v>
      </c>
    </row>
    <row r="673" spans="1:4" x14ac:dyDescent="0.25">
      <c r="A673" s="12" t="s">
        <v>4984</v>
      </c>
      <c r="B673" s="10" t="str">
        <f>_xlfn.IFNA(VLOOKUP($A673,CompChecksTrans!$A:$C,2,FALSE), "")</f>
        <v/>
      </c>
      <c r="C673" s="10" t="str">
        <f>_xlfn.IFNA(VLOOKUP(B673,Phase1!A$4:C$129,3,FALSE),"")</f>
        <v/>
      </c>
      <c r="D673" s="10" t="str">
        <f>_xlfn.IFNA(VLOOKUP($A673,CompChecksTrans!$A:$C,3,FALSE), "     ")</f>
        <v xml:space="preserve">     </v>
      </c>
    </row>
    <row r="674" spans="1:4" x14ac:dyDescent="0.25">
      <c r="A674" s="12" t="s">
        <v>4985</v>
      </c>
      <c r="B674" s="10" t="str">
        <f>_xlfn.IFNA(VLOOKUP($A674,CompChecksTrans!$A:$C,2,FALSE), "")</f>
        <v/>
      </c>
      <c r="C674" s="10" t="str">
        <f>_xlfn.IFNA(VLOOKUP(B674,Phase1!A$4:C$129,3,FALSE),"")</f>
        <v/>
      </c>
      <c r="D674" s="10" t="str">
        <f>_xlfn.IFNA(VLOOKUP($A674,CompChecksTrans!$A:$C,3,FALSE), "     ")</f>
        <v xml:space="preserve">     </v>
      </c>
    </row>
    <row r="675" spans="1:4" x14ac:dyDescent="0.25">
      <c r="A675" s="12" t="s">
        <v>4986</v>
      </c>
      <c r="B675" s="10" t="str">
        <f>_xlfn.IFNA(VLOOKUP($A675,CompChecksTrans!$A:$C,2,FALSE), "")</f>
        <v/>
      </c>
      <c r="C675" s="10" t="str">
        <f>_xlfn.IFNA(VLOOKUP(B675,Phase1!A$4:C$129,3,FALSE),"")</f>
        <v/>
      </c>
      <c r="D675" s="10" t="str">
        <f>_xlfn.IFNA(VLOOKUP($A675,CompChecksTrans!$A:$C,3,FALSE), "     ")</f>
        <v xml:space="preserve">     </v>
      </c>
    </row>
    <row r="676" spans="1:4" x14ac:dyDescent="0.25">
      <c r="A676" s="12" t="s">
        <v>4987</v>
      </c>
      <c r="B676" s="10" t="str">
        <f>_xlfn.IFNA(VLOOKUP($A676,CompChecksTrans!$A:$C,2,FALSE), "")</f>
        <v/>
      </c>
      <c r="C676" s="10" t="str">
        <f>_xlfn.IFNA(VLOOKUP(B676,Phase1!A$4:C$129,3,FALSE),"")</f>
        <v/>
      </c>
      <c r="D676" s="10" t="str">
        <f>_xlfn.IFNA(VLOOKUP($A676,CompChecksTrans!$A:$C,3,FALSE), "     ")</f>
        <v xml:space="preserve">     </v>
      </c>
    </row>
    <row r="677" spans="1:4" x14ac:dyDescent="0.25">
      <c r="A677" s="12" t="s">
        <v>4988</v>
      </c>
      <c r="B677" s="10" t="str">
        <f>_xlfn.IFNA(VLOOKUP($A677,CompChecksTrans!$A:$C,2,FALSE), "")</f>
        <v/>
      </c>
      <c r="C677" s="10" t="str">
        <f>_xlfn.IFNA(VLOOKUP(B677,Phase1!A$4:C$129,3,FALSE),"")</f>
        <v/>
      </c>
      <c r="D677" s="10" t="str">
        <f>_xlfn.IFNA(VLOOKUP($A677,CompChecksTrans!$A:$C,3,FALSE), "     ")</f>
        <v xml:space="preserve">     </v>
      </c>
    </row>
    <row r="678" spans="1:4" x14ac:dyDescent="0.25">
      <c r="A678" s="12" t="s">
        <v>4989</v>
      </c>
      <c r="B678" s="10" t="str">
        <f>_xlfn.IFNA(VLOOKUP($A678,CompChecksTrans!$A:$C,2,FALSE), "")</f>
        <v/>
      </c>
      <c r="C678" s="10" t="str">
        <f>_xlfn.IFNA(VLOOKUP(B678,Phase1!A$4:C$129,3,FALSE),"")</f>
        <v/>
      </c>
      <c r="D678" s="10" t="str">
        <f>_xlfn.IFNA(VLOOKUP($A678,CompChecksTrans!$A:$C,3,FALSE), "     ")</f>
        <v xml:space="preserve">     </v>
      </c>
    </row>
    <row r="679" spans="1:4" x14ac:dyDescent="0.25">
      <c r="A679" s="12" t="s">
        <v>4990</v>
      </c>
      <c r="B679" s="10" t="str">
        <f>_xlfn.IFNA(VLOOKUP($A679,CompChecksTrans!$A:$C,2,FALSE), "")</f>
        <v/>
      </c>
      <c r="C679" s="10" t="str">
        <f>_xlfn.IFNA(VLOOKUP(B679,Phase1!A$4:C$129,3,FALSE),"")</f>
        <v/>
      </c>
      <c r="D679" s="10" t="str">
        <f>_xlfn.IFNA(VLOOKUP($A679,CompChecksTrans!$A:$C,3,FALSE), "     ")</f>
        <v xml:space="preserve">     </v>
      </c>
    </row>
    <row r="680" spans="1:4" x14ac:dyDescent="0.25">
      <c r="A680" s="12" t="s">
        <v>4991</v>
      </c>
      <c r="B680" s="10" t="str">
        <f>_xlfn.IFNA(VLOOKUP($A680,CompChecksTrans!$A:$C,2,FALSE), "")</f>
        <v/>
      </c>
      <c r="C680" s="10" t="str">
        <f>_xlfn.IFNA(VLOOKUP(B680,Phase1!A$4:C$129,3,FALSE),"")</f>
        <v/>
      </c>
      <c r="D680" s="10" t="str">
        <f>_xlfn.IFNA(VLOOKUP($A680,CompChecksTrans!$A:$C,3,FALSE), "     ")</f>
        <v xml:space="preserve">     </v>
      </c>
    </row>
    <row r="681" spans="1:4" x14ac:dyDescent="0.25">
      <c r="A681" s="12" t="s">
        <v>4992</v>
      </c>
      <c r="B681" s="10" t="str">
        <f>_xlfn.IFNA(VLOOKUP($A681,CompChecksTrans!$A:$C,2,FALSE), "")</f>
        <v/>
      </c>
      <c r="C681" s="10" t="str">
        <f>_xlfn.IFNA(VLOOKUP(B681,Phase1!A$4:C$129,3,FALSE),"")</f>
        <v/>
      </c>
      <c r="D681" s="10" t="str">
        <f>_xlfn.IFNA(VLOOKUP($A681,CompChecksTrans!$A:$C,3,FALSE), "     ")</f>
        <v xml:space="preserve">     </v>
      </c>
    </row>
    <row r="682" spans="1:4" x14ac:dyDescent="0.25">
      <c r="A682" s="12" t="s">
        <v>4993</v>
      </c>
      <c r="B682" s="10" t="str">
        <f>_xlfn.IFNA(VLOOKUP($A682,CompChecksTrans!$A:$C,2,FALSE), "")</f>
        <v/>
      </c>
      <c r="C682" s="10" t="str">
        <f>_xlfn.IFNA(VLOOKUP(B682,Phase1!A$4:C$129,3,FALSE),"")</f>
        <v/>
      </c>
      <c r="D682" s="10" t="str">
        <f>_xlfn.IFNA(VLOOKUP($A682,CompChecksTrans!$A:$C,3,FALSE), "     ")</f>
        <v xml:space="preserve">     </v>
      </c>
    </row>
    <row r="683" spans="1:4" x14ac:dyDescent="0.25">
      <c r="A683" s="12" t="s">
        <v>4994</v>
      </c>
      <c r="B683" s="10" t="str">
        <f>_xlfn.IFNA(VLOOKUP($A683,CompChecksTrans!$A:$C,2,FALSE), "")</f>
        <v/>
      </c>
      <c r="C683" s="10" t="str">
        <f>_xlfn.IFNA(VLOOKUP(B683,Phase1!A$4:C$129,3,FALSE),"")</f>
        <v/>
      </c>
      <c r="D683" s="10" t="str">
        <f>_xlfn.IFNA(VLOOKUP($A683,CompChecksTrans!$A:$C,3,FALSE), "     ")</f>
        <v xml:space="preserve">     </v>
      </c>
    </row>
    <row r="684" spans="1:4" x14ac:dyDescent="0.25">
      <c r="A684" s="12" t="s">
        <v>4995</v>
      </c>
      <c r="B684" s="10" t="str">
        <f>_xlfn.IFNA(VLOOKUP($A684,CompChecksTrans!$A:$C,2,FALSE), "")</f>
        <v/>
      </c>
      <c r="C684" s="10" t="str">
        <f>_xlfn.IFNA(VLOOKUP(B684,Phase1!A$4:C$129,3,FALSE),"")</f>
        <v/>
      </c>
      <c r="D684" s="10" t="str">
        <f>_xlfn.IFNA(VLOOKUP($A684,CompChecksTrans!$A:$C,3,FALSE), "     ")</f>
        <v xml:space="preserve">     </v>
      </c>
    </row>
    <row r="685" spans="1:4" x14ac:dyDescent="0.25">
      <c r="A685" s="12" t="s">
        <v>4996</v>
      </c>
      <c r="B685" s="10" t="str">
        <f>_xlfn.IFNA(VLOOKUP($A685,CompChecksTrans!$A:$C,2,FALSE), "")</f>
        <v/>
      </c>
      <c r="C685" s="10" t="str">
        <f>_xlfn.IFNA(VLOOKUP(B685,Phase1!A$4:C$129,3,FALSE),"")</f>
        <v/>
      </c>
      <c r="D685" s="10" t="str">
        <f>_xlfn.IFNA(VLOOKUP($A685,CompChecksTrans!$A:$C,3,FALSE), "     ")</f>
        <v xml:space="preserve">     </v>
      </c>
    </row>
    <row r="686" spans="1:4" x14ac:dyDescent="0.25">
      <c r="A686" s="12" t="s">
        <v>4997</v>
      </c>
      <c r="B686" s="10" t="str">
        <f>_xlfn.IFNA(VLOOKUP($A686,CompChecksTrans!$A:$C,2,FALSE), "")</f>
        <v/>
      </c>
      <c r="C686" s="10" t="str">
        <f>_xlfn.IFNA(VLOOKUP(B686,Phase1!A$4:C$129,3,FALSE),"")</f>
        <v/>
      </c>
      <c r="D686" s="10" t="str">
        <f>_xlfn.IFNA(VLOOKUP($A686,CompChecksTrans!$A:$C,3,FALSE), "     ")</f>
        <v xml:space="preserve">     </v>
      </c>
    </row>
    <row r="687" spans="1:4" x14ac:dyDescent="0.25">
      <c r="A687" s="12" t="s">
        <v>4998</v>
      </c>
      <c r="B687" s="10" t="str">
        <f>_xlfn.IFNA(VLOOKUP($A687,CompChecksTrans!$A:$C,2,FALSE), "")</f>
        <v/>
      </c>
      <c r="C687" s="10" t="str">
        <f>_xlfn.IFNA(VLOOKUP(B687,Phase1!A$4:C$129,3,FALSE),"")</f>
        <v/>
      </c>
      <c r="D687" s="10" t="str">
        <f>_xlfn.IFNA(VLOOKUP($A687,CompChecksTrans!$A:$C,3,FALSE), "     ")</f>
        <v xml:space="preserve">     </v>
      </c>
    </row>
    <row r="688" spans="1:4" x14ac:dyDescent="0.25">
      <c r="A688" s="12" t="s">
        <v>4999</v>
      </c>
      <c r="B688" s="10" t="str">
        <f>_xlfn.IFNA(VLOOKUP($A688,CompChecksTrans!$A:$C,2,FALSE), "")</f>
        <v/>
      </c>
      <c r="C688" s="10" t="str">
        <f>_xlfn.IFNA(VLOOKUP(B688,Phase1!A$4:C$129,3,FALSE),"")</f>
        <v/>
      </c>
      <c r="D688" s="10" t="str">
        <f>_xlfn.IFNA(VLOOKUP($A688,CompChecksTrans!$A:$C,3,FALSE), "     ")</f>
        <v xml:space="preserve">     </v>
      </c>
    </row>
    <row r="689" spans="1:4" x14ac:dyDescent="0.25">
      <c r="A689" s="12" t="s">
        <v>5000</v>
      </c>
      <c r="B689" s="10" t="str">
        <f>_xlfn.IFNA(VLOOKUP($A689,CompChecksTrans!$A:$C,2,FALSE), "")</f>
        <v/>
      </c>
      <c r="C689" s="10" t="str">
        <f>_xlfn.IFNA(VLOOKUP(B689,Phase1!A$4:C$129,3,FALSE),"")</f>
        <v/>
      </c>
      <c r="D689" s="10" t="str">
        <f>_xlfn.IFNA(VLOOKUP($A689,CompChecksTrans!$A:$C,3,FALSE), "     ")</f>
        <v xml:space="preserve">     </v>
      </c>
    </row>
    <row r="690" spans="1:4" x14ac:dyDescent="0.25">
      <c r="A690" s="12" t="s">
        <v>5001</v>
      </c>
      <c r="B690" s="10" t="str">
        <f>_xlfn.IFNA(VLOOKUP($A690,CompChecksTrans!$A:$C,2,FALSE), "")</f>
        <v/>
      </c>
      <c r="C690" s="10" t="str">
        <f>_xlfn.IFNA(VLOOKUP(B690,Phase1!A$4:C$129,3,FALSE),"")</f>
        <v/>
      </c>
      <c r="D690" s="10" t="str">
        <f>_xlfn.IFNA(VLOOKUP($A690,CompChecksTrans!$A:$C,3,FALSE), "     ")</f>
        <v xml:space="preserve">     </v>
      </c>
    </row>
    <row r="691" spans="1:4" x14ac:dyDescent="0.25">
      <c r="A691" s="12" t="s">
        <v>5002</v>
      </c>
      <c r="B691" s="10" t="str">
        <f>_xlfn.IFNA(VLOOKUP($A691,CompChecksTrans!$A:$C,2,FALSE), "")</f>
        <v/>
      </c>
      <c r="C691" s="10" t="str">
        <f>_xlfn.IFNA(VLOOKUP(B691,Phase1!A$4:C$129,3,FALSE),"")</f>
        <v/>
      </c>
      <c r="D691" s="10" t="str">
        <f>_xlfn.IFNA(VLOOKUP($A691,CompChecksTrans!$A:$C,3,FALSE), "     ")</f>
        <v xml:space="preserve">     </v>
      </c>
    </row>
    <row r="692" spans="1:4" x14ac:dyDescent="0.25">
      <c r="A692" s="12" t="s">
        <v>5003</v>
      </c>
      <c r="B692" s="10" t="str">
        <f>_xlfn.IFNA(VLOOKUP($A692,CompChecksTrans!$A:$C,2,FALSE), "")</f>
        <v/>
      </c>
      <c r="C692" s="10" t="str">
        <f>_xlfn.IFNA(VLOOKUP(B692,Phase1!A$4:C$129,3,FALSE),"")</f>
        <v/>
      </c>
      <c r="D692" s="10" t="str">
        <f>_xlfn.IFNA(VLOOKUP($A692,CompChecksTrans!$A:$C,3,FALSE), "     ")</f>
        <v xml:space="preserve">     </v>
      </c>
    </row>
    <row r="693" spans="1:4" x14ac:dyDescent="0.25">
      <c r="A693" s="12" t="s">
        <v>5004</v>
      </c>
      <c r="B693" s="10" t="str">
        <f>_xlfn.IFNA(VLOOKUP($A693,CompChecksTrans!$A:$C,2,FALSE), "")</f>
        <v/>
      </c>
      <c r="C693" s="10" t="str">
        <f>_xlfn.IFNA(VLOOKUP(B693,Phase1!A$4:C$129,3,FALSE),"")</f>
        <v/>
      </c>
      <c r="D693" s="10" t="str">
        <f>_xlfn.IFNA(VLOOKUP($A693,CompChecksTrans!$A:$C,3,FALSE), "     ")</f>
        <v xml:space="preserve">     </v>
      </c>
    </row>
    <row r="694" spans="1:4" x14ac:dyDescent="0.25">
      <c r="A694" s="12" t="s">
        <v>5005</v>
      </c>
      <c r="B694" s="10" t="str">
        <f>_xlfn.IFNA(VLOOKUP($A694,CompChecksTrans!$A:$C,2,FALSE), "")</f>
        <v/>
      </c>
      <c r="C694" s="10" t="str">
        <f>_xlfn.IFNA(VLOOKUP(B694,Phase1!A$4:C$129,3,FALSE),"")</f>
        <v/>
      </c>
      <c r="D694" s="10" t="str">
        <f>_xlfn.IFNA(VLOOKUP($A694,CompChecksTrans!$A:$C,3,FALSE), "     ")</f>
        <v xml:space="preserve">     </v>
      </c>
    </row>
    <row r="695" spans="1:4" x14ac:dyDescent="0.25">
      <c r="A695" s="12" t="s">
        <v>5006</v>
      </c>
      <c r="B695" s="10" t="str">
        <f>_xlfn.IFNA(VLOOKUP($A695,CompChecksTrans!$A:$C,2,FALSE), "")</f>
        <v/>
      </c>
      <c r="C695" s="10" t="str">
        <f>_xlfn.IFNA(VLOOKUP(B695,Phase1!A$4:C$129,3,FALSE),"")</f>
        <v/>
      </c>
      <c r="D695" s="10" t="str">
        <f>_xlfn.IFNA(VLOOKUP($A695,CompChecksTrans!$A:$C,3,FALSE), "     ")</f>
        <v xml:space="preserve">     </v>
      </c>
    </row>
    <row r="696" spans="1:4" x14ac:dyDescent="0.25">
      <c r="A696" s="12" t="s">
        <v>5007</v>
      </c>
      <c r="B696" s="10" t="str">
        <f>_xlfn.IFNA(VLOOKUP($A696,CompChecksTrans!$A:$C,2,FALSE), "")</f>
        <v/>
      </c>
      <c r="C696" s="10" t="str">
        <f>_xlfn.IFNA(VLOOKUP(B696,Phase1!A$4:C$129,3,FALSE),"")</f>
        <v/>
      </c>
      <c r="D696" s="10" t="str">
        <f>_xlfn.IFNA(VLOOKUP($A696,CompChecksTrans!$A:$C,3,FALSE), "     ")</f>
        <v xml:space="preserve">     </v>
      </c>
    </row>
    <row r="697" spans="1:4" x14ac:dyDescent="0.25">
      <c r="A697" s="12" t="s">
        <v>5008</v>
      </c>
      <c r="B697" s="10" t="str">
        <f>_xlfn.IFNA(VLOOKUP($A697,CompChecksTrans!$A:$C,2,FALSE), "")</f>
        <v/>
      </c>
      <c r="C697" s="10" t="str">
        <f>_xlfn.IFNA(VLOOKUP(B697,Phase1!A$4:C$129,3,FALSE),"")</f>
        <v/>
      </c>
      <c r="D697" s="10" t="str">
        <f>_xlfn.IFNA(VLOOKUP($A697,CompChecksTrans!$A:$C,3,FALSE), "     ")</f>
        <v xml:space="preserve">     </v>
      </c>
    </row>
    <row r="698" spans="1:4" x14ac:dyDescent="0.25">
      <c r="A698" s="12" t="s">
        <v>5009</v>
      </c>
      <c r="B698" s="10" t="str">
        <f>_xlfn.IFNA(VLOOKUP($A698,CompChecksTrans!$A:$C,2,FALSE), "")</f>
        <v/>
      </c>
      <c r="C698" s="10" t="str">
        <f>_xlfn.IFNA(VLOOKUP(B698,Phase1!A$4:C$129,3,FALSE),"")</f>
        <v/>
      </c>
      <c r="D698" s="10" t="str">
        <f>_xlfn.IFNA(VLOOKUP($A698,CompChecksTrans!$A:$C,3,FALSE), "     ")</f>
        <v xml:space="preserve">     </v>
      </c>
    </row>
    <row r="699" spans="1:4" x14ac:dyDescent="0.25">
      <c r="A699" s="12" t="s">
        <v>5010</v>
      </c>
      <c r="B699" s="10" t="str">
        <f>_xlfn.IFNA(VLOOKUP($A699,CompChecksTrans!$A:$C,2,FALSE), "")</f>
        <v/>
      </c>
      <c r="C699" s="10" t="str">
        <f>_xlfn.IFNA(VLOOKUP(B699,Phase1!A$4:C$129,3,FALSE),"")</f>
        <v/>
      </c>
      <c r="D699" s="10" t="str">
        <f>_xlfn.IFNA(VLOOKUP($A699,CompChecksTrans!$A:$C,3,FALSE), "     ")</f>
        <v xml:space="preserve">     </v>
      </c>
    </row>
    <row r="700" spans="1:4" x14ac:dyDescent="0.25">
      <c r="A700" s="12" t="s">
        <v>5011</v>
      </c>
      <c r="B700" s="10" t="str">
        <f>_xlfn.IFNA(VLOOKUP($A700,CompChecksTrans!$A:$C,2,FALSE), "")</f>
        <v/>
      </c>
      <c r="C700" s="10" t="str">
        <f>_xlfn.IFNA(VLOOKUP(B700,Phase1!A$4:C$129,3,FALSE),"")</f>
        <v/>
      </c>
      <c r="D700" s="10" t="str">
        <f>_xlfn.IFNA(VLOOKUP($A700,CompChecksTrans!$A:$C,3,FALSE), "     ")</f>
        <v xml:space="preserve">     </v>
      </c>
    </row>
    <row r="701" spans="1:4" x14ac:dyDescent="0.25">
      <c r="A701" s="12" t="s">
        <v>5012</v>
      </c>
      <c r="B701" s="10" t="str">
        <f>_xlfn.IFNA(VLOOKUP($A701,CompChecksTrans!$A:$C,2,FALSE), "")</f>
        <v/>
      </c>
      <c r="C701" s="10" t="str">
        <f>_xlfn.IFNA(VLOOKUP(B701,Phase1!A$4:C$129,3,FALSE),"")</f>
        <v/>
      </c>
      <c r="D701" s="10" t="str">
        <f>_xlfn.IFNA(VLOOKUP($A701,CompChecksTrans!$A:$C,3,FALSE), "     ")</f>
        <v xml:space="preserve">     </v>
      </c>
    </row>
    <row r="702" spans="1:4" x14ac:dyDescent="0.25">
      <c r="A702" s="12" t="s">
        <v>5013</v>
      </c>
      <c r="B702" s="10" t="str">
        <f>_xlfn.IFNA(VLOOKUP($A702,CompChecksTrans!$A:$C,2,FALSE), "")</f>
        <v/>
      </c>
      <c r="C702" s="10" t="str">
        <f>_xlfn.IFNA(VLOOKUP(B702,Phase1!A$4:C$129,3,FALSE),"")</f>
        <v/>
      </c>
      <c r="D702" s="10" t="str">
        <f>_xlfn.IFNA(VLOOKUP($A702,CompChecksTrans!$A:$C,3,FALSE), "     ")</f>
        <v xml:space="preserve">     </v>
      </c>
    </row>
    <row r="703" spans="1:4" x14ac:dyDescent="0.25">
      <c r="A703" s="12" t="s">
        <v>5014</v>
      </c>
      <c r="B703" s="10" t="str">
        <f>_xlfn.IFNA(VLOOKUP($A703,CompChecksTrans!$A:$C,2,FALSE), "")</f>
        <v/>
      </c>
      <c r="C703" s="10" t="str">
        <f>_xlfn.IFNA(VLOOKUP(B703,Phase1!A$4:C$129,3,FALSE),"")</f>
        <v/>
      </c>
      <c r="D703" s="10" t="str">
        <f>_xlfn.IFNA(VLOOKUP($A703,CompChecksTrans!$A:$C,3,FALSE), "     ")</f>
        <v xml:space="preserve">     </v>
      </c>
    </row>
    <row r="704" spans="1:4" x14ac:dyDescent="0.25">
      <c r="A704" s="12" t="s">
        <v>5015</v>
      </c>
      <c r="B704" s="10" t="str">
        <f>_xlfn.IFNA(VLOOKUP($A704,CompChecksTrans!$A:$C,2,FALSE), "")</f>
        <v/>
      </c>
      <c r="C704" s="10" t="str">
        <f>_xlfn.IFNA(VLOOKUP(B704,Phase1!A$4:C$129,3,FALSE),"")</f>
        <v/>
      </c>
      <c r="D704" s="10" t="str">
        <f>_xlfn.IFNA(VLOOKUP($A704,CompChecksTrans!$A:$C,3,FALSE), "     ")</f>
        <v xml:space="preserve">     </v>
      </c>
    </row>
    <row r="705" spans="1:4" x14ac:dyDescent="0.25">
      <c r="A705" s="12" t="s">
        <v>5016</v>
      </c>
      <c r="B705" s="10" t="str">
        <f>_xlfn.IFNA(VLOOKUP($A705,CompChecksTrans!$A:$C,2,FALSE), "")</f>
        <v/>
      </c>
      <c r="C705" s="10" t="str">
        <f>_xlfn.IFNA(VLOOKUP(B705,Phase1!A$4:C$129,3,FALSE),"")</f>
        <v/>
      </c>
      <c r="D705" s="10" t="str">
        <f>_xlfn.IFNA(VLOOKUP($A705,CompChecksTrans!$A:$C,3,FALSE), "     ")</f>
        <v xml:space="preserve">     </v>
      </c>
    </row>
    <row r="706" spans="1:4" x14ac:dyDescent="0.25">
      <c r="A706" s="12" t="s">
        <v>5017</v>
      </c>
      <c r="B706" s="10" t="str">
        <f>_xlfn.IFNA(VLOOKUP($A706,CompChecksTrans!$A:$C,2,FALSE), "")</f>
        <v/>
      </c>
      <c r="C706" s="10" t="str">
        <f>_xlfn.IFNA(VLOOKUP(B706,Phase1!A$4:C$129,3,FALSE),"")</f>
        <v/>
      </c>
      <c r="D706" s="10" t="str">
        <f>_xlfn.IFNA(VLOOKUP($A706,CompChecksTrans!$A:$C,3,FALSE), "     ")</f>
        <v xml:space="preserve">     </v>
      </c>
    </row>
    <row r="707" spans="1:4" x14ac:dyDescent="0.25">
      <c r="A707" s="12" t="s">
        <v>5018</v>
      </c>
      <c r="B707" s="10" t="str">
        <f>_xlfn.IFNA(VLOOKUP($A707,CompChecksTrans!$A:$C,2,FALSE), "")</f>
        <v/>
      </c>
      <c r="C707" s="10" t="str">
        <f>_xlfn.IFNA(VLOOKUP(B707,Phase1!A$4:C$129,3,FALSE),"")</f>
        <v/>
      </c>
      <c r="D707" s="10" t="str">
        <f>_xlfn.IFNA(VLOOKUP($A707,CompChecksTrans!$A:$C,3,FALSE), "     ")</f>
        <v xml:space="preserve">     </v>
      </c>
    </row>
    <row r="708" spans="1:4" x14ac:dyDescent="0.25">
      <c r="A708" s="12" t="s">
        <v>5019</v>
      </c>
      <c r="B708" s="10" t="str">
        <f>_xlfn.IFNA(VLOOKUP($A708,CompChecksTrans!$A:$C,2,FALSE), "")</f>
        <v/>
      </c>
      <c r="C708" s="10" t="str">
        <f>_xlfn.IFNA(VLOOKUP(B708,Phase1!A$4:C$129,3,FALSE),"")</f>
        <v/>
      </c>
      <c r="D708" s="10" t="str">
        <f>_xlfn.IFNA(VLOOKUP($A708,CompChecksTrans!$A:$C,3,FALSE), "     ")</f>
        <v xml:space="preserve">     </v>
      </c>
    </row>
    <row r="709" spans="1:4" x14ac:dyDescent="0.25">
      <c r="A709" s="12" t="s">
        <v>5020</v>
      </c>
      <c r="B709" s="10" t="str">
        <f>_xlfn.IFNA(VLOOKUP($A709,CompChecksTrans!$A:$C,2,FALSE), "")</f>
        <v/>
      </c>
      <c r="C709" s="10" t="str">
        <f>_xlfn.IFNA(VLOOKUP(B709,Phase1!A$4:C$129,3,FALSE),"")</f>
        <v/>
      </c>
      <c r="D709" s="10" t="str">
        <f>_xlfn.IFNA(VLOOKUP($A709,CompChecksTrans!$A:$C,3,FALSE), "     ")</f>
        <v xml:space="preserve">     </v>
      </c>
    </row>
    <row r="710" spans="1:4" x14ac:dyDescent="0.25">
      <c r="A710" s="12" t="s">
        <v>5021</v>
      </c>
      <c r="B710" s="10" t="str">
        <f>_xlfn.IFNA(VLOOKUP($A710,CompChecksTrans!$A:$C,2,FALSE), "")</f>
        <v/>
      </c>
      <c r="C710" s="10" t="str">
        <f>_xlfn.IFNA(VLOOKUP(B710,Phase1!A$4:C$129,3,FALSE),"")</f>
        <v/>
      </c>
      <c r="D710" s="10" t="str">
        <f>_xlfn.IFNA(VLOOKUP($A710,CompChecksTrans!$A:$C,3,FALSE), "     ")</f>
        <v xml:space="preserve">     </v>
      </c>
    </row>
    <row r="711" spans="1:4" x14ac:dyDescent="0.25">
      <c r="A711" s="12" t="s">
        <v>5022</v>
      </c>
      <c r="B711" s="10" t="str">
        <f>_xlfn.IFNA(VLOOKUP($A711,CompChecksTrans!$A:$C,2,FALSE), "")</f>
        <v/>
      </c>
      <c r="C711" s="10" t="str">
        <f>_xlfn.IFNA(VLOOKUP(B711,Phase1!A$4:C$129,3,FALSE),"")</f>
        <v/>
      </c>
      <c r="D711" s="10" t="str">
        <f>_xlfn.IFNA(VLOOKUP($A711,CompChecksTrans!$A:$C,3,FALSE), "     ")</f>
        <v xml:space="preserve">     </v>
      </c>
    </row>
    <row r="712" spans="1:4" x14ac:dyDescent="0.25">
      <c r="A712" s="12" t="s">
        <v>5023</v>
      </c>
      <c r="B712" s="10" t="str">
        <f>_xlfn.IFNA(VLOOKUP($A712,CompChecksTrans!$A:$C,2,FALSE), "")</f>
        <v/>
      </c>
      <c r="C712" s="10" t="str">
        <f>_xlfn.IFNA(VLOOKUP(B712,Phase1!A$4:C$129,3,FALSE),"")</f>
        <v/>
      </c>
      <c r="D712" s="10" t="str">
        <f>_xlfn.IFNA(VLOOKUP($A712,CompChecksTrans!$A:$C,3,FALSE), "     ")</f>
        <v xml:space="preserve">     </v>
      </c>
    </row>
    <row r="713" spans="1:4" x14ac:dyDescent="0.25">
      <c r="A713" s="12" t="s">
        <v>5024</v>
      </c>
      <c r="B713" s="10" t="str">
        <f>_xlfn.IFNA(VLOOKUP($A713,CompChecksTrans!$A:$C,2,FALSE), "")</f>
        <v/>
      </c>
      <c r="C713" s="10" t="str">
        <f>_xlfn.IFNA(VLOOKUP(B713,Phase1!A$4:C$129,3,FALSE),"")</f>
        <v/>
      </c>
      <c r="D713" s="10" t="str">
        <f>_xlfn.IFNA(VLOOKUP($A713,CompChecksTrans!$A:$C,3,FALSE), "     ")</f>
        <v xml:space="preserve">     </v>
      </c>
    </row>
    <row r="714" spans="1:4" x14ac:dyDescent="0.25">
      <c r="A714" s="12" t="s">
        <v>5025</v>
      </c>
      <c r="B714" s="10" t="str">
        <f>_xlfn.IFNA(VLOOKUP($A714,CompChecksTrans!$A:$C,2,FALSE), "")</f>
        <v/>
      </c>
      <c r="C714" s="10" t="str">
        <f>_xlfn.IFNA(VLOOKUP(B714,Phase1!A$4:C$129,3,FALSE),"")</f>
        <v/>
      </c>
      <c r="D714" s="10" t="str">
        <f>_xlfn.IFNA(VLOOKUP($A714,CompChecksTrans!$A:$C,3,FALSE), "     ")</f>
        <v xml:space="preserve">     </v>
      </c>
    </row>
    <row r="715" spans="1:4" x14ac:dyDescent="0.25">
      <c r="A715" s="12" t="s">
        <v>5026</v>
      </c>
      <c r="B715" s="10" t="str">
        <f>_xlfn.IFNA(VLOOKUP($A715,CompChecksTrans!$A:$C,2,FALSE), "")</f>
        <v/>
      </c>
      <c r="C715" s="10" t="str">
        <f>_xlfn.IFNA(VLOOKUP(B715,Phase1!A$4:C$129,3,FALSE),"")</f>
        <v/>
      </c>
      <c r="D715" s="10" t="str">
        <f>_xlfn.IFNA(VLOOKUP($A715,CompChecksTrans!$A:$C,3,FALSE), "     ")</f>
        <v xml:space="preserve">     </v>
      </c>
    </row>
    <row r="716" spans="1:4" x14ac:dyDescent="0.25">
      <c r="A716" s="12" t="s">
        <v>5027</v>
      </c>
      <c r="B716" s="10" t="str">
        <f>_xlfn.IFNA(VLOOKUP($A716,CompChecksTrans!$A:$C,2,FALSE), "")</f>
        <v/>
      </c>
      <c r="C716" s="10" t="str">
        <f>_xlfn.IFNA(VLOOKUP(B716,Phase1!A$4:C$129,3,FALSE),"")</f>
        <v/>
      </c>
      <c r="D716" s="10" t="str">
        <f>_xlfn.IFNA(VLOOKUP($A716,CompChecksTrans!$A:$C,3,FALSE), "     ")</f>
        <v xml:space="preserve">     </v>
      </c>
    </row>
    <row r="717" spans="1:4" x14ac:dyDescent="0.25">
      <c r="A717" s="12" t="s">
        <v>5028</v>
      </c>
      <c r="B717" s="10" t="str">
        <f>_xlfn.IFNA(VLOOKUP($A717,CompChecksTrans!$A:$C,2,FALSE), "")</f>
        <v/>
      </c>
      <c r="C717" s="10" t="str">
        <f>_xlfn.IFNA(VLOOKUP(B717,Phase1!A$4:C$129,3,FALSE),"")</f>
        <v/>
      </c>
      <c r="D717" s="10" t="str">
        <f>_xlfn.IFNA(VLOOKUP($A717,CompChecksTrans!$A:$C,3,FALSE), "     ")</f>
        <v xml:space="preserve">     </v>
      </c>
    </row>
    <row r="718" spans="1:4" x14ac:dyDescent="0.25">
      <c r="A718" s="12" t="s">
        <v>5029</v>
      </c>
      <c r="B718" s="10" t="str">
        <f>_xlfn.IFNA(VLOOKUP($A718,CompChecksTrans!$A:$C,2,FALSE), "")</f>
        <v/>
      </c>
      <c r="C718" s="10" t="str">
        <f>_xlfn.IFNA(VLOOKUP(B718,Phase1!A$4:C$129,3,FALSE),"")</f>
        <v/>
      </c>
      <c r="D718" s="10" t="str">
        <f>_xlfn.IFNA(VLOOKUP($A718,CompChecksTrans!$A:$C,3,FALSE), "     ")</f>
        <v xml:space="preserve">     </v>
      </c>
    </row>
    <row r="719" spans="1:4" x14ac:dyDescent="0.25">
      <c r="A719" s="12" t="s">
        <v>5030</v>
      </c>
      <c r="B719" s="10" t="str">
        <f>_xlfn.IFNA(VLOOKUP($A719,CompChecksTrans!$A:$C,2,FALSE), "")</f>
        <v/>
      </c>
      <c r="C719" s="10" t="str">
        <f>_xlfn.IFNA(VLOOKUP(B719,Phase1!A$4:C$129,3,FALSE),"")</f>
        <v/>
      </c>
      <c r="D719" s="10" t="str">
        <f>_xlfn.IFNA(VLOOKUP($A719,CompChecksTrans!$A:$C,3,FALSE), "     ")</f>
        <v xml:space="preserve">     </v>
      </c>
    </row>
    <row r="720" spans="1:4" x14ac:dyDescent="0.25">
      <c r="A720" s="12" t="s">
        <v>5031</v>
      </c>
      <c r="B720" s="10" t="str">
        <f>_xlfn.IFNA(VLOOKUP($A720,CompChecksTrans!$A:$C,2,FALSE), "")</f>
        <v/>
      </c>
      <c r="C720" s="10" t="str">
        <f>_xlfn.IFNA(VLOOKUP(B720,Phase1!A$4:C$129,3,FALSE),"")</f>
        <v/>
      </c>
      <c r="D720" s="10" t="str">
        <f>_xlfn.IFNA(VLOOKUP($A720,CompChecksTrans!$A:$C,3,FALSE), "     ")</f>
        <v xml:space="preserve">     </v>
      </c>
    </row>
    <row r="721" spans="1:4" x14ac:dyDescent="0.25">
      <c r="A721" s="12" t="s">
        <v>5032</v>
      </c>
      <c r="B721" s="10" t="str">
        <f>_xlfn.IFNA(VLOOKUP($A721,CompChecksTrans!$A:$C,2,FALSE), "")</f>
        <v/>
      </c>
      <c r="C721" s="10" t="str">
        <f>_xlfn.IFNA(VLOOKUP(B721,Phase1!A$4:C$129,3,FALSE),"")</f>
        <v/>
      </c>
      <c r="D721" s="10" t="str">
        <f>_xlfn.IFNA(VLOOKUP($A721,CompChecksTrans!$A:$C,3,FALSE), "     ")</f>
        <v xml:space="preserve">     </v>
      </c>
    </row>
    <row r="722" spans="1:4" x14ac:dyDescent="0.25">
      <c r="A722" s="12" t="s">
        <v>5033</v>
      </c>
      <c r="B722" s="10" t="str">
        <f>_xlfn.IFNA(VLOOKUP($A722,CompChecksTrans!$A:$C,2,FALSE), "")</f>
        <v/>
      </c>
      <c r="C722" s="10" t="str">
        <f>_xlfn.IFNA(VLOOKUP(B722,Phase1!A$4:C$129,3,FALSE),"")</f>
        <v/>
      </c>
      <c r="D722" s="10" t="str">
        <f>_xlfn.IFNA(VLOOKUP($A722,CompChecksTrans!$A:$C,3,FALSE), "     ")</f>
        <v xml:space="preserve">     </v>
      </c>
    </row>
    <row r="723" spans="1:4" x14ac:dyDescent="0.25">
      <c r="A723" s="12" t="s">
        <v>5034</v>
      </c>
      <c r="B723" s="10" t="str">
        <f>_xlfn.IFNA(VLOOKUP($A723,CompChecksTrans!$A:$C,2,FALSE), "")</f>
        <v/>
      </c>
      <c r="C723" s="10" t="str">
        <f>_xlfn.IFNA(VLOOKUP(B723,Phase1!A$4:C$129,3,FALSE),"")</f>
        <v/>
      </c>
      <c r="D723" s="10" t="str">
        <f>_xlfn.IFNA(VLOOKUP($A723,CompChecksTrans!$A:$C,3,FALSE), "     ")</f>
        <v xml:space="preserve">     </v>
      </c>
    </row>
    <row r="724" spans="1:4" x14ac:dyDescent="0.25">
      <c r="A724" s="12" t="s">
        <v>5035</v>
      </c>
      <c r="B724" s="10" t="str">
        <f>_xlfn.IFNA(VLOOKUP($A724,CompChecksTrans!$A:$C,2,FALSE), "")</f>
        <v/>
      </c>
      <c r="C724" s="10" t="str">
        <f>_xlfn.IFNA(VLOOKUP(B724,Phase1!A$4:C$129,3,FALSE),"")</f>
        <v/>
      </c>
      <c r="D724" s="10" t="str">
        <f>_xlfn.IFNA(VLOOKUP($A724,CompChecksTrans!$A:$C,3,FALSE), "     ")</f>
        <v xml:space="preserve">     </v>
      </c>
    </row>
    <row r="725" spans="1:4" x14ac:dyDescent="0.25">
      <c r="A725" s="12" t="s">
        <v>5036</v>
      </c>
      <c r="B725" s="10" t="str">
        <f>_xlfn.IFNA(VLOOKUP($A725,CompChecksTrans!$A:$C,2,FALSE), "")</f>
        <v/>
      </c>
      <c r="C725" s="10" t="str">
        <f>_xlfn.IFNA(VLOOKUP(B725,Phase1!A$4:C$129,3,FALSE),"")</f>
        <v/>
      </c>
      <c r="D725" s="10" t="str">
        <f>_xlfn.IFNA(VLOOKUP($A725,CompChecksTrans!$A:$C,3,FALSE), "     ")</f>
        <v xml:space="preserve">     </v>
      </c>
    </row>
    <row r="726" spans="1:4" x14ac:dyDescent="0.25">
      <c r="A726" s="12" t="s">
        <v>5037</v>
      </c>
      <c r="B726" s="10" t="str">
        <f>_xlfn.IFNA(VLOOKUP($A726,CompChecksTrans!$A:$C,2,FALSE), "")</f>
        <v/>
      </c>
      <c r="C726" s="10" t="str">
        <f>_xlfn.IFNA(VLOOKUP(B726,Phase1!A$4:C$129,3,FALSE),"")</f>
        <v/>
      </c>
      <c r="D726" s="10" t="str">
        <f>_xlfn.IFNA(VLOOKUP($A726,CompChecksTrans!$A:$C,3,FALSE), "     ")</f>
        <v xml:space="preserve">     </v>
      </c>
    </row>
    <row r="727" spans="1:4" x14ac:dyDescent="0.25">
      <c r="A727" s="12" t="s">
        <v>5038</v>
      </c>
      <c r="B727" s="10" t="str">
        <f>_xlfn.IFNA(VLOOKUP($A727,CompChecksTrans!$A:$C,2,FALSE), "")</f>
        <v/>
      </c>
      <c r="C727" s="10" t="str">
        <f>_xlfn.IFNA(VLOOKUP(B727,Phase1!A$4:C$129,3,FALSE),"")</f>
        <v/>
      </c>
      <c r="D727" s="10" t="str">
        <f>_xlfn.IFNA(VLOOKUP($A727,CompChecksTrans!$A:$C,3,FALSE), "     ")</f>
        <v xml:space="preserve">     </v>
      </c>
    </row>
    <row r="728" spans="1:4" x14ac:dyDescent="0.25">
      <c r="A728" s="12" t="s">
        <v>5039</v>
      </c>
      <c r="B728" s="10" t="str">
        <f>_xlfn.IFNA(VLOOKUP($A728,CompChecksTrans!$A:$C,2,FALSE), "")</f>
        <v/>
      </c>
      <c r="C728" s="10" t="str">
        <f>_xlfn.IFNA(VLOOKUP(B728,Phase1!A$4:C$129,3,FALSE),"")</f>
        <v/>
      </c>
      <c r="D728" s="10" t="str">
        <f>_xlfn.IFNA(VLOOKUP($A728,CompChecksTrans!$A:$C,3,FALSE), "     ")</f>
        <v xml:space="preserve">     </v>
      </c>
    </row>
    <row r="729" spans="1:4" x14ac:dyDescent="0.25">
      <c r="A729" s="12" t="s">
        <v>5040</v>
      </c>
      <c r="B729" s="10" t="str">
        <f>_xlfn.IFNA(VLOOKUP($A729,CompChecksTrans!$A:$C,2,FALSE), "")</f>
        <v/>
      </c>
      <c r="C729" s="10" t="str">
        <f>_xlfn.IFNA(VLOOKUP(B729,Phase1!A$4:C$129,3,FALSE),"")</f>
        <v/>
      </c>
      <c r="D729" s="10" t="str">
        <f>_xlfn.IFNA(VLOOKUP($A729,CompChecksTrans!$A:$C,3,FALSE), "     ")</f>
        <v xml:space="preserve">     </v>
      </c>
    </row>
    <row r="730" spans="1:4" x14ac:dyDescent="0.25">
      <c r="A730" s="12" t="s">
        <v>5041</v>
      </c>
      <c r="B730" s="10" t="str">
        <f>_xlfn.IFNA(VLOOKUP($A730,CompChecksTrans!$A:$C,2,FALSE), "")</f>
        <v/>
      </c>
      <c r="C730" s="10" t="str">
        <f>_xlfn.IFNA(VLOOKUP(B730,Phase1!A$4:C$129,3,FALSE),"")</f>
        <v/>
      </c>
      <c r="D730" s="10" t="str">
        <f>_xlfn.IFNA(VLOOKUP($A730,CompChecksTrans!$A:$C,3,FALSE), "     ")</f>
        <v xml:space="preserve">     </v>
      </c>
    </row>
    <row r="731" spans="1:4" x14ac:dyDescent="0.25">
      <c r="A731" s="12" t="s">
        <v>5042</v>
      </c>
      <c r="B731" s="10" t="str">
        <f>_xlfn.IFNA(VLOOKUP($A731,CompChecksTrans!$A:$C,2,FALSE), "")</f>
        <v/>
      </c>
      <c r="C731" s="10" t="str">
        <f>_xlfn.IFNA(VLOOKUP(B731,Phase1!A$4:C$129,3,FALSE),"")</f>
        <v/>
      </c>
      <c r="D731" s="10" t="str">
        <f>_xlfn.IFNA(VLOOKUP($A731,CompChecksTrans!$A:$C,3,FALSE), "     ")</f>
        <v xml:space="preserve">     </v>
      </c>
    </row>
    <row r="732" spans="1:4" x14ac:dyDescent="0.25">
      <c r="A732" s="12" t="s">
        <v>5043</v>
      </c>
      <c r="B732" s="10" t="str">
        <f>_xlfn.IFNA(VLOOKUP($A732,CompChecksTrans!$A:$C,2,FALSE), "")</f>
        <v/>
      </c>
      <c r="C732" s="10" t="str">
        <f>_xlfn.IFNA(VLOOKUP(B732,Phase1!A$4:C$129,3,FALSE),"")</f>
        <v/>
      </c>
      <c r="D732" s="10" t="str">
        <f>_xlfn.IFNA(VLOOKUP($A732,CompChecksTrans!$A:$C,3,FALSE), "     ")</f>
        <v xml:space="preserve">     </v>
      </c>
    </row>
    <row r="733" spans="1:4" x14ac:dyDescent="0.25">
      <c r="A733" s="12" t="s">
        <v>5044</v>
      </c>
      <c r="B733" s="10" t="str">
        <f>_xlfn.IFNA(VLOOKUP($A733,CompChecksTrans!$A:$C,2,FALSE), "")</f>
        <v/>
      </c>
      <c r="C733" s="10" t="str">
        <f>_xlfn.IFNA(VLOOKUP(B733,Phase1!A$4:C$129,3,FALSE),"")</f>
        <v/>
      </c>
      <c r="D733" s="10" t="str">
        <f>_xlfn.IFNA(VLOOKUP($A733,CompChecksTrans!$A:$C,3,FALSE), "     ")</f>
        <v xml:space="preserve">     </v>
      </c>
    </row>
    <row r="734" spans="1:4" x14ac:dyDescent="0.25">
      <c r="A734" s="12" t="s">
        <v>5045</v>
      </c>
      <c r="B734" s="10" t="str">
        <f>_xlfn.IFNA(VLOOKUP($A734,CompChecksTrans!$A:$C,2,FALSE), "")</f>
        <v/>
      </c>
      <c r="C734" s="10" t="str">
        <f>_xlfn.IFNA(VLOOKUP(B734,Phase1!A$4:C$129,3,FALSE),"")</f>
        <v/>
      </c>
      <c r="D734" s="10" t="str">
        <f>_xlfn.IFNA(VLOOKUP($A734,CompChecksTrans!$A:$C,3,FALSE), "     ")</f>
        <v xml:space="preserve">     </v>
      </c>
    </row>
    <row r="735" spans="1:4" x14ac:dyDescent="0.25">
      <c r="A735" s="12" t="s">
        <v>5046</v>
      </c>
      <c r="B735" s="10" t="str">
        <f>_xlfn.IFNA(VLOOKUP($A735,CompChecksTrans!$A:$C,2,FALSE), "")</f>
        <v/>
      </c>
      <c r="C735" s="10" t="str">
        <f>_xlfn.IFNA(VLOOKUP(B735,Phase1!A$4:C$129,3,FALSE),"")</f>
        <v/>
      </c>
      <c r="D735" s="10" t="str">
        <f>_xlfn.IFNA(VLOOKUP($A735,CompChecksTrans!$A:$C,3,FALSE), "     ")</f>
        <v xml:space="preserve">     </v>
      </c>
    </row>
    <row r="736" spans="1:4" x14ac:dyDescent="0.25">
      <c r="A736" s="12" t="s">
        <v>5047</v>
      </c>
      <c r="B736" s="10" t="str">
        <f>_xlfn.IFNA(VLOOKUP($A736,CompChecksTrans!$A:$C,2,FALSE), "")</f>
        <v/>
      </c>
      <c r="C736" s="10" t="str">
        <f>_xlfn.IFNA(VLOOKUP(B736,Phase1!A$4:C$129,3,FALSE),"")</f>
        <v/>
      </c>
      <c r="D736" s="10" t="str">
        <f>_xlfn.IFNA(VLOOKUP($A736,CompChecksTrans!$A:$C,3,FALSE), "     ")</f>
        <v xml:space="preserve">     </v>
      </c>
    </row>
    <row r="737" spans="1:4" x14ac:dyDescent="0.25">
      <c r="A737" s="12" t="s">
        <v>5048</v>
      </c>
      <c r="B737" s="10" t="str">
        <f>_xlfn.IFNA(VLOOKUP($A737,CompChecksTrans!$A:$C,2,FALSE), "")</f>
        <v/>
      </c>
      <c r="C737" s="10" t="str">
        <f>_xlfn.IFNA(VLOOKUP(B737,Phase1!A$4:C$129,3,FALSE),"")</f>
        <v/>
      </c>
      <c r="D737" s="10" t="str">
        <f>_xlfn.IFNA(VLOOKUP($A737,CompChecksTrans!$A:$C,3,FALSE), "     ")</f>
        <v xml:space="preserve">     </v>
      </c>
    </row>
    <row r="738" spans="1:4" x14ac:dyDescent="0.25">
      <c r="A738" s="12" t="s">
        <v>5049</v>
      </c>
      <c r="B738" s="10" t="str">
        <f>_xlfn.IFNA(VLOOKUP($A738,CompChecksTrans!$A:$C,2,FALSE), "")</f>
        <v/>
      </c>
      <c r="C738" s="10" t="str">
        <f>_xlfn.IFNA(VLOOKUP(B738,Phase1!A$4:C$129,3,FALSE),"")</f>
        <v/>
      </c>
      <c r="D738" s="10" t="str">
        <f>_xlfn.IFNA(VLOOKUP($A738,CompChecksTrans!$A:$C,3,FALSE), "     ")</f>
        <v xml:space="preserve">     </v>
      </c>
    </row>
    <row r="739" spans="1:4" x14ac:dyDescent="0.25">
      <c r="A739" s="12" t="s">
        <v>5050</v>
      </c>
      <c r="B739" s="10" t="str">
        <f>_xlfn.IFNA(VLOOKUP($A739,CompChecksTrans!$A:$C,2,FALSE), "")</f>
        <v/>
      </c>
      <c r="C739" s="10" t="str">
        <f>_xlfn.IFNA(VLOOKUP(B739,Phase1!A$4:C$129,3,FALSE),"")</f>
        <v/>
      </c>
      <c r="D739" s="10" t="str">
        <f>_xlfn.IFNA(VLOOKUP($A739,CompChecksTrans!$A:$C,3,FALSE), "     ")</f>
        <v xml:space="preserve">     </v>
      </c>
    </row>
    <row r="740" spans="1:4" x14ac:dyDescent="0.25">
      <c r="A740" s="12" t="s">
        <v>5051</v>
      </c>
      <c r="B740" s="10" t="str">
        <f>_xlfn.IFNA(VLOOKUP($A740,CompChecksTrans!$A:$C,2,FALSE), "")</f>
        <v/>
      </c>
      <c r="C740" s="10" t="str">
        <f>_xlfn.IFNA(VLOOKUP(B740,Phase1!A$4:C$129,3,FALSE),"")</f>
        <v/>
      </c>
      <c r="D740" s="10" t="str">
        <f>_xlfn.IFNA(VLOOKUP($A740,CompChecksTrans!$A:$C,3,FALSE), "     ")</f>
        <v xml:space="preserve">     </v>
      </c>
    </row>
    <row r="741" spans="1:4" x14ac:dyDescent="0.25">
      <c r="A741" s="12" t="s">
        <v>5052</v>
      </c>
      <c r="B741" s="10" t="str">
        <f>_xlfn.IFNA(VLOOKUP($A741,CompChecksTrans!$A:$C,2,FALSE), "")</f>
        <v/>
      </c>
      <c r="C741" s="10" t="str">
        <f>_xlfn.IFNA(VLOOKUP(B741,Phase1!A$4:C$129,3,FALSE),"")</f>
        <v/>
      </c>
      <c r="D741" s="10" t="str">
        <f>_xlfn.IFNA(VLOOKUP($A741,CompChecksTrans!$A:$C,3,FALSE), "     ")</f>
        <v xml:space="preserve">     </v>
      </c>
    </row>
    <row r="742" spans="1:4" x14ac:dyDescent="0.25">
      <c r="A742" s="12" t="s">
        <v>5053</v>
      </c>
      <c r="B742" s="10" t="str">
        <f>_xlfn.IFNA(VLOOKUP($A742,CompChecksTrans!$A:$C,2,FALSE), "")</f>
        <v/>
      </c>
      <c r="C742" s="10" t="str">
        <f>_xlfn.IFNA(VLOOKUP(B742,Phase1!A$4:C$129,3,FALSE),"")</f>
        <v/>
      </c>
      <c r="D742" s="10" t="str">
        <f>_xlfn.IFNA(VLOOKUP($A742,CompChecksTrans!$A:$C,3,FALSE), "     ")</f>
        <v xml:space="preserve">     </v>
      </c>
    </row>
    <row r="743" spans="1:4" x14ac:dyDescent="0.25">
      <c r="A743" s="12" t="s">
        <v>5054</v>
      </c>
      <c r="B743" s="10" t="str">
        <f>_xlfn.IFNA(VLOOKUP($A743,CompChecksTrans!$A:$C,2,FALSE), "")</f>
        <v/>
      </c>
      <c r="C743" s="10" t="str">
        <f>_xlfn.IFNA(VLOOKUP(B743,Phase1!A$4:C$129,3,FALSE),"")</f>
        <v/>
      </c>
      <c r="D743" s="10" t="str">
        <f>_xlfn.IFNA(VLOOKUP($A743,CompChecksTrans!$A:$C,3,FALSE), "     ")</f>
        <v xml:space="preserve">     </v>
      </c>
    </row>
    <row r="744" spans="1:4" x14ac:dyDescent="0.25">
      <c r="A744" s="12" t="s">
        <v>5055</v>
      </c>
      <c r="B744" s="10" t="str">
        <f>_xlfn.IFNA(VLOOKUP($A744,CompChecksTrans!$A:$C,2,FALSE), "")</f>
        <v/>
      </c>
      <c r="C744" s="10" t="str">
        <f>_xlfn.IFNA(VLOOKUP(B744,Phase1!A$4:C$129,3,FALSE),"")</f>
        <v/>
      </c>
      <c r="D744" s="10" t="str">
        <f>_xlfn.IFNA(VLOOKUP($A744,CompChecksTrans!$A:$C,3,FALSE), "     ")</f>
        <v xml:space="preserve">     </v>
      </c>
    </row>
    <row r="745" spans="1:4" x14ac:dyDescent="0.25">
      <c r="A745" s="12" t="s">
        <v>5056</v>
      </c>
      <c r="B745" s="10" t="str">
        <f>_xlfn.IFNA(VLOOKUP($A745,CompChecksTrans!$A:$C,2,FALSE), "")</f>
        <v/>
      </c>
      <c r="C745" s="10" t="str">
        <f>_xlfn.IFNA(VLOOKUP(B745,Phase1!A$4:C$129,3,FALSE),"")</f>
        <v/>
      </c>
      <c r="D745" s="10" t="str">
        <f>_xlfn.IFNA(VLOOKUP($A745,CompChecksTrans!$A:$C,3,FALSE), "     ")</f>
        <v xml:space="preserve">     </v>
      </c>
    </row>
    <row r="746" spans="1:4" x14ac:dyDescent="0.25">
      <c r="A746" s="12" t="s">
        <v>5057</v>
      </c>
      <c r="B746" s="10" t="str">
        <f>_xlfn.IFNA(VLOOKUP($A746,CompChecksTrans!$A:$C,2,FALSE), "")</f>
        <v/>
      </c>
      <c r="C746" s="10" t="str">
        <f>_xlfn.IFNA(VLOOKUP(B746,Phase1!A$4:C$129,3,FALSE),"")</f>
        <v/>
      </c>
      <c r="D746" s="10" t="str">
        <f>_xlfn.IFNA(VLOOKUP($A746,CompChecksTrans!$A:$C,3,FALSE), "     ")</f>
        <v xml:space="preserve">     </v>
      </c>
    </row>
    <row r="747" spans="1:4" x14ac:dyDescent="0.25">
      <c r="A747" s="12" t="s">
        <v>5058</v>
      </c>
      <c r="B747" s="10" t="str">
        <f>_xlfn.IFNA(VLOOKUP($A747,CompChecksTrans!$A:$C,2,FALSE), "")</f>
        <v/>
      </c>
      <c r="C747" s="10" t="str">
        <f>_xlfn.IFNA(VLOOKUP(B747,Phase1!A$4:C$129,3,FALSE),"")</f>
        <v/>
      </c>
      <c r="D747" s="10" t="str">
        <f>_xlfn.IFNA(VLOOKUP($A747,CompChecksTrans!$A:$C,3,FALSE), "     ")</f>
        <v xml:space="preserve">     </v>
      </c>
    </row>
    <row r="748" spans="1:4" x14ac:dyDescent="0.25">
      <c r="A748" s="12" t="s">
        <v>5059</v>
      </c>
      <c r="B748" s="10" t="str">
        <f>_xlfn.IFNA(VLOOKUP($A748,CompChecksTrans!$A:$C,2,FALSE), "")</f>
        <v/>
      </c>
      <c r="C748" s="10" t="str">
        <f>_xlfn.IFNA(VLOOKUP(B748,Phase1!A$4:C$129,3,FALSE),"")</f>
        <v/>
      </c>
      <c r="D748" s="10" t="str">
        <f>_xlfn.IFNA(VLOOKUP($A748,CompChecksTrans!$A:$C,3,FALSE), "     ")</f>
        <v xml:space="preserve">     </v>
      </c>
    </row>
    <row r="749" spans="1:4" x14ac:dyDescent="0.25">
      <c r="A749" s="12" t="s">
        <v>5060</v>
      </c>
      <c r="B749" s="10" t="str">
        <f>_xlfn.IFNA(VLOOKUP($A749,CompChecksTrans!$A:$C,2,FALSE), "")</f>
        <v/>
      </c>
      <c r="C749" s="10" t="str">
        <f>_xlfn.IFNA(VLOOKUP(B749,Phase1!A$4:C$129,3,FALSE),"")</f>
        <v/>
      </c>
      <c r="D749" s="10" t="str">
        <f>_xlfn.IFNA(VLOOKUP($A749,CompChecksTrans!$A:$C,3,FALSE), "     ")</f>
        <v xml:space="preserve">     </v>
      </c>
    </row>
    <row r="750" spans="1:4" x14ac:dyDescent="0.25">
      <c r="A750" s="12" t="s">
        <v>5061</v>
      </c>
      <c r="B750" s="10" t="str">
        <f>_xlfn.IFNA(VLOOKUP($A750,CompChecksTrans!$A:$C,2,FALSE), "")</f>
        <v/>
      </c>
      <c r="C750" s="10" t="str">
        <f>_xlfn.IFNA(VLOOKUP(B750,Phase1!A$4:C$129,3,FALSE),"")</f>
        <v/>
      </c>
      <c r="D750" s="10" t="str">
        <f>_xlfn.IFNA(VLOOKUP($A750,CompChecksTrans!$A:$C,3,FALSE), "     ")</f>
        <v xml:space="preserve">     </v>
      </c>
    </row>
    <row r="751" spans="1:4" x14ac:dyDescent="0.25">
      <c r="A751" s="12" t="s">
        <v>5062</v>
      </c>
      <c r="B751" s="10" t="str">
        <f>_xlfn.IFNA(VLOOKUP($A751,CompChecksTrans!$A:$C,2,FALSE), "")</f>
        <v/>
      </c>
      <c r="C751" s="10" t="str">
        <f>_xlfn.IFNA(VLOOKUP(B751,Phase1!A$4:C$129,3,FALSE),"")</f>
        <v/>
      </c>
      <c r="D751" s="10" t="str">
        <f>_xlfn.IFNA(VLOOKUP($A751,CompChecksTrans!$A:$C,3,FALSE), "     ")</f>
        <v xml:space="preserve">     </v>
      </c>
    </row>
    <row r="752" spans="1:4" x14ac:dyDescent="0.25">
      <c r="A752" s="12" t="s">
        <v>5063</v>
      </c>
      <c r="B752" s="10" t="str">
        <f>_xlfn.IFNA(VLOOKUP($A752,CompChecksTrans!$A:$C,2,FALSE), "")</f>
        <v/>
      </c>
      <c r="C752" s="10" t="str">
        <f>_xlfn.IFNA(VLOOKUP(B752,Phase1!A$4:C$129,3,FALSE),"")</f>
        <v/>
      </c>
      <c r="D752" s="10" t="str">
        <f>_xlfn.IFNA(VLOOKUP($A752,CompChecksTrans!$A:$C,3,FALSE), "     ")</f>
        <v xml:space="preserve">     </v>
      </c>
    </row>
    <row r="753" spans="1:4" x14ac:dyDescent="0.25">
      <c r="A753" s="12" t="s">
        <v>5064</v>
      </c>
      <c r="B753" s="10" t="str">
        <f>_xlfn.IFNA(VLOOKUP($A753,CompChecksTrans!$A:$C,2,FALSE), "")</f>
        <v/>
      </c>
      <c r="C753" s="10" t="str">
        <f>_xlfn.IFNA(VLOOKUP(B753,Phase1!A$4:C$129,3,FALSE),"")</f>
        <v/>
      </c>
      <c r="D753" s="10" t="str">
        <f>_xlfn.IFNA(VLOOKUP($A753,CompChecksTrans!$A:$C,3,FALSE), "     ")</f>
        <v xml:space="preserve">     </v>
      </c>
    </row>
    <row r="754" spans="1:4" x14ac:dyDescent="0.25">
      <c r="A754" s="12" t="s">
        <v>5065</v>
      </c>
      <c r="B754" s="10" t="str">
        <f>_xlfn.IFNA(VLOOKUP($A754,CompChecksTrans!$A:$C,2,FALSE), "")</f>
        <v/>
      </c>
      <c r="C754" s="10" t="str">
        <f>_xlfn.IFNA(VLOOKUP(B754,Phase1!A$4:C$129,3,FALSE),"")</f>
        <v/>
      </c>
      <c r="D754" s="10" t="str">
        <f>_xlfn.IFNA(VLOOKUP($A754,CompChecksTrans!$A:$C,3,FALSE), "     ")</f>
        <v xml:space="preserve">     </v>
      </c>
    </row>
    <row r="755" spans="1:4" x14ac:dyDescent="0.25">
      <c r="A755" s="12" t="s">
        <v>5066</v>
      </c>
      <c r="B755" s="10" t="str">
        <f>_xlfn.IFNA(VLOOKUP($A755,CompChecksTrans!$A:$C,2,FALSE), "")</f>
        <v/>
      </c>
      <c r="C755" s="10" t="str">
        <f>_xlfn.IFNA(VLOOKUP(B755,Phase1!A$4:C$129,3,FALSE),"")</f>
        <v/>
      </c>
      <c r="D755" s="10" t="str">
        <f>_xlfn.IFNA(VLOOKUP($A755,CompChecksTrans!$A:$C,3,FALSE), "     ")</f>
        <v xml:space="preserve">     </v>
      </c>
    </row>
    <row r="756" spans="1:4" x14ac:dyDescent="0.25">
      <c r="A756" s="12" t="s">
        <v>5067</v>
      </c>
      <c r="B756" s="10" t="str">
        <f>_xlfn.IFNA(VLOOKUP($A756,CompChecksTrans!$A:$C,2,FALSE), "")</f>
        <v/>
      </c>
      <c r="C756" s="10" t="str">
        <f>_xlfn.IFNA(VLOOKUP(B756,Phase1!A$4:C$129,3,FALSE),"")</f>
        <v/>
      </c>
      <c r="D756" s="10" t="str">
        <f>_xlfn.IFNA(VLOOKUP($A756,CompChecksTrans!$A:$C,3,FALSE), "     ")</f>
        <v xml:space="preserve">     </v>
      </c>
    </row>
    <row r="757" spans="1:4" x14ac:dyDescent="0.25">
      <c r="A757" s="12" t="s">
        <v>5068</v>
      </c>
      <c r="B757" s="10" t="str">
        <f>_xlfn.IFNA(VLOOKUP($A757,CompChecksTrans!$A:$C,2,FALSE), "")</f>
        <v/>
      </c>
      <c r="C757" s="10" t="str">
        <f>_xlfn.IFNA(VLOOKUP(B757,Phase1!A$4:C$129,3,FALSE),"")</f>
        <v/>
      </c>
      <c r="D757" s="10" t="str">
        <f>_xlfn.IFNA(VLOOKUP($A757,CompChecksTrans!$A:$C,3,FALSE), "     ")</f>
        <v xml:space="preserve">     </v>
      </c>
    </row>
    <row r="758" spans="1:4" x14ac:dyDescent="0.25">
      <c r="A758" s="12" t="s">
        <v>5069</v>
      </c>
      <c r="B758" s="10" t="str">
        <f>_xlfn.IFNA(VLOOKUP($A758,CompChecksTrans!$A:$C,2,FALSE), "")</f>
        <v/>
      </c>
      <c r="C758" s="10" t="str">
        <f>_xlfn.IFNA(VLOOKUP(B758,Phase1!A$4:C$129,3,FALSE),"")</f>
        <v/>
      </c>
      <c r="D758" s="10" t="str">
        <f>_xlfn.IFNA(VLOOKUP($A758,CompChecksTrans!$A:$C,3,FALSE), "     ")</f>
        <v xml:space="preserve">     </v>
      </c>
    </row>
    <row r="759" spans="1:4" x14ac:dyDescent="0.25">
      <c r="A759" s="12" t="s">
        <v>5070</v>
      </c>
      <c r="B759" s="10" t="str">
        <f>_xlfn.IFNA(VLOOKUP($A759,CompChecksTrans!$A:$C,2,FALSE), "")</f>
        <v/>
      </c>
      <c r="C759" s="10" t="str">
        <f>_xlfn.IFNA(VLOOKUP(B759,Phase1!A$4:C$129,3,FALSE),"")</f>
        <v/>
      </c>
      <c r="D759" s="10" t="str">
        <f>_xlfn.IFNA(VLOOKUP($A759,CompChecksTrans!$A:$C,3,FALSE), "     ")</f>
        <v xml:space="preserve">     </v>
      </c>
    </row>
    <row r="760" spans="1:4" x14ac:dyDescent="0.25">
      <c r="A760" s="12" t="s">
        <v>5071</v>
      </c>
      <c r="B760" s="10" t="str">
        <f>_xlfn.IFNA(VLOOKUP($A760,CompChecksTrans!$A:$C,2,FALSE), "")</f>
        <v/>
      </c>
      <c r="C760" s="10" t="str">
        <f>_xlfn.IFNA(VLOOKUP(B760,Phase1!A$4:C$129,3,FALSE),"")</f>
        <v/>
      </c>
      <c r="D760" s="10" t="str">
        <f>_xlfn.IFNA(VLOOKUP($A760,CompChecksTrans!$A:$C,3,FALSE), "     ")</f>
        <v xml:space="preserve">     </v>
      </c>
    </row>
    <row r="761" spans="1:4" x14ac:dyDescent="0.25">
      <c r="A761" s="12" t="s">
        <v>5072</v>
      </c>
      <c r="B761" s="10" t="str">
        <f>_xlfn.IFNA(VLOOKUP($A761,CompChecksTrans!$A:$C,2,FALSE), "")</f>
        <v/>
      </c>
      <c r="C761" s="10" t="str">
        <f>_xlfn.IFNA(VLOOKUP(B761,Phase1!A$4:C$129,3,FALSE),"")</f>
        <v/>
      </c>
      <c r="D761" s="10" t="str">
        <f>_xlfn.IFNA(VLOOKUP($A761,CompChecksTrans!$A:$C,3,FALSE), "     ")</f>
        <v xml:space="preserve">     </v>
      </c>
    </row>
    <row r="762" spans="1:4" x14ac:dyDescent="0.25">
      <c r="A762" s="12" t="s">
        <v>5073</v>
      </c>
      <c r="B762" s="10" t="str">
        <f>_xlfn.IFNA(VLOOKUP($A762,CompChecksTrans!$A:$C,2,FALSE), "")</f>
        <v/>
      </c>
      <c r="C762" s="10" t="str">
        <f>_xlfn.IFNA(VLOOKUP(B762,Phase1!A$4:C$129,3,FALSE),"")</f>
        <v/>
      </c>
      <c r="D762" s="10" t="str">
        <f>_xlfn.IFNA(VLOOKUP($A762,CompChecksTrans!$A:$C,3,FALSE), "     ")</f>
        <v xml:space="preserve">     </v>
      </c>
    </row>
    <row r="763" spans="1:4" x14ac:dyDescent="0.25">
      <c r="A763" s="12" t="s">
        <v>5074</v>
      </c>
      <c r="B763" s="10" t="str">
        <f>_xlfn.IFNA(VLOOKUP($A763,CompChecksTrans!$A:$C,2,FALSE), "")</f>
        <v/>
      </c>
      <c r="C763" s="10" t="str">
        <f>_xlfn.IFNA(VLOOKUP(B763,Phase1!A$4:C$129,3,FALSE),"")</f>
        <v/>
      </c>
      <c r="D763" s="10" t="str">
        <f>_xlfn.IFNA(VLOOKUP($A763,CompChecksTrans!$A:$C,3,FALSE), "     ")</f>
        <v xml:space="preserve">     </v>
      </c>
    </row>
    <row r="764" spans="1:4" x14ac:dyDescent="0.25">
      <c r="A764" s="12" t="s">
        <v>5075</v>
      </c>
      <c r="B764" s="10" t="str">
        <f>_xlfn.IFNA(VLOOKUP($A764,CompChecksTrans!$A:$C,2,FALSE), "")</f>
        <v/>
      </c>
      <c r="C764" s="10" t="str">
        <f>_xlfn.IFNA(VLOOKUP(B764,Phase1!A$4:C$129,3,FALSE),"")</f>
        <v/>
      </c>
      <c r="D764" s="10" t="str">
        <f>_xlfn.IFNA(VLOOKUP($A764,CompChecksTrans!$A:$C,3,FALSE), "     ")</f>
        <v xml:space="preserve">     </v>
      </c>
    </row>
    <row r="765" spans="1:4" x14ac:dyDescent="0.25">
      <c r="A765" s="12" t="s">
        <v>5076</v>
      </c>
      <c r="B765" s="10" t="str">
        <f>_xlfn.IFNA(VLOOKUP($A765,CompChecksTrans!$A:$C,2,FALSE), "")</f>
        <v/>
      </c>
      <c r="C765" s="10" t="str">
        <f>_xlfn.IFNA(VLOOKUP(B765,Phase1!A$4:C$129,3,FALSE),"")</f>
        <v/>
      </c>
      <c r="D765" s="10" t="str">
        <f>_xlfn.IFNA(VLOOKUP($A765,CompChecksTrans!$A:$C,3,FALSE), "     ")</f>
        <v xml:space="preserve">     </v>
      </c>
    </row>
    <row r="766" spans="1:4" x14ac:dyDescent="0.25">
      <c r="A766" s="12" t="s">
        <v>5077</v>
      </c>
      <c r="B766" s="10" t="str">
        <f>_xlfn.IFNA(VLOOKUP($A766,CompChecksTrans!$A:$C,2,FALSE), "")</f>
        <v/>
      </c>
      <c r="C766" s="10" t="str">
        <f>_xlfn.IFNA(VLOOKUP(B766,Phase1!A$4:C$129,3,FALSE),"")</f>
        <v/>
      </c>
      <c r="D766" s="10" t="str">
        <f>_xlfn.IFNA(VLOOKUP($A766,CompChecksTrans!$A:$C,3,FALSE), "     ")</f>
        <v xml:space="preserve">     </v>
      </c>
    </row>
    <row r="767" spans="1:4" x14ac:dyDescent="0.25">
      <c r="A767" s="12" t="s">
        <v>5078</v>
      </c>
      <c r="B767" s="10" t="str">
        <f>_xlfn.IFNA(VLOOKUP($A767,CompChecksTrans!$A:$C,2,FALSE), "")</f>
        <v/>
      </c>
      <c r="C767" s="10" t="str">
        <f>_xlfn.IFNA(VLOOKUP(B767,Phase1!A$4:C$129,3,FALSE),"")</f>
        <v/>
      </c>
      <c r="D767" s="10" t="str">
        <f>_xlfn.IFNA(VLOOKUP($A767,CompChecksTrans!$A:$C,3,FALSE), "     ")</f>
        <v xml:space="preserve">     </v>
      </c>
    </row>
    <row r="768" spans="1:4" x14ac:dyDescent="0.25">
      <c r="A768" s="12" t="s">
        <v>5079</v>
      </c>
      <c r="B768" s="10" t="str">
        <f>_xlfn.IFNA(VLOOKUP($A768,CompChecksTrans!$A:$C,2,FALSE), "")</f>
        <v/>
      </c>
      <c r="C768" s="10" t="str">
        <f>_xlfn.IFNA(VLOOKUP(B768,Phase1!A$4:C$129,3,FALSE),"")</f>
        <v/>
      </c>
      <c r="D768" s="10" t="str">
        <f>_xlfn.IFNA(VLOOKUP($A768,CompChecksTrans!$A:$C,3,FALSE), "     ")</f>
        <v xml:space="preserve">     </v>
      </c>
    </row>
    <row r="769" spans="1:4" x14ac:dyDescent="0.25">
      <c r="A769" s="12" t="s">
        <v>5080</v>
      </c>
      <c r="B769" s="10" t="str">
        <f>_xlfn.IFNA(VLOOKUP($A769,CompChecksTrans!$A:$C,2,FALSE), "")</f>
        <v/>
      </c>
      <c r="C769" s="10" t="str">
        <f>_xlfn.IFNA(VLOOKUP(B769,Phase1!A$4:C$129,3,FALSE),"")</f>
        <v/>
      </c>
      <c r="D769" s="10" t="str">
        <f>_xlfn.IFNA(VLOOKUP($A769,CompChecksTrans!$A:$C,3,FALSE), "     ")</f>
        <v xml:space="preserve">     </v>
      </c>
    </row>
    <row r="770" spans="1:4" x14ac:dyDescent="0.25">
      <c r="A770" s="12" t="s">
        <v>5081</v>
      </c>
      <c r="B770" s="10" t="str">
        <f>_xlfn.IFNA(VLOOKUP($A770,CompChecksTrans!$A:$C,2,FALSE), "")</f>
        <v/>
      </c>
      <c r="C770" s="10" t="str">
        <f>_xlfn.IFNA(VLOOKUP(B770,Phase1!A$4:C$129,3,FALSE),"")</f>
        <v/>
      </c>
      <c r="D770" s="10" t="str">
        <f>_xlfn.IFNA(VLOOKUP($A770,CompChecksTrans!$A:$C,3,FALSE), "     ")</f>
        <v xml:space="preserve">     </v>
      </c>
    </row>
    <row r="771" spans="1:4" x14ac:dyDescent="0.25">
      <c r="A771" s="12" t="s">
        <v>5082</v>
      </c>
      <c r="B771" s="10" t="str">
        <f>_xlfn.IFNA(VLOOKUP($A771,CompChecksTrans!$A:$C,2,FALSE), "")</f>
        <v/>
      </c>
      <c r="C771" s="10" t="str">
        <f>_xlfn.IFNA(VLOOKUP(B771,Phase1!A$4:C$129,3,FALSE),"")</f>
        <v/>
      </c>
      <c r="D771" s="10" t="str">
        <f>_xlfn.IFNA(VLOOKUP($A771,CompChecksTrans!$A:$C,3,FALSE), "     ")</f>
        <v xml:space="preserve">     </v>
      </c>
    </row>
    <row r="772" spans="1:4" x14ac:dyDescent="0.25">
      <c r="A772" s="12" t="s">
        <v>5083</v>
      </c>
      <c r="B772" s="10" t="str">
        <f>_xlfn.IFNA(VLOOKUP($A772,CompChecksTrans!$A:$C,2,FALSE), "")</f>
        <v/>
      </c>
      <c r="C772" s="10" t="str">
        <f>_xlfn.IFNA(VLOOKUP(B772,Phase1!A$4:C$129,3,FALSE),"")</f>
        <v/>
      </c>
      <c r="D772" s="10" t="str">
        <f>_xlfn.IFNA(VLOOKUP($A772,CompChecksTrans!$A:$C,3,FALSE), "     ")</f>
        <v xml:space="preserve">     </v>
      </c>
    </row>
    <row r="773" spans="1:4" x14ac:dyDescent="0.25">
      <c r="A773" s="12" t="s">
        <v>5084</v>
      </c>
      <c r="B773" s="10" t="str">
        <f>_xlfn.IFNA(VLOOKUP($A773,CompChecksTrans!$A:$C,2,FALSE), "")</f>
        <v/>
      </c>
      <c r="C773" s="10" t="str">
        <f>_xlfn.IFNA(VLOOKUP(B773,Phase1!A$4:C$129,3,FALSE),"")</f>
        <v/>
      </c>
      <c r="D773" s="10" t="str">
        <f>_xlfn.IFNA(VLOOKUP($A773,CompChecksTrans!$A:$C,3,FALSE), "     ")</f>
        <v xml:space="preserve">     </v>
      </c>
    </row>
    <row r="774" spans="1:4" x14ac:dyDescent="0.25">
      <c r="A774" s="12" t="s">
        <v>5085</v>
      </c>
      <c r="B774" s="10" t="str">
        <f>_xlfn.IFNA(VLOOKUP($A774,CompChecksTrans!$A:$C,2,FALSE), "")</f>
        <v/>
      </c>
      <c r="C774" s="10" t="str">
        <f>_xlfn.IFNA(VLOOKUP(B774,Phase1!A$4:C$129,3,FALSE),"")</f>
        <v/>
      </c>
      <c r="D774" s="10" t="str">
        <f>_xlfn.IFNA(VLOOKUP($A774,CompChecksTrans!$A:$C,3,FALSE), "     ")</f>
        <v xml:space="preserve">     </v>
      </c>
    </row>
    <row r="775" spans="1:4" x14ac:dyDescent="0.25">
      <c r="A775" s="12" t="s">
        <v>5086</v>
      </c>
      <c r="B775" s="10" t="str">
        <f>_xlfn.IFNA(VLOOKUP($A775,CompChecksTrans!$A:$C,2,FALSE), "")</f>
        <v/>
      </c>
      <c r="C775" s="10" t="str">
        <f>_xlfn.IFNA(VLOOKUP(B775,Phase1!A$4:C$129,3,FALSE),"")</f>
        <v/>
      </c>
      <c r="D775" s="10" t="str">
        <f>_xlfn.IFNA(VLOOKUP($A775,CompChecksTrans!$A:$C,3,FALSE), "     ")</f>
        <v xml:space="preserve">     </v>
      </c>
    </row>
    <row r="776" spans="1:4" x14ac:dyDescent="0.25">
      <c r="A776" s="12" t="s">
        <v>5087</v>
      </c>
      <c r="B776" s="10" t="str">
        <f>_xlfn.IFNA(VLOOKUP($A776,CompChecksTrans!$A:$C,2,FALSE), "")</f>
        <v/>
      </c>
      <c r="C776" s="10" t="str">
        <f>_xlfn.IFNA(VLOOKUP(B776,Phase1!A$4:C$129,3,FALSE),"")</f>
        <v/>
      </c>
      <c r="D776" s="10" t="str">
        <f>_xlfn.IFNA(VLOOKUP($A776,CompChecksTrans!$A:$C,3,FALSE), "     ")</f>
        <v xml:space="preserve">     </v>
      </c>
    </row>
    <row r="777" spans="1:4" x14ac:dyDescent="0.25">
      <c r="A777" s="12" t="s">
        <v>5088</v>
      </c>
      <c r="B777" s="10" t="str">
        <f>_xlfn.IFNA(VLOOKUP($A777,CompChecksTrans!$A:$C,2,FALSE), "")</f>
        <v/>
      </c>
      <c r="C777" s="10" t="str">
        <f>_xlfn.IFNA(VLOOKUP(B777,Phase1!A$4:C$129,3,FALSE),"")</f>
        <v/>
      </c>
      <c r="D777" s="10" t="str">
        <f>_xlfn.IFNA(VLOOKUP($A777,CompChecksTrans!$A:$C,3,FALSE), "     ")</f>
        <v xml:space="preserve">     </v>
      </c>
    </row>
    <row r="778" spans="1:4" x14ac:dyDescent="0.25">
      <c r="A778" s="12" t="s">
        <v>5089</v>
      </c>
      <c r="B778" s="10" t="str">
        <f>_xlfn.IFNA(VLOOKUP($A778,CompChecksTrans!$A:$C,2,FALSE), "")</f>
        <v/>
      </c>
      <c r="C778" s="10" t="str">
        <f>_xlfn.IFNA(VLOOKUP(B778,Phase1!A$4:C$129,3,FALSE),"")</f>
        <v/>
      </c>
      <c r="D778" s="10" t="str">
        <f>_xlfn.IFNA(VLOOKUP($A778,CompChecksTrans!$A:$C,3,FALSE), "     ")</f>
        <v xml:space="preserve">     </v>
      </c>
    </row>
    <row r="779" spans="1:4" x14ac:dyDescent="0.25">
      <c r="A779" s="12" t="s">
        <v>5090</v>
      </c>
      <c r="B779" s="10" t="str">
        <f>_xlfn.IFNA(VLOOKUP($A779,CompChecksTrans!$A:$C,2,FALSE), "")</f>
        <v/>
      </c>
      <c r="C779" s="10" t="str">
        <f>_xlfn.IFNA(VLOOKUP(B779,Phase1!A$4:C$129,3,FALSE),"")</f>
        <v/>
      </c>
      <c r="D779" s="10" t="str">
        <f>_xlfn.IFNA(VLOOKUP($A779,CompChecksTrans!$A:$C,3,FALSE), "     ")</f>
        <v xml:space="preserve">     </v>
      </c>
    </row>
    <row r="780" spans="1:4" x14ac:dyDescent="0.25">
      <c r="A780" s="12" t="s">
        <v>5091</v>
      </c>
      <c r="B780" s="10" t="str">
        <f>_xlfn.IFNA(VLOOKUP($A780,CompChecksTrans!$A:$C,2,FALSE), "")</f>
        <v/>
      </c>
      <c r="C780" s="10" t="str">
        <f>_xlfn.IFNA(VLOOKUP(B780,Phase1!A$4:C$129,3,FALSE),"")</f>
        <v/>
      </c>
      <c r="D780" s="10" t="str">
        <f>_xlfn.IFNA(VLOOKUP($A780,CompChecksTrans!$A:$C,3,FALSE), "     ")</f>
        <v xml:space="preserve">     </v>
      </c>
    </row>
    <row r="781" spans="1:4" x14ac:dyDescent="0.25">
      <c r="A781" s="12" t="s">
        <v>5092</v>
      </c>
      <c r="B781" s="10" t="str">
        <f>_xlfn.IFNA(VLOOKUP($A781,CompChecksTrans!$A:$C,2,FALSE), "")</f>
        <v/>
      </c>
      <c r="C781" s="10" t="str">
        <f>_xlfn.IFNA(VLOOKUP(B781,Phase1!A$4:C$129,3,FALSE),"")</f>
        <v/>
      </c>
      <c r="D781" s="10" t="str">
        <f>_xlfn.IFNA(VLOOKUP($A781,CompChecksTrans!$A:$C,3,FALSE), "     ")</f>
        <v xml:space="preserve">     </v>
      </c>
    </row>
    <row r="782" spans="1:4" x14ac:dyDescent="0.25">
      <c r="A782" s="12" t="s">
        <v>5093</v>
      </c>
      <c r="B782" s="10" t="str">
        <f>_xlfn.IFNA(VLOOKUP($A782,CompChecksTrans!$A:$C,2,FALSE), "")</f>
        <v/>
      </c>
      <c r="C782" s="10" t="str">
        <f>_xlfn.IFNA(VLOOKUP(B782,Phase1!A$4:C$129,3,FALSE),"")</f>
        <v/>
      </c>
      <c r="D782" s="10" t="str">
        <f>_xlfn.IFNA(VLOOKUP($A782,CompChecksTrans!$A:$C,3,FALSE), "     ")</f>
        <v xml:space="preserve">     </v>
      </c>
    </row>
    <row r="783" spans="1:4" x14ac:dyDescent="0.25">
      <c r="A783" s="12" t="s">
        <v>5094</v>
      </c>
      <c r="B783" s="10" t="str">
        <f>_xlfn.IFNA(VLOOKUP($A783,CompChecksTrans!$A:$C,2,FALSE), "")</f>
        <v/>
      </c>
      <c r="C783" s="10" t="str">
        <f>_xlfn.IFNA(VLOOKUP(B783,Phase1!A$4:C$129,3,FALSE),"")</f>
        <v/>
      </c>
      <c r="D783" s="10" t="str">
        <f>_xlfn.IFNA(VLOOKUP($A783,CompChecksTrans!$A:$C,3,FALSE), "     ")</f>
        <v xml:space="preserve">     </v>
      </c>
    </row>
    <row r="784" spans="1:4" x14ac:dyDescent="0.25">
      <c r="A784" s="12" t="s">
        <v>5095</v>
      </c>
      <c r="B784" s="10" t="str">
        <f>_xlfn.IFNA(VLOOKUP($A784,CompChecksTrans!$A:$C,2,FALSE), "")</f>
        <v/>
      </c>
      <c r="C784" s="10" t="str">
        <f>_xlfn.IFNA(VLOOKUP(B784,Phase1!A$4:C$129,3,FALSE),"")</f>
        <v/>
      </c>
      <c r="D784" s="10" t="str">
        <f>_xlfn.IFNA(VLOOKUP($A784,CompChecksTrans!$A:$C,3,FALSE), "     ")</f>
        <v xml:space="preserve">     </v>
      </c>
    </row>
    <row r="785" spans="1:4" x14ac:dyDescent="0.25">
      <c r="A785" s="12" t="s">
        <v>5096</v>
      </c>
      <c r="B785" s="10" t="str">
        <f>_xlfn.IFNA(VLOOKUP($A785,CompChecksTrans!$A:$C,2,FALSE), "")</f>
        <v/>
      </c>
      <c r="C785" s="10" t="str">
        <f>_xlfn.IFNA(VLOOKUP(B785,Phase1!A$4:C$129,3,FALSE),"")</f>
        <v/>
      </c>
      <c r="D785" s="10" t="str">
        <f>_xlfn.IFNA(VLOOKUP($A785,CompChecksTrans!$A:$C,3,FALSE), "     ")</f>
        <v xml:space="preserve">     </v>
      </c>
    </row>
    <row r="786" spans="1:4" x14ac:dyDescent="0.25">
      <c r="A786" s="12" t="s">
        <v>5097</v>
      </c>
      <c r="B786" s="10" t="str">
        <f>_xlfn.IFNA(VLOOKUP($A786,CompChecksTrans!$A:$C,2,FALSE), "")</f>
        <v/>
      </c>
      <c r="C786" s="10" t="str">
        <f>_xlfn.IFNA(VLOOKUP(B786,Phase1!A$4:C$129,3,FALSE),"")</f>
        <v/>
      </c>
      <c r="D786" s="10" t="str">
        <f>_xlfn.IFNA(VLOOKUP($A786,CompChecksTrans!$A:$C,3,FALSE), "     ")</f>
        <v xml:space="preserve">     </v>
      </c>
    </row>
    <row r="787" spans="1:4" x14ac:dyDescent="0.25">
      <c r="A787" s="12" t="s">
        <v>5098</v>
      </c>
      <c r="B787" s="10" t="str">
        <f>_xlfn.IFNA(VLOOKUP($A787,CompChecksTrans!$A:$C,2,FALSE), "")</f>
        <v/>
      </c>
      <c r="C787" s="10" t="str">
        <f>_xlfn.IFNA(VLOOKUP(B787,Phase1!A$4:C$129,3,FALSE),"")</f>
        <v/>
      </c>
      <c r="D787" s="10" t="str">
        <f>_xlfn.IFNA(VLOOKUP($A787,CompChecksTrans!$A:$C,3,FALSE), "     ")</f>
        <v xml:space="preserve">     </v>
      </c>
    </row>
    <row r="788" spans="1:4" x14ac:dyDescent="0.25">
      <c r="A788" s="12" t="s">
        <v>5099</v>
      </c>
      <c r="B788" s="10" t="str">
        <f>_xlfn.IFNA(VLOOKUP($A788,CompChecksTrans!$A:$C,2,FALSE), "")</f>
        <v/>
      </c>
      <c r="C788" s="10" t="str">
        <f>_xlfn.IFNA(VLOOKUP(B788,Phase1!A$4:C$129,3,FALSE),"")</f>
        <v/>
      </c>
      <c r="D788" s="10" t="str">
        <f>_xlfn.IFNA(VLOOKUP($A788,CompChecksTrans!$A:$C,3,FALSE), "     ")</f>
        <v xml:space="preserve">     </v>
      </c>
    </row>
    <row r="789" spans="1:4" x14ac:dyDescent="0.25">
      <c r="A789" s="12" t="s">
        <v>5100</v>
      </c>
      <c r="B789" s="10" t="str">
        <f>_xlfn.IFNA(VLOOKUP($A789,CompChecksTrans!$A:$C,2,FALSE), "")</f>
        <v/>
      </c>
      <c r="C789" s="10" t="str">
        <f>_xlfn.IFNA(VLOOKUP(B789,Phase1!A$4:C$129,3,FALSE),"")</f>
        <v/>
      </c>
      <c r="D789" s="10" t="str">
        <f>_xlfn.IFNA(VLOOKUP($A789,CompChecksTrans!$A:$C,3,FALSE), "     ")</f>
        <v xml:space="preserve">     </v>
      </c>
    </row>
    <row r="790" spans="1:4" x14ac:dyDescent="0.25">
      <c r="A790" s="12" t="s">
        <v>5101</v>
      </c>
      <c r="B790" s="10" t="str">
        <f>_xlfn.IFNA(VLOOKUP($A790,CompChecksTrans!$A:$C,2,FALSE), "")</f>
        <v/>
      </c>
      <c r="C790" s="10" t="str">
        <f>_xlfn.IFNA(VLOOKUP(B790,Phase1!A$4:C$129,3,FALSE),"")</f>
        <v/>
      </c>
      <c r="D790" s="10" t="str">
        <f>_xlfn.IFNA(VLOOKUP($A790,CompChecksTrans!$A:$C,3,FALSE), "     ")</f>
        <v xml:space="preserve">     </v>
      </c>
    </row>
    <row r="791" spans="1:4" x14ac:dyDescent="0.25">
      <c r="A791" s="12" t="s">
        <v>5102</v>
      </c>
      <c r="B791" s="10" t="str">
        <f>_xlfn.IFNA(VLOOKUP($A791,CompChecksTrans!$A:$C,2,FALSE), "")</f>
        <v/>
      </c>
      <c r="C791" s="10" t="str">
        <f>_xlfn.IFNA(VLOOKUP(B791,Phase1!A$4:C$129,3,FALSE),"")</f>
        <v/>
      </c>
      <c r="D791" s="10" t="str">
        <f>_xlfn.IFNA(VLOOKUP($A791,CompChecksTrans!$A:$C,3,FALSE), "     ")</f>
        <v xml:space="preserve">     </v>
      </c>
    </row>
    <row r="792" spans="1:4" x14ac:dyDescent="0.25">
      <c r="A792" s="12" t="s">
        <v>5103</v>
      </c>
      <c r="B792" s="10" t="str">
        <f>_xlfn.IFNA(VLOOKUP($A792,CompChecksTrans!$A:$C,2,FALSE), "")</f>
        <v/>
      </c>
      <c r="C792" s="10" t="str">
        <f>_xlfn.IFNA(VLOOKUP(B792,Phase1!A$4:C$129,3,FALSE),"")</f>
        <v/>
      </c>
      <c r="D792" s="10" t="str">
        <f>_xlfn.IFNA(VLOOKUP($A792,CompChecksTrans!$A:$C,3,FALSE), "     ")</f>
        <v xml:space="preserve">     </v>
      </c>
    </row>
    <row r="793" spans="1:4" x14ac:dyDescent="0.25">
      <c r="A793" s="12" t="s">
        <v>5104</v>
      </c>
      <c r="B793" s="10" t="str">
        <f>_xlfn.IFNA(VLOOKUP($A793,CompChecksTrans!$A:$C,2,FALSE), "")</f>
        <v/>
      </c>
      <c r="C793" s="10" t="str">
        <f>_xlfn.IFNA(VLOOKUP(B793,Phase1!A$4:C$129,3,FALSE),"")</f>
        <v/>
      </c>
      <c r="D793" s="10" t="str">
        <f>_xlfn.IFNA(VLOOKUP($A793,CompChecksTrans!$A:$C,3,FALSE), "     ")</f>
        <v xml:space="preserve">     </v>
      </c>
    </row>
    <row r="794" spans="1:4" x14ac:dyDescent="0.25">
      <c r="A794" s="12" t="s">
        <v>5105</v>
      </c>
      <c r="B794" s="10" t="str">
        <f>_xlfn.IFNA(VLOOKUP($A794,CompChecksTrans!$A:$C,2,FALSE), "")</f>
        <v/>
      </c>
      <c r="C794" s="10" t="str">
        <f>_xlfn.IFNA(VLOOKUP(B794,Phase1!A$4:C$129,3,FALSE),"")</f>
        <v/>
      </c>
      <c r="D794" s="10" t="str">
        <f>_xlfn.IFNA(VLOOKUP($A794,CompChecksTrans!$A:$C,3,FALSE), "     ")</f>
        <v xml:space="preserve">     </v>
      </c>
    </row>
    <row r="795" spans="1:4" x14ac:dyDescent="0.25">
      <c r="A795" s="12" t="s">
        <v>5106</v>
      </c>
      <c r="B795" s="10" t="str">
        <f>_xlfn.IFNA(VLOOKUP($A795,CompChecksTrans!$A:$C,2,FALSE), "")</f>
        <v/>
      </c>
      <c r="C795" s="10" t="str">
        <f>_xlfn.IFNA(VLOOKUP(B795,Phase1!A$4:C$129,3,FALSE),"")</f>
        <v/>
      </c>
      <c r="D795" s="10" t="str">
        <f>_xlfn.IFNA(VLOOKUP($A795,CompChecksTrans!$A:$C,3,FALSE), "     ")</f>
        <v xml:space="preserve">     </v>
      </c>
    </row>
    <row r="796" spans="1:4" x14ac:dyDescent="0.25">
      <c r="A796" s="12" t="s">
        <v>5107</v>
      </c>
      <c r="B796" s="10" t="str">
        <f>_xlfn.IFNA(VLOOKUP($A796,CompChecksTrans!$A:$C,2,FALSE), "")</f>
        <v/>
      </c>
      <c r="C796" s="10" t="str">
        <f>_xlfn.IFNA(VLOOKUP(B796,Phase1!A$4:C$129,3,FALSE),"")</f>
        <v/>
      </c>
      <c r="D796" s="10" t="str">
        <f>_xlfn.IFNA(VLOOKUP($A796,CompChecksTrans!$A:$C,3,FALSE), "     ")</f>
        <v xml:space="preserve">     </v>
      </c>
    </row>
    <row r="797" spans="1:4" x14ac:dyDescent="0.25">
      <c r="A797" s="12" t="s">
        <v>5108</v>
      </c>
      <c r="B797" s="10" t="str">
        <f>_xlfn.IFNA(VLOOKUP($A797,CompChecksTrans!$A:$C,2,FALSE), "")</f>
        <v/>
      </c>
      <c r="C797" s="10" t="str">
        <f>_xlfn.IFNA(VLOOKUP(B797,Phase1!A$4:C$129,3,FALSE),"")</f>
        <v/>
      </c>
      <c r="D797" s="10" t="str">
        <f>_xlfn.IFNA(VLOOKUP($A797,CompChecksTrans!$A:$C,3,FALSE), "     ")</f>
        <v xml:space="preserve">     </v>
      </c>
    </row>
    <row r="798" spans="1:4" x14ac:dyDescent="0.25">
      <c r="A798" s="12" t="s">
        <v>5109</v>
      </c>
      <c r="B798" s="10" t="str">
        <f>_xlfn.IFNA(VLOOKUP($A798,CompChecksTrans!$A:$C,2,FALSE), "")</f>
        <v/>
      </c>
      <c r="C798" s="10" t="str">
        <f>_xlfn.IFNA(VLOOKUP(B798,Phase1!A$4:C$129,3,FALSE),"")</f>
        <v/>
      </c>
      <c r="D798" s="10" t="str">
        <f>_xlfn.IFNA(VLOOKUP($A798,CompChecksTrans!$A:$C,3,FALSE), "     ")</f>
        <v xml:space="preserve">     </v>
      </c>
    </row>
    <row r="799" spans="1:4" x14ac:dyDescent="0.25">
      <c r="A799" s="12" t="s">
        <v>5110</v>
      </c>
      <c r="B799" s="10" t="str">
        <f>_xlfn.IFNA(VLOOKUP($A799,CompChecksTrans!$A:$C,2,FALSE), "")</f>
        <v/>
      </c>
      <c r="C799" s="10" t="str">
        <f>_xlfn.IFNA(VLOOKUP(B799,Phase1!A$4:C$129,3,FALSE),"")</f>
        <v/>
      </c>
      <c r="D799" s="10" t="str">
        <f>_xlfn.IFNA(VLOOKUP($A799,CompChecksTrans!$A:$C,3,FALSE), "     ")</f>
        <v xml:space="preserve">     </v>
      </c>
    </row>
    <row r="800" spans="1:4" x14ac:dyDescent="0.25">
      <c r="A800" s="12" t="s">
        <v>5111</v>
      </c>
      <c r="B800" s="10" t="str">
        <f>_xlfn.IFNA(VLOOKUP($A800,CompChecksTrans!$A:$C,2,FALSE), "")</f>
        <v/>
      </c>
      <c r="C800" s="10" t="str">
        <f>_xlfn.IFNA(VLOOKUP(B800,Phase1!A$4:C$129,3,FALSE),"")</f>
        <v/>
      </c>
      <c r="D800" s="10" t="str">
        <f>_xlfn.IFNA(VLOOKUP($A800,CompChecksTrans!$A:$C,3,FALSE), "     ")</f>
        <v xml:space="preserve">     </v>
      </c>
    </row>
    <row r="801" spans="1:4" x14ac:dyDescent="0.25">
      <c r="A801" s="12" t="s">
        <v>5112</v>
      </c>
      <c r="B801" s="10" t="str">
        <f>_xlfn.IFNA(VLOOKUP($A801,CompChecksTrans!$A:$C,2,FALSE), "")</f>
        <v/>
      </c>
      <c r="C801" s="10" t="str">
        <f>_xlfn.IFNA(VLOOKUP(B801,Phase1!A$4:C$129,3,FALSE),"")</f>
        <v/>
      </c>
      <c r="D801" s="10" t="str">
        <f>_xlfn.IFNA(VLOOKUP($A801,CompChecksTrans!$A:$C,3,FALSE), "     ")</f>
        <v xml:space="preserve">     </v>
      </c>
    </row>
    <row r="802" spans="1:4" x14ac:dyDescent="0.25">
      <c r="A802" s="12" t="s">
        <v>5113</v>
      </c>
      <c r="B802" s="10" t="str">
        <f>_xlfn.IFNA(VLOOKUP($A802,CompChecksTrans!$A:$C,2,FALSE), "")</f>
        <v/>
      </c>
      <c r="C802" s="10" t="str">
        <f>_xlfn.IFNA(VLOOKUP(B802,Phase1!A$4:C$129,3,FALSE),"")</f>
        <v/>
      </c>
      <c r="D802" s="10" t="str">
        <f>_xlfn.IFNA(VLOOKUP($A802,CompChecksTrans!$A:$C,3,FALSE), "     ")</f>
        <v xml:space="preserve">     </v>
      </c>
    </row>
    <row r="803" spans="1:4" x14ac:dyDescent="0.25">
      <c r="A803" s="12" t="s">
        <v>5114</v>
      </c>
      <c r="B803" s="10" t="str">
        <f>_xlfn.IFNA(VLOOKUP($A803,CompChecksTrans!$A:$C,2,FALSE), "")</f>
        <v/>
      </c>
      <c r="C803" s="10" t="str">
        <f>_xlfn.IFNA(VLOOKUP(B803,Phase1!A$4:C$129,3,FALSE),"")</f>
        <v/>
      </c>
      <c r="D803" s="10" t="str">
        <f>_xlfn.IFNA(VLOOKUP($A803,CompChecksTrans!$A:$C,3,FALSE), "     ")</f>
        <v xml:space="preserve">     </v>
      </c>
    </row>
    <row r="804" spans="1:4" x14ac:dyDescent="0.25">
      <c r="A804" s="12" t="s">
        <v>5115</v>
      </c>
      <c r="B804" s="10" t="str">
        <f>_xlfn.IFNA(VLOOKUP($A804,CompChecksTrans!$A:$C,2,FALSE), "")</f>
        <v/>
      </c>
      <c r="C804" s="10" t="str">
        <f>_xlfn.IFNA(VLOOKUP(B804,Phase1!A$4:C$129,3,FALSE),"")</f>
        <v/>
      </c>
      <c r="D804" s="10" t="str">
        <f>_xlfn.IFNA(VLOOKUP($A804,CompChecksTrans!$A:$C,3,FALSE), "     ")</f>
        <v xml:space="preserve">     </v>
      </c>
    </row>
    <row r="805" spans="1:4" x14ac:dyDescent="0.25">
      <c r="A805" s="12" t="s">
        <v>5116</v>
      </c>
      <c r="B805" s="10" t="str">
        <f>_xlfn.IFNA(VLOOKUP($A805,CompChecksTrans!$A:$C,2,FALSE), "")</f>
        <v/>
      </c>
      <c r="C805" s="10" t="str">
        <f>_xlfn.IFNA(VLOOKUP(B805,Phase1!A$4:C$129,3,FALSE),"")</f>
        <v/>
      </c>
      <c r="D805" s="10" t="str">
        <f>_xlfn.IFNA(VLOOKUP($A805,CompChecksTrans!$A:$C,3,FALSE), "     ")</f>
        <v xml:space="preserve">     </v>
      </c>
    </row>
    <row r="806" spans="1:4" x14ac:dyDescent="0.25">
      <c r="A806" s="12" t="s">
        <v>5117</v>
      </c>
      <c r="B806" s="10" t="str">
        <f>_xlfn.IFNA(VLOOKUP($A806,CompChecksTrans!$A:$C,2,FALSE), "")</f>
        <v/>
      </c>
      <c r="C806" s="10" t="str">
        <f>_xlfn.IFNA(VLOOKUP(B806,Phase1!A$4:C$129,3,FALSE),"")</f>
        <v/>
      </c>
      <c r="D806" s="10" t="str">
        <f>_xlfn.IFNA(VLOOKUP($A806,CompChecksTrans!$A:$C,3,FALSE), "     ")</f>
        <v xml:space="preserve">     </v>
      </c>
    </row>
    <row r="807" spans="1:4" x14ac:dyDescent="0.25">
      <c r="A807" s="12" t="s">
        <v>5118</v>
      </c>
      <c r="B807" s="10" t="str">
        <f>_xlfn.IFNA(VLOOKUP($A807,CompChecksTrans!$A:$C,2,FALSE), "")</f>
        <v/>
      </c>
      <c r="C807" s="10" t="str">
        <f>_xlfn.IFNA(VLOOKUP(B807,Phase1!A$4:C$129,3,FALSE),"")</f>
        <v/>
      </c>
      <c r="D807" s="10" t="str">
        <f>_xlfn.IFNA(VLOOKUP($A807,CompChecksTrans!$A:$C,3,FALSE), "     ")</f>
        <v xml:space="preserve">     </v>
      </c>
    </row>
    <row r="808" spans="1:4" x14ac:dyDescent="0.25">
      <c r="A808" s="12" t="s">
        <v>5119</v>
      </c>
      <c r="B808" s="10" t="str">
        <f>_xlfn.IFNA(VLOOKUP($A808,CompChecksTrans!$A:$C,2,FALSE), "")</f>
        <v/>
      </c>
      <c r="C808" s="10" t="str">
        <f>_xlfn.IFNA(VLOOKUP(B808,Phase1!A$4:C$129,3,FALSE),"")</f>
        <v/>
      </c>
      <c r="D808" s="10" t="str">
        <f>_xlfn.IFNA(VLOOKUP($A808,CompChecksTrans!$A:$C,3,FALSE), "     ")</f>
        <v xml:space="preserve">     </v>
      </c>
    </row>
    <row r="809" spans="1:4" x14ac:dyDescent="0.25">
      <c r="A809" s="12" t="s">
        <v>5120</v>
      </c>
      <c r="B809" s="10" t="str">
        <f>_xlfn.IFNA(VLOOKUP($A809,CompChecksTrans!$A:$C,2,FALSE), "")</f>
        <v/>
      </c>
      <c r="C809" s="10" t="str">
        <f>_xlfn.IFNA(VLOOKUP(B809,Phase1!A$4:C$129,3,FALSE),"")</f>
        <v/>
      </c>
      <c r="D809" s="10" t="str">
        <f>_xlfn.IFNA(VLOOKUP($A809,CompChecksTrans!$A:$C,3,FALSE), "     ")</f>
        <v xml:space="preserve">     </v>
      </c>
    </row>
    <row r="810" spans="1:4" x14ac:dyDescent="0.25">
      <c r="A810" s="12" t="s">
        <v>5121</v>
      </c>
      <c r="B810" s="10" t="str">
        <f>_xlfn.IFNA(VLOOKUP($A810,CompChecksTrans!$A:$C,2,FALSE), "")</f>
        <v/>
      </c>
      <c r="C810" s="10" t="str">
        <f>_xlfn.IFNA(VLOOKUP(B810,Phase1!A$4:C$129,3,FALSE),"")</f>
        <v/>
      </c>
      <c r="D810" s="10" t="str">
        <f>_xlfn.IFNA(VLOOKUP($A810,CompChecksTrans!$A:$C,3,FALSE), "     ")</f>
        <v xml:space="preserve">     </v>
      </c>
    </row>
    <row r="811" spans="1:4" x14ac:dyDescent="0.25">
      <c r="A811" s="12" t="s">
        <v>5122</v>
      </c>
      <c r="B811" s="10" t="str">
        <f>_xlfn.IFNA(VLOOKUP($A811,CompChecksTrans!$A:$C,2,FALSE), "")</f>
        <v/>
      </c>
      <c r="C811" s="10" t="str">
        <f>_xlfn.IFNA(VLOOKUP(B811,Phase1!A$4:C$129,3,FALSE),"")</f>
        <v/>
      </c>
      <c r="D811" s="10" t="str">
        <f>_xlfn.IFNA(VLOOKUP($A811,CompChecksTrans!$A:$C,3,FALSE), "     ")</f>
        <v xml:space="preserve">     </v>
      </c>
    </row>
    <row r="812" spans="1:4" x14ac:dyDescent="0.25">
      <c r="A812" s="12" t="s">
        <v>5123</v>
      </c>
      <c r="B812" s="10" t="str">
        <f>_xlfn.IFNA(VLOOKUP($A812,CompChecksTrans!$A:$C,2,FALSE), "")</f>
        <v/>
      </c>
      <c r="C812" s="10" t="str">
        <f>_xlfn.IFNA(VLOOKUP(B812,Phase1!A$4:C$129,3,FALSE),"")</f>
        <v/>
      </c>
      <c r="D812" s="10" t="str">
        <f>_xlfn.IFNA(VLOOKUP($A812,CompChecksTrans!$A:$C,3,FALSE), "     ")</f>
        <v xml:space="preserve">     </v>
      </c>
    </row>
    <row r="813" spans="1:4" x14ac:dyDescent="0.25">
      <c r="A813" s="12" t="s">
        <v>5124</v>
      </c>
      <c r="B813" s="10" t="str">
        <f>_xlfn.IFNA(VLOOKUP($A813,CompChecksTrans!$A:$C,2,FALSE), "")</f>
        <v/>
      </c>
      <c r="C813" s="10" t="str">
        <f>_xlfn.IFNA(VLOOKUP(B813,Phase1!A$4:C$129,3,FALSE),"")</f>
        <v/>
      </c>
      <c r="D813" s="10" t="str">
        <f>_xlfn.IFNA(VLOOKUP($A813,CompChecksTrans!$A:$C,3,FALSE), "     ")</f>
        <v xml:space="preserve">     </v>
      </c>
    </row>
    <row r="814" spans="1:4" x14ac:dyDescent="0.25">
      <c r="A814" s="12" t="s">
        <v>5125</v>
      </c>
      <c r="B814" s="10" t="str">
        <f>_xlfn.IFNA(VLOOKUP($A814,CompChecksTrans!$A:$C,2,FALSE), "")</f>
        <v/>
      </c>
      <c r="C814" s="10" t="str">
        <f>_xlfn.IFNA(VLOOKUP(B814,Phase1!A$4:C$129,3,FALSE),"")</f>
        <v/>
      </c>
      <c r="D814" s="10" t="str">
        <f>_xlfn.IFNA(VLOOKUP($A814,CompChecksTrans!$A:$C,3,FALSE), "     ")</f>
        <v xml:space="preserve">     </v>
      </c>
    </row>
    <row r="815" spans="1:4" x14ac:dyDescent="0.25">
      <c r="A815" s="12" t="s">
        <v>5126</v>
      </c>
      <c r="B815" s="10" t="str">
        <f>_xlfn.IFNA(VLOOKUP($A815,CompChecksTrans!$A:$C,2,FALSE), "")</f>
        <v/>
      </c>
      <c r="C815" s="10" t="str">
        <f>_xlfn.IFNA(VLOOKUP(B815,Phase1!A$4:C$129,3,FALSE),"")</f>
        <v/>
      </c>
      <c r="D815" s="10" t="str">
        <f>_xlfn.IFNA(VLOOKUP($A815,CompChecksTrans!$A:$C,3,FALSE), "     ")</f>
        <v xml:space="preserve">     </v>
      </c>
    </row>
    <row r="816" spans="1:4" x14ac:dyDescent="0.25">
      <c r="A816" s="12" t="s">
        <v>5127</v>
      </c>
      <c r="B816" s="10" t="str">
        <f>_xlfn.IFNA(VLOOKUP($A816,CompChecksTrans!$A:$C,2,FALSE), "")</f>
        <v/>
      </c>
      <c r="C816" s="10" t="str">
        <f>_xlfn.IFNA(VLOOKUP(B816,Phase1!A$4:C$129,3,FALSE),"")</f>
        <v/>
      </c>
      <c r="D816" s="10" t="str">
        <f>_xlfn.IFNA(VLOOKUP($A816,CompChecksTrans!$A:$C,3,FALSE), "     ")</f>
        <v xml:space="preserve">     </v>
      </c>
    </row>
    <row r="817" spans="1:4" x14ac:dyDescent="0.25">
      <c r="A817" s="12" t="s">
        <v>5128</v>
      </c>
      <c r="B817" s="10" t="str">
        <f>_xlfn.IFNA(VLOOKUP($A817,CompChecksTrans!$A:$C,2,FALSE), "")</f>
        <v/>
      </c>
      <c r="C817" s="10" t="str">
        <f>_xlfn.IFNA(VLOOKUP(B817,Phase1!A$4:C$129,3,FALSE),"")</f>
        <v/>
      </c>
      <c r="D817" s="10" t="str">
        <f>_xlfn.IFNA(VLOOKUP($A817,CompChecksTrans!$A:$C,3,FALSE), "     ")</f>
        <v xml:space="preserve">     </v>
      </c>
    </row>
    <row r="818" spans="1:4" x14ac:dyDescent="0.25">
      <c r="A818" s="12" t="s">
        <v>5129</v>
      </c>
      <c r="B818" s="10" t="str">
        <f>_xlfn.IFNA(VLOOKUP($A818,CompChecksTrans!$A:$C,2,FALSE), "")</f>
        <v/>
      </c>
      <c r="C818" s="10" t="str">
        <f>_xlfn.IFNA(VLOOKUP(B818,Phase1!A$4:C$129,3,FALSE),"")</f>
        <v/>
      </c>
      <c r="D818" s="10" t="str">
        <f>_xlfn.IFNA(VLOOKUP($A818,CompChecksTrans!$A:$C,3,FALSE), "     ")</f>
        <v xml:space="preserve">     </v>
      </c>
    </row>
    <row r="819" spans="1:4" x14ac:dyDescent="0.25">
      <c r="A819" s="12" t="s">
        <v>5130</v>
      </c>
      <c r="B819" s="10" t="str">
        <f>_xlfn.IFNA(VLOOKUP($A819,CompChecksTrans!$A:$C,2,FALSE), "")</f>
        <v/>
      </c>
      <c r="C819" s="10" t="str">
        <f>_xlfn.IFNA(VLOOKUP(B819,Phase1!A$4:C$129,3,FALSE),"")</f>
        <v/>
      </c>
      <c r="D819" s="10" t="str">
        <f>_xlfn.IFNA(VLOOKUP($A819,CompChecksTrans!$A:$C,3,FALSE), "     ")</f>
        <v xml:space="preserve">     </v>
      </c>
    </row>
    <row r="820" spans="1:4" x14ac:dyDescent="0.25">
      <c r="A820" s="12" t="s">
        <v>5131</v>
      </c>
      <c r="B820" s="10" t="str">
        <f>_xlfn.IFNA(VLOOKUP($A820,CompChecksTrans!$A:$C,2,FALSE), "")</f>
        <v/>
      </c>
      <c r="C820" s="10" t="str">
        <f>_xlfn.IFNA(VLOOKUP(B820,Phase1!A$4:C$129,3,FALSE),"")</f>
        <v/>
      </c>
      <c r="D820" s="10" t="str">
        <f>_xlfn.IFNA(VLOOKUP($A820,CompChecksTrans!$A:$C,3,FALSE), "     ")</f>
        <v xml:space="preserve">     </v>
      </c>
    </row>
    <row r="821" spans="1:4" x14ac:dyDescent="0.25">
      <c r="A821" s="12" t="s">
        <v>5132</v>
      </c>
      <c r="B821" s="10" t="str">
        <f>_xlfn.IFNA(VLOOKUP($A821,CompChecksTrans!$A:$C,2,FALSE), "")</f>
        <v/>
      </c>
      <c r="C821" s="10" t="str">
        <f>_xlfn.IFNA(VLOOKUP(B821,Phase1!A$4:C$129,3,FALSE),"")</f>
        <v/>
      </c>
      <c r="D821" s="10" t="str">
        <f>_xlfn.IFNA(VLOOKUP($A821,CompChecksTrans!$A:$C,3,FALSE), "     ")</f>
        <v xml:space="preserve">     </v>
      </c>
    </row>
    <row r="822" spans="1:4" x14ac:dyDescent="0.25">
      <c r="A822" s="12" t="s">
        <v>5133</v>
      </c>
      <c r="B822" s="10" t="str">
        <f>_xlfn.IFNA(VLOOKUP($A822,CompChecksTrans!$A:$C,2,FALSE), "")</f>
        <v/>
      </c>
      <c r="C822" s="10" t="str">
        <f>_xlfn.IFNA(VLOOKUP(B822,Phase1!A$4:C$129,3,FALSE),"")</f>
        <v/>
      </c>
      <c r="D822" s="10" t="str">
        <f>_xlfn.IFNA(VLOOKUP($A822,CompChecksTrans!$A:$C,3,FALSE), "     ")</f>
        <v xml:space="preserve">     </v>
      </c>
    </row>
    <row r="823" spans="1:4" x14ac:dyDescent="0.25">
      <c r="A823" s="12" t="s">
        <v>5134</v>
      </c>
      <c r="B823" s="10" t="str">
        <f>_xlfn.IFNA(VLOOKUP($A823,CompChecksTrans!$A:$C,2,FALSE), "")</f>
        <v/>
      </c>
      <c r="C823" s="10" t="str">
        <f>_xlfn.IFNA(VLOOKUP(B823,Phase1!A$4:C$129,3,FALSE),"")</f>
        <v/>
      </c>
      <c r="D823" s="10" t="str">
        <f>_xlfn.IFNA(VLOOKUP($A823,CompChecksTrans!$A:$C,3,FALSE), "     ")</f>
        <v xml:space="preserve">     </v>
      </c>
    </row>
    <row r="824" spans="1:4" x14ac:dyDescent="0.25">
      <c r="A824" s="12" t="s">
        <v>5135</v>
      </c>
      <c r="B824" s="10" t="str">
        <f>_xlfn.IFNA(VLOOKUP($A824,CompChecksTrans!$A:$C,2,FALSE), "")</f>
        <v/>
      </c>
      <c r="C824" s="10" t="str">
        <f>_xlfn.IFNA(VLOOKUP(B824,Phase1!A$4:C$129,3,FALSE),"")</f>
        <v/>
      </c>
      <c r="D824" s="10" t="str">
        <f>_xlfn.IFNA(VLOOKUP($A824,CompChecksTrans!$A:$C,3,FALSE), "     ")</f>
        <v xml:space="preserve">     </v>
      </c>
    </row>
    <row r="825" spans="1:4" x14ac:dyDescent="0.25">
      <c r="A825" s="12" t="s">
        <v>5136</v>
      </c>
      <c r="B825" s="10" t="str">
        <f>_xlfn.IFNA(VLOOKUP($A825,CompChecksTrans!$A:$C,2,FALSE), "")</f>
        <v/>
      </c>
      <c r="C825" s="10" t="str">
        <f>_xlfn.IFNA(VLOOKUP(B825,Phase1!A$4:C$129,3,FALSE),"")</f>
        <v/>
      </c>
      <c r="D825" s="10" t="str">
        <f>_xlfn.IFNA(VLOOKUP($A825,CompChecksTrans!$A:$C,3,FALSE), "     ")</f>
        <v xml:space="preserve">     </v>
      </c>
    </row>
    <row r="826" spans="1:4" x14ac:dyDescent="0.25">
      <c r="A826" s="12" t="s">
        <v>5137</v>
      </c>
      <c r="B826" s="10" t="str">
        <f>_xlfn.IFNA(VLOOKUP($A826,CompChecksTrans!$A:$C,2,FALSE), "")</f>
        <v/>
      </c>
      <c r="C826" s="10" t="str">
        <f>_xlfn.IFNA(VLOOKUP(B826,Phase1!A$4:C$129,3,FALSE),"")</f>
        <v/>
      </c>
      <c r="D826" s="10" t="str">
        <f>_xlfn.IFNA(VLOOKUP($A826,CompChecksTrans!$A:$C,3,FALSE), "     ")</f>
        <v xml:space="preserve">     </v>
      </c>
    </row>
    <row r="827" spans="1:4" x14ac:dyDescent="0.25">
      <c r="A827" s="12" t="s">
        <v>5138</v>
      </c>
      <c r="B827" s="10" t="str">
        <f>_xlfn.IFNA(VLOOKUP($A827,CompChecksTrans!$A:$C,2,FALSE), "")</f>
        <v/>
      </c>
      <c r="C827" s="10" t="str">
        <f>_xlfn.IFNA(VLOOKUP(B827,Phase1!A$4:C$129,3,FALSE),"")</f>
        <v/>
      </c>
      <c r="D827" s="10" t="str">
        <f>_xlfn.IFNA(VLOOKUP($A827,CompChecksTrans!$A:$C,3,FALSE), "     ")</f>
        <v xml:space="preserve">     </v>
      </c>
    </row>
    <row r="828" spans="1:4" x14ac:dyDescent="0.25">
      <c r="A828" s="12" t="s">
        <v>5139</v>
      </c>
      <c r="B828" s="10" t="str">
        <f>_xlfn.IFNA(VLOOKUP($A828,CompChecksTrans!$A:$C,2,FALSE), "")</f>
        <v/>
      </c>
      <c r="C828" s="10" t="str">
        <f>_xlfn.IFNA(VLOOKUP(B828,Phase1!A$4:C$129,3,FALSE),"")</f>
        <v/>
      </c>
      <c r="D828" s="10" t="str">
        <f>_xlfn.IFNA(VLOOKUP($A828,CompChecksTrans!$A:$C,3,FALSE), "     ")</f>
        <v xml:space="preserve">     </v>
      </c>
    </row>
    <row r="829" spans="1:4" x14ac:dyDescent="0.25">
      <c r="A829" s="12" t="s">
        <v>5140</v>
      </c>
      <c r="B829" s="10" t="str">
        <f>_xlfn.IFNA(VLOOKUP($A829,CompChecksTrans!$A:$C,2,FALSE), "")</f>
        <v/>
      </c>
      <c r="C829" s="10" t="str">
        <f>_xlfn.IFNA(VLOOKUP(B829,Phase1!A$4:C$129,3,FALSE),"")</f>
        <v/>
      </c>
      <c r="D829" s="10" t="str">
        <f>_xlfn.IFNA(VLOOKUP($A829,CompChecksTrans!$A:$C,3,FALSE), "     ")</f>
        <v xml:space="preserve">     </v>
      </c>
    </row>
    <row r="830" spans="1:4" x14ac:dyDescent="0.25">
      <c r="A830" s="12" t="s">
        <v>5141</v>
      </c>
      <c r="B830" s="10" t="str">
        <f>_xlfn.IFNA(VLOOKUP($A830,CompChecksTrans!$A:$C,2,FALSE), "")</f>
        <v/>
      </c>
      <c r="C830" s="10" t="str">
        <f>_xlfn.IFNA(VLOOKUP(B830,Phase1!A$4:C$129,3,FALSE),"")</f>
        <v/>
      </c>
      <c r="D830" s="10" t="str">
        <f>_xlfn.IFNA(VLOOKUP($A830,CompChecksTrans!$A:$C,3,FALSE), "     ")</f>
        <v xml:space="preserve">     </v>
      </c>
    </row>
    <row r="831" spans="1:4" x14ac:dyDescent="0.25">
      <c r="A831" s="12" t="s">
        <v>5142</v>
      </c>
      <c r="B831" s="10" t="str">
        <f>_xlfn.IFNA(VLOOKUP($A831,CompChecksTrans!$A:$C,2,FALSE), "")</f>
        <v/>
      </c>
      <c r="C831" s="10" t="str">
        <f>_xlfn.IFNA(VLOOKUP(B831,Phase1!A$4:C$129,3,FALSE),"")</f>
        <v/>
      </c>
      <c r="D831" s="10" t="str">
        <f>_xlfn.IFNA(VLOOKUP($A831,CompChecksTrans!$A:$C,3,FALSE), "     ")</f>
        <v xml:space="preserve">     </v>
      </c>
    </row>
    <row r="832" spans="1:4" x14ac:dyDescent="0.25">
      <c r="A832" s="12" t="s">
        <v>5143</v>
      </c>
      <c r="B832" s="10" t="str">
        <f>_xlfn.IFNA(VLOOKUP($A832,CompChecksTrans!$A:$C,2,FALSE), "")</f>
        <v/>
      </c>
      <c r="C832" s="10" t="str">
        <f>_xlfn.IFNA(VLOOKUP(B832,Phase1!A$4:C$129,3,FALSE),"")</f>
        <v/>
      </c>
      <c r="D832" s="10" t="str">
        <f>_xlfn.IFNA(VLOOKUP($A832,CompChecksTrans!$A:$C,3,FALSE), "     ")</f>
        <v xml:space="preserve">     </v>
      </c>
    </row>
    <row r="833" spans="1:4" x14ac:dyDescent="0.25">
      <c r="A833" s="12" t="s">
        <v>5144</v>
      </c>
      <c r="B833" s="10" t="str">
        <f>_xlfn.IFNA(VLOOKUP($A833,CompChecksTrans!$A:$C,2,FALSE), "")</f>
        <v/>
      </c>
      <c r="C833" s="10" t="str">
        <f>_xlfn.IFNA(VLOOKUP(B833,Phase1!A$4:C$129,3,FALSE),"")</f>
        <v/>
      </c>
      <c r="D833" s="10" t="str">
        <f>_xlfn.IFNA(VLOOKUP($A833,CompChecksTrans!$A:$C,3,FALSE), "     ")</f>
        <v xml:space="preserve">     </v>
      </c>
    </row>
    <row r="834" spans="1:4" x14ac:dyDescent="0.25">
      <c r="A834" s="12" t="s">
        <v>5145</v>
      </c>
      <c r="B834" s="10" t="str">
        <f>_xlfn.IFNA(VLOOKUP($A834,CompChecksTrans!$A:$C,2,FALSE), "")</f>
        <v/>
      </c>
      <c r="C834" s="10" t="str">
        <f>_xlfn.IFNA(VLOOKUP(B834,Phase1!A$4:C$129,3,FALSE),"")</f>
        <v/>
      </c>
      <c r="D834" s="10" t="str">
        <f>_xlfn.IFNA(VLOOKUP($A834,CompChecksTrans!$A:$C,3,FALSE), "     ")</f>
        <v xml:space="preserve">     </v>
      </c>
    </row>
    <row r="835" spans="1:4" x14ac:dyDescent="0.25">
      <c r="A835" s="12" t="s">
        <v>5146</v>
      </c>
      <c r="B835" s="10" t="str">
        <f>_xlfn.IFNA(VLOOKUP($A835,CompChecksTrans!$A:$C,2,FALSE), "")</f>
        <v/>
      </c>
      <c r="C835" s="10" t="str">
        <f>_xlfn.IFNA(VLOOKUP(B835,Phase1!A$4:C$129,3,FALSE),"")</f>
        <v/>
      </c>
      <c r="D835" s="10" t="str">
        <f>_xlfn.IFNA(VLOOKUP($A835,CompChecksTrans!$A:$C,3,FALSE), "     ")</f>
        <v xml:space="preserve">     </v>
      </c>
    </row>
    <row r="836" spans="1:4" x14ac:dyDescent="0.25">
      <c r="A836" s="12" t="s">
        <v>5147</v>
      </c>
      <c r="B836" s="10" t="str">
        <f>_xlfn.IFNA(VLOOKUP($A836,CompChecksTrans!$A:$C,2,FALSE), "")</f>
        <v/>
      </c>
      <c r="C836" s="10" t="str">
        <f>_xlfn.IFNA(VLOOKUP(B836,Phase1!A$4:C$129,3,FALSE),"")</f>
        <v/>
      </c>
      <c r="D836" s="10" t="str">
        <f>_xlfn.IFNA(VLOOKUP($A836,CompChecksTrans!$A:$C,3,FALSE), "     ")</f>
        <v xml:space="preserve">     </v>
      </c>
    </row>
    <row r="837" spans="1:4" x14ac:dyDescent="0.25">
      <c r="A837" s="12" t="s">
        <v>5148</v>
      </c>
      <c r="B837" s="10" t="str">
        <f>_xlfn.IFNA(VLOOKUP($A837,CompChecksTrans!$A:$C,2,FALSE), "")</f>
        <v/>
      </c>
      <c r="C837" s="10" t="str">
        <f>_xlfn.IFNA(VLOOKUP(B837,Phase1!A$4:C$129,3,FALSE),"")</f>
        <v/>
      </c>
      <c r="D837" s="10" t="str">
        <f>_xlfn.IFNA(VLOOKUP($A837,CompChecksTrans!$A:$C,3,FALSE), "     ")</f>
        <v xml:space="preserve">     </v>
      </c>
    </row>
    <row r="838" spans="1:4" x14ac:dyDescent="0.25">
      <c r="A838" s="12" t="s">
        <v>5149</v>
      </c>
      <c r="B838" s="10" t="str">
        <f>_xlfn.IFNA(VLOOKUP($A838,CompChecksTrans!$A:$C,2,FALSE), "")</f>
        <v/>
      </c>
      <c r="C838" s="10" t="str">
        <f>_xlfn.IFNA(VLOOKUP(B838,Phase1!A$4:C$129,3,FALSE),"")</f>
        <v/>
      </c>
      <c r="D838" s="10" t="str">
        <f>_xlfn.IFNA(VLOOKUP($A838,CompChecksTrans!$A:$C,3,FALSE), "     ")</f>
        <v xml:space="preserve">     </v>
      </c>
    </row>
    <row r="839" spans="1:4" x14ac:dyDescent="0.25">
      <c r="A839" s="12" t="s">
        <v>5150</v>
      </c>
      <c r="B839" s="10" t="str">
        <f>_xlfn.IFNA(VLOOKUP($A839,CompChecksTrans!$A:$C,2,FALSE), "")</f>
        <v/>
      </c>
      <c r="C839" s="10" t="str">
        <f>_xlfn.IFNA(VLOOKUP(B839,Phase1!A$4:C$129,3,FALSE),"")</f>
        <v/>
      </c>
      <c r="D839" s="10" t="str">
        <f>_xlfn.IFNA(VLOOKUP($A839,CompChecksTrans!$A:$C,3,FALSE), "     ")</f>
        <v xml:space="preserve">     </v>
      </c>
    </row>
    <row r="840" spans="1:4" x14ac:dyDescent="0.25">
      <c r="A840" s="12" t="s">
        <v>5151</v>
      </c>
      <c r="B840" s="10" t="str">
        <f>_xlfn.IFNA(VLOOKUP($A840,CompChecksTrans!$A:$C,2,FALSE), "")</f>
        <v/>
      </c>
      <c r="C840" s="10" t="str">
        <f>_xlfn.IFNA(VLOOKUP(B840,Phase1!A$4:C$129,3,FALSE),"")</f>
        <v/>
      </c>
      <c r="D840" s="10" t="str">
        <f>_xlfn.IFNA(VLOOKUP($A840,CompChecksTrans!$A:$C,3,FALSE), "     ")</f>
        <v xml:space="preserve">     </v>
      </c>
    </row>
    <row r="841" spans="1:4" x14ac:dyDescent="0.25">
      <c r="A841" s="12" t="s">
        <v>5152</v>
      </c>
      <c r="B841" s="10" t="str">
        <f>_xlfn.IFNA(VLOOKUP($A841,CompChecksTrans!$A:$C,2,FALSE), "")</f>
        <v/>
      </c>
      <c r="C841" s="10" t="str">
        <f>_xlfn.IFNA(VLOOKUP(B841,Phase1!A$4:C$129,3,FALSE),"")</f>
        <v/>
      </c>
      <c r="D841" s="10" t="str">
        <f>_xlfn.IFNA(VLOOKUP($A841,CompChecksTrans!$A:$C,3,FALSE), "     ")</f>
        <v xml:space="preserve">     </v>
      </c>
    </row>
    <row r="842" spans="1:4" x14ac:dyDescent="0.25">
      <c r="A842" s="12" t="s">
        <v>5153</v>
      </c>
      <c r="B842" s="10" t="str">
        <f>_xlfn.IFNA(VLOOKUP($A842,CompChecksTrans!$A:$C,2,FALSE), "")</f>
        <v/>
      </c>
      <c r="C842" s="10" t="str">
        <f>_xlfn.IFNA(VLOOKUP(B842,Phase1!A$4:C$129,3,FALSE),"")</f>
        <v/>
      </c>
      <c r="D842" s="10" t="str">
        <f>_xlfn.IFNA(VLOOKUP($A842,CompChecksTrans!$A:$C,3,FALSE), "     ")</f>
        <v xml:space="preserve">     </v>
      </c>
    </row>
    <row r="843" spans="1:4" x14ac:dyDescent="0.25">
      <c r="A843" s="12" t="s">
        <v>5154</v>
      </c>
      <c r="B843" s="10" t="str">
        <f>_xlfn.IFNA(VLOOKUP($A843,CompChecksTrans!$A:$C,2,FALSE), "")</f>
        <v/>
      </c>
      <c r="C843" s="10" t="str">
        <f>_xlfn.IFNA(VLOOKUP(B843,Phase1!A$4:C$129,3,FALSE),"")</f>
        <v/>
      </c>
      <c r="D843" s="10" t="str">
        <f>_xlfn.IFNA(VLOOKUP($A843,CompChecksTrans!$A:$C,3,FALSE), "     ")</f>
        <v xml:space="preserve">     </v>
      </c>
    </row>
    <row r="844" spans="1:4" x14ac:dyDescent="0.25">
      <c r="A844" s="12" t="s">
        <v>5155</v>
      </c>
      <c r="B844" s="10" t="str">
        <f>_xlfn.IFNA(VLOOKUP($A844,CompChecksTrans!$A:$C,2,FALSE), "")</f>
        <v/>
      </c>
      <c r="C844" s="10" t="str">
        <f>_xlfn.IFNA(VLOOKUP(B844,Phase1!A$4:C$129,3,FALSE),"")</f>
        <v/>
      </c>
      <c r="D844" s="10" t="str">
        <f>_xlfn.IFNA(VLOOKUP($A844,CompChecksTrans!$A:$C,3,FALSE), "     ")</f>
        <v xml:space="preserve">     </v>
      </c>
    </row>
    <row r="845" spans="1:4" x14ac:dyDescent="0.25">
      <c r="A845" s="12" t="s">
        <v>5156</v>
      </c>
      <c r="B845" s="10" t="str">
        <f>_xlfn.IFNA(VLOOKUP($A845,CompChecksTrans!$A:$C,2,FALSE), "")</f>
        <v/>
      </c>
      <c r="C845" s="10" t="str">
        <f>_xlfn.IFNA(VLOOKUP(B845,Phase1!A$4:C$129,3,FALSE),"")</f>
        <v/>
      </c>
      <c r="D845" s="10" t="str">
        <f>_xlfn.IFNA(VLOOKUP($A845,CompChecksTrans!$A:$C,3,FALSE), "     ")</f>
        <v xml:space="preserve">     </v>
      </c>
    </row>
    <row r="846" spans="1:4" x14ac:dyDescent="0.25">
      <c r="A846" s="12" t="s">
        <v>5157</v>
      </c>
      <c r="B846" s="10" t="str">
        <f>_xlfn.IFNA(VLOOKUP($A846,CompChecksTrans!$A:$C,2,FALSE), "")</f>
        <v/>
      </c>
      <c r="C846" s="10" t="str">
        <f>_xlfn.IFNA(VLOOKUP(B846,Phase1!A$4:C$129,3,FALSE),"")</f>
        <v/>
      </c>
      <c r="D846" s="10" t="str">
        <f>_xlfn.IFNA(VLOOKUP($A846,CompChecksTrans!$A:$C,3,FALSE), "     ")</f>
        <v xml:space="preserve">     </v>
      </c>
    </row>
    <row r="847" spans="1:4" x14ac:dyDescent="0.25">
      <c r="A847" s="12" t="s">
        <v>5158</v>
      </c>
      <c r="B847" s="10" t="str">
        <f>_xlfn.IFNA(VLOOKUP($A847,CompChecksTrans!$A:$C,2,FALSE), "")</f>
        <v/>
      </c>
      <c r="C847" s="10" t="str">
        <f>_xlfn.IFNA(VLOOKUP(B847,Phase1!A$4:C$129,3,FALSE),"")</f>
        <v/>
      </c>
      <c r="D847" s="10" t="str">
        <f>_xlfn.IFNA(VLOOKUP($A847,CompChecksTrans!$A:$C,3,FALSE), "     ")</f>
        <v xml:space="preserve">     </v>
      </c>
    </row>
    <row r="848" spans="1:4" x14ac:dyDescent="0.25">
      <c r="A848" s="12" t="s">
        <v>5159</v>
      </c>
      <c r="B848" s="10" t="str">
        <f>_xlfn.IFNA(VLOOKUP($A848,CompChecksTrans!$A:$C,2,FALSE), "")</f>
        <v/>
      </c>
      <c r="C848" s="10" t="str">
        <f>_xlfn.IFNA(VLOOKUP(B848,Phase1!A$4:C$129,3,FALSE),"")</f>
        <v/>
      </c>
      <c r="D848" s="10" t="str">
        <f>_xlfn.IFNA(VLOOKUP($A848,CompChecksTrans!$A:$C,3,FALSE), "     ")</f>
        <v xml:space="preserve">     </v>
      </c>
    </row>
    <row r="849" spans="1:4" x14ac:dyDescent="0.25">
      <c r="A849" s="12" t="s">
        <v>5160</v>
      </c>
      <c r="B849" s="10" t="str">
        <f>_xlfn.IFNA(VLOOKUP($A849,CompChecksTrans!$A:$C,2,FALSE), "")</f>
        <v/>
      </c>
      <c r="C849" s="10" t="str">
        <f>_xlfn.IFNA(VLOOKUP(B849,Phase1!A$4:C$129,3,FALSE),"")</f>
        <v/>
      </c>
      <c r="D849" s="10" t="str">
        <f>_xlfn.IFNA(VLOOKUP($A849,CompChecksTrans!$A:$C,3,FALSE), "     ")</f>
        <v xml:space="preserve">     </v>
      </c>
    </row>
    <row r="850" spans="1:4" x14ac:dyDescent="0.25">
      <c r="A850" s="12" t="s">
        <v>5161</v>
      </c>
      <c r="B850" s="10" t="str">
        <f>_xlfn.IFNA(VLOOKUP($A850,CompChecksTrans!$A:$C,2,FALSE), "")</f>
        <v/>
      </c>
      <c r="C850" s="10" t="str">
        <f>_xlfn.IFNA(VLOOKUP(B850,Phase1!A$4:C$129,3,FALSE),"")</f>
        <v/>
      </c>
      <c r="D850" s="10" t="str">
        <f>_xlfn.IFNA(VLOOKUP($A850,CompChecksTrans!$A:$C,3,FALSE), "     ")</f>
        <v xml:space="preserve">     </v>
      </c>
    </row>
    <row r="851" spans="1:4" x14ac:dyDescent="0.25">
      <c r="A851" s="12" t="s">
        <v>5162</v>
      </c>
      <c r="B851" s="10" t="str">
        <f>_xlfn.IFNA(VLOOKUP($A851,CompChecksTrans!$A:$C,2,FALSE), "")</f>
        <v/>
      </c>
      <c r="C851" s="10" t="str">
        <f>_xlfn.IFNA(VLOOKUP(B851,Phase1!A$4:C$129,3,FALSE),"")</f>
        <v/>
      </c>
      <c r="D851" s="10" t="str">
        <f>_xlfn.IFNA(VLOOKUP($A851,CompChecksTrans!$A:$C,3,FALSE), "     ")</f>
        <v xml:space="preserve">     </v>
      </c>
    </row>
    <row r="852" spans="1:4" x14ac:dyDescent="0.25">
      <c r="A852" s="12" t="s">
        <v>5163</v>
      </c>
      <c r="B852" s="10" t="str">
        <f>_xlfn.IFNA(VLOOKUP($A852,CompChecksTrans!$A:$C,2,FALSE), "")</f>
        <v/>
      </c>
      <c r="C852" s="10" t="str">
        <f>_xlfn.IFNA(VLOOKUP(B852,Phase1!A$4:C$129,3,FALSE),"")</f>
        <v/>
      </c>
      <c r="D852" s="10" t="str">
        <f>_xlfn.IFNA(VLOOKUP($A852,CompChecksTrans!$A:$C,3,FALSE), "     ")</f>
        <v xml:space="preserve">     </v>
      </c>
    </row>
    <row r="853" spans="1:4" x14ac:dyDescent="0.25">
      <c r="A853" s="12" t="s">
        <v>5164</v>
      </c>
      <c r="B853" s="10" t="str">
        <f>_xlfn.IFNA(VLOOKUP($A853,CompChecksTrans!$A:$C,2,FALSE), "")</f>
        <v/>
      </c>
      <c r="C853" s="10" t="str">
        <f>_xlfn.IFNA(VLOOKUP(B853,Phase1!A$4:C$129,3,FALSE),"")</f>
        <v/>
      </c>
      <c r="D853" s="10" t="str">
        <f>_xlfn.IFNA(VLOOKUP($A853,CompChecksTrans!$A:$C,3,FALSE), "     ")</f>
        <v xml:space="preserve">     </v>
      </c>
    </row>
    <row r="854" spans="1:4" x14ac:dyDescent="0.25">
      <c r="A854" s="12" t="s">
        <v>5165</v>
      </c>
      <c r="B854" s="10" t="str">
        <f>_xlfn.IFNA(VLOOKUP($A854,CompChecksTrans!$A:$C,2,FALSE), "")</f>
        <v/>
      </c>
      <c r="C854" s="10" t="str">
        <f>_xlfn.IFNA(VLOOKUP(B854,Phase1!A$4:C$129,3,FALSE),"")</f>
        <v/>
      </c>
      <c r="D854" s="10" t="str">
        <f>_xlfn.IFNA(VLOOKUP($A854,CompChecksTrans!$A:$C,3,FALSE), "     ")</f>
        <v xml:space="preserve">     </v>
      </c>
    </row>
    <row r="855" spans="1:4" x14ac:dyDescent="0.25">
      <c r="A855" s="12" t="s">
        <v>5166</v>
      </c>
      <c r="B855" s="10" t="str">
        <f>_xlfn.IFNA(VLOOKUP($A855,CompChecksTrans!$A:$C,2,FALSE), "")</f>
        <v/>
      </c>
      <c r="C855" s="10" t="str">
        <f>_xlfn.IFNA(VLOOKUP(B855,Phase1!A$4:C$129,3,FALSE),"")</f>
        <v/>
      </c>
      <c r="D855" s="10" t="str">
        <f>_xlfn.IFNA(VLOOKUP($A855,CompChecksTrans!$A:$C,3,FALSE), "     ")</f>
        <v xml:space="preserve">     </v>
      </c>
    </row>
    <row r="856" spans="1:4" x14ac:dyDescent="0.25">
      <c r="A856" s="12" t="s">
        <v>5167</v>
      </c>
      <c r="B856" s="10" t="str">
        <f>_xlfn.IFNA(VLOOKUP($A856,CompChecksTrans!$A:$C,2,FALSE), "")</f>
        <v/>
      </c>
      <c r="C856" s="10" t="str">
        <f>_xlfn.IFNA(VLOOKUP(B856,Phase1!A$4:C$129,3,FALSE),"")</f>
        <v/>
      </c>
      <c r="D856" s="10" t="str">
        <f>_xlfn.IFNA(VLOOKUP($A856,CompChecksTrans!$A:$C,3,FALSE), "     ")</f>
        <v xml:space="preserve">     </v>
      </c>
    </row>
    <row r="857" spans="1:4" x14ac:dyDescent="0.25">
      <c r="A857" s="12" t="s">
        <v>5168</v>
      </c>
      <c r="B857" s="10" t="str">
        <f>_xlfn.IFNA(VLOOKUP($A857,CompChecksTrans!$A:$C,2,FALSE), "")</f>
        <v/>
      </c>
      <c r="C857" s="10" t="str">
        <f>_xlfn.IFNA(VLOOKUP(B857,Phase1!A$4:C$129,3,FALSE),"")</f>
        <v/>
      </c>
      <c r="D857" s="10" t="str">
        <f>_xlfn.IFNA(VLOOKUP($A857,CompChecksTrans!$A:$C,3,FALSE), "     ")</f>
        <v xml:space="preserve">     </v>
      </c>
    </row>
    <row r="858" spans="1:4" x14ac:dyDescent="0.25">
      <c r="A858" s="12" t="s">
        <v>5169</v>
      </c>
      <c r="B858" s="10" t="str">
        <f>_xlfn.IFNA(VLOOKUP($A858,CompChecksTrans!$A:$C,2,FALSE), "")</f>
        <v/>
      </c>
      <c r="C858" s="10" t="str">
        <f>_xlfn.IFNA(VLOOKUP(B858,Phase1!A$4:C$129,3,FALSE),"")</f>
        <v/>
      </c>
      <c r="D858" s="10" t="str">
        <f>_xlfn.IFNA(VLOOKUP($A858,CompChecksTrans!$A:$C,3,FALSE), "     ")</f>
        <v xml:space="preserve">     </v>
      </c>
    </row>
    <row r="859" spans="1:4" x14ac:dyDescent="0.25">
      <c r="A859" s="12" t="s">
        <v>5170</v>
      </c>
      <c r="B859" s="10" t="str">
        <f>_xlfn.IFNA(VLOOKUP($A859,CompChecksTrans!$A:$C,2,FALSE), "")</f>
        <v/>
      </c>
      <c r="C859" s="10" t="str">
        <f>_xlfn.IFNA(VLOOKUP(B859,Phase1!A$4:C$129,3,FALSE),"")</f>
        <v/>
      </c>
      <c r="D859" s="10" t="str">
        <f>_xlfn.IFNA(VLOOKUP($A859,CompChecksTrans!$A:$C,3,FALSE), "     ")</f>
        <v xml:space="preserve">     </v>
      </c>
    </row>
    <row r="860" spans="1:4" x14ac:dyDescent="0.25">
      <c r="A860" s="12" t="s">
        <v>5171</v>
      </c>
      <c r="B860" s="10" t="str">
        <f>_xlfn.IFNA(VLOOKUP($A860,CompChecksTrans!$A:$C,2,FALSE), "")</f>
        <v/>
      </c>
      <c r="C860" s="10" t="str">
        <f>_xlfn.IFNA(VLOOKUP(B860,Phase1!A$4:C$129,3,FALSE),"")</f>
        <v/>
      </c>
      <c r="D860" s="10" t="str">
        <f>_xlfn.IFNA(VLOOKUP($A860,CompChecksTrans!$A:$C,3,FALSE), "     ")</f>
        <v xml:space="preserve">     </v>
      </c>
    </row>
    <row r="861" spans="1:4" x14ac:dyDescent="0.25">
      <c r="A861" s="12" t="s">
        <v>5172</v>
      </c>
      <c r="B861" s="10" t="str">
        <f>_xlfn.IFNA(VLOOKUP($A861,CompChecksTrans!$A:$C,2,FALSE), "")</f>
        <v/>
      </c>
      <c r="C861" s="10" t="str">
        <f>_xlfn.IFNA(VLOOKUP(B861,Phase1!A$4:C$129,3,FALSE),"")</f>
        <v/>
      </c>
      <c r="D861" s="10" t="str">
        <f>_xlfn.IFNA(VLOOKUP($A861,CompChecksTrans!$A:$C,3,FALSE), "     ")</f>
        <v xml:space="preserve">     </v>
      </c>
    </row>
    <row r="862" spans="1:4" x14ac:dyDescent="0.25">
      <c r="A862" s="12" t="s">
        <v>5173</v>
      </c>
      <c r="B862" s="10" t="str">
        <f>_xlfn.IFNA(VLOOKUP($A862,CompChecksTrans!$A:$C,2,FALSE), "")</f>
        <v/>
      </c>
      <c r="C862" s="10" t="str">
        <f>_xlfn.IFNA(VLOOKUP(B862,Phase1!A$4:C$129,3,FALSE),"")</f>
        <v/>
      </c>
      <c r="D862" s="10" t="str">
        <f>_xlfn.IFNA(VLOOKUP($A862,CompChecksTrans!$A:$C,3,FALSE), "     ")</f>
        <v xml:space="preserve">     </v>
      </c>
    </row>
    <row r="863" spans="1:4" x14ac:dyDescent="0.25">
      <c r="A863" s="12" t="s">
        <v>5174</v>
      </c>
      <c r="B863" s="10" t="str">
        <f>_xlfn.IFNA(VLOOKUP($A863,CompChecksTrans!$A:$C,2,FALSE), "")</f>
        <v/>
      </c>
      <c r="C863" s="10" t="str">
        <f>_xlfn.IFNA(VLOOKUP(B863,Phase1!A$4:C$129,3,FALSE),"")</f>
        <v/>
      </c>
      <c r="D863" s="10" t="str">
        <f>_xlfn.IFNA(VLOOKUP($A863,CompChecksTrans!$A:$C,3,FALSE), "     ")</f>
        <v xml:space="preserve">     </v>
      </c>
    </row>
    <row r="864" spans="1:4" x14ac:dyDescent="0.25">
      <c r="A864" s="12" t="s">
        <v>5175</v>
      </c>
      <c r="B864" s="10" t="str">
        <f>_xlfn.IFNA(VLOOKUP($A864,CompChecksTrans!$A:$C,2,FALSE), "")</f>
        <v/>
      </c>
      <c r="C864" s="10" t="str">
        <f>_xlfn.IFNA(VLOOKUP(B864,Phase1!A$4:C$129,3,FALSE),"")</f>
        <v/>
      </c>
      <c r="D864" s="10" t="str">
        <f>_xlfn.IFNA(VLOOKUP($A864,CompChecksTrans!$A:$C,3,FALSE), "     ")</f>
        <v xml:space="preserve">     </v>
      </c>
    </row>
    <row r="865" spans="1:4" x14ac:dyDescent="0.25">
      <c r="A865" s="12" t="s">
        <v>5176</v>
      </c>
      <c r="B865" s="10" t="str">
        <f>_xlfn.IFNA(VLOOKUP($A865,CompChecksTrans!$A:$C,2,FALSE), "")</f>
        <v/>
      </c>
      <c r="C865" s="10" t="str">
        <f>_xlfn.IFNA(VLOOKUP(B865,Phase1!A$4:C$129,3,FALSE),"")</f>
        <v/>
      </c>
      <c r="D865" s="10" t="str">
        <f>_xlfn.IFNA(VLOOKUP($A865,CompChecksTrans!$A:$C,3,FALSE), "     ")</f>
        <v xml:space="preserve">     </v>
      </c>
    </row>
    <row r="866" spans="1:4" x14ac:dyDescent="0.25">
      <c r="A866" s="12" t="s">
        <v>5177</v>
      </c>
      <c r="B866" s="10" t="str">
        <f>_xlfn.IFNA(VLOOKUP($A866,CompChecksTrans!$A:$C,2,FALSE), "")</f>
        <v/>
      </c>
      <c r="C866" s="10" t="str">
        <f>_xlfn.IFNA(VLOOKUP(B866,Phase1!A$4:C$129,3,FALSE),"")</f>
        <v/>
      </c>
      <c r="D866" s="10" t="str">
        <f>_xlfn.IFNA(VLOOKUP($A866,CompChecksTrans!$A:$C,3,FALSE), "     ")</f>
        <v xml:space="preserve">     </v>
      </c>
    </row>
    <row r="867" spans="1:4" x14ac:dyDescent="0.25">
      <c r="A867" s="12" t="s">
        <v>5178</v>
      </c>
      <c r="B867" s="10" t="str">
        <f>_xlfn.IFNA(VLOOKUP($A867,CompChecksTrans!$A:$C,2,FALSE), "")</f>
        <v/>
      </c>
      <c r="C867" s="10" t="str">
        <f>_xlfn.IFNA(VLOOKUP(B867,Phase1!A$4:C$129,3,FALSE),"")</f>
        <v/>
      </c>
      <c r="D867" s="10" t="str">
        <f>_xlfn.IFNA(VLOOKUP($A867,CompChecksTrans!$A:$C,3,FALSE), "     ")</f>
        <v xml:space="preserve">     </v>
      </c>
    </row>
    <row r="868" spans="1:4" x14ac:dyDescent="0.25">
      <c r="A868" s="12" t="s">
        <v>5179</v>
      </c>
      <c r="B868" s="10" t="str">
        <f>_xlfn.IFNA(VLOOKUP($A868,CompChecksTrans!$A:$C,2,FALSE), "")</f>
        <v/>
      </c>
      <c r="C868" s="10" t="str">
        <f>_xlfn.IFNA(VLOOKUP(B868,Phase1!A$4:C$129,3,FALSE),"")</f>
        <v/>
      </c>
      <c r="D868" s="10" t="str">
        <f>_xlfn.IFNA(VLOOKUP($A868,CompChecksTrans!$A:$C,3,FALSE), "     ")</f>
        <v xml:space="preserve">     </v>
      </c>
    </row>
    <row r="869" spans="1:4" x14ac:dyDescent="0.25">
      <c r="A869" s="12" t="s">
        <v>5180</v>
      </c>
      <c r="B869" s="10" t="str">
        <f>_xlfn.IFNA(VLOOKUP($A869,CompChecksTrans!$A:$C,2,FALSE), "")</f>
        <v/>
      </c>
      <c r="C869" s="10" t="str">
        <f>_xlfn.IFNA(VLOOKUP(B869,Phase1!A$4:C$129,3,FALSE),"")</f>
        <v/>
      </c>
      <c r="D869" s="10" t="str">
        <f>_xlfn.IFNA(VLOOKUP($A869,CompChecksTrans!$A:$C,3,FALSE), "     ")</f>
        <v xml:space="preserve">     </v>
      </c>
    </row>
    <row r="870" spans="1:4" x14ac:dyDescent="0.25">
      <c r="A870" s="12" t="s">
        <v>5181</v>
      </c>
      <c r="B870" s="10" t="str">
        <f>_xlfn.IFNA(VLOOKUP($A870,CompChecksTrans!$A:$C,2,FALSE), "")</f>
        <v/>
      </c>
      <c r="C870" s="10" t="str">
        <f>_xlfn.IFNA(VLOOKUP(B870,Phase1!A$4:C$129,3,FALSE),"")</f>
        <v/>
      </c>
      <c r="D870" s="10" t="str">
        <f>_xlfn.IFNA(VLOOKUP($A870,CompChecksTrans!$A:$C,3,FALSE), "     ")</f>
        <v xml:space="preserve">     </v>
      </c>
    </row>
    <row r="871" spans="1:4" x14ac:dyDescent="0.25">
      <c r="A871" s="12" t="s">
        <v>5182</v>
      </c>
      <c r="B871" s="10" t="str">
        <f>_xlfn.IFNA(VLOOKUP($A871,CompChecksTrans!$A:$C,2,FALSE), "")</f>
        <v/>
      </c>
      <c r="C871" s="10" t="str">
        <f>_xlfn.IFNA(VLOOKUP(B871,Phase1!A$4:C$129,3,FALSE),"")</f>
        <v/>
      </c>
      <c r="D871" s="10" t="str">
        <f>_xlfn.IFNA(VLOOKUP($A871,CompChecksTrans!$A:$C,3,FALSE), "     ")</f>
        <v xml:space="preserve">     </v>
      </c>
    </row>
    <row r="872" spans="1:4" x14ac:dyDescent="0.25">
      <c r="A872" s="12" t="s">
        <v>5183</v>
      </c>
      <c r="B872" s="10" t="str">
        <f>_xlfn.IFNA(VLOOKUP($A872,CompChecksTrans!$A:$C,2,FALSE), "")</f>
        <v/>
      </c>
      <c r="C872" s="10" t="str">
        <f>_xlfn.IFNA(VLOOKUP(B872,Phase1!A$4:C$129,3,FALSE),"")</f>
        <v/>
      </c>
      <c r="D872" s="10" t="str">
        <f>_xlfn.IFNA(VLOOKUP($A872,CompChecksTrans!$A:$C,3,FALSE), "     ")</f>
        <v xml:space="preserve">     </v>
      </c>
    </row>
    <row r="873" spans="1:4" x14ac:dyDescent="0.25">
      <c r="A873" s="12" t="s">
        <v>5184</v>
      </c>
      <c r="B873" s="10" t="str">
        <f>_xlfn.IFNA(VLOOKUP($A873,CompChecksTrans!$A:$C,2,FALSE), "")</f>
        <v/>
      </c>
      <c r="C873" s="10" t="str">
        <f>_xlfn.IFNA(VLOOKUP(B873,Phase1!A$4:C$129,3,FALSE),"")</f>
        <v/>
      </c>
      <c r="D873" s="10" t="str">
        <f>_xlfn.IFNA(VLOOKUP($A873,CompChecksTrans!$A:$C,3,FALSE), "     ")</f>
        <v xml:space="preserve">     </v>
      </c>
    </row>
    <row r="874" spans="1:4" x14ac:dyDescent="0.25">
      <c r="A874" s="12" t="s">
        <v>5185</v>
      </c>
      <c r="B874" s="10" t="str">
        <f>_xlfn.IFNA(VLOOKUP($A874,CompChecksTrans!$A:$C,2,FALSE), "")</f>
        <v/>
      </c>
      <c r="C874" s="10" t="str">
        <f>_xlfn.IFNA(VLOOKUP(B874,Phase1!A$4:C$129,3,FALSE),"")</f>
        <v/>
      </c>
      <c r="D874" s="10" t="str">
        <f>_xlfn.IFNA(VLOOKUP($A874,CompChecksTrans!$A:$C,3,FALSE), "     ")</f>
        <v xml:space="preserve">     </v>
      </c>
    </row>
    <row r="875" spans="1:4" x14ac:dyDescent="0.25">
      <c r="A875" s="12" t="s">
        <v>5186</v>
      </c>
      <c r="B875" s="10" t="str">
        <f>_xlfn.IFNA(VLOOKUP($A875,CompChecksTrans!$A:$C,2,FALSE), "")</f>
        <v/>
      </c>
      <c r="C875" s="10" t="str">
        <f>_xlfn.IFNA(VLOOKUP(B875,Phase1!A$4:C$129,3,FALSE),"")</f>
        <v/>
      </c>
      <c r="D875" s="10" t="str">
        <f>_xlfn.IFNA(VLOOKUP($A875,CompChecksTrans!$A:$C,3,FALSE), "     ")</f>
        <v xml:space="preserve">     </v>
      </c>
    </row>
    <row r="876" spans="1:4" x14ac:dyDescent="0.25">
      <c r="A876" s="12" t="s">
        <v>5187</v>
      </c>
      <c r="B876" s="10" t="str">
        <f>_xlfn.IFNA(VLOOKUP($A876,CompChecksTrans!$A:$C,2,FALSE), "")</f>
        <v/>
      </c>
      <c r="C876" s="10" t="str">
        <f>_xlfn.IFNA(VLOOKUP(B876,Phase1!A$4:C$129,3,FALSE),"")</f>
        <v/>
      </c>
      <c r="D876" s="10" t="str">
        <f>_xlfn.IFNA(VLOOKUP($A876,CompChecksTrans!$A:$C,3,FALSE), "     ")</f>
        <v xml:space="preserve">     </v>
      </c>
    </row>
    <row r="877" spans="1:4" x14ac:dyDescent="0.25">
      <c r="A877" s="12" t="s">
        <v>5188</v>
      </c>
      <c r="B877" s="10" t="str">
        <f>_xlfn.IFNA(VLOOKUP($A877,CompChecksTrans!$A:$C,2,FALSE), "")</f>
        <v/>
      </c>
      <c r="C877" s="10" t="str">
        <f>_xlfn.IFNA(VLOOKUP(B877,Phase1!A$4:C$129,3,FALSE),"")</f>
        <v/>
      </c>
      <c r="D877" s="10" t="str">
        <f>_xlfn.IFNA(VLOOKUP($A877,CompChecksTrans!$A:$C,3,FALSE), "     ")</f>
        <v xml:space="preserve">     </v>
      </c>
    </row>
    <row r="878" spans="1:4" x14ac:dyDescent="0.25">
      <c r="A878" s="12" t="s">
        <v>5189</v>
      </c>
      <c r="B878" s="10" t="str">
        <f>_xlfn.IFNA(VLOOKUP($A878,CompChecksTrans!$A:$C,2,FALSE), "")</f>
        <v/>
      </c>
      <c r="C878" s="10" t="str">
        <f>_xlfn.IFNA(VLOOKUP(B878,Phase1!A$4:C$129,3,FALSE),"")</f>
        <v/>
      </c>
      <c r="D878" s="10" t="str">
        <f>_xlfn.IFNA(VLOOKUP($A878,CompChecksTrans!$A:$C,3,FALSE), "     ")</f>
        <v xml:space="preserve">     </v>
      </c>
    </row>
    <row r="879" spans="1:4" x14ac:dyDescent="0.25">
      <c r="A879" s="12" t="s">
        <v>5190</v>
      </c>
      <c r="B879" s="10" t="str">
        <f>_xlfn.IFNA(VLOOKUP($A879,CompChecksTrans!$A:$C,2,FALSE), "")</f>
        <v/>
      </c>
      <c r="C879" s="10" t="str">
        <f>_xlfn.IFNA(VLOOKUP(B879,Phase1!A$4:C$129,3,FALSE),"")</f>
        <v/>
      </c>
      <c r="D879" s="10" t="str">
        <f>_xlfn.IFNA(VLOOKUP($A879,CompChecksTrans!$A:$C,3,FALSE), "     ")</f>
        <v xml:space="preserve">     </v>
      </c>
    </row>
    <row r="880" spans="1:4" x14ac:dyDescent="0.25">
      <c r="A880" s="12" t="s">
        <v>5191</v>
      </c>
      <c r="B880" s="10" t="str">
        <f>_xlfn.IFNA(VLOOKUP($A880,CompChecksTrans!$A:$C,2,FALSE), "")</f>
        <v/>
      </c>
      <c r="C880" s="10" t="str">
        <f>_xlfn.IFNA(VLOOKUP(B880,Phase1!A$4:C$129,3,FALSE),"")</f>
        <v/>
      </c>
      <c r="D880" s="10" t="str">
        <f>_xlfn.IFNA(VLOOKUP($A880,CompChecksTrans!$A:$C,3,FALSE), "     ")</f>
        <v xml:space="preserve">     </v>
      </c>
    </row>
    <row r="881" spans="1:4" x14ac:dyDescent="0.25">
      <c r="A881" s="12" t="s">
        <v>5192</v>
      </c>
      <c r="B881" s="10" t="str">
        <f>_xlfn.IFNA(VLOOKUP($A881,CompChecksTrans!$A:$C,2,FALSE), "")</f>
        <v/>
      </c>
      <c r="C881" s="10" t="str">
        <f>_xlfn.IFNA(VLOOKUP(B881,Phase1!A$4:C$129,3,FALSE),"")</f>
        <v/>
      </c>
      <c r="D881" s="10" t="str">
        <f>_xlfn.IFNA(VLOOKUP($A881,CompChecksTrans!$A:$C,3,FALSE), "     ")</f>
        <v xml:space="preserve">     </v>
      </c>
    </row>
    <row r="882" spans="1:4" x14ac:dyDescent="0.25">
      <c r="A882" s="12" t="s">
        <v>5193</v>
      </c>
      <c r="B882" s="10" t="str">
        <f>_xlfn.IFNA(VLOOKUP($A882,CompChecksTrans!$A:$C,2,FALSE), "")</f>
        <v/>
      </c>
      <c r="C882" s="10" t="str">
        <f>_xlfn.IFNA(VLOOKUP(B882,Phase1!A$4:C$129,3,FALSE),"")</f>
        <v/>
      </c>
      <c r="D882" s="10" t="str">
        <f>_xlfn.IFNA(VLOOKUP($A882,CompChecksTrans!$A:$C,3,FALSE), "     ")</f>
        <v xml:space="preserve">     </v>
      </c>
    </row>
    <row r="883" spans="1:4" x14ac:dyDescent="0.25">
      <c r="A883" s="12" t="s">
        <v>5194</v>
      </c>
      <c r="B883" s="10" t="str">
        <f>_xlfn.IFNA(VLOOKUP($A883,CompChecksTrans!$A:$C,2,FALSE), "")</f>
        <v/>
      </c>
      <c r="C883" s="10" t="str">
        <f>_xlfn.IFNA(VLOOKUP(B883,Phase1!A$4:C$129,3,FALSE),"")</f>
        <v/>
      </c>
      <c r="D883" s="10" t="str">
        <f>_xlfn.IFNA(VLOOKUP($A883,CompChecksTrans!$A:$C,3,FALSE), "     ")</f>
        <v xml:space="preserve">     </v>
      </c>
    </row>
    <row r="884" spans="1:4" x14ac:dyDescent="0.25">
      <c r="A884" s="12" t="s">
        <v>5195</v>
      </c>
      <c r="B884" s="10" t="str">
        <f>_xlfn.IFNA(VLOOKUP($A884,CompChecksTrans!$A:$C,2,FALSE), "")</f>
        <v/>
      </c>
      <c r="C884" s="10" t="str">
        <f>_xlfn.IFNA(VLOOKUP(B884,Phase1!A$4:C$129,3,FALSE),"")</f>
        <v/>
      </c>
      <c r="D884" s="10" t="str">
        <f>_xlfn.IFNA(VLOOKUP($A884,CompChecksTrans!$A:$C,3,FALSE), "     ")</f>
        <v xml:space="preserve">     </v>
      </c>
    </row>
    <row r="885" spans="1:4" x14ac:dyDescent="0.25">
      <c r="A885" s="12" t="s">
        <v>5196</v>
      </c>
      <c r="B885" s="10" t="str">
        <f>_xlfn.IFNA(VLOOKUP($A885,CompChecksTrans!$A:$C,2,FALSE), "")</f>
        <v/>
      </c>
      <c r="C885" s="10" t="str">
        <f>_xlfn.IFNA(VLOOKUP(B885,Phase1!A$4:C$129,3,FALSE),"")</f>
        <v/>
      </c>
      <c r="D885" s="10" t="str">
        <f>_xlfn.IFNA(VLOOKUP($A885,CompChecksTrans!$A:$C,3,FALSE), "     ")</f>
        <v xml:space="preserve">     </v>
      </c>
    </row>
    <row r="886" spans="1:4" x14ac:dyDescent="0.25">
      <c r="A886" s="12" t="s">
        <v>5197</v>
      </c>
      <c r="B886" s="10" t="str">
        <f>_xlfn.IFNA(VLOOKUP($A886,CompChecksTrans!$A:$C,2,FALSE), "")</f>
        <v/>
      </c>
      <c r="C886" s="10" t="str">
        <f>_xlfn.IFNA(VLOOKUP(B886,Phase1!A$4:C$129,3,FALSE),"")</f>
        <v/>
      </c>
      <c r="D886" s="10" t="str">
        <f>_xlfn.IFNA(VLOOKUP($A886,CompChecksTrans!$A:$C,3,FALSE), "     ")</f>
        <v xml:space="preserve">     </v>
      </c>
    </row>
    <row r="887" spans="1:4" x14ac:dyDescent="0.25">
      <c r="A887" s="12" t="s">
        <v>5198</v>
      </c>
      <c r="B887" s="10" t="str">
        <f>_xlfn.IFNA(VLOOKUP($A887,CompChecksTrans!$A:$C,2,FALSE), "")</f>
        <v/>
      </c>
      <c r="C887" s="10" t="str">
        <f>_xlfn.IFNA(VLOOKUP(B887,Phase1!A$4:C$129,3,FALSE),"")</f>
        <v/>
      </c>
      <c r="D887" s="10" t="str">
        <f>_xlfn.IFNA(VLOOKUP($A887,CompChecksTrans!$A:$C,3,FALSE), "     ")</f>
        <v xml:space="preserve">     </v>
      </c>
    </row>
    <row r="888" spans="1:4" x14ac:dyDescent="0.25">
      <c r="A888" s="12" t="s">
        <v>5199</v>
      </c>
      <c r="B888" s="10" t="str">
        <f>_xlfn.IFNA(VLOOKUP($A888,CompChecksTrans!$A:$C,2,FALSE), "")</f>
        <v/>
      </c>
      <c r="C888" s="10" t="str">
        <f>_xlfn.IFNA(VLOOKUP(B888,Phase1!A$4:C$129,3,FALSE),"")</f>
        <v/>
      </c>
      <c r="D888" s="10" t="str">
        <f>_xlfn.IFNA(VLOOKUP($A888,CompChecksTrans!$A:$C,3,FALSE), "     ")</f>
        <v xml:space="preserve">     </v>
      </c>
    </row>
    <row r="889" spans="1:4" x14ac:dyDescent="0.25">
      <c r="A889" s="12" t="s">
        <v>5200</v>
      </c>
      <c r="B889" s="10" t="str">
        <f>_xlfn.IFNA(VLOOKUP($A889,CompChecksTrans!$A:$C,2,FALSE), "")</f>
        <v/>
      </c>
      <c r="C889" s="10" t="str">
        <f>_xlfn.IFNA(VLOOKUP(B889,Phase1!A$4:C$129,3,FALSE),"")</f>
        <v/>
      </c>
      <c r="D889" s="10" t="str">
        <f>_xlfn.IFNA(VLOOKUP($A889,CompChecksTrans!$A:$C,3,FALSE), "     ")</f>
        <v xml:space="preserve">     </v>
      </c>
    </row>
    <row r="890" spans="1:4" x14ac:dyDescent="0.25">
      <c r="A890" s="12" t="s">
        <v>5201</v>
      </c>
      <c r="B890" s="10" t="str">
        <f>_xlfn.IFNA(VLOOKUP($A890,CompChecksTrans!$A:$C,2,FALSE), "")</f>
        <v/>
      </c>
      <c r="C890" s="10" t="str">
        <f>_xlfn.IFNA(VLOOKUP(B890,Phase1!A$4:C$129,3,FALSE),"")</f>
        <v/>
      </c>
      <c r="D890" s="10" t="str">
        <f>_xlfn.IFNA(VLOOKUP($A890,CompChecksTrans!$A:$C,3,FALSE), "     ")</f>
        <v xml:space="preserve">     </v>
      </c>
    </row>
    <row r="891" spans="1:4" x14ac:dyDescent="0.25">
      <c r="A891" s="12" t="s">
        <v>5202</v>
      </c>
      <c r="B891" s="10" t="str">
        <f>_xlfn.IFNA(VLOOKUP($A891,CompChecksTrans!$A:$C,2,FALSE), "")</f>
        <v/>
      </c>
      <c r="C891" s="10" t="str">
        <f>_xlfn.IFNA(VLOOKUP(B891,Phase1!A$4:C$129,3,FALSE),"")</f>
        <v/>
      </c>
      <c r="D891" s="10" t="str">
        <f>_xlfn.IFNA(VLOOKUP($A891,CompChecksTrans!$A:$C,3,FALSE), "     ")</f>
        <v xml:space="preserve">     </v>
      </c>
    </row>
    <row r="892" spans="1:4" x14ac:dyDescent="0.25">
      <c r="A892" s="12" t="s">
        <v>5203</v>
      </c>
      <c r="B892" s="10" t="str">
        <f>_xlfn.IFNA(VLOOKUP($A892,CompChecksTrans!$A:$C,2,FALSE), "")</f>
        <v/>
      </c>
      <c r="C892" s="10" t="str">
        <f>_xlfn.IFNA(VLOOKUP(B892,Phase1!A$4:C$129,3,FALSE),"")</f>
        <v/>
      </c>
      <c r="D892" s="10" t="str">
        <f>_xlfn.IFNA(VLOOKUP($A892,CompChecksTrans!$A:$C,3,FALSE), "     ")</f>
        <v xml:space="preserve">     </v>
      </c>
    </row>
    <row r="893" spans="1:4" x14ac:dyDescent="0.25">
      <c r="A893" s="12" t="s">
        <v>5204</v>
      </c>
      <c r="B893" s="10" t="str">
        <f>_xlfn.IFNA(VLOOKUP($A893,CompChecksTrans!$A:$C,2,FALSE), "")</f>
        <v/>
      </c>
      <c r="C893" s="10" t="str">
        <f>_xlfn.IFNA(VLOOKUP(B893,Phase1!A$4:C$129,3,FALSE),"")</f>
        <v/>
      </c>
      <c r="D893" s="10" t="str">
        <f>_xlfn.IFNA(VLOOKUP($A893,CompChecksTrans!$A:$C,3,FALSE), "     ")</f>
        <v xml:space="preserve">     </v>
      </c>
    </row>
    <row r="894" spans="1:4" x14ac:dyDescent="0.25">
      <c r="A894" s="12" t="s">
        <v>5205</v>
      </c>
      <c r="B894" s="10" t="str">
        <f>_xlfn.IFNA(VLOOKUP($A894,CompChecksTrans!$A:$C,2,FALSE), "")</f>
        <v/>
      </c>
      <c r="C894" s="10" t="str">
        <f>_xlfn.IFNA(VLOOKUP(B894,Phase1!A$4:C$129,3,FALSE),"")</f>
        <v/>
      </c>
      <c r="D894" s="10" t="str">
        <f>_xlfn.IFNA(VLOOKUP($A894,CompChecksTrans!$A:$C,3,FALSE), "     ")</f>
        <v xml:space="preserve">     </v>
      </c>
    </row>
    <row r="895" spans="1:4" x14ac:dyDescent="0.25">
      <c r="A895" s="12" t="s">
        <v>5206</v>
      </c>
      <c r="B895" s="10" t="str">
        <f>_xlfn.IFNA(VLOOKUP($A895,CompChecksTrans!$A:$C,2,FALSE), "")</f>
        <v/>
      </c>
      <c r="C895" s="10" t="str">
        <f>_xlfn.IFNA(VLOOKUP(B895,Phase1!A$4:C$129,3,FALSE),"")</f>
        <v/>
      </c>
      <c r="D895" s="10" t="str">
        <f>_xlfn.IFNA(VLOOKUP($A895,CompChecksTrans!$A:$C,3,FALSE), "     ")</f>
        <v xml:space="preserve">     </v>
      </c>
    </row>
    <row r="896" spans="1:4" x14ac:dyDescent="0.25">
      <c r="A896" s="12" t="s">
        <v>5207</v>
      </c>
      <c r="B896" s="10" t="str">
        <f>_xlfn.IFNA(VLOOKUP($A896,CompChecksTrans!$A:$C,2,FALSE), "")</f>
        <v/>
      </c>
      <c r="C896" s="10" t="str">
        <f>_xlfn.IFNA(VLOOKUP(B896,Phase1!A$4:C$129,3,FALSE),"")</f>
        <v/>
      </c>
      <c r="D896" s="10" t="str">
        <f>_xlfn.IFNA(VLOOKUP($A896,CompChecksTrans!$A:$C,3,FALSE), "     ")</f>
        <v xml:space="preserve">     </v>
      </c>
    </row>
    <row r="897" spans="1:4" x14ac:dyDescent="0.25">
      <c r="A897" s="12" t="s">
        <v>5208</v>
      </c>
      <c r="B897" s="10" t="str">
        <f>_xlfn.IFNA(VLOOKUP($A897,CompChecksTrans!$A:$C,2,FALSE), "")</f>
        <v/>
      </c>
      <c r="C897" s="10" t="str">
        <f>_xlfn.IFNA(VLOOKUP(B897,Phase1!A$4:C$129,3,FALSE),"")</f>
        <v/>
      </c>
      <c r="D897" s="10" t="str">
        <f>_xlfn.IFNA(VLOOKUP($A897,CompChecksTrans!$A:$C,3,FALSE), "     ")</f>
        <v xml:space="preserve">     </v>
      </c>
    </row>
    <row r="898" spans="1:4" x14ac:dyDescent="0.25">
      <c r="A898" s="12" t="s">
        <v>5209</v>
      </c>
      <c r="B898" s="10" t="str">
        <f>_xlfn.IFNA(VLOOKUP($A898,CompChecksTrans!$A:$C,2,FALSE), "")</f>
        <v/>
      </c>
      <c r="C898" s="10" t="str">
        <f>_xlfn.IFNA(VLOOKUP(B898,Phase1!A$4:C$129,3,FALSE),"")</f>
        <v/>
      </c>
      <c r="D898" s="10" t="str">
        <f>_xlfn.IFNA(VLOOKUP($A898,CompChecksTrans!$A:$C,3,FALSE), "     ")</f>
        <v xml:space="preserve">     </v>
      </c>
    </row>
    <row r="899" spans="1:4" x14ac:dyDescent="0.25">
      <c r="A899" s="12" t="s">
        <v>5210</v>
      </c>
      <c r="B899" s="10" t="str">
        <f>_xlfn.IFNA(VLOOKUP($A899,CompChecksTrans!$A:$C,2,FALSE), "")</f>
        <v/>
      </c>
      <c r="C899" s="10" t="str">
        <f>_xlfn.IFNA(VLOOKUP(B899,Phase1!A$4:C$129,3,FALSE),"")</f>
        <v/>
      </c>
      <c r="D899" s="10" t="str">
        <f>_xlfn.IFNA(VLOOKUP($A899,CompChecksTrans!$A:$C,3,FALSE), "     ")</f>
        <v xml:space="preserve">     </v>
      </c>
    </row>
    <row r="900" spans="1:4" x14ac:dyDescent="0.25">
      <c r="A900" s="12" t="s">
        <v>5211</v>
      </c>
      <c r="B900" s="10" t="str">
        <f>_xlfn.IFNA(VLOOKUP($A900,CompChecksTrans!$A:$C,2,FALSE), "")</f>
        <v/>
      </c>
      <c r="C900" s="10" t="str">
        <f>_xlfn.IFNA(VLOOKUP(B900,Phase1!A$4:C$129,3,FALSE),"")</f>
        <v/>
      </c>
      <c r="D900" s="10" t="str">
        <f>_xlfn.IFNA(VLOOKUP($A900,CompChecksTrans!$A:$C,3,FALSE), "     ")</f>
        <v xml:space="preserve">     </v>
      </c>
    </row>
    <row r="901" spans="1:4" x14ac:dyDescent="0.25">
      <c r="A901" s="12" t="s">
        <v>5212</v>
      </c>
      <c r="B901" s="10" t="str">
        <f>_xlfn.IFNA(VLOOKUP($A901,CompChecksTrans!$A:$C,2,FALSE), "")</f>
        <v/>
      </c>
      <c r="C901" s="10" t="str">
        <f>_xlfn.IFNA(VLOOKUP(B901,Phase1!A$4:C$129,3,FALSE),"")</f>
        <v/>
      </c>
      <c r="D901" s="10" t="str">
        <f>_xlfn.IFNA(VLOOKUP($A901,CompChecksTrans!$A:$C,3,FALSE), "     ")</f>
        <v xml:space="preserve">     </v>
      </c>
    </row>
    <row r="902" spans="1:4" x14ac:dyDescent="0.25">
      <c r="A902" s="12" t="s">
        <v>5213</v>
      </c>
      <c r="B902" s="10" t="str">
        <f>_xlfn.IFNA(VLOOKUP($A902,CompChecksTrans!$A:$C,2,FALSE), "")</f>
        <v/>
      </c>
      <c r="C902" s="10" t="str">
        <f>_xlfn.IFNA(VLOOKUP(B902,Phase1!A$4:C$129,3,FALSE),"")</f>
        <v/>
      </c>
      <c r="D902" s="10" t="str">
        <f>_xlfn.IFNA(VLOOKUP($A902,CompChecksTrans!$A:$C,3,FALSE), "     ")</f>
        <v xml:space="preserve">     </v>
      </c>
    </row>
    <row r="903" spans="1:4" x14ac:dyDescent="0.25">
      <c r="A903" s="12" t="s">
        <v>5214</v>
      </c>
      <c r="B903" s="10" t="str">
        <f>_xlfn.IFNA(VLOOKUP($A903,CompChecksTrans!$A:$C,2,FALSE), "")</f>
        <v/>
      </c>
      <c r="C903" s="10" t="str">
        <f>_xlfn.IFNA(VLOOKUP(B903,Phase1!A$4:C$129,3,FALSE),"")</f>
        <v/>
      </c>
      <c r="D903" s="10" t="str">
        <f>_xlfn.IFNA(VLOOKUP($A903,CompChecksTrans!$A:$C,3,FALSE), "     ")</f>
        <v xml:space="preserve">     </v>
      </c>
    </row>
    <row r="904" spans="1:4" x14ac:dyDescent="0.25">
      <c r="A904" s="12" t="s">
        <v>5215</v>
      </c>
      <c r="B904" s="10" t="str">
        <f>_xlfn.IFNA(VLOOKUP($A904,CompChecksTrans!$A:$C,2,FALSE), "")</f>
        <v/>
      </c>
      <c r="C904" s="10" t="str">
        <f>_xlfn.IFNA(VLOOKUP(B904,Phase1!A$4:C$129,3,FALSE),"")</f>
        <v/>
      </c>
      <c r="D904" s="10" t="str">
        <f>_xlfn.IFNA(VLOOKUP($A904,CompChecksTrans!$A:$C,3,FALSE), "     ")</f>
        <v xml:space="preserve">     </v>
      </c>
    </row>
    <row r="905" spans="1:4" x14ac:dyDescent="0.25">
      <c r="A905" s="12" t="s">
        <v>5216</v>
      </c>
      <c r="B905" s="10" t="str">
        <f>_xlfn.IFNA(VLOOKUP($A905,CompChecksTrans!$A:$C,2,FALSE), "")</f>
        <v/>
      </c>
      <c r="C905" s="10" t="str">
        <f>_xlfn.IFNA(VLOOKUP(B905,Phase1!A$4:C$129,3,FALSE),"")</f>
        <v/>
      </c>
      <c r="D905" s="10" t="str">
        <f>_xlfn.IFNA(VLOOKUP($A905,CompChecksTrans!$A:$C,3,FALSE), "     ")</f>
        <v xml:space="preserve">     </v>
      </c>
    </row>
    <row r="906" spans="1:4" x14ac:dyDescent="0.25">
      <c r="A906" s="12" t="s">
        <v>5217</v>
      </c>
      <c r="B906" s="10" t="str">
        <f>_xlfn.IFNA(VLOOKUP($A906,CompChecksTrans!$A:$C,2,FALSE), "")</f>
        <v/>
      </c>
      <c r="C906" s="10" t="str">
        <f>_xlfn.IFNA(VLOOKUP(B906,Phase1!A$4:C$129,3,FALSE),"")</f>
        <v/>
      </c>
      <c r="D906" s="10" t="str">
        <f>_xlfn.IFNA(VLOOKUP($A906,CompChecksTrans!$A:$C,3,FALSE), "     ")</f>
        <v xml:space="preserve">     </v>
      </c>
    </row>
    <row r="907" spans="1:4" x14ac:dyDescent="0.25">
      <c r="A907" s="12" t="s">
        <v>5218</v>
      </c>
      <c r="B907" s="10" t="str">
        <f>_xlfn.IFNA(VLOOKUP($A907,CompChecksTrans!$A:$C,2,FALSE), "")</f>
        <v/>
      </c>
      <c r="C907" s="10" t="str">
        <f>_xlfn.IFNA(VLOOKUP(B907,Phase1!A$4:C$129,3,FALSE),"")</f>
        <v/>
      </c>
      <c r="D907" s="10" t="str">
        <f>_xlfn.IFNA(VLOOKUP($A907,CompChecksTrans!$A:$C,3,FALSE), "     ")</f>
        <v xml:space="preserve">     </v>
      </c>
    </row>
    <row r="908" spans="1:4" x14ac:dyDescent="0.25">
      <c r="A908" s="12" t="s">
        <v>5219</v>
      </c>
      <c r="B908" s="10" t="str">
        <f>_xlfn.IFNA(VLOOKUP($A908,CompChecksTrans!$A:$C,2,FALSE), "")</f>
        <v/>
      </c>
      <c r="C908" s="10" t="str">
        <f>_xlfn.IFNA(VLOOKUP(B908,Phase1!A$4:C$129,3,FALSE),"")</f>
        <v/>
      </c>
      <c r="D908" s="10" t="str">
        <f>_xlfn.IFNA(VLOOKUP($A908,CompChecksTrans!$A:$C,3,FALSE), "     ")</f>
        <v xml:space="preserve">     </v>
      </c>
    </row>
    <row r="909" spans="1:4" x14ac:dyDescent="0.25">
      <c r="A909" s="12" t="s">
        <v>5220</v>
      </c>
      <c r="B909" s="10" t="str">
        <f>_xlfn.IFNA(VLOOKUP($A909,CompChecksTrans!$A:$C,2,FALSE), "")</f>
        <v/>
      </c>
      <c r="C909" s="10" t="str">
        <f>_xlfn.IFNA(VLOOKUP(B909,Phase1!A$4:C$129,3,FALSE),"")</f>
        <v/>
      </c>
      <c r="D909" s="10" t="str">
        <f>_xlfn.IFNA(VLOOKUP($A909,CompChecksTrans!$A:$C,3,FALSE), "     ")</f>
        <v xml:space="preserve">     </v>
      </c>
    </row>
    <row r="910" spans="1:4" x14ac:dyDescent="0.25">
      <c r="A910" s="12" t="s">
        <v>5221</v>
      </c>
      <c r="B910" s="10" t="str">
        <f>_xlfn.IFNA(VLOOKUP($A910,CompChecksTrans!$A:$C,2,FALSE), "")</f>
        <v/>
      </c>
      <c r="C910" s="10" t="str">
        <f>_xlfn.IFNA(VLOOKUP(B910,Phase1!A$4:C$129,3,FALSE),"")</f>
        <v/>
      </c>
      <c r="D910" s="10" t="str">
        <f>_xlfn.IFNA(VLOOKUP($A910,CompChecksTrans!$A:$C,3,FALSE), "     ")</f>
        <v xml:space="preserve">     </v>
      </c>
    </row>
    <row r="911" spans="1:4" x14ac:dyDescent="0.25">
      <c r="A911" s="12" t="s">
        <v>5222</v>
      </c>
      <c r="B911" s="10" t="str">
        <f>_xlfn.IFNA(VLOOKUP($A911,CompChecksTrans!$A:$C,2,FALSE), "")</f>
        <v/>
      </c>
      <c r="C911" s="10" t="str">
        <f>_xlfn.IFNA(VLOOKUP(B911,Phase1!A$4:C$129,3,FALSE),"")</f>
        <v/>
      </c>
      <c r="D911" s="10" t="str">
        <f>_xlfn.IFNA(VLOOKUP($A911,CompChecksTrans!$A:$C,3,FALSE), "     ")</f>
        <v xml:space="preserve">     </v>
      </c>
    </row>
    <row r="912" spans="1:4" x14ac:dyDescent="0.25">
      <c r="A912" s="12" t="s">
        <v>5223</v>
      </c>
      <c r="B912" s="10" t="str">
        <f>_xlfn.IFNA(VLOOKUP($A912,CompChecksTrans!$A:$C,2,FALSE), "")</f>
        <v/>
      </c>
      <c r="C912" s="10" t="str">
        <f>_xlfn.IFNA(VLOOKUP(B912,Phase1!A$4:C$129,3,FALSE),"")</f>
        <v/>
      </c>
      <c r="D912" s="10" t="str">
        <f>_xlfn.IFNA(VLOOKUP($A912,CompChecksTrans!$A:$C,3,FALSE), "     ")</f>
        <v xml:space="preserve">     </v>
      </c>
    </row>
    <row r="913" spans="1:4" x14ac:dyDescent="0.25">
      <c r="A913" s="12" t="s">
        <v>5224</v>
      </c>
      <c r="B913" s="10" t="str">
        <f>_xlfn.IFNA(VLOOKUP($A913,CompChecksTrans!$A:$C,2,FALSE), "")</f>
        <v/>
      </c>
      <c r="C913" s="10" t="str">
        <f>_xlfn.IFNA(VLOOKUP(B913,Phase1!A$4:C$129,3,FALSE),"")</f>
        <v/>
      </c>
      <c r="D913" s="10" t="str">
        <f>_xlfn.IFNA(VLOOKUP($A913,CompChecksTrans!$A:$C,3,FALSE), "     ")</f>
        <v xml:space="preserve">     </v>
      </c>
    </row>
    <row r="914" spans="1:4" x14ac:dyDescent="0.25">
      <c r="A914" s="12" t="s">
        <v>5225</v>
      </c>
      <c r="B914" s="10" t="str">
        <f>_xlfn.IFNA(VLOOKUP($A914,CompChecksTrans!$A:$C,2,FALSE), "")</f>
        <v/>
      </c>
      <c r="C914" s="10" t="str">
        <f>_xlfn.IFNA(VLOOKUP(B914,Phase1!A$4:C$129,3,FALSE),"")</f>
        <v/>
      </c>
      <c r="D914" s="10" t="str">
        <f>_xlfn.IFNA(VLOOKUP($A914,CompChecksTrans!$A:$C,3,FALSE), "     ")</f>
        <v xml:space="preserve">     </v>
      </c>
    </row>
    <row r="915" spans="1:4" x14ac:dyDescent="0.25">
      <c r="A915" s="12" t="s">
        <v>5226</v>
      </c>
      <c r="B915" s="10" t="str">
        <f>_xlfn.IFNA(VLOOKUP($A915,CompChecksTrans!$A:$C,2,FALSE), "")</f>
        <v/>
      </c>
      <c r="C915" s="10" t="str">
        <f>_xlfn.IFNA(VLOOKUP(B915,Phase1!A$4:C$129,3,FALSE),"")</f>
        <v/>
      </c>
      <c r="D915" s="10" t="str">
        <f>_xlfn.IFNA(VLOOKUP($A915,CompChecksTrans!$A:$C,3,FALSE), "     ")</f>
        <v xml:space="preserve">     </v>
      </c>
    </row>
    <row r="916" spans="1:4" x14ac:dyDescent="0.25">
      <c r="A916" s="12" t="s">
        <v>5227</v>
      </c>
      <c r="B916" s="10" t="str">
        <f>_xlfn.IFNA(VLOOKUP($A916,CompChecksTrans!$A:$C,2,FALSE), "")</f>
        <v/>
      </c>
      <c r="C916" s="10" t="str">
        <f>_xlfn.IFNA(VLOOKUP(B916,Phase1!A$4:C$129,3,FALSE),"")</f>
        <v/>
      </c>
      <c r="D916" s="10" t="str">
        <f>_xlfn.IFNA(VLOOKUP($A916,CompChecksTrans!$A:$C,3,FALSE), "     ")</f>
        <v xml:space="preserve">     </v>
      </c>
    </row>
    <row r="917" spans="1:4" x14ac:dyDescent="0.25">
      <c r="A917" s="12" t="s">
        <v>5228</v>
      </c>
      <c r="B917" s="10" t="str">
        <f>_xlfn.IFNA(VLOOKUP($A917,CompChecksTrans!$A:$C,2,FALSE), "")</f>
        <v/>
      </c>
      <c r="C917" s="10" t="str">
        <f>_xlfn.IFNA(VLOOKUP(B917,Phase1!A$4:C$129,3,FALSE),"")</f>
        <v/>
      </c>
      <c r="D917" s="10" t="str">
        <f>_xlfn.IFNA(VLOOKUP($A917,CompChecksTrans!$A:$C,3,FALSE), "     ")</f>
        <v xml:space="preserve">     </v>
      </c>
    </row>
    <row r="918" spans="1:4" x14ac:dyDescent="0.25">
      <c r="A918" s="12" t="s">
        <v>5229</v>
      </c>
      <c r="B918" s="10" t="str">
        <f>_xlfn.IFNA(VLOOKUP($A918,CompChecksTrans!$A:$C,2,FALSE), "")</f>
        <v/>
      </c>
      <c r="C918" s="10" t="str">
        <f>_xlfn.IFNA(VLOOKUP(B918,Phase1!A$4:C$129,3,FALSE),"")</f>
        <v/>
      </c>
      <c r="D918" s="10" t="str">
        <f>_xlfn.IFNA(VLOOKUP($A918,CompChecksTrans!$A:$C,3,FALSE), "     ")</f>
        <v xml:space="preserve">     </v>
      </c>
    </row>
    <row r="919" spans="1:4" x14ac:dyDescent="0.25">
      <c r="A919" s="12" t="s">
        <v>5230</v>
      </c>
      <c r="B919" s="10" t="str">
        <f>_xlfn.IFNA(VLOOKUP($A919,CompChecksTrans!$A:$C,2,FALSE), "")</f>
        <v/>
      </c>
      <c r="C919" s="10" t="str">
        <f>_xlfn.IFNA(VLOOKUP(B919,Phase1!A$4:C$129,3,FALSE),"")</f>
        <v/>
      </c>
      <c r="D919" s="10" t="str">
        <f>_xlfn.IFNA(VLOOKUP($A919,CompChecksTrans!$A:$C,3,FALSE), "     ")</f>
        <v xml:space="preserve">     </v>
      </c>
    </row>
    <row r="920" spans="1:4" x14ac:dyDescent="0.25">
      <c r="A920" s="12" t="s">
        <v>5231</v>
      </c>
      <c r="B920" s="10" t="str">
        <f>_xlfn.IFNA(VLOOKUP($A920,CompChecksTrans!$A:$C,2,FALSE), "")</f>
        <v/>
      </c>
      <c r="C920" s="10" t="str">
        <f>_xlfn.IFNA(VLOOKUP(B920,Phase1!A$4:C$129,3,FALSE),"")</f>
        <v/>
      </c>
      <c r="D920" s="10" t="str">
        <f>_xlfn.IFNA(VLOOKUP($A920,CompChecksTrans!$A:$C,3,FALSE), "     ")</f>
        <v xml:space="preserve">     </v>
      </c>
    </row>
    <row r="921" spans="1:4" x14ac:dyDescent="0.25">
      <c r="A921" s="12" t="s">
        <v>5232</v>
      </c>
      <c r="B921" s="10" t="str">
        <f>_xlfn.IFNA(VLOOKUP($A921,CompChecksTrans!$A:$C,2,FALSE), "")</f>
        <v/>
      </c>
      <c r="C921" s="10" t="str">
        <f>_xlfn.IFNA(VLOOKUP(B921,Phase1!A$4:C$129,3,FALSE),"")</f>
        <v/>
      </c>
      <c r="D921" s="10" t="str">
        <f>_xlfn.IFNA(VLOOKUP($A921,CompChecksTrans!$A:$C,3,FALSE), "     ")</f>
        <v xml:space="preserve">     </v>
      </c>
    </row>
    <row r="922" spans="1:4" x14ac:dyDescent="0.25">
      <c r="A922" s="12" t="s">
        <v>5233</v>
      </c>
      <c r="B922" s="10" t="str">
        <f>_xlfn.IFNA(VLOOKUP($A922,CompChecksTrans!$A:$C,2,FALSE), "")</f>
        <v/>
      </c>
      <c r="C922" s="10" t="str">
        <f>_xlfn.IFNA(VLOOKUP(B922,Phase1!A$4:C$129,3,FALSE),"")</f>
        <v/>
      </c>
      <c r="D922" s="10" t="str">
        <f>_xlfn.IFNA(VLOOKUP($A922,CompChecksTrans!$A:$C,3,FALSE), "     ")</f>
        <v xml:space="preserve">     </v>
      </c>
    </row>
    <row r="923" spans="1:4" x14ac:dyDescent="0.25">
      <c r="A923" s="12" t="s">
        <v>5234</v>
      </c>
      <c r="B923" s="10" t="str">
        <f>_xlfn.IFNA(VLOOKUP($A923,CompChecksTrans!$A:$C,2,FALSE), "")</f>
        <v/>
      </c>
      <c r="C923" s="10" t="str">
        <f>_xlfn.IFNA(VLOOKUP(B923,Phase1!A$4:C$129,3,FALSE),"")</f>
        <v/>
      </c>
      <c r="D923" s="10" t="str">
        <f>_xlfn.IFNA(VLOOKUP($A923,CompChecksTrans!$A:$C,3,FALSE), "     ")</f>
        <v xml:space="preserve">     </v>
      </c>
    </row>
    <row r="924" spans="1:4" x14ac:dyDescent="0.25">
      <c r="A924" s="12" t="s">
        <v>5235</v>
      </c>
      <c r="B924" s="10" t="str">
        <f>_xlfn.IFNA(VLOOKUP($A924,CompChecksTrans!$A:$C,2,FALSE), "")</f>
        <v/>
      </c>
      <c r="C924" s="10" t="str">
        <f>_xlfn.IFNA(VLOOKUP(B924,Phase1!A$4:C$129,3,FALSE),"")</f>
        <v/>
      </c>
      <c r="D924" s="10" t="str">
        <f>_xlfn.IFNA(VLOOKUP($A924,CompChecksTrans!$A:$C,3,FALSE), "     ")</f>
        <v xml:space="preserve">     </v>
      </c>
    </row>
    <row r="925" spans="1:4" x14ac:dyDescent="0.25">
      <c r="A925" s="12" t="s">
        <v>5236</v>
      </c>
      <c r="B925" s="10" t="str">
        <f>_xlfn.IFNA(VLOOKUP($A925,CompChecksTrans!$A:$C,2,FALSE), "")</f>
        <v/>
      </c>
      <c r="C925" s="10" t="str">
        <f>_xlfn.IFNA(VLOOKUP(B925,Phase1!A$4:C$129,3,FALSE),"")</f>
        <v/>
      </c>
      <c r="D925" s="10" t="str">
        <f>_xlfn.IFNA(VLOOKUP($A925,CompChecksTrans!$A:$C,3,FALSE), "     ")</f>
        <v xml:space="preserve">     </v>
      </c>
    </row>
    <row r="926" spans="1:4" x14ac:dyDescent="0.25">
      <c r="A926" s="12" t="s">
        <v>5237</v>
      </c>
      <c r="B926" s="10" t="str">
        <f>_xlfn.IFNA(VLOOKUP($A926,CompChecksTrans!$A:$C,2,FALSE), "")</f>
        <v/>
      </c>
      <c r="C926" s="10" t="str">
        <f>_xlfn.IFNA(VLOOKUP(B926,Phase1!A$4:C$129,3,FALSE),"")</f>
        <v/>
      </c>
      <c r="D926" s="10" t="str">
        <f>_xlfn.IFNA(VLOOKUP($A926,CompChecksTrans!$A:$C,3,FALSE), "     ")</f>
        <v xml:space="preserve">     </v>
      </c>
    </row>
    <row r="927" spans="1:4" x14ac:dyDescent="0.25">
      <c r="A927" s="12" t="s">
        <v>5238</v>
      </c>
      <c r="B927" s="10" t="str">
        <f>_xlfn.IFNA(VLOOKUP($A927,CompChecksTrans!$A:$C,2,FALSE), "")</f>
        <v/>
      </c>
      <c r="C927" s="10" t="str">
        <f>_xlfn.IFNA(VLOOKUP(B927,Phase1!A$4:C$129,3,FALSE),"")</f>
        <v/>
      </c>
      <c r="D927" s="10" t="str">
        <f>_xlfn.IFNA(VLOOKUP($A927,CompChecksTrans!$A:$C,3,FALSE), "     ")</f>
        <v xml:space="preserve">     </v>
      </c>
    </row>
    <row r="928" spans="1:4" x14ac:dyDescent="0.25">
      <c r="A928" s="12" t="s">
        <v>5239</v>
      </c>
      <c r="B928" s="10" t="str">
        <f>_xlfn.IFNA(VLOOKUP($A928,CompChecksTrans!$A:$C,2,FALSE), "")</f>
        <v/>
      </c>
      <c r="C928" s="10" t="str">
        <f>_xlfn.IFNA(VLOOKUP(B928,Phase1!A$4:C$129,3,FALSE),"")</f>
        <v/>
      </c>
      <c r="D928" s="10" t="str">
        <f>_xlfn.IFNA(VLOOKUP($A928,CompChecksTrans!$A:$C,3,FALSE), "     ")</f>
        <v xml:space="preserve">     </v>
      </c>
    </row>
    <row r="929" spans="1:4" x14ac:dyDescent="0.25">
      <c r="A929" s="12" t="s">
        <v>5240</v>
      </c>
      <c r="B929" s="10" t="str">
        <f>_xlfn.IFNA(VLOOKUP($A929,CompChecksTrans!$A:$C,2,FALSE), "")</f>
        <v/>
      </c>
      <c r="C929" s="10" t="str">
        <f>_xlfn.IFNA(VLOOKUP(B929,Phase1!A$4:C$129,3,FALSE),"")</f>
        <v/>
      </c>
      <c r="D929" s="10" t="str">
        <f>_xlfn.IFNA(VLOOKUP($A929,CompChecksTrans!$A:$C,3,FALSE), "     ")</f>
        <v xml:space="preserve">     </v>
      </c>
    </row>
    <row r="930" spans="1:4" x14ac:dyDescent="0.25">
      <c r="A930" s="12" t="s">
        <v>5241</v>
      </c>
      <c r="B930" s="10" t="str">
        <f>_xlfn.IFNA(VLOOKUP($A930,CompChecksTrans!$A:$C,2,FALSE), "")</f>
        <v/>
      </c>
      <c r="C930" s="10" t="str">
        <f>_xlfn.IFNA(VLOOKUP(B930,Phase1!A$4:C$129,3,FALSE),"")</f>
        <v/>
      </c>
      <c r="D930" s="10" t="str">
        <f>_xlfn.IFNA(VLOOKUP($A930,CompChecksTrans!$A:$C,3,FALSE), "     ")</f>
        <v xml:space="preserve">     </v>
      </c>
    </row>
    <row r="931" spans="1:4" x14ac:dyDescent="0.25">
      <c r="A931" s="12" t="s">
        <v>5242</v>
      </c>
      <c r="B931" s="10" t="str">
        <f>_xlfn.IFNA(VLOOKUP($A931,CompChecksTrans!$A:$C,2,FALSE), "")</f>
        <v/>
      </c>
      <c r="C931" s="10" t="str">
        <f>_xlfn.IFNA(VLOOKUP(B931,Phase1!A$4:C$129,3,FALSE),"")</f>
        <v/>
      </c>
      <c r="D931" s="10" t="str">
        <f>_xlfn.IFNA(VLOOKUP($A931,CompChecksTrans!$A:$C,3,FALSE), "     ")</f>
        <v xml:space="preserve">     </v>
      </c>
    </row>
    <row r="932" spans="1:4" x14ac:dyDescent="0.25">
      <c r="A932" s="12" t="s">
        <v>5243</v>
      </c>
      <c r="B932" s="10" t="str">
        <f>_xlfn.IFNA(VLOOKUP($A932,CompChecksTrans!$A:$C,2,FALSE), "")</f>
        <v/>
      </c>
      <c r="C932" s="10" t="str">
        <f>_xlfn.IFNA(VLOOKUP(B932,Phase1!A$4:C$129,3,FALSE),"")</f>
        <v/>
      </c>
      <c r="D932" s="10" t="str">
        <f>_xlfn.IFNA(VLOOKUP($A932,CompChecksTrans!$A:$C,3,FALSE), "     ")</f>
        <v xml:space="preserve">     </v>
      </c>
    </row>
    <row r="933" spans="1:4" x14ac:dyDescent="0.25">
      <c r="A933" s="12" t="s">
        <v>5244</v>
      </c>
      <c r="B933" s="10" t="str">
        <f>_xlfn.IFNA(VLOOKUP($A933,CompChecksTrans!$A:$C,2,FALSE), "")</f>
        <v/>
      </c>
      <c r="C933" s="10" t="str">
        <f>_xlfn.IFNA(VLOOKUP(B933,Phase1!A$4:C$129,3,FALSE),"")</f>
        <v/>
      </c>
      <c r="D933" s="10" t="str">
        <f>_xlfn.IFNA(VLOOKUP($A933,CompChecksTrans!$A:$C,3,FALSE), "     ")</f>
        <v xml:space="preserve">     </v>
      </c>
    </row>
    <row r="934" spans="1:4" x14ac:dyDescent="0.25">
      <c r="A934" s="12" t="s">
        <v>5245</v>
      </c>
      <c r="B934" s="10" t="str">
        <f>_xlfn.IFNA(VLOOKUP($A934,CompChecksTrans!$A:$C,2,FALSE), "")</f>
        <v/>
      </c>
      <c r="C934" s="10" t="str">
        <f>_xlfn.IFNA(VLOOKUP(B934,Phase1!A$4:C$129,3,FALSE),"")</f>
        <v/>
      </c>
      <c r="D934" s="10" t="str">
        <f>_xlfn.IFNA(VLOOKUP($A934,CompChecksTrans!$A:$C,3,FALSE), "     ")</f>
        <v xml:space="preserve">     </v>
      </c>
    </row>
    <row r="935" spans="1:4" x14ac:dyDescent="0.25">
      <c r="A935" s="12" t="s">
        <v>5246</v>
      </c>
      <c r="B935" s="10" t="str">
        <f>_xlfn.IFNA(VLOOKUP($A935,CompChecksTrans!$A:$C,2,FALSE), "")</f>
        <v/>
      </c>
      <c r="C935" s="10" t="str">
        <f>_xlfn.IFNA(VLOOKUP(B935,Phase1!A$4:C$129,3,FALSE),"")</f>
        <v/>
      </c>
      <c r="D935" s="10" t="str">
        <f>_xlfn.IFNA(VLOOKUP($A935,CompChecksTrans!$A:$C,3,FALSE), "     ")</f>
        <v xml:space="preserve">     </v>
      </c>
    </row>
    <row r="936" spans="1:4" x14ac:dyDescent="0.25">
      <c r="A936" s="12" t="s">
        <v>5247</v>
      </c>
      <c r="B936" s="10" t="str">
        <f>_xlfn.IFNA(VLOOKUP($A936,CompChecksTrans!$A:$C,2,FALSE), "")</f>
        <v/>
      </c>
      <c r="C936" s="10" t="str">
        <f>_xlfn.IFNA(VLOOKUP(B936,Phase1!A$4:C$129,3,FALSE),"")</f>
        <v/>
      </c>
      <c r="D936" s="10" t="str">
        <f>_xlfn.IFNA(VLOOKUP($A936,CompChecksTrans!$A:$C,3,FALSE), "     ")</f>
        <v xml:space="preserve">     </v>
      </c>
    </row>
    <row r="937" spans="1:4" x14ac:dyDescent="0.25">
      <c r="A937" s="12" t="s">
        <v>5248</v>
      </c>
      <c r="B937" s="10" t="str">
        <f>_xlfn.IFNA(VLOOKUP($A937,CompChecksTrans!$A:$C,2,FALSE), "")</f>
        <v/>
      </c>
      <c r="C937" s="10" t="str">
        <f>_xlfn.IFNA(VLOOKUP(B937,Phase1!A$4:C$129,3,FALSE),"")</f>
        <v/>
      </c>
      <c r="D937" s="10" t="str">
        <f>_xlfn.IFNA(VLOOKUP($A937,CompChecksTrans!$A:$C,3,FALSE), "     ")</f>
        <v xml:space="preserve">     </v>
      </c>
    </row>
    <row r="938" spans="1:4" x14ac:dyDescent="0.25">
      <c r="A938" s="12" t="s">
        <v>5249</v>
      </c>
      <c r="B938" s="10" t="str">
        <f>_xlfn.IFNA(VLOOKUP($A938,CompChecksTrans!$A:$C,2,FALSE), "")</f>
        <v/>
      </c>
      <c r="C938" s="10" t="str">
        <f>_xlfn.IFNA(VLOOKUP(B938,Phase1!A$4:C$129,3,FALSE),"")</f>
        <v/>
      </c>
      <c r="D938" s="10" t="str">
        <f>_xlfn.IFNA(VLOOKUP($A938,CompChecksTrans!$A:$C,3,FALSE), "     ")</f>
        <v xml:space="preserve">     </v>
      </c>
    </row>
    <row r="939" spans="1:4" x14ac:dyDescent="0.25">
      <c r="A939" s="12" t="s">
        <v>5250</v>
      </c>
      <c r="B939" s="10" t="str">
        <f>_xlfn.IFNA(VLOOKUP($A939,CompChecksTrans!$A:$C,2,FALSE), "")</f>
        <v/>
      </c>
      <c r="C939" s="10" t="str">
        <f>_xlfn.IFNA(VLOOKUP(B939,Phase1!A$4:C$129,3,FALSE),"")</f>
        <v/>
      </c>
      <c r="D939" s="10" t="str">
        <f>_xlfn.IFNA(VLOOKUP($A939,CompChecksTrans!$A:$C,3,FALSE), "     ")</f>
        <v xml:space="preserve">     </v>
      </c>
    </row>
    <row r="940" spans="1:4" x14ac:dyDescent="0.25">
      <c r="A940" s="12" t="s">
        <v>5251</v>
      </c>
      <c r="B940" s="10" t="str">
        <f>_xlfn.IFNA(VLOOKUP($A940,CompChecksTrans!$A:$C,2,FALSE), "")</f>
        <v/>
      </c>
      <c r="C940" s="10" t="str">
        <f>_xlfn.IFNA(VLOOKUP(B940,Phase1!A$4:C$129,3,FALSE),"")</f>
        <v/>
      </c>
      <c r="D940" s="10" t="str">
        <f>_xlfn.IFNA(VLOOKUP($A940,CompChecksTrans!$A:$C,3,FALSE), "     ")</f>
        <v xml:space="preserve">     </v>
      </c>
    </row>
    <row r="941" spans="1:4" x14ac:dyDescent="0.25">
      <c r="A941" s="12" t="s">
        <v>5252</v>
      </c>
      <c r="B941" s="10" t="str">
        <f>_xlfn.IFNA(VLOOKUP($A941,CompChecksTrans!$A:$C,2,FALSE), "")</f>
        <v/>
      </c>
      <c r="C941" s="10" t="str">
        <f>_xlfn.IFNA(VLOOKUP(B941,Phase1!A$4:C$129,3,FALSE),"")</f>
        <v/>
      </c>
      <c r="D941" s="10" t="str">
        <f>_xlfn.IFNA(VLOOKUP($A941,CompChecksTrans!$A:$C,3,FALSE), "     ")</f>
        <v xml:space="preserve">     </v>
      </c>
    </row>
    <row r="942" spans="1:4" x14ac:dyDescent="0.25">
      <c r="A942" s="12" t="s">
        <v>5253</v>
      </c>
      <c r="B942" s="10" t="str">
        <f>_xlfn.IFNA(VLOOKUP($A942,CompChecksTrans!$A:$C,2,FALSE), "")</f>
        <v/>
      </c>
      <c r="C942" s="10" t="str">
        <f>_xlfn.IFNA(VLOOKUP(B942,Phase1!A$4:C$129,3,FALSE),"")</f>
        <v/>
      </c>
      <c r="D942" s="10" t="str">
        <f>_xlfn.IFNA(VLOOKUP($A942,CompChecksTrans!$A:$C,3,FALSE), "     ")</f>
        <v xml:space="preserve">     </v>
      </c>
    </row>
    <row r="943" spans="1:4" x14ac:dyDescent="0.25">
      <c r="A943" s="12" t="s">
        <v>5254</v>
      </c>
      <c r="B943" s="10" t="str">
        <f>_xlfn.IFNA(VLOOKUP($A943,CompChecksTrans!$A:$C,2,FALSE), "")</f>
        <v/>
      </c>
      <c r="C943" s="10" t="str">
        <f>_xlfn.IFNA(VLOOKUP(B943,Phase1!A$4:C$129,3,FALSE),"")</f>
        <v/>
      </c>
      <c r="D943" s="10" t="str">
        <f>_xlfn.IFNA(VLOOKUP($A943,CompChecksTrans!$A:$C,3,FALSE), "     ")</f>
        <v xml:space="preserve">     </v>
      </c>
    </row>
    <row r="944" spans="1:4" x14ac:dyDescent="0.25">
      <c r="A944" s="12" t="s">
        <v>5255</v>
      </c>
      <c r="B944" s="10" t="str">
        <f>_xlfn.IFNA(VLOOKUP($A944,CompChecksTrans!$A:$C,2,FALSE), "")</f>
        <v/>
      </c>
      <c r="C944" s="10" t="str">
        <f>_xlfn.IFNA(VLOOKUP(B944,Phase1!A$4:C$129,3,FALSE),"")</f>
        <v/>
      </c>
      <c r="D944" s="10" t="str">
        <f>_xlfn.IFNA(VLOOKUP($A944,CompChecksTrans!$A:$C,3,FALSE), "     ")</f>
        <v xml:space="preserve">     </v>
      </c>
    </row>
    <row r="945" spans="1:4" x14ac:dyDescent="0.25">
      <c r="A945" s="12" t="s">
        <v>5256</v>
      </c>
      <c r="B945" s="10" t="str">
        <f>_xlfn.IFNA(VLOOKUP($A945,CompChecksTrans!$A:$C,2,FALSE), "")</f>
        <v/>
      </c>
      <c r="C945" s="10" t="str">
        <f>_xlfn.IFNA(VLOOKUP(B945,Phase1!A$4:C$129,3,FALSE),"")</f>
        <v/>
      </c>
      <c r="D945" s="10" t="str">
        <f>_xlfn.IFNA(VLOOKUP($A945,CompChecksTrans!$A:$C,3,FALSE), "     ")</f>
        <v xml:space="preserve">     </v>
      </c>
    </row>
    <row r="946" spans="1:4" x14ac:dyDescent="0.25">
      <c r="A946" s="12" t="s">
        <v>5257</v>
      </c>
      <c r="B946" s="10" t="str">
        <f>_xlfn.IFNA(VLOOKUP($A946,CompChecksTrans!$A:$C,2,FALSE), "")</f>
        <v/>
      </c>
      <c r="C946" s="10" t="str">
        <f>_xlfn.IFNA(VLOOKUP(B946,Phase1!A$4:C$129,3,FALSE),"")</f>
        <v/>
      </c>
      <c r="D946" s="10" t="str">
        <f>_xlfn.IFNA(VLOOKUP($A946,CompChecksTrans!$A:$C,3,FALSE), "     ")</f>
        <v xml:space="preserve">     </v>
      </c>
    </row>
    <row r="947" spans="1:4" x14ac:dyDescent="0.25">
      <c r="A947" s="12" t="s">
        <v>5258</v>
      </c>
      <c r="B947" s="10" t="str">
        <f>_xlfn.IFNA(VLOOKUP($A947,CompChecksTrans!$A:$C,2,FALSE), "")</f>
        <v/>
      </c>
      <c r="C947" s="10" t="str">
        <f>_xlfn.IFNA(VLOOKUP(B947,Phase1!A$4:C$129,3,FALSE),"")</f>
        <v/>
      </c>
      <c r="D947" s="10" t="str">
        <f>_xlfn.IFNA(VLOOKUP($A947,CompChecksTrans!$A:$C,3,FALSE), "     ")</f>
        <v xml:space="preserve">     </v>
      </c>
    </row>
    <row r="948" spans="1:4" x14ac:dyDescent="0.25">
      <c r="A948" s="12" t="s">
        <v>5259</v>
      </c>
      <c r="B948" s="10" t="str">
        <f>_xlfn.IFNA(VLOOKUP($A948,CompChecksTrans!$A:$C,2,FALSE), "")</f>
        <v/>
      </c>
      <c r="C948" s="10" t="str">
        <f>_xlfn.IFNA(VLOOKUP(B948,Phase1!A$4:C$129,3,FALSE),"")</f>
        <v/>
      </c>
      <c r="D948" s="10" t="str">
        <f>_xlfn.IFNA(VLOOKUP($A948,CompChecksTrans!$A:$C,3,FALSE), "     ")</f>
        <v xml:space="preserve">     </v>
      </c>
    </row>
    <row r="949" spans="1:4" x14ac:dyDescent="0.25">
      <c r="A949" s="12" t="s">
        <v>5260</v>
      </c>
      <c r="B949" s="10" t="str">
        <f>_xlfn.IFNA(VLOOKUP($A949,CompChecksTrans!$A:$C,2,FALSE), "")</f>
        <v/>
      </c>
      <c r="C949" s="10" t="str">
        <f>_xlfn.IFNA(VLOOKUP(B949,Phase1!A$4:C$129,3,FALSE),"")</f>
        <v/>
      </c>
      <c r="D949" s="10" t="str">
        <f>_xlfn.IFNA(VLOOKUP($A949,CompChecksTrans!$A:$C,3,FALSE), "     ")</f>
        <v xml:space="preserve">     </v>
      </c>
    </row>
    <row r="950" spans="1:4" x14ac:dyDescent="0.25">
      <c r="A950" s="12" t="s">
        <v>5261</v>
      </c>
      <c r="B950" s="10" t="str">
        <f>_xlfn.IFNA(VLOOKUP($A950,CompChecksTrans!$A:$C,2,FALSE), "")</f>
        <v/>
      </c>
      <c r="C950" s="10" t="str">
        <f>_xlfn.IFNA(VLOOKUP(B950,Phase1!A$4:C$129,3,FALSE),"")</f>
        <v/>
      </c>
      <c r="D950" s="10" t="str">
        <f>_xlfn.IFNA(VLOOKUP($A950,CompChecksTrans!$A:$C,3,FALSE), "     ")</f>
        <v xml:space="preserve">     </v>
      </c>
    </row>
    <row r="951" spans="1:4" x14ac:dyDescent="0.25">
      <c r="A951" s="12" t="s">
        <v>5262</v>
      </c>
      <c r="B951" s="10" t="str">
        <f>_xlfn.IFNA(VLOOKUP($A951,CompChecksTrans!$A:$C,2,FALSE), "")</f>
        <v/>
      </c>
      <c r="C951" s="10" t="str">
        <f>_xlfn.IFNA(VLOOKUP(B951,Phase1!A$4:C$129,3,FALSE),"")</f>
        <v/>
      </c>
      <c r="D951" s="10" t="str">
        <f>_xlfn.IFNA(VLOOKUP($A951,CompChecksTrans!$A:$C,3,FALSE), "     ")</f>
        <v xml:space="preserve">     </v>
      </c>
    </row>
    <row r="952" spans="1:4" x14ac:dyDescent="0.25">
      <c r="A952" s="12" t="s">
        <v>5263</v>
      </c>
      <c r="B952" s="10" t="str">
        <f>_xlfn.IFNA(VLOOKUP($A952,CompChecksTrans!$A:$C,2,FALSE), "")</f>
        <v/>
      </c>
      <c r="C952" s="10" t="str">
        <f>_xlfn.IFNA(VLOOKUP(B952,Phase1!A$4:C$129,3,FALSE),"")</f>
        <v/>
      </c>
      <c r="D952" s="10" t="str">
        <f>_xlfn.IFNA(VLOOKUP($A952,CompChecksTrans!$A:$C,3,FALSE), "     ")</f>
        <v xml:space="preserve">     </v>
      </c>
    </row>
    <row r="953" spans="1:4" x14ac:dyDescent="0.25">
      <c r="A953" s="12" t="s">
        <v>5264</v>
      </c>
      <c r="B953" s="10" t="str">
        <f>_xlfn.IFNA(VLOOKUP($A953,CompChecksTrans!$A:$C,2,FALSE), "")</f>
        <v/>
      </c>
      <c r="C953" s="10" t="str">
        <f>_xlfn.IFNA(VLOOKUP(B953,Phase1!A$4:C$129,3,FALSE),"")</f>
        <v/>
      </c>
      <c r="D953" s="10" t="str">
        <f>_xlfn.IFNA(VLOOKUP($A953,CompChecksTrans!$A:$C,3,FALSE), "     ")</f>
        <v xml:space="preserve">     </v>
      </c>
    </row>
    <row r="954" spans="1:4" x14ac:dyDescent="0.25">
      <c r="A954" s="12" t="s">
        <v>5265</v>
      </c>
      <c r="B954" s="10" t="str">
        <f>_xlfn.IFNA(VLOOKUP($A954,CompChecksTrans!$A:$C,2,FALSE), "")</f>
        <v/>
      </c>
      <c r="C954" s="10" t="str">
        <f>_xlfn.IFNA(VLOOKUP(B954,Phase1!A$4:C$129,3,FALSE),"")</f>
        <v/>
      </c>
      <c r="D954" s="10" t="str">
        <f>_xlfn.IFNA(VLOOKUP($A954,CompChecksTrans!$A:$C,3,FALSE), "     ")</f>
        <v xml:space="preserve">     </v>
      </c>
    </row>
    <row r="955" spans="1:4" x14ac:dyDescent="0.25">
      <c r="A955" s="12" t="s">
        <v>5266</v>
      </c>
      <c r="B955" s="10" t="str">
        <f>_xlfn.IFNA(VLOOKUP($A955,CompChecksTrans!$A:$C,2,FALSE), "")</f>
        <v/>
      </c>
      <c r="C955" s="10" t="str">
        <f>_xlfn.IFNA(VLOOKUP(B955,Phase1!A$4:C$129,3,FALSE),"")</f>
        <v/>
      </c>
      <c r="D955" s="10" t="str">
        <f>_xlfn.IFNA(VLOOKUP($A955,CompChecksTrans!$A:$C,3,FALSE), "     ")</f>
        <v xml:space="preserve">     </v>
      </c>
    </row>
    <row r="956" spans="1:4" x14ac:dyDescent="0.25">
      <c r="A956" s="12" t="s">
        <v>5267</v>
      </c>
      <c r="B956" s="10" t="str">
        <f>_xlfn.IFNA(VLOOKUP($A956,CompChecksTrans!$A:$C,2,FALSE), "")</f>
        <v/>
      </c>
      <c r="C956" s="10" t="str">
        <f>_xlfn.IFNA(VLOOKUP(B956,Phase1!A$4:C$129,3,FALSE),"")</f>
        <v/>
      </c>
      <c r="D956" s="10" t="str">
        <f>_xlfn.IFNA(VLOOKUP($A956,CompChecksTrans!$A:$C,3,FALSE), "     ")</f>
        <v xml:space="preserve">     </v>
      </c>
    </row>
    <row r="957" spans="1:4" x14ac:dyDescent="0.25">
      <c r="A957" s="12" t="s">
        <v>5268</v>
      </c>
      <c r="B957" s="10" t="str">
        <f>_xlfn.IFNA(VLOOKUP($A957,CompChecksTrans!$A:$C,2,FALSE), "")</f>
        <v/>
      </c>
      <c r="C957" s="10" t="str">
        <f>_xlfn.IFNA(VLOOKUP(B957,Phase1!A$4:C$129,3,FALSE),"")</f>
        <v/>
      </c>
      <c r="D957" s="10" t="str">
        <f>_xlfn.IFNA(VLOOKUP($A957,CompChecksTrans!$A:$C,3,FALSE), "     ")</f>
        <v xml:space="preserve">     </v>
      </c>
    </row>
    <row r="958" spans="1:4" x14ac:dyDescent="0.25">
      <c r="A958" s="12" t="s">
        <v>5269</v>
      </c>
      <c r="B958" s="10" t="str">
        <f>_xlfn.IFNA(VLOOKUP($A958,CompChecksTrans!$A:$C,2,FALSE), "")</f>
        <v/>
      </c>
      <c r="C958" s="10" t="str">
        <f>_xlfn.IFNA(VLOOKUP(B958,Phase1!A$4:C$129,3,FALSE),"")</f>
        <v/>
      </c>
      <c r="D958" s="10" t="str">
        <f>_xlfn.IFNA(VLOOKUP($A958,CompChecksTrans!$A:$C,3,FALSE), "     ")</f>
        <v xml:space="preserve">     </v>
      </c>
    </row>
    <row r="959" spans="1:4" x14ac:dyDescent="0.25">
      <c r="A959" s="12" t="s">
        <v>5270</v>
      </c>
      <c r="B959" s="10" t="str">
        <f>_xlfn.IFNA(VLOOKUP($A959,CompChecksTrans!$A:$C,2,FALSE), "")</f>
        <v/>
      </c>
      <c r="C959" s="10" t="str">
        <f>_xlfn.IFNA(VLOOKUP(B959,Phase1!A$4:C$129,3,FALSE),"")</f>
        <v/>
      </c>
      <c r="D959" s="10" t="str">
        <f>_xlfn.IFNA(VLOOKUP($A959,CompChecksTrans!$A:$C,3,FALSE), "     ")</f>
        <v xml:space="preserve">     </v>
      </c>
    </row>
    <row r="960" spans="1:4" x14ac:dyDescent="0.25">
      <c r="A960" s="12" t="s">
        <v>5271</v>
      </c>
      <c r="B960" s="10" t="str">
        <f>_xlfn.IFNA(VLOOKUP($A960,CompChecksTrans!$A:$C,2,FALSE), "")</f>
        <v/>
      </c>
      <c r="C960" s="10" t="str">
        <f>_xlfn.IFNA(VLOOKUP(B960,Phase1!A$4:C$129,3,FALSE),"")</f>
        <v/>
      </c>
      <c r="D960" s="10" t="str">
        <f>_xlfn.IFNA(VLOOKUP($A960,CompChecksTrans!$A:$C,3,FALSE), "     ")</f>
        <v xml:space="preserve">     </v>
      </c>
    </row>
    <row r="961" spans="1:4" x14ac:dyDescent="0.25">
      <c r="A961" s="12" t="s">
        <v>5272</v>
      </c>
      <c r="B961" s="10" t="str">
        <f>_xlfn.IFNA(VLOOKUP($A961,CompChecksTrans!$A:$C,2,FALSE), "")</f>
        <v/>
      </c>
      <c r="C961" s="10" t="str">
        <f>_xlfn.IFNA(VLOOKUP(B961,Phase1!A$4:C$129,3,FALSE),"")</f>
        <v/>
      </c>
      <c r="D961" s="10" t="str">
        <f>_xlfn.IFNA(VLOOKUP($A961,CompChecksTrans!$A:$C,3,FALSE), "     ")</f>
        <v xml:space="preserve">     </v>
      </c>
    </row>
    <row r="962" spans="1:4" x14ac:dyDescent="0.25">
      <c r="A962" s="12" t="s">
        <v>5273</v>
      </c>
      <c r="B962" s="10" t="str">
        <f>_xlfn.IFNA(VLOOKUP($A962,CompChecksTrans!$A:$C,2,FALSE), "")</f>
        <v/>
      </c>
      <c r="C962" s="10" t="str">
        <f>_xlfn.IFNA(VLOOKUP(B962,Phase1!A$4:C$129,3,FALSE),"")</f>
        <v/>
      </c>
      <c r="D962" s="10" t="str">
        <f>_xlfn.IFNA(VLOOKUP($A962,CompChecksTrans!$A:$C,3,FALSE), "     ")</f>
        <v xml:space="preserve">     </v>
      </c>
    </row>
    <row r="963" spans="1:4" x14ac:dyDescent="0.25">
      <c r="A963" s="12" t="s">
        <v>5274</v>
      </c>
      <c r="B963" s="10" t="str">
        <f>_xlfn.IFNA(VLOOKUP($A963,CompChecksTrans!$A:$C,2,FALSE), "")</f>
        <v/>
      </c>
      <c r="C963" s="10" t="str">
        <f>_xlfn.IFNA(VLOOKUP(B963,Phase1!A$4:C$129,3,FALSE),"")</f>
        <v/>
      </c>
      <c r="D963" s="10" t="str">
        <f>_xlfn.IFNA(VLOOKUP($A963,CompChecksTrans!$A:$C,3,FALSE), "     ")</f>
        <v xml:space="preserve">     </v>
      </c>
    </row>
    <row r="964" spans="1:4" x14ac:dyDescent="0.25">
      <c r="A964" s="12" t="s">
        <v>5275</v>
      </c>
      <c r="B964" s="10" t="str">
        <f>_xlfn.IFNA(VLOOKUP($A964,CompChecksTrans!$A:$C,2,FALSE), "")</f>
        <v/>
      </c>
      <c r="C964" s="10" t="str">
        <f>_xlfn.IFNA(VLOOKUP(B964,Phase1!A$4:C$129,3,FALSE),"")</f>
        <v/>
      </c>
      <c r="D964" s="10" t="str">
        <f>_xlfn.IFNA(VLOOKUP($A964,CompChecksTrans!$A:$C,3,FALSE), "     ")</f>
        <v xml:space="preserve">     </v>
      </c>
    </row>
    <row r="965" spans="1:4" x14ac:dyDescent="0.25">
      <c r="A965" s="12" t="s">
        <v>5276</v>
      </c>
      <c r="B965" s="10" t="str">
        <f>_xlfn.IFNA(VLOOKUP($A965,CompChecksTrans!$A:$C,2,FALSE), "")</f>
        <v/>
      </c>
      <c r="C965" s="10" t="str">
        <f>_xlfn.IFNA(VLOOKUP(B965,Phase1!A$4:C$129,3,FALSE),"")</f>
        <v/>
      </c>
      <c r="D965" s="10" t="str">
        <f>_xlfn.IFNA(VLOOKUP($A965,CompChecksTrans!$A:$C,3,FALSE), "     ")</f>
        <v xml:space="preserve">     </v>
      </c>
    </row>
    <row r="966" spans="1:4" x14ac:dyDescent="0.25">
      <c r="A966" s="12" t="s">
        <v>5277</v>
      </c>
      <c r="B966" s="10" t="str">
        <f>_xlfn.IFNA(VLOOKUP($A966,CompChecksTrans!$A:$C,2,FALSE), "")</f>
        <v/>
      </c>
      <c r="C966" s="10" t="str">
        <f>_xlfn.IFNA(VLOOKUP(B966,Phase1!A$4:C$129,3,FALSE),"")</f>
        <v/>
      </c>
      <c r="D966" s="10" t="str">
        <f>_xlfn.IFNA(VLOOKUP($A966,CompChecksTrans!$A:$C,3,FALSE), "     ")</f>
        <v xml:space="preserve">     </v>
      </c>
    </row>
    <row r="967" spans="1:4" x14ac:dyDescent="0.25">
      <c r="A967" s="12" t="s">
        <v>5278</v>
      </c>
      <c r="B967" s="10" t="str">
        <f>_xlfn.IFNA(VLOOKUP($A967,CompChecksTrans!$A:$C,2,FALSE), "")</f>
        <v/>
      </c>
      <c r="C967" s="10" t="str">
        <f>_xlfn.IFNA(VLOOKUP(B967,Phase1!A$4:C$129,3,FALSE),"")</f>
        <v/>
      </c>
      <c r="D967" s="10" t="str">
        <f>_xlfn.IFNA(VLOOKUP($A967,CompChecksTrans!$A:$C,3,FALSE), "     ")</f>
        <v xml:space="preserve">     </v>
      </c>
    </row>
    <row r="968" spans="1:4" x14ac:dyDescent="0.25">
      <c r="A968" s="12" t="s">
        <v>5279</v>
      </c>
      <c r="B968" s="10" t="str">
        <f>_xlfn.IFNA(VLOOKUP($A968,CompChecksTrans!$A:$C,2,FALSE), "")</f>
        <v/>
      </c>
      <c r="C968" s="10" t="str">
        <f>_xlfn.IFNA(VLOOKUP(B968,Phase1!A$4:C$129,3,FALSE),"")</f>
        <v/>
      </c>
      <c r="D968" s="10" t="str">
        <f>_xlfn.IFNA(VLOOKUP($A968,CompChecksTrans!$A:$C,3,FALSE), "     ")</f>
        <v xml:space="preserve">     </v>
      </c>
    </row>
    <row r="969" spans="1:4" x14ac:dyDescent="0.25">
      <c r="A969" s="12" t="s">
        <v>5280</v>
      </c>
      <c r="B969" s="10" t="str">
        <f>_xlfn.IFNA(VLOOKUP($A969,CompChecksTrans!$A:$C,2,FALSE), "")</f>
        <v/>
      </c>
      <c r="C969" s="10" t="str">
        <f>_xlfn.IFNA(VLOOKUP(B969,Phase1!A$4:C$129,3,FALSE),"")</f>
        <v/>
      </c>
      <c r="D969" s="10" t="str">
        <f>_xlfn.IFNA(VLOOKUP($A969,CompChecksTrans!$A:$C,3,FALSE), "     ")</f>
        <v xml:space="preserve">     </v>
      </c>
    </row>
    <row r="970" spans="1:4" x14ac:dyDescent="0.25">
      <c r="A970" s="12" t="s">
        <v>5281</v>
      </c>
      <c r="B970" s="10" t="str">
        <f>_xlfn.IFNA(VLOOKUP($A970,CompChecksTrans!$A:$C,2,FALSE), "")</f>
        <v/>
      </c>
      <c r="C970" s="10" t="str">
        <f>_xlfn.IFNA(VLOOKUP(B970,Phase1!A$4:C$129,3,FALSE),"")</f>
        <v/>
      </c>
      <c r="D970" s="10" t="str">
        <f>_xlfn.IFNA(VLOOKUP($A970,CompChecksTrans!$A:$C,3,FALSE), "     ")</f>
        <v xml:space="preserve">     </v>
      </c>
    </row>
    <row r="971" spans="1:4" x14ac:dyDescent="0.25">
      <c r="A971" s="12" t="s">
        <v>5282</v>
      </c>
      <c r="B971" s="10" t="str">
        <f>_xlfn.IFNA(VLOOKUP($A971,CompChecksTrans!$A:$C,2,FALSE), "")</f>
        <v/>
      </c>
      <c r="C971" s="10" t="str">
        <f>_xlfn.IFNA(VLOOKUP(B971,Phase1!A$4:C$129,3,FALSE),"")</f>
        <v/>
      </c>
      <c r="D971" s="10" t="str">
        <f>_xlfn.IFNA(VLOOKUP($A971,CompChecksTrans!$A:$C,3,FALSE), "     ")</f>
        <v xml:space="preserve">     </v>
      </c>
    </row>
    <row r="972" spans="1:4" x14ac:dyDescent="0.25">
      <c r="A972" s="12" t="s">
        <v>5283</v>
      </c>
      <c r="B972" s="10" t="str">
        <f>_xlfn.IFNA(VLOOKUP($A972,CompChecksTrans!$A:$C,2,FALSE), "")</f>
        <v/>
      </c>
      <c r="C972" s="10" t="str">
        <f>_xlfn.IFNA(VLOOKUP(B972,Phase1!A$4:C$129,3,FALSE),"")</f>
        <v/>
      </c>
      <c r="D972" s="10" t="str">
        <f>_xlfn.IFNA(VLOOKUP($A972,CompChecksTrans!$A:$C,3,FALSE), "     ")</f>
        <v xml:space="preserve">     </v>
      </c>
    </row>
    <row r="973" spans="1:4" x14ac:dyDescent="0.25">
      <c r="A973" s="12" t="s">
        <v>5284</v>
      </c>
      <c r="B973" s="10" t="str">
        <f>_xlfn.IFNA(VLOOKUP($A973,CompChecksTrans!$A:$C,2,FALSE), "")</f>
        <v/>
      </c>
      <c r="C973" s="10" t="str">
        <f>_xlfn.IFNA(VLOOKUP(B973,Phase1!A$4:C$129,3,FALSE),"")</f>
        <v/>
      </c>
      <c r="D973" s="10" t="str">
        <f>_xlfn.IFNA(VLOOKUP($A973,CompChecksTrans!$A:$C,3,FALSE), "     ")</f>
        <v xml:space="preserve">     </v>
      </c>
    </row>
    <row r="974" spans="1:4" x14ac:dyDescent="0.25">
      <c r="A974" s="12" t="s">
        <v>5285</v>
      </c>
      <c r="B974" s="10" t="str">
        <f>_xlfn.IFNA(VLOOKUP($A974,CompChecksTrans!$A:$C,2,FALSE), "")</f>
        <v/>
      </c>
      <c r="C974" s="10" t="str">
        <f>_xlfn.IFNA(VLOOKUP(B974,Phase1!A$4:C$129,3,FALSE),"")</f>
        <v/>
      </c>
      <c r="D974" s="10" t="str">
        <f>_xlfn.IFNA(VLOOKUP($A974,CompChecksTrans!$A:$C,3,FALSE), "     ")</f>
        <v xml:space="preserve">     </v>
      </c>
    </row>
    <row r="975" spans="1:4" x14ac:dyDescent="0.25">
      <c r="A975" s="12" t="s">
        <v>5286</v>
      </c>
      <c r="B975" s="10" t="str">
        <f>_xlfn.IFNA(VLOOKUP($A975,CompChecksTrans!$A:$C,2,FALSE), "")</f>
        <v/>
      </c>
      <c r="C975" s="10" t="str">
        <f>_xlfn.IFNA(VLOOKUP(B975,Phase1!A$4:C$129,3,FALSE),"")</f>
        <v/>
      </c>
      <c r="D975" s="10" t="str">
        <f>_xlfn.IFNA(VLOOKUP($A975,CompChecksTrans!$A:$C,3,FALSE), "     ")</f>
        <v xml:space="preserve">     </v>
      </c>
    </row>
    <row r="976" spans="1:4" x14ac:dyDescent="0.25">
      <c r="A976" s="12" t="s">
        <v>5287</v>
      </c>
      <c r="B976" s="10" t="str">
        <f>_xlfn.IFNA(VLOOKUP($A976,CompChecksTrans!$A:$C,2,FALSE), "")</f>
        <v/>
      </c>
      <c r="C976" s="10" t="str">
        <f>_xlfn.IFNA(VLOOKUP(B976,Phase1!A$4:C$129,3,FALSE),"")</f>
        <v/>
      </c>
      <c r="D976" s="10" t="str">
        <f>_xlfn.IFNA(VLOOKUP($A976,CompChecksTrans!$A:$C,3,FALSE), "     ")</f>
        <v xml:space="preserve">     </v>
      </c>
    </row>
    <row r="977" spans="1:4" x14ac:dyDescent="0.25">
      <c r="A977" s="12" t="s">
        <v>5288</v>
      </c>
      <c r="B977" s="10" t="str">
        <f>_xlfn.IFNA(VLOOKUP($A977,CompChecksTrans!$A:$C,2,FALSE), "")</f>
        <v/>
      </c>
      <c r="C977" s="10" t="str">
        <f>_xlfn.IFNA(VLOOKUP(B977,Phase1!A$4:C$129,3,FALSE),"")</f>
        <v/>
      </c>
      <c r="D977" s="10" t="str">
        <f>_xlfn.IFNA(VLOOKUP($A977,CompChecksTrans!$A:$C,3,FALSE), "     ")</f>
        <v xml:space="preserve">     </v>
      </c>
    </row>
    <row r="978" spans="1:4" x14ac:dyDescent="0.25">
      <c r="A978" s="12" t="s">
        <v>5289</v>
      </c>
      <c r="B978" s="10" t="str">
        <f>_xlfn.IFNA(VLOOKUP($A978,CompChecksTrans!$A:$C,2,FALSE), "")</f>
        <v/>
      </c>
      <c r="C978" s="10" t="str">
        <f>_xlfn.IFNA(VLOOKUP(B978,Phase1!A$4:C$129,3,FALSE),"")</f>
        <v/>
      </c>
      <c r="D978" s="10" t="str">
        <f>_xlfn.IFNA(VLOOKUP($A978,CompChecksTrans!$A:$C,3,FALSE), "     ")</f>
        <v xml:space="preserve">     </v>
      </c>
    </row>
    <row r="979" spans="1:4" x14ac:dyDescent="0.25">
      <c r="A979" s="12" t="s">
        <v>5290</v>
      </c>
      <c r="B979" s="10" t="str">
        <f>_xlfn.IFNA(VLOOKUP($A979,CompChecksTrans!$A:$C,2,FALSE), "")</f>
        <v/>
      </c>
      <c r="C979" s="10" t="str">
        <f>_xlfn.IFNA(VLOOKUP(B979,Phase1!A$4:C$129,3,FALSE),"")</f>
        <v/>
      </c>
      <c r="D979" s="10" t="str">
        <f>_xlfn.IFNA(VLOOKUP($A979,CompChecksTrans!$A:$C,3,FALSE), "     ")</f>
        <v xml:space="preserve">     </v>
      </c>
    </row>
    <row r="980" spans="1:4" x14ac:dyDescent="0.25">
      <c r="A980" s="12" t="s">
        <v>5291</v>
      </c>
      <c r="B980" s="10" t="str">
        <f>_xlfn.IFNA(VLOOKUP($A980,CompChecksTrans!$A:$C,2,FALSE), "")</f>
        <v/>
      </c>
      <c r="C980" s="10" t="str">
        <f>_xlfn.IFNA(VLOOKUP(B980,Phase1!A$4:C$129,3,FALSE),"")</f>
        <v/>
      </c>
      <c r="D980" s="10" t="str">
        <f>_xlfn.IFNA(VLOOKUP($A980,CompChecksTrans!$A:$C,3,FALSE), "     ")</f>
        <v xml:space="preserve">     </v>
      </c>
    </row>
    <row r="981" spans="1:4" x14ac:dyDescent="0.25">
      <c r="A981" s="12" t="s">
        <v>5292</v>
      </c>
      <c r="B981" s="10" t="str">
        <f>_xlfn.IFNA(VLOOKUP($A981,CompChecksTrans!$A:$C,2,FALSE), "")</f>
        <v/>
      </c>
      <c r="C981" s="10" t="str">
        <f>_xlfn.IFNA(VLOOKUP(B981,Phase1!A$4:C$129,3,FALSE),"")</f>
        <v/>
      </c>
      <c r="D981" s="10" t="str">
        <f>_xlfn.IFNA(VLOOKUP($A981,CompChecksTrans!$A:$C,3,FALSE), "     ")</f>
        <v xml:space="preserve">     </v>
      </c>
    </row>
    <row r="982" spans="1:4" x14ac:dyDescent="0.25">
      <c r="A982" s="12" t="s">
        <v>5293</v>
      </c>
      <c r="B982" s="10" t="str">
        <f>_xlfn.IFNA(VLOOKUP($A982,CompChecksTrans!$A:$C,2,FALSE), "")</f>
        <v/>
      </c>
      <c r="C982" s="10" t="str">
        <f>_xlfn.IFNA(VLOOKUP(B982,Phase1!A$4:C$129,3,FALSE),"")</f>
        <v/>
      </c>
      <c r="D982" s="10" t="str">
        <f>_xlfn.IFNA(VLOOKUP($A982,CompChecksTrans!$A:$C,3,FALSE), "     ")</f>
        <v xml:space="preserve">     </v>
      </c>
    </row>
    <row r="983" spans="1:4" x14ac:dyDescent="0.25">
      <c r="A983" s="12" t="s">
        <v>5294</v>
      </c>
      <c r="B983" s="10" t="str">
        <f>_xlfn.IFNA(VLOOKUP($A983,CompChecksTrans!$A:$C,2,FALSE), "")</f>
        <v/>
      </c>
      <c r="C983" s="10" t="str">
        <f>_xlfn.IFNA(VLOOKUP(B983,Phase1!A$4:C$129,3,FALSE),"")</f>
        <v/>
      </c>
      <c r="D983" s="10" t="str">
        <f>_xlfn.IFNA(VLOOKUP($A983,CompChecksTrans!$A:$C,3,FALSE), "     ")</f>
        <v xml:space="preserve">     </v>
      </c>
    </row>
    <row r="984" spans="1:4" x14ac:dyDescent="0.25">
      <c r="A984" s="12" t="s">
        <v>5295</v>
      </c>
      <c r="B984" s="10" t="str">
        <f>_xlfn.IFNA(VLOOKUP($A984,CompChecksTrans!$A:$C,2,FALSE), "")</f>
        <v/>
      </c>
      <c r="C984" s="10" t="str">
        <f>_xlfn.IFNA(VLOOKUP(B984,Phase1!A$4:C$129,3,FALSE),"")</f>
        <v/>
      </c>
      <c r="D984" s="10" t="str">
        <f>_xlfn.IFNA(VLOOKUP($A984,CompChecksTrans!$A:$C,3,FALSE), "     ")</f>
        <v xml:space="preserve">     </v>
      </c>
    </row>
    <row r="985" spans="1:4" x14ac:dyDescent="0.25">
      <c r="A985" s="12" t="s">
        <v>5296</v>
      </c>
      <c r="B985" s="10" t="str">
        <f>_xlfn.IFNA(VLOOKUP($A985,CompChecksTrans!$A:$C,2,FALSE), "")</f>
        <v/>
      </c>
      <c r="C985" s="10" t="str">
        <f>_xlfn.IFNA(VLOOKUP(B985,Phase1!A$4:C$129,3,FALSE),"")</f>
        <v/>
      </c>
      <c r="D985" s="10" t="str">
        <f>_xlfn.IFNA(VLOOKUP($A985,CompChecksTrans!$A:$C,3,FALSE), "     ")</f>
        <v xml:space="preserve">     </v>
      </c>
    </row>
    <row r="986" spans="1:4" x14ac:dyDescent="0.25">
      <c r="A986" s="12" t="s">
        <v>5297</v>
      </c>
      <c r="B986" s="10" t="str">
        <f>_xlfn.IFNA(VLOOKUP($A986,CompChecksTrans!$A:$C,2,FALSE), "")</f>
        <v/>
      </c>
      <c r="C986" s="10" t="str">
        <f>_xlfn.IFNA(VLOOKUP(B986,Phase1!A$4:C$129,3,FALSE),"")</f>
        <v/>
      </c>
      <c r="D986" s="10" t="str">
        <f>_xlfn.IFNA(VLOOKUP($A986,CompChecksTrans!$A:$C,3,FALSE), "     ")</f>
        <v xml:space="preserve">     </v>
      </c>
    </row>
    <row r="987" spans="1:4" x14ac:dyDescent="0.25">
      <c r="A987" s="12" t="s">
        <v>5298</v>
      </c>
      <c r="B987" s="10" t="str">
        <f>_xlfn.IFNA(VLOOKUP($A987,CompChecksTrans!$A:$C,2,FALSE), "")</f>
        <v/>
      </c>
      <c r="C987" s="10" t="str">
        <f>_xlfn.IFNA(VLOOKUP(B987,Phase1!A$4:C$129,3,FALSE),"")</f>
        <v/>
      </c>
      <c r="D987" s="10" t="str">
        <f>_xlfn.IFNA(VLOOKUP($A987,CompChecksTrans!$A:$C,3,FALSE), "     ")</f>
        <v xml:space="preserve">     </v>
      </c>
    </row>
    <row r="988" spans="1:4" x14ac:dyDescent="0.25">
      <c r="A988" s="12" t="s">
        <v>5299</v>
      </c>
      <c r="B988" s="10" t="str">
        <f>_xlfn.IFNA(VLOOKUP($A988,CompChecksTrans!$A:$C,2,FALSE), "")</f>
        <v/>
      </c>
      <c r="C988" s="10" t="str">
        <f>_xlfn.IFNA(VLOOKUP(B988,Phase1!A$4:C$129,3,FALSE),"")</f>
        <v/>
      </c>
      <c r="D988" s="10" t="str">
        <f>_xlfn.IFNA(VLOOKUP($A988,CompChecksTrans!$A:$C,3,FALSE), "     ")</f>
        <v xml:space="preserve">     </v>
      </c>
    </row>
    <row r="989" spans="1:4" x14ac:dyDescent="0.25">
      <c r="A989" s="12" t="s">
        <v>5300</v>
      </c>
      <c r="B989" s="10" t="str">
        <f>_xlfn.IFNA(VLOOKUP($A989,CompChecksTrans!$A:$C,2,FALSE), "")</f>
        <v/>
      </c>
      <c r="C989" s="10" t="str">
        <f>_xlfn.IFNA(VLOOKUP(B989,Phase1!A$4:C$129,3,FALSE),"")</f>
        <v/>
      </c>
      <c r="D989" s="10" t="str">
        <f>_xlfn.IFNA(VLOOKUP($A989,CompChecksTrans!$A:$C,3,FALSE), "     ")</f>
        <v xml:space="preserve">     </v>
      </c>
    </row>
    <row r="990" spans="1:4" x14ac:dyDescent="0.25">
      <c r="A990" s="12" t="s">
        <v>5301</v>
      </c>
      <c r="B990" s="10" t="str">
        <f>_xlfn.IFNA(VLOOKUP($A990,CompChecksTrans!$A:$C,2,FALSE), "")</f>
        <v/>
      </c>
      <c r="C990" s="10" t="str">
        <f>_xlfn.IFNA(VLOOKUP(B990,Phase1!A$4:C$129,3,FALSE),"")</f>
        <v/>
      </c>
      <c r="D990" s="10" t="str">
        <f>_xlfn.IFNA(VLOOKUP($A990,CompChecksTrans!$A:$C,3,FALSE), "     ")</f>
        <v xml:space="preserve">     </v>
      </c>
    </row>
    <row r="991" spans="1:4" x14ac:dyDescent="0.25">
      <c r="A991" s="12" t="s">
        <v>5302</v>
      </c>
      <c r="B991" s="10" t="str">
        <f>_xlfn.IFNA(VLOOKUP($A991,CompChecksTrans!$A:$C,2,FALSE), "")</f>
        <v/>
      </c>
      <c r="C991" s="10" t="str">
        <f>_xlfn.IFNA(VLOOKUP(B991,Phase1!A$4:C$129,3,FALSE),"")</f>
        <v/>
      </c>
      <c r="D991" s="10" t="str">
        <f>_xlfn.IFNA(VLOOKUP($A991,CompChecksTrans!$A:$C,3,FALSE), "     ")</f>
        <v xml:space="preserve">     </v>
      </c>
    </row>
    <row r="992" spans="1:4" x14ac:dyDescent="0.25">
      <c r="A992" s="12" t="s">
        <v>5303</v>
      </c>
      <c r="B992" s="10" t="str">
        <f>_xlfn.IFNA(VLOOKUP($A992,CompChecksTrans!$A:$C,2,FALSE), "")</f>
        <v/>
      </c>
      <c r="C992" s="10" t="str">
        <f>_xlfn.IFNA(VLOOKUP(B992,Phase1!A$4:C$129,3,FALSE),"")</f>
        <v/>
      </c>
      <c r="D992" s="10" t="str">
        <f>_xlfn.IFNA(VLOOKUP($A992,CompChecksTrans!$A:$C,3,FALSE), "     ")</f>
        <v xml:space="preserve">     </v>
      </c>
    </row>
    <row r="993" spans="1:4" x14ac:dyDescent="0.25">
      <c r="A993" s="12" t="s">
        <v>5304</v>
      </c>
      <c r="B993" s="10" t="str">
        <f>_xlfn.IFNA(VLOOKUP($A993,CompChecksTrans!$A:$C,2,FALSE), "")</f>
        <v/>
      </c>
      <c r="C993" s="10" t="str">
        <f>_xlfn.IFNA(VLOOKUP(B993,Phase1!A$4:C$129,3,FALSE),"")</f>
        <v/>
      </c>
      <c r="D993" s="10" t="str">
        <f>_xlfn.IFNA(VLOOKUP($A993,CompChecksTrans!$A:$C,3,FALSE), "     ")</f>
        <v xml:space="preserve">     </v>
      </c>
    </row>
    <row r="994" spans="1:4" x14ac:dyDescent="0.25">
      <c r="A994" s="12" t="s">
        <v>5305</v>
      </c>
      <c r="B994" s="10" t="str">
        <f>_xlfn.IFNA(VLOOKUP($A994,CompChecksTrans!$A:$C,2,FALSE), "")</f>
        <v/>
      </c>
      <c r="C994" s="10" t="str">
        <f>_xlfn.IFNA(VLOOKUP(B994,Phase1!A$4:C$129,3,FALSE),"")</f>
        <v/>
      </c>
      <c r="D994" s="10" t="str">
        <f>_xlfn.IFNA(VLOOKUP($A994,CompChecksTrans!$A:$C,3,FALSE), "     ")</f>
        <v xml:space="preserve">     </v>
      </c>
    </row>
    <row r="995" spans="1:4" x14ac:dyDescent="0.25">
      <c r="A995" s="12" t="s">
        <v>5306</v>
      </c>
      <c r="B995" s="10" t="str">
        <f>_xlfn.IFNA(VLOOKUP($A995,CompChecksTrans!$A:$C,2,FALSE), "")</f>
        <v/>
      </c>
      <c r="C995" s="10" t="str">
        <f>_xlfn.IFNA(VLOOKUP(B995,Phase1!A$4:C$129,3,FALSE),"")</f>
        <v/>
      </c>
      <c r="D995" s="10" t="str">
        <f>_xlfn.IFNA(VLOOKUP($A995,CompChecksTrans!$A:$C,3,FALSE), "     ")</f>
        <v xml:space="preserve">     </v>
      </c>
    </row>
    <row r="996" spans="1:4" x14ac:dyDescent="0.25">
      <c r="A996" s="12" t="s">
        <v>5307</v>
      </c>
      <c r="B996" s="10" t="str">
        <f>_xlfn.IFNA(VLOOKUP($A996,CompChecksTrans!$A:$C,2,FALSE), "")</f>
        <v/>
      </c>
      <c r="C996" s="10" t="str">
        <f>_xlfn.IFNA(VLOOKUP(B996,Phase1!A$4:C$129,3,FALSE),"")</f>
        <v/>
      </c>
      <c r="D996" s="10" t="str">
        <f>_xlfn.IFNA(VLOOKUP($A996,CompChecksTrans!$A:$C,3,FALSE), "     ")</f>
        <v xml:space="preserve">     </v>
      </c>
    </row>
    <row r="997" spans="1:4" x14ac:dyDescent="0.25">
      <c r="A997" s="12" t="s">
        <v>5308</v>
      </c>
      <c r="B997" s="10" t="str">
        <f>_xlfn.IFNA(VLOOKUP($A997,CompChecksTrans!$A:$C,2,FALSE), "")</f>
        <v/>
      </c>
      <c r="C997" s="10" t="str">
        <f>_xlfn.IFNA(VLOOKUP(B997,Phase1!A$4:C$129,3,FALSE),"")</f>
        <v/>
      </c>
      <c r="D997" s="10" t="str">
        <f>_xlfn.IFNA(VLOOKUP($A997,CompChecksTrans!$A:$C,3,FALSE), "     ")</f>
        <v xml:space="preserve">     </v>
      </c>
    </row>
    <row r="998" spans="1:4" x14ac:dyDescent="0.25">
      <c r="A998" s="12" t="s">
        <v>5309</v>
      </c>
      <c r="B998" s="10" t="str">
        <f>_xlfn.IFNA(VLOOKUP($A998,CompChecksTrans!$A:$C,2,FALSE), "")</f>
        <v/>
      </c>
      <c r="C998" s="10" t="str">
        <f>_xlfn.IFNA(VLOOKUP(B998,Phase1!A$4:C$129,3,FALSE),"")</f>
        <v/>
      </c>
      <c r="D998" s="10" t="str">
        <f>_xlfn.IFNA(VLOOKUP($A998,CompChecksTrans!$A:$C,3,FALSE), "     ")</f>
        <v xml:space="preserve">     </v>
      </c>
    </row>
    <row r="999" spans="1:4" x14ac:dyDescent="0.25">
      <c r="A999" s="12" t="s">
        <v>5310</v>
      </c>
      <c r="B999" s="10" t="str">
        <f>_xlfn.IFNA(VLOOKUP($A999,CompChecksTrans!$A:$C,2,FALSE), "")</f>
        <v/>
      </c>
      <c r="C999" s="10" t="str">
        <f>_xlfn.IFNA(VLOOKUP(B999,Phase1!A$4:C$129,3,FALSE),"")</f>
        <v/>
      </c>
      <c r="D999" s="10" t="str">
        <f>_xlfn.IFNA(VLOOKUP($A999,CompChecksTrans!$A:$C,3,FALSE), "     ")</f>
        <v xml:space="preserve">     </v>
      </c>
    </row>
    <row r="1000" spans="1:4" x14ac:dyDescent="0.25">
      <c r="A1000" s="12" t="s">
        <v>5311</v>
      </c>
      <c r="B1000" s="10" t="str">
        <f>_xlfn.IFNA(VLOOKUP($A1000,CompChecksTrans!$A:$C,2,FALSE), "")</f>
        <v/>
      </c>
      <c r="C1000" s="10" t="str">
        <f>_xlfn.IFNA(VLOOKUP(B1000,Phase1!A$4:C$129,3,FALSE),"")</f>
        <v/>
      </c>
      <c r="D1000" s="10" t="str">
        <f>_xlfn.IFNA(VLOOKUP($A1000,CompChecksTrans!$A:$C,3,FALSE), "     ")</f>
        <v xml:space="preserve">     </v>
      </c>
    </row>
  </sheetData>
  <mergeCells count="6">
    <mergeCell ref="A1:E1"/>
    <mergeCell ref="C2:D4"/>
    <mergeCell ref="A2:A4"/>
    <mergeCell ref="F2:F4"/>
    <mergeCell ref="G2:G4"/>
    <mergeCell ref="E2:E4"/>
  </mergeCells>
  <conditionalFormatting sqref="A1:E1">
    <cfRule type="dataBar" priority="1">
      <dataBar>
        <cfvo type="num" val="0"/>
        <cfvo type="num" val="1"/>
        <color theme="5" tint="-0.249977111117893"/>
      </dataBar>
      <extLst>
        <ext xmlns:x14="http://schemas.microsoft.com/office/spreadsheetml/2009/9/main" uri="{B025F937-C7B1-47D3-B67F-A62EFF666E3E}">
          <x14:id>{877878BC-A379-428E-9413-F621DB035D7A}</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877878BC-A379-428E-9413-F621DB035D7A}">
            <x14:dataBar minLength="0" maxLength="100" gradient="0">
              <x14:cfvo type="num">
                <xm:f>0</xm:f>
              </x14:cfvo>
              <x14:cfvo type="num">
                <xm:f>1</xm:f>
              </x14:cfvo>
              <x14:negativeFillColor rgb="FFFF0000"/>
              <x14:axisColor rgb="FF000000"/>
            </x14:dataBar>
          </x14:cfRule>
          <xm:sqref>A1:E1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29"/>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ColWidth="8.85546875" defaultRowHeight="15" x14ac:dyDescent="0.25"/>
  <cols>
    <col min="1" max="1" width="10" style="206" bestFit="1" customWidth="1"/>
    <col min="2" max="2" width="23.85546875" style="2" bestFit="1" customWidth="1"/>
    <col min="3" max="3" width="78.42578125" style="1" customWidth="1"/>
    <col min="4" max="4" width="12.7109375" style="1" bestFit="1" customWidth="1"/>
    <col min="5" max="16384" width="8.85546875" style="1"/>
  </cols>
  <sheetData>
    <row r="1" spans="1:6" ht="15.75" x14ac:dyDescent="0.25">
      <c r="B1" s="295">
        <f>COUNTA(D4:D129)/COUNTA(B4:B129)</f>
        <v>1</v>
      </c>
      <c r="C1" s="295"/>
      <c r="D1" s="295"/>
      <c r="E1" s="295"/>
    </row>
    <row r="2" spans="1:6" ht="53.1" customHeight="1" x14ac:dyDescent="0.25">
      <c r="B2" s="296" t="s">
        <v>3196</v>
      </c>
      <c r="C2" s="296"/>
      <c r="D2" s="296"/>
      <c r="E2" s="240"/>
    </row>
    <row r="3" spans="1:6" ht="15.75" x14ac:dyDescent="0.25">
      <c r="B3" s="11" t="s">
        <v>1377</v>
      </c>
      <c r="C3" s="9" t="s">
        <v>1378</v>
      </c>
      <c r="D3" s="11" t="s">
        <v>3195</v>
      </c>
      <c r="E3" s="9" t="s">
        <v>1459</v>
      </c>
    </row>
    <row r="4" spans="1:6" ht="31.5" x14ac:dyDescent="0.25">
      <c r="A4" s="207" t="str">
        <f>Dictionnary!A2</f>
        <v>FS1.1</v>
      </c>
      <c r="B4" s="14" t="str">
        <f>Dictionnary!B2</f>
        <v>Facilities and Safety</v>
      </c>
      <c r="C4" s="15" t="str">
        <f>Dictionnary!C2</f>
        <v>Have the staff adequately been instructed on the symptoms of infection with pathogens worked with in the laboratory?</v>
      </c>
      <c r="D4" s="16" t="s">
        <v>3198</v>
      </c>
      <c r="E4" s="103" t="e">
        <f>(COUNTIFS('Phase1 - Fill-in'!A$1:A$1000,A4,'Phase1 - Fill-in'!E$1:E$1000,Dictionnary!C$666)+0.5*COUNTIFS('Phase1 - Fill-in'!A$1:A$1000,A4,'Phase1 - Fill-in'!E$1:E$1000,Dictionnary!C$669))/(COUNTIFS('Phase1 - Fill-in'!A$5:A$1000,A4,'Phase1 - Fill-in'!E$5:E$1000,"&lt;&gt;Dictionnary!C669"))</f>
        <v>#DIV/0!</v>
      </c>
      <c r="F4" s="13"/>
    </row>
    <row r="5" spans="1:6" ht="47.25" x14ac:dyDescent="0.25">
      <c r="A5" s="207" t="str">
        <f>Dictionnary!A3</f>
        <v>FS1.2</v>
      </c>
      <c r="B5" s="99" t="str">
        <f>Dictionnary!B3</f>
        <v>Facilities and Safety</v>
      </c>
      <c r="C5" s="17" t="str">
        <f>Dictionnary!C3</f>
        <v>Is there a written procedure on how to act in case of a suspected laboratory associated infection/laboratory accident whereby a staff-member has potentially become infected?</v>
      </c>
      <c r="D5" s="12" t="s">
        <v>3198</v>
      </c>
      <c r="E5" s="103" t="e">
        <f>(COUNTIFS('Phase1 - Fill-in'!A$1:A$1000,A5,'Phase1 - Fill-in'!E$1:E$1000,Dictionnary!C$666)+0.5*COUNTIFS('Phase1 - Fill-in'!A$1:A$1000,A5,'Phase1 - Fill-in'!E$1:E$1000,Dictionnary!C$669))/(COUNTIFS('Phase1 - Fill-in'!A$5:A$1000,A5,'Phase1 - Fill-in'!E$5:E$1000,"&lt;&gt;Dictionnary!C669"))</f>
        <v>#DIV/0!</v>
      </c>
      <c r="F5" s="13"/>
    </row>
    <row r="6" spans="1:6" ht="15.75" x14ac:dyDescent="0.25">
      <c r="A6" s="207" t="str">
        <f>Dictionnary!A4</f>
        <v>FS1.3</v>
      </c>
      <c r="B6" s="14" t="str">
        <f>Dictionnary!B4</f>
        <v>Facilities and Safety</v>
      </c>
      <c r="C6" s="15" t="str">
        <f>Dictionnary!C4</f>
        <v>Has the Risk Group for each laboratory room been determined?</v>
      </c>
      <c r="D6" s="16" t="s">
        <v>3199</v>
      </c>
      <c r="E6" s="103" t="e">
        <f>(COUNTIFS('Phase1 - Fill-in'!A$1:A$1000,A6,'Phase1 - Fill-in'!E$1:E$1000,Dictionnary!C$666)+0.5*COUNTIFS('Phase1 - Fill-in'!A$1:A$1000,A6,'Phase1 - Fill-in'!E$1:E$1000,Dictionnary!C$669))/(COUNTIFS('Phase1 - Fill-in'!A$5:A$1000,A6,'Phase1 - Fill-in'!E$5:E$1000,"&lt;&gt;Dictionnary!C669"))</f>
        <v>#DIV/0!</v>
      </c>
      <c r="F6" s="13"/>
    </row>
    <row r="7" spans="1:6" ht="15.75" x14ac:dyDescent="0.25">
      <c r="A7" s="207" t="str">
        <f>Dictionnary!A5</f>
        <v>FS1.4</v>
      </c>
      <c r="B7" s="99" t="str">
        <f>Dictionnary!B5</f>
        <v>Facilities and Safety</v>
      </c>
      <c r="C7" s="17" t="str">
        <f>Dictionnary!C5</f>
        <v>Has a Facilities &amp; Safety Assessment been performed?</v>
      </c>
      <c r="D7" s="12" t="s">
        <v>3198</v>
      </c>
      <c r="E7" s="103" t="e">
        <f>(COUNTIFS('Phase1 - Fill-in'!A$1:A$1000,A7,'Phase1 - Fill-in'!E$1:E$1000,Dictionnary!C$666)+0.5*COUNTIFS('Phase1 - Fill-in'!A$1:A$1000,A7,'Phase1 - Fill-in'!E$1:E$1000,Dictionnary!C$669))/(COUNTIFS('Phase1 - Fill-in'!A$5:A$1000,A7,'Phase1 - Fill-in'!E$5:E$1000,"&lt;&gt;Dictionnary!C669"))</f>
        <v>#DIV/0!</v>
      </c>
      <c r="F7" s="13"/>
    </row>
    <row r="8" spans="1:6" ht="31.5" x14ac:dyDescent="0.25">
      <c r="A8" s="207" t="str">
        <f>Dictionnary!A6</f>
        <v>FS1.5</v>
      </c>
      <c r="B8" s="14" t="str">
        <f>Dictionnary!B6</f>
        <v>Facilities and Safety</v>
      </c>
      <c r="C8" s="15" t="str">
        <f>Dictionnary!C6</f>
        <v>Is an action plan present to implement improvements based on findings from the Facility &amp; Safety assessment?</v>
      </c>
      <c r="D8" s="16" t="s">
        <v>3200</v>
      </c>
      <c r="E8" s="103" t="e">
        <f>(COUNTIFS('Phase1 - Fill-in'!A$1:A$1000,A8,'Phase1 - Fill-in'!E$1:E$1000,Dictionnary!C$666)+0.5*COUNTIFS('Phase1 - Fill-in'!A$1:A$1000,A8,'Phase1 - Fill-in'!E$1:E$1000,Dictionnary!C$669))/(COUNTIFS('Phase1 - Fill-in'!A$5:A$1000,A8,'Phase1 - Fill-in'!E$5:E$1000,"&lt;&gt;Dictionnary!C669"))</f>
        <v>#DIV/0!</v>
      </c>
    </row>
    <row r="9" spans="1:6" ht="31.5" x14ac:dyDescent="0.25">
      <c r="A9" s="207" t="str">
        <f>Dictionnary!A7</f>
        <v>FS1.6</v>
      </c>
      <c r="B9" s="99" t="str">
        <f>Dictionnary!B7</f>
        <v>Facilities and Safety</v>
      </c>
      <c r="C9" s="17" t="str">
        <f>Dictionnary!C7</f>
        <v>Are the action points in this action plan from the Facility &amp; Safety Assessment formulated according to the SMART method?</v>
      </c>
      <c r="D9" s="12" t="s">
        <v>3201</v>
      </c>
      <c r="E9" s="103" t="e">
        <f>(COUNTIFS('Phase1 - Fill-in'!A$1:A$1000,A9,'Phase1 - Fill-in'!E$1:E$1000,Dictionnary!C$666)+0.5*COUNTIFS('Phase1 - Fill-in'!A$1:A$1000,A9,'Phase1 - Fill-in'!E$1:E$1000,Dictionnary!C$669))/(COUNTIFS('Phase1 - Fill-in'!A$5:A$1000,A9,'Phase1 - Fill-in'!E$5:E$1000,"&lt;&gt;Dictionnary!C669"))</f>
        <v>#DIV/0!</v>
      </c>
    </row>
    <row r="10" spans="1:6" ht="31.5" x14ac:dyDescent="0.25">
      <c r="A10" s="207" t="str">
        <f>Dictionnary!A8</f>
        <v>FS1.7</v>
      </c>
      <c r="B10" s="14" t="str">
        <f>Dictionnary!B8</f>
        <v>Facilities and Safety</v>
      </c>
      <c r="C10" s="15" t="str">
        <f>Dictionnary!C8</f>
        <v>Have the action points in this action plan from the Facility &amp; Safety Assessment been fulfilled on or before the deadline?</v>
      </c>
      <c r="D10" s="16" t="s">
        <v>3200</v>
      </c>
      <c r="E10" s="103" t="e">
        <f>(COUNTIFS('Phase1 - Fill-in'!A$1:A$1000,A10,'Phase1 - Fill-in'!E$1:E$1000,Dictionnary!C$666)+0.5*COUNTIFS('Phase1 - Fill-in'!A$1:A$1000,A10,'Phase1 - Fill-in'!E$1:E$1000,Dictionnary!C$669))/(COUNTIFS('Phase1 - Fill-in'!A$5:A$1000,A10,'Phase1 - Fill-in'!E$5:E$1000,"&lt;&gt;Dictionnary!C669"))</f>
        <v>#DIV/0!</v>
      </c>
    </row>
    <row r="11" spans="1:6" ht="31.5" x14ac:dyDescent="0.25">
      <c r="A11" s="207" t="str">
        <f>Dictionnary!A9</f>
        <v>FS1.8</v>
      </c>
      <c r="B11" s="99" t="str">
        <f>Dictionnary!B9</f>
        <v>Facilities and Safety</v>
      </c>
      <c r="C11" s="17" t="str">
        <f>Dictionnary!C9</f>
        <v>Have completed action points from the Facility &amp; Safety Assessment been signed and dated for completion?</v>
      </c>
      <c r="D11" s="12" t="s">
        <v>3201</v>
      </c>
      <c r="E11" s="103" t="e">
        <f>(COUNTIFS('Phase1 - Fill-in'!A$1:A$1000,A11,'Phase1 - Fill-in'!E$1:E$1000,Dictionnary!C$666)+0.5*COUNTIFS('Phase1 - Fill-in'!A$1:A$1000,A11,'Phase1 - Fill-in'!E$1:E$1000,Dictionnary!C$669))/(COUNTIFS('Phase1 - Fill-in'!A$5:A$1000,A11,'Phase1 - Fill-in'!E$5:E$1000,"&lt;&gt;Dictionnary!C669"))</f>
        <v>#DIV/0!</v>
      </c>
    </row>
    <row r="12" spans="1:6" ht="31.5" x14ac:dyDescent="0.25">
      <c r="A12" s="207" t="str">
        <f>Dictionnary!A10</f>
        <v>FS1.9</v>
      </c>
      <c r="B12" s="14" t="str">
        <f>Dictionnary!B10</f>
        <v>Facilities and Safety</v>
      </c>
      <c r="C12" s="15" t="str">
        <f>Dictionnary!C10</f>
        <v>Does the laboratory have a procedure for processing and disposal of the different types of waste produced?</v>
      </c>
      <c r="D12" s="16" t="s">
        <v>3198</v>
      </c>
      <c r="E12" s="103" t="e">
        <f>(COUNTIFS('Phase1 - Fill-in'!A$1:A$1000,A12,'Phase1 - Fill-in'!E$1:E$1000,Dictionnary!C$666)+0.5*COUNTIFS('Phase1 - Fill-in'!A$1:A$1000,A12,'Phase1 - Fill-in'!E$1:E$1000,Dictionnary!C$669))/(COUNTIFS('Phase1 - Fill-in'!A$5:A$1000,A12,'Phase1 - Fill-in'!E$5:E$1000,"&lt;&gt;Dictionnary!C669"))</f>
        <v>#DIV/0!</v>
      </c>
    </row>
    <row r="13" spans="1:6" ht="31.5" x14ac:dyDescent="0.25">
      <c r="A13" s="207" t="str">
        <f>Dictionnary!A11</f>
        <v>FS1.10</v>
      </c>
      <c r="B13" s="99" t="str">
        <f>Dictionnary!B11</f>
        <v>Facilities and Safety</v>
      </c>
      <c r="C13" s="17" t="str">
        <f>Dictionnary!C11</f>
        <v>Does the laboratory demonstrably adhere to procedures for processing and disposal of different types of waste produced?</v>
      </c>
      <c r="D13" s="12" t="s">
        <v>3198</v>
      </c>
      <c r="E13" s="103" t="e">
        <f>(COUNTIFS('Phase1 - Fill-in'!A$1:A$1000,A13,'Phase1 - Fill-in'!E$1:E$1000,Dictionnary!C$666)+0.5*COUNTIFS('Phase1 - Fill-in'!A$1:A$1000,A13,'Phase1 - Fill-in'!E$1:E$1000,Dictionnary!C$669))/(COUNTIFS('Phase1 - Fill-in'!A$5:A$1000,A13,'Phase1 - Fill-in'!E$5:E$1000,"&lt;&gt;Dictionnary!C669"))</f>
        <v>#DIV/0!</v>
      </c>
    </row>
    <row r="14" spans="1:6" ht="31.5" x14ac:dyDescent="0.25">
      <c r="A14" s="207" t="str">
        <f>Dictionnary!A12</f>
        <v>FS1.11</v>
      </c>
      <c r="B14" s="14" t="str">
        <f>Dictionnary!B12</f>
        <v>Facilities and Safety</v>
      </c>
      <c r="C14" s="15" t="str">
        <f>Dictionnary!C12</f>
        <v>Are up-to-date guidelines present on safe disposal of waste?</v>
      </c>
      <c r="D14" s="16" t="s">
        <v>3199</v>
      </c>
      <c r="E14" s="103" t="e">
        <f>(COUNTIFS('Phase1 - Fill-in'!A$1:A$1000,A14,'Phase1 - Fill-in'!E$1:E$1000,Dictionnary!C$666)+0.5*COUNTIFS('Phase1 - Fill-in'!A$1:A$1000,A14,'Phase1 - Fill-in'!E$1:E$1000,Dictionnary!C$669))/(COUNTIFS('Phase1 - Fill-in'!A$5:A$1000,A14,'Phase1 - Fill-in'!E$5:E$1000,"&lt;&gt;Dictionnary!C669"))</f>
        <v>#DIV/0!</v>
      </c>
    </row>
    <row r="15" spans="1:6" ht="31.5" x14ac:dyDescent="0.25">
      <c r="A15" s="207" t="str">
        <f>Dictionnary!A13</f>
        <v>FS1.12</v>
      </c>
      <c r="B15" s="99" t="str">
        <f>Dictionnary!B13</f>
        <v>Facilities and Safety</v>
      </c>
      <c r="C15" s="17" t="str">
        <f>Dictionnary!C13</f>
        <v>Does lab staff adhere to guidelines on safe disposal of waste?</v>
      </c>
      <c r="D15" s="16" t="s">
        <v>3198</v>
      </c>
      <c r="E15" s="103" t="e">
        <f>(COUNTIFS('Phase1 - Fill-in'!A$1:A$1000,A15,'Phase1 - Fill-in'!E$1:E$1000,Dictionnary!C$666)+0.5*COUNTIFS('Phase1 - Fill-in'!A$1:A$1000,A15,'Phase1 - Fill-in'!E$1:E$1000,Dictionnary!C$669))/(COUNTIFS('Phase1 - Fill-in'!A$5:A$1000,A15,'Phase1 - Fill-in'!E$5:E$1000,"&lt;&gt;Dictionnary!C669"))</f>
        <v>#DIV/0!</v>
      </c>
    </row>
    <row r="16" spans="1:6" ht="31.5" x14ac:dyDescent="0.25">
      <c r="A16" s="207" t="str">
        <f>Dictionnary!A14</f>
        <v>FS1.13</v>
      </c>
      <c r="B16" s="14" t="str">
        <f>Dictionnary!B14</f>
        <v>Facilities and Safety</v>
      </c>
      <c r="C16" s="15" t="str">
        <f>Dictionnary!C14</f>
        <v>Is potentially infectious waste safely and securely stored before incineration?</v>
      </c>
      <c r="D16" s="12" t="s">
        <v>3198</v>
      </c>
      <c r="E16" s="103" t="e">
        <f>(COUNTIFS('Phase1 - Fill-in'!A$1:A$1000,A16,'Phase1 - Fill-in'!E$1:E$1000,Dictionnary!C$666)+0.5*COUNTIFS('Phase1 - Fill-in'!A$1:A$1000,A16,'Phase1 - Fill-in'!E$1:E$1000,Dictionnary!C$669))/(COUNTIFS('Phase1 - Fill-in'!A$5:A$1000,A16,'Phase1 - Fill-in'!E$5:E$1000,"&lt;&gt;Dictionnary!C669"))</f>
        <v>#DIV/0!</v>
      </c>
    </row>
    <row r="17" spans="1:5" ht="31.5" x14ac:dyDescent="0.25">
      <c r="A17" s="207" t="str">
        <f>Dictionnary!A15</f>
        <v>FS1.14</v>
      </c>
      <c r="B17" s="99" t="str">
        <f>Dictionnary!B15</f>
        <v>Facilities and Safety</v>
      </c>
      <c r="C17" s="17" t="str">
        <f>Dictionnary!C15</f>
        <v>Is potentially infectious material properly incinerated?</v>
      </c>
      <c r="D17" s="16" t="s">
        <v>3199</v>
      </c>
      <c r="E17" s="103" t="e">
        <f>(COUNTIFS('Phase1 - Fill-in'!A$1:A$1000,A17,'Phase1 - Fill-in'!E$1:E$1000,Dictionnary!C$666)+0.5*COUNTIFS('Phase1 - Fill-in'!A$1:A$1000,A17,'Phase1 - Fill-in'!E$1:E$1000,Dictionnary!C$669))/(COUNTIFS('Phase1 - Fill-in'!A$5:A$1000,A17,'Phase1 - Fill-in'!E$5:E$1000,"&lt;&gt;Dictionnary!C669"))</f>
        <v>#DIV/0!</v>
      </c>
    </row>
    <row r="18" spans="1:5" ht="31.5" x14ac:dyDescent="0.25">
      <c r="A18" s="207" t="str">
        <f>Dictionnary!A16</f>
        <v>FS1.15</v>
      </c>
      <c r="B18" s="14" t="str">
        <f>Dictionnary!B16</f>
        <v>Facilities and Safety</v>
      </c>
      <c r="C18" s="15" t="str">
        <f>Dictionnary!C16</f>
        <v>Are sharps securely and safely incinerated without the risk for needle accidents?</v>
      </c>
      <c r="D18" s="12" t="s">
        <v>3198</v>
      </c>
      <c r="E18" s="103" t="e">
        <f>(COUNTIFS('Phase1 - Fill-in'!A$1:A$1000,A18,'Phase1 - Fill-in'!E$1:E$1000,Dictionnary!C$666)+0.5*COUNTIFS('Phase1 - Fill-in'!A$1:A$1000,A18,'Phase1 - Fill-in'!E$1:E$1000,Dictionnary!C$669))/(COUNTIFS('Phase1 - Fill-in'!A$5:A$1000,A18,'Phase1 - Fill-in'!E$5:E$1000,"&lt;&gt;Dictionnary!C669"))</f>
        <v>#DIV/0!</v>
      </c>
    </row>
    <row r="19" spans="1:5" ht="15.75" x14ac:dyDescent="0.25">
      <c r="A19" s="207" t="str">
        <f>Dictionnary!A17</f>
        <v>FS1.16</v>
      </c>
      <c r="B19" s="99" t="str">
        <f>Dictionnary!B17</f>
        <v>Facilities and Safety</v>
      </c>
      <c r="C19" s="17" t="str">
        <f>Dictionnary!C17</f>
        <v>Is the area around the fire pit/incinerator free from clutter?</v>
      </c>
      <c r="D19" s="16" t="s">
        <v>3200</v>
      </c>
      <c r="E19" s="103" t="e">
        <f>(COUNTIFS('Phase1 - Fill-in'!A$1:A$1000,A19,'Phase1 - Fill-in'!E$1:E$1000,Dictionnary!C$666)+0.5*COUNTIFS('Phase1 - Fill-in'!A$1:A$1000,A19,'Phase1 - Fill-in'!E$1:E$1000,Dictionnary!C$669))/(COUNTIFS('Phase1 - Fill-in'!A$5:A$1000,A19,'Phase1 - Fill-in'!E$5:E$1000,"&lt;&gt;Dictionnary!C669"))</f>
        <v>#DIV/0!</v>
      </c>
    </row>
    <row r="20" spans="1:5" ht="31.5" x14ac:dyDescent="0.25">
      <c r="A20" s="207" t="str">
        <f>Dictionnary!A18</f>
        <v>FS1.17</v>
      </c>
      <c r="B20" s="14" t="str">
        <f>Dictionnary!B18</f>
        <v>Facilities and Safety</v>
      </c>
      <c r="C20" s="15" t="str">
        <f>Dictionnary!C18</f>
        <v>Is infectious glassware for re-use autoclaved correctly?</v>
      </c>
      <c r="D20" s="12" t="s">
        <v>3201</v>
      </c>
      <c r="E20" s="103" t="e">
        <f>(COUNTIFS('Phase1 - Fill-in'!A$1:A$1000,A20,'Phase1 - Fill-in'!E$1:E$1000,Dictionnary!C$666)+0.5*COUNTIFS('Phase1 - Fill-in'!A$1:A$1000,A20,'Phase1 - Fill-in'!E$1:E$1000,Dictionnary!C$669))/(COUNTIFS('Phase1 - Fill-in'!A$5:A$1000,A20,'Phase1 - Fill-in'!E$5:E$1000,"&lt;&gt;Dictionnary!C669"))</f>
        <v>#DIV/0!</v>
      </c>
    </row>
    <row r="21" spans="1:5" ht="31.5" x14ac:dyDescent="0.25">
      <c r="A21" s="207" t="str">
        <f>Dictionnary!A19</f>
        <v>FS1.18</v>
      </c>
      <c r="B21" s="99" t="str">
        <f>Dictionnary!B19</f>
        <v>Facilities and Safety</v>
      </c>
      <c r="C21" s="17" t="str">
        <f>Dictionnary!C19</f>
        <v>Are separate, clearly distinguishable containers present for different types of chemical waste?</v>
      </c>
      <c r="D21" s="16" t="s">
        <v>3200</v>
      </c>
      <c r="E21" s="103" t="e">
        <f>(COUNTIFS('Phase1 - Fill-in'!A$1:A$1000,A21,'Phase1 - Fill-in'!E$1:E$1000,Dictionnary!C$666)+0.5*COUNTIFS('Phase1 - Fill-in'!A$1:A$1000,A21,'Phase1 - Fill-in'!E$1:E$1000,Dictionnary!C$669))/(COUNTIFS('Phase1 - Fill-in'!A$5:A$1000,A21,'Phase1 - Fill-in'!E$5:E$1000,"&lt;&gt;Dictionnary!C669"))</f>
        <v>#DIV/0!</v>
      </c>
    </row>
    <row r="22" spans="1:5" ht="15.75" x14ac:dyDescent="0.25">
      <c r="A22" s="207" t="str">
        <f>Dictionnary!A20</f>
        <v>FS1.19</v>
      </c>
      <c r="B22" s="14" t="str">
        <f>Dictionnary!B20</f>
        <v>Facilities and Safety</v>
      </c>
      <c r="C22" s="15" t="str">
        <f>Dictionnary!C20</f>
        <v>Is chemical waste processed correctly?</v>
      </c>
      <c r="D22" s="12" t="s">
        <v>3201</v>
      </c>
      <c r="E22" s="103" t="e">
        <f>(COUNTIFS('Phase1 - Fill-in'!A$1:A$1000,A22,'Phase1 - Fill-in'!E$1:E$1000,Dictionnary!C$666)+0.5*COUNTIFS('Phase1 - Fill-in'!A$1:A$1000,A22,'Phase1 - Fill-in'!E$1:E$1000,Dictionnary!C$669))/(COUNTIFS('Phase1 - Fill-in'!A$5:A$1000,A22,'Phase1 - Fill-in'!E$5:E$1000,"&lt;&gt;Dictionnary!C669"))</f>
        <v>#DIV/0!</v>
      </c>
    </row>
    <row r="23" spans="1:5" ht="31.5" x14ac:dyDescent="0.25">
      <c r="A23" s="207" t="str">
        <f>Dictionnary!A21</f>
        <v>FS1.20</v>
      </c>
      <c r="B23" s="99" t="str">
        <f>Dictionnary!B21</f>
        <v>Facilities and Safety</v>
      </c>
      <c r="C23" s="17" t="str">
        <f>Dictionnary!C21</f>
        <v>Are trashcans for (bio)hazardous waste clearly distinguishable to prevent confusion with the bins for normal waste?</v>
      </c>
      <c r="D23" s="16" t="s">
        <v>3198</v>
      </c>
      <c r="E23" s="103" t="e">
        <f>(COUNTIFS('Phase1 - Fill-in'!A$1:A$1000,A23,'Phase1 - Fill-in'!E$1:E$1000,Dictionnary!C$666)+0.5*COUNTIFS('Phase1 - Fill-in'!A$1:A$1000,A23,'Phase1 - Fill-in'!E$1:E$1000,Dictionnary!C$669))/(COUNTIFS('Phase1 - Fill-in'!A$5:A$1000,A23,'Phase1 - Fill-in'!E$5:E$1000,"&lt;&gt;Dictionnary!C669"))</f>
        <v>#DIV/0!</v>
      </c>
    </row>
    <row r="24" spans="1:5" ht="31.5" x14ac:dyDescent="0.25">
      <c r="A24" s="207" t="str">
        <f>Dictionnary!A22</f>
        <v>FS1.21</v>
      </c>
      <c r="B24" s="14" t="str">
        <f>Dictionnary!B22</f>
        <v>Facilities and Safety</v>
      </c>
      <c r="C24" s="15" t="str">
        <f>Dictionnary!C22</f>
        <v>Is normal waste processed according to local/national regulations (if applicable)?</v>
      </c>
      <c r="D24" s="12" t="s">
        <v>3198</v>
      </c>
      <c r="E24" s="103" t="e">
        <f>(COUNTIFS('Phase1 - Fill-in'!A$1:A$1000,A24,'Phase1 - Fill-in'!E$1:E$1000,Dictionnary!C$666)+0.5*COUNTIFS('Phase1 - Fill-in'!A$1:A$1000,A24,'Phase1 - Fill-in'!E$1:E$1000,Dictionnary!C$669))/(COUNTIFS('Phase1 - Fill-in'!A$5:A$1000,A24,'Phase1 - Fill-in'!E$5:E$1000,"&lt;&gt;Dictionnary!C669"))</f>
        <v>#DIV/0!</v>
      </c>
    </row>
    <row r="25" spans="1:5" ht="31.5" x14ac:dyDescent="0.25">
      <c r="A25" s="207" t="str">
        <f>Dictionnary!A23</f>
        <v>FS1.22</v>
      </c>
      <c r="B25" s="99" t="str">
        <f>Dictionnary!B23</f>
        <v>Facilities and Safety</v>
      </c>
      <c r="C25" s="17" t="str">
        <f>Dictionnary!C23</f>
        <v>Is an up-to-date Biosafety Manual present in the laboratory?</v>
      </c>
      <c r="D25" s="16" t="s">
        <v>3199</v>
      </c>
      <c r="E25" s="103" t="e">
        <f>(COUNTIFS('Phase1 - Fill-in'!A$1:A$1000,A25,'Phase1 - Fill-in'!E$1:E$1000,Dictionnary!C$666)+0.5*COUNTIFS('Phase1 - Fill-in'!A$1:A$1000,A25,'Phase1 - Fill-in'!E$1:E$1000,Dictionnary!C$669))/(COUNTIFS('Phase1 - Fill-in'!A$5:A$1000,A25,'Phase1 - Fill-in'!E$5:E$1000,"&lt;&gt;Dictionnary!C669"))</f>
        <v>#DIV/0!</v>
      </c>
    </row>
    <row r="26" spans="1:5" ht="31.5" x14ac:dyDescent="0.25">
      <c r="A26" s="207" t="str">
        <f>Dictionnary!A24</f>
        <v>FS1.23</v>
      </c>
      <c r="B26" s="14" t="str">
        <f>Dictionnary!B24</f>
        <v>Facilities and Safety</v>
      </c>
      <c r="C26" s="15" t="str">
        <f>Dictionnary!C24</f>
        <v>Does the biological safety manual have a logical structure with table of contents, an introduction and a title page clearly stating the words “Biosafety Manual”?</v>
      </c>
      <c r="D26" s="16" t="s">
        <v>3198</v>
      </c>
      <c r="E26" s="103" t="e">
        <f>(COUNTIFS('Phase1 - Fill-in'!A$1:A$1000,A26,'Phase1 - Fill-in'!E$1:E$1000,Dictionnary!C$666)+0.5*COUNTIFS('Phase1 - Fill-in'!A$1:A$1000,A26,'Phase1 - Fill-in'!E$1:E$1000,Dictionnary!C$669))/(COUNTIFS('Phase1 - Fill-in'!A$5:A$1000,A26,'Phase1 - Fill-in'!E$5:E$1000,"&lt;&gt;Dictionnary!C669"))</f>
        <v>#DIV/0!</v>
      </c>
    </row>
    <row r="27" spans="1:5" ht="31.5" x14ac:dyDescent="0.25">
      <c r="A27" s="207" t="str">
        <f>Dictionnary!A25</f>
        <v>FS1.24</v>
      </c>
      <c r="B27" s="99" t="str">
        <f>Dictionnary!B25</f>
        <v>Facilities and Safety</v>
      </c>
      <c r="C27" s="17" t="str">
        <f>Dictionnary!C25</f>
        <v>Does the Biosafety Manual contain general safety rules for working in the laboratory with human material?</v>
      </c>
      <c r="D27" s="12" t="s">
        <v>3198</v>
      </c>
      <c r="E27" s="103" t="e">
        <f>(COUNTIFS('Phase1 - Fill-in'!A$1:A$1000,A27,'Phase1 - Fill-in'!E$1:E$1000,Dictionnary!C$666)+0.5*COUNTIFS('Phase1 - Fill-in'!A$1:A$1000,A27,'Phase1 - Fill-in'!E$1:E$1000,Dictionnary!C$669))/(COUNTIFS('Phase1 - Fill-in'!A$5:A$1000,A27,'Phase1 - Fill-in'!E$5:E$1000,"&lt;&gt;Dictionnary!C669"))</f>
        <v>#DIV/0!</v>
      </c>
    </row>
    <row r="28" spans="1:5" ht="15.75" x14ac:dyDescent="0.25">
      <c r="A28" s="207" t="str">
        <f>Dictionnary!A26</f>
        <v>FS1.25</v>
      </c>
      <c r="B28" s="14" t="str">
        <f>Dictionnary!B26</f>
        <v>Facilities and Safety</v>
      </c>
      <c r="C28" s="15" t="str">
        <f>Dictionnary!C26</f>
        <v>Does the Biosafety Manual contain preventive safety procedures?</v>
      </c>
      <c r="D28" s="16" t="s">
        <v>3199</v>
      </c>
      <c r="E28" s="103" t="e">
        <f>(COUNTIFS('Phase1 - Fill-in'!A$1:A$1000,A28,'Phase1 - Fill-in'!E$1:E$1000,Dictionnary!C$666)+0.5*COUNTIFS('Phase1 - Fill-in'!A$1:A$1000,A28,'Phase1 - Fill-in'!E$1:E$1000,Dictionnary!C$669))/(COUNTIFS('Phase1 - Fill-in'!A$5:A$1000,A28,'Phase1 - Fill-in'!E$5:E$1000,"&lt;&gt;Dictionnary!C669"))</f>
        <v>#DIV/0!</v>
      </c>
    </row>
    <row r="29" spans="1:5" ht="15.75" x14ac:dyDescent="0.25">
      <c r="A29" s="207" t="str">
        <f>Dictionnary!A27</f>
        <v>FS1.26</v>
      </c>
      <c r="B29" s="99" t="str">
        <f>Dictionnary!B27</f>
        <v>Facilities and Safety</v>
      </c>
      <c r="C29" s="17" t="str">
        <f>Dictionnary!C27</f>
        <v>Does the Biosafety Manual contain procedures for emergency situations?</v>
      </c>
      <c r="D29" s="12" t="s">
        <v>3198</v>
      </c>
      <c r="E29" s="103" t="e">
        <f>(COUNTIFS('Phase1 - Fill-in'!A$1:A$1000,A29,'Phase1 - Fill-in'!E$1:E$1000,Dictionnary!C$666)+0.5*COUNTIFS('Phase1 - Fill-in'!A$1:A$1000,A29,'Phase1 - Fill-in'!E$1:E$1000,Dictionnary!C$669))/(COUNTIFS('Phase1 - Fill-in'!A$5:A$1000,A29,'Phase1 - Fill-in'!E$5:E$1000,"&lt;&gt;Dictionnary!C669"))</f>
        <v>#DIV/0!</v>
      </c>
    </row>
    <row r="30" spans="1:5" ht="31.5" x14ac:dyDescent="0.25">
      <c r="A30" s="207" t="str">
        <f>Dictionnary!A28</f>
        <v>FS1.27</v>
      </c>
      <c r="B30" s="14" t="str">
        <f>Dictionnary!B28</f>
        <v>Facilities and Safety</v>
      </c>
      <c r="C30" s="15" t="str">
        <f>Dictionnary!C28</f>
        <v>Are the Biosafety Manual chapters signed by the author, reviewer and Laboratory Management?</v>
      </c>
      <c r="D30" s="16" t="s">
        <v>3200</v>
      </c>
      <c r="E30" s="103" t="e">
        <f>(COUNTIFS('Phase1 - Fill-in'!A$1:A$1000,A30,'Phase1 - Fill-in'!E$1:E$1000,Dictionnary!C$666)+0.5*COUNTIFS('Phase1 - Fill-in'!A$1:A$1000,A30,'Phase1 - Fill-in'!E$1:E$1000,Dictionnary!C$669))/(COUNTIFS('Phase1 - Fill-in'!A$5:A$1000,A30,'Phase1 - Fill-in'!E$5:E$1000,"&lt;&gt;Dictionnary!C669"))</f>
        <v>#DIV/0!</v>
      </c>
    </row>
    <row r="31" spans="1:5" ht="31.5" x14ac:dyDescent="0.25">
      <c r="A31" s="207" t="str">
        <f>Dictionnary!A29</f>
        <v>FS1.28</v>
      </c>
      <c r="B31" s="99" t="str">
        <f>Dictionnary!B29</f>
        <v>Facilities and Safety</v>
      </c>
      <c r="C31" s="17" t="str">
        <f>Dictionnary!C29</f>
        <v>Is the Biosafety Manual easily accessible for all staff members at a logical location?</v>
      </c>
      <c r="D31" s="12" t="s">
        <v>3201</v>
      </c>
      <c r="E31" s="103" t="e">
        <f>(COUNTIFS('Phase1 - Fill-in'!A$1:A$1000,A31,'Phase1 - Fill-in'!E$1:E$1000,Dictionnary!C$666)+0.5*COUNTIFS('Phase1 - Fill-in'!A$1:A$1000,A31,'Phase1 - Fill-in'!E$1:E$1000,Dictionnary!C$669))/(COUNTIFS('Phase1 - Fill-in'!A$5:A$1000,A31,'Phase1 - Fill-in'!E$5:E$1000,"&lt;&gt;Dictionnary!C669"))</f>
        <v>#DIV/0!</v>
      </c>
    </row>
    <row r="32" spans="1:5" ht="31.5" x14ac:dyDescent="0.25">
      <c r="A32" s="207" t="str">
        <f>Dictionnary!A30</f>
        <v>FS1.29</v>
      </c>
      <c r="B32" s="14" t="str">
        <f>Dictionnary!B30</f>
        <v>Facilities and Safety</v>
      </c>
      <c r="C32" s="15" t="str">
        <f>Dictionnary!C30</f>
        <v>Is the Biosafety Manual read and signed by all staff members?</v>
      </c>
      <c r="D32" s="16" t="s">
        <v>3200</v>
      </c>
      <c r="E32" s="103" t="e">
        <f>(COUNTIFS('Phase1 - Fill-in'!A$1:A$1000,A32,'Phase1 - Fill-in'!E$1:E$1000,Dictionnary!C$666)+0.5*COUNTIFS('Phase1 - Fill-in'!A$1:A$1000,A32,'Phase1 - Fill-in'!E$1:E$1000,Dictionnary!C$669))/(COUNTIFS('Phase1 - Fill-in'!A$5:A$1000,A32,'Phase1 - Fill-in'!E$5:E$1000,"&lt;&gt;Dictionnary!C669"))</f>
        <v>#DIV/0!</v>
      </c>
    </row>
    <row r="33" spans="1:5" ht="15.75" x14ac:dyDescent="0.25">
      <c r="A33" s="207" t="str">
        <f>Dictionnary!A31</f>
        <v>FS1.30</v>
      </c>
      <c r="B33" s="99" t="str">
        <f>Dictionnary!B31</f>
        <v>Facilities and Safety</v>
      </c>
      <c r="C33" s="17" t="str">
        <f>Dictionnary!C31</f>
        <v>Is an SOP present describing how to clean the laboratory building?</v>
      </c>
      <c r="D33" s="12" t="s">
        <v>3201</v>
      </c>
      <c r="E33" s="103" t="e">
        <f>(COUNTIFS('Phase1 - Fill-in'!A$1:A$1000,A33,'Phase1 - Fill-in'!E$1:E$1000,Dictionnary!C$666)+0.5*COUNTIFS('Phase1 - Fill-in'!A$1:A$1000,A33,'Phase1 - Fill-in'!E$1:E$1000,Dictionnary!C$669))/(COUNTIFS('Phase1 - Fill-in'!A$5:A$1000,A33,'Phase1 - Fill-in'!E$5:E$1000,"&lt;&gt;Dictionnary!C669"))</f>
        <v>#DIV/0!</v>
      </c>
    </row>
    <row r="34" spans="1:5" ht="31.5" x14ac:dyDescent="0.25">
      <c r="A34" s="207" t="str">
        <f>Dictionnary!A32</f>
        <v>FS1.31</v>
      </c>
      <c r="B34" s="14" t="str">
        <f>Dictionnary!B32</f>
        <v>Facilities and Safety</v>
      </c>
      <c r="C34" s="15" t="str">
        <f>Dictionnary!C32</f>
        <v>Does the SOP on cleaning of the laboratory building include a section with specific guidelines for cleaning laboratory rooms?</v>
      </c>
      <c r="D34" s="16" t="s">
        <v>3198</v>
      </c>
      <c r="E34" s="103" t="e">
        <f>(COUNTIFS('Phase1 - Fill-in'!A$1:A$1000,A34,'Phase1 - Fill-in'!E$1:E$1000,Dictionnary!C$666)+0.5*COUNTIFS('Phase1 - Fill-in'!A$1:A$1000,A34,'Phase1 - Fill-in'!E$1:E$1000,Dictionnary!C$669))/(COUNTIFS('Phase1 - Fill-in'!A$5:A$1000,A34,'Phase1 - Fill-in'!E$5:E$1000,"&lt;&gt;Dictionnary!C669"))</f>
        <v>#DIV/0!</v>
      </c>
    </row>
    <row r="35" spans="1:5" ht="15.75" x14ac:dyDescent="0.25">
      <c r="A35" s="207" t="str">
        <f>Dictionnary!A33</f>
        <v>FS1.32</v>
      </c>
      <c r="B35" s="99" t="str">
        <f>Dictionnary!B33</f>
        <v>Facilities and Safety</v>
      </c>
      <c r="C35" s="17" t="str">
        <f>Dictionnary!C33</f>
        <v>Is a cleaning schedule present?</v>
      </c>
      <c r="D35" s="12" t="s">
        <v>3198</v>
      </c>
      <c r="E35" s="103" t="e">
        <f>(COUNTIFS('Phase1 - Fill-in'!A$1:A$1000,A35,'Phase1 - Fill-in'!E$1:E$1000,Dictionnary!C$666)+0.5*COUNTIFS('Phase1 - Fill-in'!A$1:A$1000,A35,'Phase1 - Fill-in'!E$1:E$1000,Dictionnary!C$669))/(COUNTIFS('Phase1 - Fill-in'!A$5:A$1000,A35,'Phase1 - Fill-in'!E$5:E$1000,"&lt;&gt;Dictionnary!C669"))</f>
        <v>#DIV/0!</v>
      </c>
    </row>
    <row r="36" spans="1:5" ht="15.75" x14ac:dyDescent="0.25">
      <c r="A36" s="207" t="str">
        <f>Dictionnary!A34</f>
        <v>FS1.33</v>
      </c>
      <c r="B36" s="14" t="str">
        <f>Dictionnary!B34</f>
        <v>Facilities and Safety</v>
      </c>
      <c r="C36" s="15" t="str">
        <f>Dictionnary!C34</f>
        <v>Does the cleaning schedule show what should be cleaned by who and when?</v>
      </c>
      <c r="D36" s="16" t="s">
        <v>3199</v>
      </c>
      <c r="E36" s="103" t="e">
        <f>(COUNTIFS('Phase1 - Fill-in'!A$1:A$1000,A36,'Phase1 - Fill-in'!E$1:E$1000,Dictionnary!C$666)+0.5*COUNTIFS('Phase1 - Fill-in'!A$1:A$1000,A36,'Phase1 - Fill-in'!E$1:E$1000,Dictionnary!C$669))/(COUNTIFS('Phase1 - Fill-in'!A$5:A$1000,A36,'Phase1 - Fill-in'!E$5:E$1000,"&lt;&gt;Dictionnary!C669"))</f>
        <v>#DIV/0!</v>
      </c>
    </row>
    <row r="37" spans="1:5" ht="15.75" x14ac:dyDescent="0.25">
      <c r="A37" s="207" t="str">
        <f>Dictionnary!A35</f>
        <v>FS1.34</v>
      </c>
      <c r="B37" s="99" t="str">
        <f>Dictionnary!B35</f>
        <v>Facilities and Safety</v>
      </c>
      <c r="C37" s="17" t="str">
        <f>Dictionnary!C35</f>
        <v>Is the laboratory cleaned on a regular basis?</v>
      </c>
      <c r="D37" s="16" t="s">
        <v>3198</v>
      </c>
      <c r="E37" s="103" t="e">
        <f>(COUNTIFS('Phase1 - Fill-in'!A$1:A$1000,A37,'Phase1 - Fill-in'!E$1:E$1000,Dictionnary!C$666)+0.5*COUNTIFS('Phase1 - Fill-in'!A$1:A$1000,A37,'Phase1 - Fill-in'!E$1:E$1000,Dictionnary!C$669))/(COUNTIFS('Phase1 - Fill-in'!A$5:A$1000,A37,'Phase1 - Fill-in'!E$5:E$1000,"&lt;&gt;Dictionnary!C669"))</f>
        <v>#DIV/0!</v>
      </c>
    </row>
    <row r="38" spans="1:5" ht="15.75" x14ac:dyDescent="0.25">
      <c r="A38" s="207" t="str">
        <f>Dictionnary!A36</f>
        <v>FS1.35</v>
      </c>
      <c r="B38" s="14" t="str">
        <f>Dictionnary!B36</f>
        <v>Facilities and Safety</v>
      </c>
      <c r="C38" s="15" t="str">
        <f>Dictionnary!C36</f>
        <v>Are there spill kits present in adequate numbers and are these kits complete</v>
      </c>
      <c r="D38" s="12" t="s">
        <v>3198</v>
      </c>
      <c r="E38" s="103" t="e">
        <f>(COUNTIFS('Phase1 - Fill-in'!A$1:A$1000,A38,'Phase1 - Fill-in'!E$1:E$1000,Dictionnary!C$666)+0.5*COUNTIFS('Phase1 - Fill-in'!A$1:A$1000,A38,'Phase1 - Fill-in'!E$1:E$1000,Dictionnary!C$669))/(COUNTIFS('Phase1 - Fill-in'!A$5:A$1000,A38,'Phase1 - Fill-in'!E$5:E$1000,"&lt;&gt;Dictionnary!C669"))</f>
        <v>#DIV/0!</v>
      </c>
    </row>
    <row r="39" spans="1:5" ht="31.5" x14ac:dyDescent="0.25">
      <c r="A39" s="207" t="str">
        <f>Dictionnary!A37</f>
        <v>FS1.36</v>
      </c>
      <c r="B39" s="99" t="str">
        <f>Dictionnary!B37</f>
        <v>Facilities and Safety</v>
      </c>
      <c r="C39" s="17" t="str">
        <f>Dictionnary!C37</f>
        <v>Is there an SOP that provides procedures for dealing with the different types of spills?</v>
      </c>
      <c r="D39" s="16" t="s">
        <v>3199</v>
      </c>
      <c r="E39" s="103" t="e">
        <f>(COUNTIFS('Phase1 - Fill-in'!A$1:A$1000,A39,'Phase1 - Fill-in'!E$1:E$1000,Dictionnary!C$666)+0.5*COUNTIFS('Phase1 - Fill-in'!A$1:A$1000,A39,'Phase1 - Fill-in'!E$1:E$1000,Dictionnary!C$669))/(COUNTIFS('Phase1 - Fill-in'!A$5:A$1000,A39,'Phase1 - Fill-in'!E$5:E$1000,"&lt;&gt;Dictionnary!C669"))</f>
        <v>#DIV/0!</v>
      </c>
    </row>
    <row r="40" spans="1:5" ht="15.75" x14ac:dyDescent="0.25">
      <c r="A40" s="207" t="str">
        <f>Dictionnary!A38</f>
        <v>FS1.37</v>
      </c>
      <c r="B40" s="14" t="str">
        <f>Dictionnary!B38</f>
        <v>Facilities and Safety</v>
      </c>
      <c r="C40" s="15" t="str">
        <f>Dictionnary!C38</f>
        <v>Are first aid providers present in the laboratory?</v>
      </c>
      <c r="D40" s="12" t="s">
        <v>3198</v>
      </c>
      <c r="E40" s="103" t="e">
        <f>(COUNTIFS('Phase1 - Fill-in'!A$1:A$1000,A40,'Phase1 - Fill-in'!E$1:E$1000,Dictionnary!C$666)+0.5*COUNTIFS('Phase1 - Fill-in'!A$1:A$1000,A40,'Phase1 - Fill-in'!E$1:E$1000,Dictionnary!C$669))/(COUNTIFS('Phase1 - Fill-in'!A$5:A$1000,A40,'Phase1 - Fill-in'!E$5:E$1000,"&lt;&gt;Dictionnary!C669"))</f>
        <v>#DIV/0!</v>
      </c>
    </row>
    <row r="41" spans="1:5" ht="15.75" x14ac:dyDescent="0.25">
      <c r="A41" s="207" t="str">
        <f>Dictionnary!A39</f>
        <v>FS1.38</v>
      </c>
      <c r="B41" s="99" t="str">
        <f>Dictionnary!B39</f>
        <v>Facilities and Safety</v>
      </c>
      <c r="C41" s="17" t="str">
        <f>Dictionnary!C39</f>
        <v>Are first aid kits present and placed at accessible locations?</v>
      </c>
      <c r="D41" s="16" t="s">
        <v>3200</v>
      </c>
      <c r="E41" s="103" t="e">
        <f>(COUNTIFS('Phase1 - Fill-in'!A$1:A$1000,A41,'Phase1 - Fill-in'!E$1:E$1000,Dictionnary!C$666)+0.5*COUNTIFS('Phase1 - Fill-in'!A$1:A$1000,A41,'Phase1 - Fill-in'!E$1:E$1000,Dictionnary!C$669))/(COUNTIFS('Phase1 - Fill-in'!A$5:A$1000,A41,'Phase1 - Fill-in'!E$5:E$1000,"&lt;&gt;Dictionnary!C669"))</f>
        <v>#DIV/0!</v>
      </c>
    </row>
    <row r="42" spans="1:5" ht="31.5" x14ac:dyDescent="0.25">
      <c r="A42" s="207" t="str">
        <f>Dictionnary!A40</f>
        <v>ORG1.1</v>
      </c>
      <c r="B42" s="14" t="str">
        <f>Dictionnary!B40</f>
        <v>Organization</v>
      </c>
      <c r="C42" s="15" t="str">
        <f>Dictionnary!C40</f>
        <v>Is the implementation of the quality management system coordinated through a Quality Project Team?</v>
      </c>
      <c r="D42" s="12" t="s">
        <v>3201</v>
      </c>
      <c r="E42" s="103" t="e">
        <f>(COUNTIFS('Phase1 - Fill-in'!A$1:A$1000,A42,'Phase1 - Fill-in'!E$1:E$1000,Dictionnary!C$666)+0.5*COUNTIFS('Phase1 - Fill-in'!A$1:A$1000,A42,'Phase1 - Fill-in'!E$1:E$1000,Dictionnary!C$669))/(COUNTIFS('Phase1 - Fill-in'!A$5:A$1000,A42,'Phase1 - Fill-in'!E$5:E$1000,"&lt;&gt;Dictionnary!C669"))</f>
        <v>#DIV/0!</v>
      </c>
    </row>
    <row r="43" spans="1:5" ht="31.5" x14ac:dyDescent="0.25">
      <c r="A43" s="207" t="str">
        <f>Dictionnary!A41</f>
        <v>ORG1.2</v>
      </c>
      <c r="B43" s="99" t="str">
        <f>Dictionnary!B41</f>
        <v>Organization</v>
      </c>
      <c r="C43" s="17" t="str">
        <f>Dictionnary!C41</f>
        <v>Does the laboratory have a Quality Focal Point to which staff can turn to for information about the quality management system?</v>
      </c>
      <c r="D43" s="16" t="s">
        <v>3200</v>
      </c>
      <c r="E43" s="103" t="e">
        <f>(COUNTIFS('Phase1 - Fill-in'!A$1:A$1000,A43,'Phase1 - Fill-in'!E$1:E$1000,Dictionnary!C$666)+0.5*COUNTIFS('Phase1 - Fill-in'!A$1:A$1000,A43,'Phase1 - Fill-in'!E$1:E$1000,Dictionnary!C$669))/(COUNTIFS('Phase1 - Fill-in'!A$5:A$1000,A43,'Phase1 - Fill-in'!E$5:E$1000,"&lt;&gt;Dictionnary!C669"))</f>
        <v>#DIV/0!</v>
      </c>
    </row>
    <row r="44" spans="1:5" ht="47.25" x14ac:dyDescent="0.25">
      <c r="A44" s="207" t="str">
        <f>Dictionnary!A42</f>
        <v>ORG1.3</v>
      </c>
      <c r="B44" s="14" t="str">
        <f>Dictionnary!B42</f>
        <v>Organization</v>
      </c>
      <c r="C44" s="15" t="str">
        <f>Dictionnary!C42</f>
        <v>Are Quality Project Team meetings held on a regular basis?
The presence of minutes serve as prove for this.</v>
      </c>
      <c r="D44" s="12" t="s">
        <v>3201</v>
      </c>
      <c r="E44" s="103" t="e">
        <f>(COUNTIFS('Phase1 - Fill-in'!A$1:A$1000,A44,'Phase1 - Fill-in'!E$1:E$1000,Dictionnary!C$666)+0.5*COUNTIFS('Phase1 - Fill-in'!A$1:A$1000,A44,'Phase1 - Fill-in'!E$1:E$1000,Dictionnary!C$669))/(COUNTIFS('Phase1 - Fill-in'!A$5:A$1000,A44,'Phase1 - Fill-in'!E$5:E$1000,"&lt;&gt;Dictionnary!C669"))</f>
        <v>#DIV/0!</v>
      </c>
    </row>
    <row r="45" spans="1:5" ht="110.25" x14ac:dyDescent="0.25">
      <c r="A45" s="207" t="str">
        <f>Dictionnary!A43</f>
        <v>ORG1.4</v>
      </c>
      <c r="B45" s="99" t="str">
        <f>Dictionnary!B43</f>
        <v>Organization</v>
      </c>
      <c r="C45" s="17" t="str">
        <f>Dictionnary!C43</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45" s="16" t="s">
        <v>3198</v>
      </c>
      <c r="E45" s="103" t="e">
        <f>(COUNTIFS('Phase1 - Fill-in'!A$1:A$1000,A45,'Phase1 - Fill-in'!E$1:E$1000,Dictionnary!C$666)+0.5*COUNTIFS('Phase1 - Fill-in'!A$1:A$1000,A45,'Phase1 - Fill-in'!E$1:E$1000,Dictionnary!C$669))/(COUNTIFS('Phase1 - Fill-in'!A$5:A$1000,A45,'Phase1 - Fill-in'!E$5:E$1000,"&lt;&gt;Dictionnary!C669"))</f>
        <v>#DIV/0!</v>
      </c>
    </row>
    <row r="46" spans="1:5" ht="15.75" x14ac:dyDescent="0.25">
      <c r="A46" s="207" t="str">
        <f>Dictionnary!A44</f>
        <v>ORG1.5</v>
      </c>
      <c r="B46" s="14" t="str">
        <f>Dictionnary!B44</f>
        <v>Organization</v>
      </c>
      <c r="C46" s="15" t="str">
        <f>Dictionnary!C44</f>
        <v>Does the laboratory make use of action plans with SMART formulated action points?</v>
      </c>
      <c r="D46" s="12" t="s">
        <v>3198</v>
      </c>
      <c r="E46" s="103" t="e">
        <f>(COUNTIFS('Phase1 - Fill-in'!A$1:A$1000,A46,'Phase1 - Fill-in'!E$1:E$1000,Dictionnary!C$666)+0.5*COUNTIFS('Phase1 - Fill-in'!A$1:A$1000,A46,'Phase1 - Fill-in'!E$1:E$1000,Dictionnary!C$669))/(COUNTIFS('Phase1 - Fill-in'!A$5:A$1000,A46,'Phase1 - Fill-in'!E$5:E$1000,"&lt;&gt;Dictionnary!C669"))</f>
        <v>#DIV/0!</v>
      </c>
    </row>
    <row r="47" spans="1:5" ht="47.25" x14ac:dyDescent="0.25">
      <c r="A47" s="207" t="str">
        <f>Dictionnary!A45</f>
        <v>ORG1.6</v>
      </c>
      <c r="B47" s="99" t="str">
        <f>Dictionnary!B45</f>
        <v>Organization</v>
      </c>
      <c r="C47" s="17" t="str">
        <f>Dictionnary!C45</f>
        <v>Are action plans all stored together in one folder, with a logical structure (e.g. completed action plans in the back, open action plans in the front, sorted on date, etc.)?</v>
      </c>
      <c r="D47" s="16" t="s">
        <v>3199</v>
      </c>
      <c r="E47" s="103" t="e">
        <f>(COUNTIFS('Phase1 - Fill-in'!A$1:A$1000,A47,'Phase1 - Fill-in'!E$1:E$1000,Dictionnary!C$666)+0.5*COUNTIFS('Phase1 - Fill-in'!A$1:A$1000,A47,'Phase1 - Fill-in'!E$1:E$1000,Dictionnary!C$669))/(COUNTIFS('Phase1 - Fill-in'!A$5:A$1000,A47,'Phase1 - Fill-in'!E$5:E$1000,"&lt;&gt;Dictionnary!C669"))</f>
        <v>#DIV/0!</v>
      </c>
    </row>
    <row r="48" spans="1:5" ht="78.75" x14ac:dyDescent="0.25">
      <c r="A48" s="207" t="str">
        <f>Dictionnary!A46</f>
        <v>ORG1.7</v>
      </c>
      <c r="B48" s="14" t="str">
        <f>Dictionnary!B46</f>
        <v>Organization</v>
      </c>
      <c r="C48" s="15" t="str">
        <f>Dictionnary!C46</f>
        <v>Is the completion of action points and action plans checked on a monthly basis and, if necessary, followed-up?
I.e. do you see action points that have not been completed while their deadline has passed?</v>
      </c>
      <c r="D48" s="16" t="s">
        <v>3198</v>
      </c>
      <c r="E48" s="103" t="e">
        <f>(COUNTIFS('Phase1 - Fill-in'!A$1:A$1000,A48,'Phase1 - Fill-in'!E$1:E$1000,Dictionnary!C$666)+0.5*COUNTIFS('Phase1 - Fill-in'!A$1:A$1000,A48,'Phase1 - Fill-in'!E$1:E$1000,Dictionnary!C$669))/(COUNTIFS('Phase1 - Fill-in'!A$5:A$1000,A48,'Phase1 - Fill-in'!E$5:E$1000,"&lt;&gt;Dictionnary!C669"))</f>
        <v>#DIV/0!</v>
      </c>
    </row>
    <row r="49" spans="1:5" ht="15.75" x14ac:dyDescent="0.25">
      <c r="A49" s="207" t="str">
        <f>Dictionnary!A47</f>
        <v>ORG1.8</v>
      </c>
      <c r="B49" s="99" t="str">
        <f>Dictionnary!B47</f>
        <v>Organization</v>
      </c>
      <c r="C49" s="17" t="str">
        <f>Dictionnary!C47</f>
        <v>Are staff meetings held regularly (weekly)?</v>
      </c>
      <c r="D49" s="12" t="s">
        <v>3198</v>
      </c>
      <c r="E49" s="103" t="e">
        <f>(COUNTIFS('Phase1 - Fill-in'!A$1:A$1000,A49,'Phase1 - Fill-in'!E$1:E$1000,Dictionnary!C$666)+0.5*COUNTIFS('Phase1 - Fill-in'!A$1:A$1000,A49,'Phase1 - Fill-in'!E$1:E$1000,Dictionnary!C$669))/(COUNTIFS('Phase1 - Fill-in'!A$5:A$1000,A49,'Phase1 - Fill-in'!E$5:E$1000,"&lt;&gt;Dictionnary!C669"))</f>
        <v>#DIV/0!</v>
      </c>
    </row>
    <row r="50" spans="1:5" ht="15.75" x14ac:dyDescent="0.25">
      <c r="A50" s="207" t="str">
        <f>Dictionnary!A48</f>
        <v>ORG1.9</v>
      </c>
      <c r="B50" s="14" t="str">
        <f>Dictionnary!B48</f>
        <v>Organization</v>
      </c>
      <c r="C50" s="15" t="str">
        <f>Dictionnary!C48</f>
        <v>Are minutes made of weekly staff meetings?</v>
      </c>
      <c r="D50" s="16" t="s">
        <v>3199</v>
      </c>
      <c r="E50" s="103" t="e">
        <f>(COUNTIFS('Phase1 - Fill-in'!A$1:A$1000,A50,'Phase1 - Fill-in'!E$1:E$1000,Dictionnary!C$666)+0.5*COUNTIFS('Phase1 - Fill-in'!A$1:A$1000,A50,'Phase1 - Fill-in'!E$1:E$1000,Dictionnary!C$669))/(COUNTIFS('Phase1 - Fill-in'!A$5:A$1000,A50,'Phase1 - Fill-in'!E$5:E$1000,"&lt;&gt;Dictionnary!C669"))</f>
        <v>#DIV/0!</v>
      </c>
    </row>
    <row r="51" spans="1:5" ht="31.5" x14ac:dyDescent="0.25">
      <c r="A51" s="207" t="str">
        <f>Dictionnary!A49</f>
        <v>ORG1.10</v>
      </c>
      <c r="B51" s="99" t="str">
        <f>Dictionnary!B49</f>
        <v>Organization</v>
      </c>
      <c r="C51" s="17" t="str">
        <f>Dictionnary!C49</f>
        <v>Do the minutes of weekly staff meetings include a summary of discussions, SMART action points and the agenda for next week?</v>
      </c>
      <c r="D51" s="12" t="s">
        <v>3198</v>
      </c>
      <c r="E51" s="103" t="e">
        <f>(COUNTIFS('Phase1 - Fill-in'!A$1:A$1000,A51,'Phase1 - Fill-in'!E$1:E$1000,Dictionnary!C$666)+0.5*COUNTIFS('Phase1 - Fill-in'!A$1:A$1000,A51,'Phase1 - Fill-in'!E$1:E$1000,Dictionnary!C$669))/(COUNTIFS('Phase1 - Fill-in'!A$5:A$1000,A51,'Phase1 - Fill-in'!E$5:E$1000,"&lt;&gt;Dictionnary!C669"))</f>
        <v>#DIV/0!</v>
      </c>
    </row>
    <row r="52" spans="1:5" ht="15.75" x14ac:dyDescent="0.25">
      <c r="A52" s="207" t="str">
        <f>Dictionnary!A50</f>
        <v>ORG1.11</v>
      </c>
      <c r="B52" s="14" t="str">
        <f>Dictionnary!B50</f>
        <v>Organization</v>
      </c>
      <c r="C52" s="15" t="str">
        <f>Dictionnary!C50</f>
        <v>Are the minutes of weekly staff meetings stored in a well-organized way?</v>
      </c>
      <c r="D52" s="16" t="s">
        <v>3200</v>
      </c>
      <c r="E52" s="103" t="e">
        <f>(COUNTIFS('Phase1 - Fill-in'!A$1:A$1000,A52,'Phase1 - Fill-in'!E$1:E$1000,Dictionnary!C$666)+0.5*COUNTIFS('Phase1 - Fill-in'!A$1:A$1000,A52,'Phase1 - Fill-in'!E$1:E$1000,Dictionnary!C$669))/(COUNTIFS('Phase1 - Fill-in'!A$5:A$1000,A52,'Phase1 - Fill-in'!E$5:E$1000,"&lt;&gt;Dictionnary!C669"))</f>
        <v>#DIV/0!</v>
      </c>
    </row>
    <row r="53" spans="1:5" ht="15.75" x14ac:dyDescent="0.25">
      <c r="A53" s="207" t="str">
        <f>Dictionnary!A51</f>
        <v>ORG1.12</v>
      </c>
      <c r="B53" s="99" t="str">
        <f>Dictionnary!B51</f>
        <v>Organization</v>
      </c>
      <c r="C53" s="17" t="str">
        <f>Dictionnary!C51</f>
        <v>Has a Biosafety Officer been appointed?</v>
      </c>
      <c r="D53" s="12" t="s">
        <v>3201</v>
      </c>
      <c r="E53" s="103" t="e">
        <f>(COUNTIFS('Phase1 - Fill-in'!A$1:A$1000,A53,'Phase1 - Fill-in'!E$1:E$1000,Dictionnary!C$666)+0.5*COUNTIFS('Phase1 - Fill-in'!A$1:A$1000,A53,'Phase1 - Fill-in'!E$1:E$1000,Dictionnary!C$669))/(COUNTIFS('Phase1 - Fill-in'!A$5:A$1000,A53,'Phase1 - Fill-in'!E$5:E$1000,"&lt;&gt;Dictionnary!C669"))</f>
        <v>#DIV/0!</v>
      </c>
    </row>
    <row r="54" spans="1:5" ht="15.75" x14ac:dyDescent="0.25">
      <c r="A54" s="207" t="str">
        <f>Dictionnary!A52</f>
        <v>ORG1.13</v>
      </c>
      <c r="B54" s="14" t="str">
        <f>Dictionnary!B52</f>
        <v>Organization</v>
      </c>
      <c r="C54" s="15" t="str">
        <f>Dictionnary!C52</f>
        <v>Is there a description of the tasks and responsibilities of the Biosafety Officer?</v>
      </c>
      <c r="D54" s="16" t="s">
        <v>3200</v>
      </c>
      <c r="E54" s="103" t="e">
        <f>(COUNTIFS('Phase1 - Fill-in'!A$1:A$1000,A54,'Phase1 - Fill-in'!E$1:E$1000,Dictionnary!C$666)+0.5*COUNTIFS('Phase1 - Fill-in'!A$1:A$1000,A54,'Phase1 - Fill-in'!E$1:E$1000,Dictionnary!C$669))/(COUNTIFS('Phase1 - Fill-in'!A$5:A$1000,A54,'Phase1 - Fill-in'!E$5:E$1000,"&lt;&gt;Dictionnary!C669"))</f>
        <v>#DIV/0!</v>
      </c>
    </row>
    <row r="55" spans="1:5" ht="15.75" x14ac:dyDescent="0.25">
      <c r="A55" s="207" t="str">
        <f>Dictionnary!A53</f>
        <v>ORG1.14</v>
      </c>
      <c r="B55" s="99" t="str">
        <f>Dictionnary!B53</f>
        <v>Organization</v>
      </c>
      <c r="C55" s="17" t="str">
        <f>Dictionnary!C53</f>
        <v>Do all the staff members know who the Biosafety Officer is?</v>
      </c>
      <c r="D55" s="12" t="s">
        <v>3201</v>
      </c>
      <c r="E55" s="103" t="e">
        <f>(COUNTIFS('Phase1 - Fill-in'!A$1:A$1000,A55,'Phase1 - Fill-in'!E$1:E$1000,Dictionnary!C$666)+0.5*COUNTIFS('Phase1 - Fill-in'!A$1:A$1000,A55,'Phase1 - Fill-in'!E$1:E$1000,Dictionnary!C$669))/(COUNTIFS('Phase1 - Fill-in'!A$5:A$1000,A55,'Phase1 - Fill-in'!E$5:E$1000,"&lt;&gt;Dictionnary!C669"))</f>
        <v>#DIV/0!</v>
      </c>
    </row>
    <row r="56" spans="1:5" ht="15.75" x14ac:dyDescent="0.25">
      <c r="A56" s="207" t="str">
        <f>Dictionnary!A54</f>
        <v>ORG1.15</v>
      </c>
      <c r="B56" s="14" t="str">
        <f>Dictionnary!B54</f>
        <v>Organization</v>
      </c>
      <c r="C56" s="15" t="str">
        <f>Dictionnary!C54</f>
        <v>Do all the staff members know the function of the Biosafety Officer?</v>
      </c>
      <c r="D56" s="16" t="s">
        <v>3198</v>
      </c>
      <c r="E56" s="103" t="e">
        <f>(COUNTIFS('Phase1 - Fill-in'!A$1:A$1000,A56,'Phase1 - Fill-in'!E$1:E$1000,Dictionnary!C$666)+0.5*COUNTIFS('Phase1 - Fill-in'!A$1:A$1000,A56,'Phase1 - Fill-in'!E$1:E$1000,Dictionnary!C$669))/(COUNTIFS('Phase1 - Fill-in'!A$5:A$1000,A56,'Phase1 - Fill-in'!E$5:E$1000,"&lt;&gt;Dictionnary!C669"))</f>
        <v>#DIV/0!</v>
      </c>
    </row>
    <row r="57" spans="1:5" ht="15.75" x14ac:dyDescent="0.25">
      <c r="A57" s="207" t="str">
        <f>Dictionnary!A55</f>
        <v>ORG1.16</v>
      </c>
      <c r="B57" s="99" t="str">
        <f>Dictionnary!B55</f>
        <v>Organization</v>
      </c>
      <c r="C57" s="17" t="str">
        <f>Dictionnary!C55</f>
        <v>Has an Equipment Officer been appointed?</v>
      </c>
      <c r="D57" s="12" t="s">
        <v>3198</v>
      </c>
      <c r="E57" s="103" t="e">
        <f>(COUNTIFS('Phase1 - Fill-in'!A$1:A$1000,A57,'Phase1 - Fill-in'!E$1:E$1000,Dictionnary!C$666)+0.5*COUNTIFS('Phase1 - Fill-in'!A$1:A$1000,A57,'Phase1 - Fill-in'!E$1:E$1000,Dictionnary!C$669))/(COUNTIFS('Phase1 - Fill-in'!A$5:A$1000,A57,'Phase1 - Fill-in'!E$5:E$1000,"&lt;&gt;Dictionnary!C669"))</f>
        <v>#DIV/0!</v>
      </c>
    </row>
    <row r="58" spans="1:5" ht="31.5" x14ac:dyDescent="0.25">
      <c r="A58" s="207" t="str">
        <f>Dictionnary!A56</f>
        <v>ORG1.17</v>
      </c>
      <c r="B58" s="14" t="str">
        <f>Dictionnary!B56</f>
        <v>Organization</v>
      </c>
      <c r="C58" s="15" t="str">
        <f>Dictionnary!C56</f>
        <v>Is the Equipment Officer trained in calibration and technical maintenance of equipment (if necessary)?</v>
      </c>
      <c r="D58" s="16" t="s">
        <v>3199</v>
      </c>
      <c r="E58" s="103" t="e">
        <f>(COUNTIFS('Phase1 - Fill-in'!A$1:A$1000,A58,'Phase1 - Fill-in'!E$1:E$1000,Dictionnary!C$666)+0.5*COUNTIFS('Phase1 - Fill-in'!A$1:A$1000,A58,'Phase1 - Fill-in'!E$1:E$1000,Dictionnary!C$669))/(COUNTIFS('Phase1 - Fill-in'!A$5:A$1000,A58,'Phase1 - Fill-in'!E$5:E$1000,"&lt;&gt;Dictionnary!C669"))</f>
        <v>#DIV/0!</v>
      </c>
    </row>
    <row r="59" spans="1:5" ht="31.5" x14ac:dyDescent="0.25">
      <c r="A59" s="207" t="str">
        <f>Dictionnary!A57</f>
        <v>ORG1.18</v>
      </c>
      <c r="B59" s="99" t="str">
        <f>Dictionnary!B57</f>
        <v>Organization</v>
      </c>
      <c r="C59" s="17" t="str">
        <f>Dictionnary!C57</f>
        <v>Is the Equipment Officer protected against overburdening of work by allocating tasks of his/her former work to other staff members (if necessary)?</v>
      </c>
      <c r="D59" s="16" t="s">
        <v>3198</v>
      </c>
      <c r="E59" s="103" t="e">
        <f>(COUNTIFS('Phase1 - Fill-in'!A$1:A$1000,A59,'Phase1 - Fill-in'!E$1:E$1000,Dictionnary!C$666)+0.5*COUNTIFS('Phase1 - Fill-in'!A$1:A$1000,A59,'Phase1 - Fill-in'!E$1:E$1000,Dictionnary!C$669))/(COUNTIFS('Phase1 - Fill-in'!A$5:A$1000,A59,'Phase1 - Fill-in'!E$5:E$1000,"&lt;&gt;Dictionnary!C669"))</f>
        <v>#DIV/0!</v>
      </c>
    </row>
    <row r="60" spans="1:5" ht="31.5" x14ac:dyDescent="0.25">
      <c r="A60" s="207" t="str">
        <f>Dictionnary!A58</f>
        <v>ORG1.19</v>
      </c>
      <c r="B60" s="14" t="str">
        <f>Dictionnary!B58</f>
        <v>Organization</v>
      </c>
      <c r="C60" s="15" t="str">
        <f>Dictionnary!C58</f>
        <v>Does the laboratory have a designated person who is responsible for monitoring stocks and ordering supplies and reagents (called a â€œStock Officerâ€)?</v>
      </c>
      <c r="D60" s="12" t="s">
        <v>3198</v>
      </c>
      <c r="E60" s="103" t="e">
        <f>(COUNTIFS('Phase1 - Fill-in'!A$1:A$1000,A60,'Phase1 - Fill-in'!E$1:E$1000,Dictionnary!C$666)+0.5*COUNTIFS('Phase1 - Fill-in'!A$1:A$1000,A60,'Phase1 - Fill-in'!E$1:E$1000,Dictionnary!C$669))/(COUNTIFS('Phase1 - Fill-in'!A$5:A$1000,A60,'Phase1 - Fill-in'!E$5:E$1000,"&lt;&gt;Dictionnary!C669"))</f>
        <v>#DIV/0!</v>
      </c>
    </row>
    <row r="61" spans="1:5" ht="31.5" x14ac:dyDescent="0.25">
      <c r="A61" s="207" t="str">
        <f>Dictionnary!A59</f>
        <v>ORG1.20</v>
      </c>
      <c r="B61" s="99" t="str">
        <f>Dictionnary!B59</f>
        <v>Organization</v>
      </c>
      <c r="C61" s="17" t="str">
        <f>Dictionnary!C59</f>
        <v>Are all laboratory staff members aware of the existence of the position of Stock Officer?</v>
      </c>
      <c r="D61" s="16" t="s">
        <v>3199</v>
      </c>
      <c r="E61" s="103" t="e">
        <f>(COUNTIFS('Phase1 - Fill-in'!A$1:A$1000,A61,'Phase1 - Fill-in'!E$1:E$1000,Dictionnary!C$666)+0.5*COUNTIFS('Phase1 - Fill-in'!A$1:A$1000,A61,'Phase1 - Fill-in'!E$1:E$1000,Dictionnary!C$669))/(COUNTIFS('Phase1 - Fill-in'!A$5:A$1000,A61,'Phase1 - Fill-in'!E$5:E$1000,"&lt;&gt;Dictionnary!C669"))</f>
        <v>#DIV/0!</v>
      </c>
    </row>
    <row r="62" spans="1:5" ht="15.75" x14ac:dyDescent="0.25">
      <c r="A62" s="207" t="str">
        <f>Dictionnary!A60</f>
        <v>ORG1.21</v>
      </c>
      <c r="B62" s="14" t="str">
        <f>Dictionnary!B60</f>
        <v>Organization</v>
      </c>
      <c r="C62" s="15" t="str">
        <f>Dictionnary!C60</f>
        <v>Do all laboratory staff members know who the Stock Officer is?</v>
      </c>
      <c r="D62" s="12" t="s">
        <v>3198</v>
      </c>
      <c r="E62" s="103" t="e">
        <f>(COUNTIFS('Phase1 - Fill-in'!A$1:A$1000,A62,'Phase1 - Fill-in'!E$1:E$1000,Dictionnary!C$666)+0.5*COUNTIFS('Phase1 - Fill-in'!A$1:A$1000,A62,'Phase1 - Fill-in'!E$1:E$1000,Dictionnary!C$669))/(COUNTIFS('Phase1 - Fill-in'!A$5:A$1000,A62,'Phase1 - Fill-in'!E$5:E$1000,"&lt;&gt;Dictionnary!C669"))</f>
        <v>#DIV/0!</v>
      </c>
    </row>
    <row r="63" spans="1:5" ht="15.75" x14ac:dyDescent="0.25">
      <c r="A63" s="207" t="str">
        <f>Dictionnary!A61</f>
        <v>ORG1.22</v>
      </c>
      <c r="B63" s="99" t="str">
        <f>Dictionnary!B61</f>
        <v>Organization</v>
      </c>
      <c r="C63" s="17" t="str">
        <f>Dictionnary!C61</f>
        <v>Do all laboratory staff members know what the tasks are of the Stock Officer?</v>
      </c>
      <c r="D63" s="16" t="s">
        <v>3200</v>
      </c>
      <c r="E63" s="103" t="e">
        <f>(COUNTIFS('Phase1 - Fill-in'!A$1:A$1000,A63,'Phase1 - Fill-in'!E$1:E$1000,Dictionnary!C$666)+0.5*COUNTIFS('Phase1 - Fill-in'!A$1:A$1000,A63,'Phase1 - Fill-in'!E$1:E$1000,Dictionnary!C$669))/(COUNTIFS('Phase1 - Fill-in'!A$5:A$1000,A63,'Phase1 - Fill-in'!E$5:E$1000,"&lt;&gt;Dictionnary!C669"))</f>
        <v>#DIV/0!</v>
      </c>
    </row>
    <row r="64" spans="1:5" ht="47.25" x14ac:dyDescent="0.25">
      <c r="A64" s="207" t="str">
        <f>Dictionnary!A62</f>
        <v>ORG1.23</v>
      </c>
      <c r="B64" s="14" t="str">
        <f>Dictionnary!B62</f>
        <v>Organization</v>
      </c>
      <c r="C64" s="15" t="str">
        <f>Dictionnary!C62</f>
        <v>If the laboratory is part of a bigger organization: does the laboratory have an Organizational Chart that clearly shows the position of the laboratory within the bigger organization?</v>
      </c>
      <c r="D64" s="12" t="s">
        <v>3201</v>
      </c>
      <c r="E64" s="103" t="e">
        <f>(COUNTIFS('Phase1 - Fill-in'!A$1:A$1000,A64,'Phase1 - Fill-in'!E$1:E$1000,Dictionnary!C$666)+0.5*COUNTIFS('Phase1 - Fill-in'!A$1:A$1000,A64,'Phase1 - Fill-in'!E$1:E$1000,Dictionnary!C$669))/(COUNTIFS('Phase1 - Fill-in'!A$5:A$1000,A64,'Phase1 - Fill-in'!E$5:E$1000,"&lt;&gt;Dictionnary!C669"))</f>
        <v>#DIV/0!</v>
      </c>
    </row>
    <row r="65" spans="1:5" ht="31.5" x14ac:dyDescent="0.25">
      <c r="A65" s="207" t="str">
        <f>Dictionnary!A63</f>
        <v>ORG1.24</v>
      </c>
      <c r="B65" s="99" t="str">
        <f>Dictionnary!B63</f>
        <v>Organization</v>
      </c>
      <c r="C65" s="17" t="str">
        <f>Dictionnary!C63</f>
        <v>Is the Organizational Chart that shows the position of the laboratory in the bigger organization signed and dated by the management of the bigger organization?</v>
      </c>
      <c r="D65" s="16" t="s">
        <v>3200</v>
      </c>
      <c r="E65" s="103" t="e">
        <f>(COUNTIFS('Phase1 - Fill-in'!A$1:A$1000,A65,'Phase1 - Fill-in'!E$1:E$1000,Dictionnary!C$666)+0.5*COUNTIFS('Phase1 - Fill-in'!A$1:A$1000,A65,'Phase1 - Fill-in'!E$1:E$1000,Dictionnary!C$669))/(COUNTIFS('Phase1 - Fill-in'!A$5:A$1000,A65,'Phase1 - Fill-in'!E$5:E$1000,"&lt;&gt;Dictionnary!C669"))</f>
        <v>#DIV/0!</v>
      </c>
    </row>
    <row r="66" spans="1:5" ht="31.5" x14ac:dyDescent="0.25">
      <c r="A66" s="207" t="str">
        <f>Dictionnary!A64</f>
        <v>ORG1.25</v>
      </c>
      <c r="B66" s="14" t="str">
        <f>Dictionnary!B64</f>
        <v>Organization</v>
      </c>
      <c r="C66" s="15" t="str">
        <f>Dictionnary!C64</f>
        <v>Does the laboratory have an Organizational Chart showing the organization of all positions within the laboratory?</v>
      </c>
      <c r="D66" s="12" t="s">
        <v>3201</v>
      </c>
      <c r="E66" s="103" t="e">
        <f>(COUNTIFS('Phase1 - Fill-in'!A$1:A$1000,A66,'Phase1 - Fill-in'!E$1:E$1000,Dictionnary!C$666)+0.5*COUNTIFS('Phase1 - Fill-in'!A$1:A$1000,A66,'Phase1 - Fill-in'!E$1:E$1000,Dictionnary!C$669))/(COUNTIFS('Phase1 - Fill-in'!A$5:A$1000,A66,'Phase1 - Fill-in'!E$5:E$1000,"&lt;&gt;Dictionnary!C669"))</f>
        <v>#DIV/0!</v>
      </c>
    </row>
    <row r="67" spans="1:5" ht="31.5" x14ac:dyDescent="0.25">
      <c r="A67" s="207" t="str">
        <f>Dictionnary!A65</f>
        <v>ORG1.26</v>
      </c>
      <c r="B67" s="99" t="str">
        <f>Dictionnary!B65</f>
        <v>Organization</v>
      </c>
      <c r="C67" s="17" t="str">
        <f>Dictionnary!C65</f>
        <v>Is the chart showing the organization of positions within the laboratory signed and dated by the Laboratory Manager?</v>
      </c>
      <c r="D67" s="16" t="s">
        <v>3198</v>
      </c>
      <c r="E67" s="103" t="e">
        <f>(COUNTIFS('Phase1 - Fill-in'!A$1:A$1000,A67,'Phase1 - Fill-in'!E$1:E$1000,Dictionnary!C$666)+0.5*COUNTIFS('Phase1 - Fill-in'!A$1:A$1000,A67,'Phase1 - Fill-in'!E$1:E$1000,Dictionnary!C$669))/(COUNTIFS('Phase1 - Fill-in'!A$5:A$1000,A67,'Phase1 - Fill-in'!E$5:E$1000,"&lt;&gt;Dictionnary!C669"))</f>
        <v>#DIV/0!</v>
      </c>
    </row>
    <row r="68" spans="1:5" ht="31.5" x14ac:dyDescent="0.25">
      <c r="A68" s="207" t="str">
        <f>Dictionnary!A66</f>
        <v>ORG1.27</v>
      </c>
      <c r="B68" s="14" t="str">
        <f>Dictionnary!B66</f>
        <v>Organization</v>
      </c>
      <c r="C68" s="15" t="str">
        <f>Dictionnary!C66</f>
        <v>Are the Organizational Chart(s) stored in a folder that is accessible to all the staff members of the laboratory?</v>
      </c>
      <c r="D68" s="12" t="s">
        <v>3198</v>
      </c>
      <c r="E68" s="103" t="e">
        <f>(COUNTIFS('Phase1 - Fill-in'!A$1:A$1000,A68,'Phase1 - Fill-in'!E$1:E$1000,Dictionnary!C$666)+0.5*COUNTIFS('Phase1 - Fill-in'!A$1:A$1000,A68,'Phase1 - Fill-in'!E$1:E$1000,Dictionnary!C$669))/(COUNTIFS('Phase1 - Fill-in'!A$5:A$1000,A68,'Phase1 - Fill-in'!E$5:E$1000,"&lt;&gt;Dictionnary!C669"))</f>
        <v>#DIV/0!</v>
      </c>
    </row>
    <row r="69" spans="1:5" ht="78.75" x14ac:dyDescent="0.25">
      <c r="A69" s="207" t="str">
        <f>Dictionnary!A67</f>
        <v>PERS1.1</v>
      </c>
      <c r="B69" s="99" t="str">
        <f>Dictionnary!B67</f>
        <v>Personnel</v>
      </c>
      <c r="C69" s="17" t="str">
        <f>Dictionnary!C67</f>
        <v>Has commitment to implement a quality management system been created among laboratory staff?
Interview various staff members to find out if a meeting was held and if this was successful.</v>
      </c>
      <c r="D69" s="16" t="s">
        <v>3199</v>
      </c>
      <c r="E69" s="103" t="e">
        <f>(COUNTIFS('Phase1 - Fill-in'!A$1:A$1000,A69,'Phase1 - Fill-in'!E$1:E$1000,Dictionnary!C$666)+0.5*COUNTIFS('Phase1 - Fill-in'!A$1:A$1000,A69,'Phase1 - Fill-in'!E$1:E$1000,Dictionnary!C$669))/(COUNTIFS('Phase1 - Fill-in'!A$5:A$1000,A69,'Phase1 - Fill-in'!E$5:E$1000,"&lt;&gt;Dictionnary!C669"))</f>
        <v>#DIV/0!</v>
      </c>
    </row>
    <row r="70" spans="1:5" ht="31.5" x14ac:dyDescent="0.25">
      <c r="A70" s="207" t="str">
        <f>Dictionnary!A68</f>
        <v>PERS1.2</v>
      </c>
      <c r="B70" s="14" t="str">
        <f>Dictionnary!B68</f>
        <v>Personnel</v>
      </c>
      <c r="C70" s="15" t="str">
        <f>Dictionnary!C68</f>
        <v>Have all staff members participated in an introductory course in quality management for medical laboratories?</v>
      </c>
      <c r="D70" s="16" t="s">
        <v>3198</v>
      </c>
      <c r="E70" s="103" t="e">
        <f>(COUNTIFS('Phase1 - Fill-in'!A$1:A$1000,A70,'Phase1 - Fill-in'!E$1:E$1000,Dictionnary!C$666)+0.5*COUNTIFS('Phase1 - Fill-in'!A$1:A$1000,A70,'Phase1 - Fill-in'!E$1:E$1000,Dictionnary!C$669))/(COUNTIFS('Phase1 - Fill-in'!A$5:A$1000,A70,'Phase1 - Fill-in'!E$5:E$1000,"&lt;&gt;Dictionnary!C669"))</f>
        <v>#DIV/0!</v>
      </c>
    </row>
    <row r="71" spans="1:5" ht="31.5" x14ac:dyDescent="0.25">
      <c r="A71" s="207" t="str">
        <f>Dictionnary!A69</f>
        <v>PERS1.3</v>
      </c>
      <c r="B71" s="99" t="str">
        <f>Dictionnary!B69</f>
        <v>Personnel</v>
      </c>
      <c r="C71" s="17" t="str">
        <f>Dictionnary!C69</f>
        <v>Have certificates of the introductory course in quality management been stored in the Personnel Files folder?</v>
      </c>
      <c r="D71" s="12" t="s">
        <v>3198</v>
      </c>
      <c r="E71" s="103" t="e">
        <f>(COUNTIFS('Phase1 - Fill-in'!A$1:A$1000,A71,'Phase1 - Fill-in'!E$1:E$1000,Dictionnary!C$666)+0.5*COUNTIFS('Phase1 - Fill-in'!A$1:A$1000,A71,'Phase1 - Fill-in'!E$1:E$1000,Dictionnary!C$669))/(COUNTIFS('Phase1 - Fill-in'!A$5:A$1000,A71,'Phase1 - Fill-in'!E$5:E$1000,"&lt;&gt;Dictionnary!C669"))</f>
        <v>#DIV/0!</v>
      </c>
    </row>
    <row r="72" spans="1:5" ht="15.75" x14ac:dyDescent="0.25">
      <c r="A72" s="207" t="str">
        <f>Dictionnary!A70</f>
        <v>PERS1.4</v>
      </c>
      <c r="B72" s="14" t="str">
        <f>Dictionnary!B70</f>
        <v>Personnel</v>
      </c>
      <c r="C72" s="15" t="str">
        <f>Dictionnary!C70</f>
        <v>Has the Biosafety Officer received laboratory biosafety training?</v>
      </c>
      <c r="D72" s="16" t="s">
        <v>3199</v>
      </c>
      <c r="E72" s="103" t="e">
        <f>(COUNTIFS('Phase1 - Fill-in'!A$1:A$1000,A72,'Phase1 - Fill-in'!E$1:E$1000,Dictionnary!C$666)+0.5*COUNTIFS('Phase1 - Fill-in'!A$1:A$1000,A72,'Phase1 - Fill-in'!E$1:E$1000,Dictionnary!C$669))/(COUNTIFS('Phase1 - Fill-in'!A$5:A$1000,A72,'Phase1 - Fill-in'!E$5:E$1000,"&lt;&gt;Dictionnary!C669"))</f>
        <v>#DIV/0!</v>
      </c>
    </row>
    <row r="73" spans="1:5" ht="31.5" x14ac:dyDescent="0.25">
      <c r="A73" s="207" t="str">
        <f>Dictionnary!A71</f>
        <v>PERS1.5</v>
      </c>
      <c r="B73" s="99" t="str">
        <f>Dictionnary!B71</f>
        <v>Personnel</v>
      </c>
      <c r="C73" s="17" t="str">
        <f>Dictionnary!C71</f>
        <v>Is the certificate of the laboratory biosafety training of the Biosafety Officer stored in a folder called "Personnel Files"?</v>
      </c>
      <c r="D73" s="12" t="s">
        <v>3198</v>
      </c>
      <c r="E73" s="103" t="e">
        <f>(COUNTIFS('Phase1 - Fill-in'!A$1:A$1000,A73,'Phase1 - Fill-in'!E$1:E$1000,Dictionnary!C$666)+0.5*COUNTIFS('Phase1 - Fill-in'!A$1:A$1000,A73,'Phase1 - Fill-in'!E$1:E$1000,Dictionnary!C$669))/(COUNTIFS('Phase1 - Fill-in'!A$5:A$1000,A73,'Phase1 - Fill-in'!E$5:E$1000,"&lt;&gt;Dictionnary!C669"))</f>
        <v>#DIV/0!</v>
      </c>
    </row>
    <row r="74" spans="1:5" ht="31.5" x14ac:dyDescent="0.25">
      <c r="A74" s="207" t="str">
        <f>Dictionnary!A72</f>
        <v>PERS1.6</v>
      </c>
      <c r="B74" s="14" t="str">
        <f>Dictionnary!B72</f>
        <v>Personnel</v>
      </c>
      <c r="C74" s="15" t="str">
        <f>Dictionnary!C72</f>
        <v>Does the laboratory have an Authorization Matrix, showing for each position in the laboratory the authorizations, responsibilities and tasks?</v>
      </c>
      <c r="D74" s="16" t="s">
        <v>3200</v>
      </c>
      <c r="E74" s="103" t="e">
        <f>(COUNTIFS('Phase1 - Fill-in'!A$1:A$1000,A74,'Phase1 - Fill-in'!E$1:E$1000,Dictionnary!C$666)+0.5*COUNTIFS('Phase1 - Fill-in'!A$1:A$1000,A74,'Phase1 - Fill-in'!E$1:E$1000,Dictionnary!C$669))/(COUNTIFS('Phase1 - Fill-in'!A$5:A$1000,A74,'Phase1 - Fill-in'!E$5:E$1000,"&lt;&gt;Dictionnary!C669"))</f>
        <v>#DIV/0!</v>
      </c>
    </row>
    <row r="75" spans="1:5" ht="15.75" x14ac:dyDescent="0.25">
      <c r="A75" s="207" t="str">
        <f>Dictionnary!A73</f>
        <v>PERS1.7</v>
      </c>
      <c r="B75" s="99" t="str">
        <f>Dictionnary!B73</f>
        <v>Personnel</v>
      </c>
      <c r="C75" s="17" t="str">
        <f>Dictionnary!C73</f>
        <v>Is the Authorization Matrix signed and dated by the Laboratory Manager?</v>
      </c>
      <c r="D75" s="12" t="s">
        <v>3201</v>
      </c>
      <c r="E75" s="103" t="e">
        <f>(COUNTIFS('Phase1 - Fill-in'!A$1:A$1000,A75,'Phase1 - Fill-in'!E$1:E$1000,Dictionnary!C$666)+0.5*COUNTIFS('Phase1 - Fill-in'!A$1:A$1000,A75,'Phase1 - Fill-in'!E$1:E$1000,Dictionnary!C$669))/(COUNTIFS('Phase1 - Fill-in'!A$5:A$1000,A75,'Phase1 - Fill-in'!E$5:E$1000,"&lt;&gt;Dictionnary!C669"))</f>
        <v>#DIV/0!</v>
      </c>
    </row>
    <row r="76" spans="1:5" ht="15.75" x14ac:dyDescent="0.25">
      <c r="A76" s="207" t="str">
        <f>Dictionnary!A74</f>
        <v>PERS1.8</v>
      </c>
      <c r="B76" s="14" t="str">
        <f>Dictionnary!B74</f>
        <v>Personnel</v>
      </c>
      <c r="C76" s="15" t="str">
        <f>Dictionnary!C74</f>
        <v>Is the Authorization Matrix accessible to all staff members?</v>
      </c>
      <c r="D76" s="16" t="s">
        <v>3198</v>
      </c>
      <c r="E76" s="103" t="e">
        <f>(COUNTIFS('Phase1 - Fill-in'!A$1:A$1000,A76,'Phase1 - Fill-in'!E$1:E$1000,Dictionnary!C$666)+0.5*COUNTIFS('Phase1 - Fill-in'!A$1:A$1000,A76,'Phase1 - Fill-in'!E$1:E$1000,Dictionnary!C$669))/(COUNTIFS('Phase1 - Fill-in'!A$5:A$1000,A76,'Phase1 - Fill-in'!E$5:E$1000,"&lt;&gt;Dictionnary!C669"))</f>
        <v>#DIV/0!</v>
      </c>
    </row>
    <row r="77" spans="1:5" ht="15.75" x14ac:dyDescent="0.25">
      <c r="A77" s="207" t="str">
        <f>Dictionnary!A75</f>
        <v>PERS1.9</v>
      </c>
      <c r="B77" s="99" t="str">
        <f>Dictionnary!B75</f>
        <v>Personnel</v>
      </c>
      <c r="C77" s="17" t="str">
        <f>Dictionnary!C75</f>
        <v>Do staff members know what the Authorization Matrix is?</v>
      </c>
      <c r="D77" s="16" t="s">
        <v>3198</v>
      </c>
      <c r="E77" s="103" t="e">
        <f>(COUNTIFS('Phase1 - Fill-in'!A$1:A$1000,A77,'Phase1 - Fill-in'!E$1:E$1000,Dictionnary!C$666)+0.5*COUNTIFS('Phase1 - Fill-in'!A$1:A$1000,A77,'Phase1 - Fill-in'!E$1:E$1000,Dictionnary!C$669))/(COUNTIFS('Phase1 - Fill-in'!A$5:A$1000,A77,'Phase1 - Fill-in'!E$5:E$1000,"&lt;&gt;Dictionnary!C669"))</f>
        <v>#DIV/0!</v>
      </c>
    </row>
    <row r="78" spans="1:5" ht="15.75" x14ac:dyDescent="0.25">
      <c r="A78" s="207" t="str">
        <f>Dictionnary!A76</f>
        <v>PERS1.10</v>
      </c>
      <c r="B78" s="14" t="str">
        <f>Dictionnary!B76</f>
        <v>Personnel</v>
      </c>
      <c r="C78" s="15" t="str">
        <f>Dictionnary!C76</f>
        <v>Are staff members able to find the Authorization Matrix?</v>
      </c>
      <c r="D78" s="16" t="s">
        <v>3198</v>
      </c>
      <c r="E78" s="103" t="e">
        <f>(COUNTIFS('Phase1 - Fill-in'!A$1:A$1000,A78,'Phase1 - Fill-in'!E$1:E$1000,Dictionnary!C$666)+0.5*COUNTIFS('Phase1 - Fill-in'!A$1:A$1000,A78,'Phase1 - Fill-in'!E$1:E$1000,Dictionnary!C$669))/(COUNTIFS('Phase1 - Fill-in'!A$5:A$1000,A78,'Phase1 - Fill-in'!E$5:E$1000,"&lt;&gt;Dictionnary!C669"))</f>
        <v>#DIV/0!</v>
      </c>
    </row>
    <row r="79" spans="1:5" ht="15.75" x14ac:dyDescent="0.25">
      <c r="A79" s="207" t="str">
        <f>Dictionnary!A77</f>
        <v>PERS1.11</v>
      </c>
      <c r="B79" s="99" t="str">
        <f>Dictionnary!B77</f>
        <v>Personnel</v>
      </c>
      <c r="C79" s="17" t="str">
        <f>Dictionnary!C77</f>
        <v>Are staff members able to explain how the Authorization Matrix works?</v>
      </c>
      <c r="D79" s="12" t="s">
        <v>3198</v>
      </c>
      <c r="E79" s="103" t="e">
        <f>(COUNTIFS('Phase1 - Fill-in'!A$1:A$1000,A79,'Phase1 - Fill-in'!E$1:E$1000,Dictionnary!C$666)+0.5*COUNTIFS('Phase1 - Fill-in'!A$1:A$1000,A79,'Phase1 - Fill-in'!E$1:E$1000,Dictionnary!C$669))/(COUNTIFS('Phase1 - Fill-in'!A$5:A$1000,A79,'Phase1 - Fill-in'!E$5:E$1000,"&lt;&gt;Dictionnary!C669"))</f>
        <v>#DIV/0!</v>
      </c>
    </row>
    <row r="80" spans="1:5" ht="15.75" x14ac:dyDescent="0.25">
      <c r="A80" s="207" t="str">
        <f>Dictionnary!A78</f>
        <v>PERS1.12</v>
      </c>
      <c r="B80" s="14" t="str">
        <f>Dictionnary!B78</f>
        <v>Personnel</v>
      </c>
      <c r="C80" s="15" t="str">
        <f>Dictionnary!C78</f>
        <v>Does the laboratory have a job description for each position in the laboratory?</v>
      </c>
      <c r="D80" s="16" t="s">
        <v>3199</v>
      </c>
      <c r="E80" s="103" t="e">
        <f>(COUNTIFS('Phase1 - Fill-in'!A$1:A$1000,A80,'Phase1 - Fill-in'!E$1:E$1000,Dictionnary!C$666)+0.5*COUNTIFS('Phase1 - Fill-in'!A$1:A$1000,A80,'Phase1 - Fill-in'!E$1:E$1000,Dictionnary!C$669))/(COUNTIFS('Phase1 - Fill-in'!A$5:A$1000,A80,'Phase1 - Fill-in'!E$5:E$1000,"&lt;&gt;Dictionnary!C669"))</f>
        <v>#DIV/0!</v>
      </c>
    </row>
    <row r="81" spans="1:5" ht="31.5" x14ac:dyDescent="0.25">
      <c r="A81" s="207" t="str">
        <f>Dictionnary!A79</f>
        <v>PERS1.13</v>
      </c>
      <c r="B81" s="99" t="str">
        <f>Dictionnary!B79</f>
        <v>Personnel</v>
      </c>
      <c r="C81" s="17" t="str">
        <f>Dictionnary!C79</f>
        <v>Does the job description for each position in the laboratory give a complete and clear impression of the tasks, responsibilities and authorities of each position?</v>
      </c>
      <c r="D81" s="12" t="s">
        <v>3198</v>
      </c>
      <c r="E81" s="103" t="e">
        <f>(COUNTIFS('Phase1 - Fill-in'!A$1:A$1000,A81,'Phase1 - Fill-in'!E$1:E$1000,Dictionnary!C$666)+0.5*COUNTIFS('Phase1 - Fill-in'!A$1:A$1000,A81,'Phase1 - Fill-in'!E$1:E$1000,Dictionnary!C$669))/(COUNTIFS('Phase1 - Fill-in'!A$5:A$1000,A81,'Phase1 - Fill-in'!E$5:E$1000,"&lt;&gt;Dictionnary!C669"))</f>
        <v>#DIV/0!</v>
      </c>
    </row>
    <row r="82" spans="1:5" ht="15.75" x14ac:dyDescent="0.25">
      <c r="A82" s="207" t="str">
        <f>Dictionnary!A80</f>
        <v>PERS1.14</v>
      </c>
      <c r="B82" s="14" t="str">
        <f>Dictionnary!B80</f>
        <v>Personnel</v>
      </c>
      <c r="C82" s="15" t="str">
        <f>Dictionnary!C80</f>
        <v>Have Personal Job Descriptions been made for all the staff members?</v>
      </c>
      <c r="D82" s="16" t="s">
        <v>3200</v>
      </c>
      <c r="E82" s="103" t="e">
        <f>(COUNTIFS('Phase1 - Fill-in'!A$1:A$1000,A82,'Phase1 - Fill-in'!E$1:E$1000,Dictionnary!C$666)+0.5*COUNTIFS('Phase1 - Fill-in'!A$1:A$1000,A82,'Phase1 - Fill-in'!E$1:E$1000,Dictionnary!C$669))/(COUNTIFS('Phase1 - Fill-in'!A$5:A$1000,A82,'Phase1 - Fill-in'!E$5:E$1000,"&lt;&gt;Dictionnary!C669"))</f>
        <v>#DIV/0!</v>
      </c>
    </row>
    <row r="83" spans="1:5" ht="31.5" x14ac:dyDescent="0.25">
      <c r="A83" s="207" t="str">
        <f>Dictionnary!A81</f>
        <v>PERS1.15</v>
      </c>
      <c r="B83" s="99" t="str">
        <f>Dictionnary!B81</f>
        <v>Personnel</v>
      </c>
      <c r="C83" s="17" t="str">
        <f>Dictionnary!C81</f>
        <v>Are all job descriptions (both Position Job Descriptions and Personal Job Descriptions) up to date?</v>
      </c>
      <c r="D83" s="12" t="s">
        <v>3201</v>
      </c>
      <c r="E83" s="103" t="e">
        <f>(COUNTIFS('Phase1 - Fill-in'!A$1:A$1000,A83,'Phase1 - Fill-in'!E$1:E$1000,Dictionnary!C$666)+0.5*COUNTIFS('Phase1 - Fill-in'!A$1:A$1000,A83,'Phase1 - Fill-in'!E$1:E$1000,Dictionnary!C$669))/(COUNTIFS('Phase1 - Fill-in'!A$5:A$1000,A83,'Phase1 - Fill-in'!E$5:E$1000,"&lt;&gt;Dictionnary!C669"))</f>
        <v>#DIV/0!</v>
      </c>
    </row>
    <row r="84" spans="1:5" ht="31.5" x14ac:dyDescent="0.25">
      <c r="A84" s="207" t="str">
        <f>Dictionnary!A82</f>
        <v>PERS1.16</v>
      </c>
      <c r="B84" s="14" t="str">
        <f>Dictionnary!B82</f>
        <v>Personnel</v>
      </c>
      <c r="C84" s="15" t="str">
        <f>Dictionnary!C82</f>
        <v>Are Personal Job Descriptions stored in an orderly fashion in the Personnel Files folder?</v>
      </c>
      <c r="D84" s="16" t="s">
        <v>3200</v>
      </c>
      <c r="E84" s="103" t="e">
        <f>(COUNTIFS('Phase1 - Fill-in'!A$1:A$1000,A84,'Phase1 - Fill-in'!E$1:E$1000,Dictionnary!C$666)+0.5*COUNTIFS('Phase1 - Fill-in'!A$1:A$1000,A84,'Phase1 - Fill-in'!E$1:E$1000,Dictionnary!C$669))/(COUNTIFS('Phase1 - Fill-in'!A$5:A$1000,A84,'Phase1 - Fill-in'!E$5:E$1000,"&lt;&gt;Dictionnary!C669"))</f>
        <v>#DIV/0!</v>
      </c>
    </row>
    <row r="85" spans="1:5" ht="78.75" x14ac:dyDescent="0.25">
      <c r="A85" s="207" t="str">
        <f>Dictionnary!A83</f>
        <v>PERS1.17</v>
      </c>
      <c r="B85" s="99" t="str">
        <f>Dictionnary!B83</f>
        <v>Personnel</v>
      </c>
      <c r="C85" s="17" t="str">
        <f>Dictionnary!C83</f>
        <v>Have all staff members adequately been trained in the procedures they are performing?
Ask several staff members this question for the procedure they are doing at that moment and cross-check with their Personnel File.</v>
      </c>
      <c r="D85" s="12" t="s">
        <v>3201</v>
      </c>
      <c r="E85" s="103" t="e">
        <f>(COUNTIFS('Phase1 - Fill-in'!A$1:A$1000,A85,'Phase1 - Fill-in'!E$1:E$1000,Dictionnary!C$666)+0.5*COUNTIFS('Phase1 - Fill-in'!A$1:A$1000,A85,'Phase1 - Fill-in'!E$1:E$1000,Dictionnary!C$669))/(COUNTIFS('Phase1 - Fill-in'!A$5:A$1000,A85,'Phase1 - Fill-in'!E$5:E$1000,"&lt;&gt;Dictionnary!C669"))</f>
        <v>#DIV/0!</v>
      </c>
    </row>
    <row r="86" spans="1:5" ht="31.5" x14ac:dyDescent="0.25">
      <c r="A86" s="207" t="str">
        <f>Dictionnary!A84</f>
        <v>PERS1.18</v>
      </c>
      <c r="B86" s="14" t="str">
        <f>Dictionnary!B84</f>
        <v>Personnel</v>
      </c>
      <c r="C86" s="15" t="str">
        <f>Dictionnary!C84</f>
        <v>Is the folder Personnel Files up-to-date; i.e. have all certificates and diplomas been collected for all staff members and been stored in the personnel files?</v>
      </c>
      <c r="D86" s="16" t="s">
        <v>3198</v>
      </c>
      <c r="E86" s="103" t="e">
        <f>(COUNTIFS('Phase1 - Fill-in'!A$1:A$1000,A86,'Phase1 - Fill-in'!E$1:E$1000,Dictionnary!C$666)+0.5*COUNTIFS('Phase1 - Fill-in'!A$1:A$1000,A86,'Phase1 - Fill-in'!E$1:E$1000,Dictionnary!C$669))/(COUNTIFS('Phase1 - Fill-in'!A$5:A$1000,A86,'Phase1 - Fill-in'!E$5:E$1000,"&lt;&gt;Dictionnary!C669"))</f>
        <v>#DIV/0!</v>
      </c>
    </row>
    <row r="87" spans="1:5" ht="15.75" x14ac:dyDescent="0.25">
      <c r="A87" s="207" t="str">
        <f>Dictionnary!A85</f>
        <v>EQUIP1.1</v>
      </c>
      <c r="B87" s="99" t="str">
        <f>Dictionnary!B85</f>
        <v>Equipment</v>
      </c>
      <c r="C87" s="17" t="str">
        <f>Dictionnary!C85</f>
        <v>Does the laboratory have a clear register of all the equipment present?</v>
      </c>
      <c r="D87" s="12" t="s">
        <v>3198</v>
      </c>
      <c r="E87" s="103" t="e">
        <f>(COUNTIFS('Phase1 - Fill-in'!A$1:A$1000,A87,'Phase1 - Fill-in'!E$1:E$1000,Dictionnary!C$666)+0.5*COUNTIFS('Phase1 - Fill-in'!A$1:A$1000,A87,'Phase1 - Fill-in'!E$1:E$1000,Dictionnary!C$669))/(COUNTIFS('Phase1 - Fill-in'!A$5:A$1000,A87,'Phase1 - Fill-in'!E$5:E$1000,"&lt;&gt;Dictionnary!C669"))</f>
        <v>#DIV/0!</v>
      </c>
    </row>
    <row r="88" spans="1:5" ht="31.5" x14ac:dyDescent="0.25">
      <c r="A88" s="207" t="str">
        <f>Dictionnary!A86</f>
        <v>EQUIP1.2</v>
      </c>
      <c r="B88" s="14" t="str">
        <f>Dictionnary!B86</f>
        <v>Equipment</v>
      </c>
      <c r="C88" s="15" t="str">
        <f>Dictionnary!C86</f>
        <v>Does the equipment register contain the following details for each piece of equipment? (tick off)</v>
      </c>
      <c r="D88" s="16" t="s">
        <v>3199</v>
      </c>
      <c r="E88" s="103">
        <v>1</v>
      </c>
    </row>
    <row r="89" spans="1:5" ht="15.75" x14ac:dyDescent="0.25">
      <c r="A89" s="207" t="str">
        <f>Dictionnary!A87</f>
        <v>EQUIP1.2a</v>
      </c>
      <c r="B89" s="100" t="str">
        <f>Dictionnary!B87</f>
        <v>Equipment</v>
      </c>
      <c r="C89" s="101" t="str">
        <f>Dictionnary!C87</f>
        <v>Identity</v>
      </c>
      <c r="D89" s="102" t="e">
        <v>#N/A</v>
      </c>
      <c r="E89" s="103">
        <v>1</v>
      </c>
    </row>
    <row r="90" spans="1:5" ht="15.75" x14ac:dyDescent="0.25">
      <c r="A90" s="207" t="str">
        <f>Dictionnary!A88</f>
        <v>EQUIP1.2b</v>
      </c>
      <c r="B90" s="100" t="str">
        <f>Dictionnary!B88</f>
        <v>Equipment</v>
      </c>
      <c r="C90" s="101" t="str">
        <f>Dictionnary!C88</f>
        <v>Label</v>
      </c>
      <c r="D90" s="102" t="e">
        <v>#N/A</v>
      </c>
      <c r="E90" s="103">
        <v>0.5</v>
      </c>
    </row>
    <row r="91" spans="1:5" ht="15.75" x14ac:dyDescent="0.25">
      <c r="A91" s="207" t="str">
        <f>Dictionnary!A89</f>
        <v>EQUIP1.2c</v>
      </c>
      <c r="B91" s="100" t="str">
        <f>Dictionnary!B89</f>
        <v>Equipment</v>
      </c>
      <c r="C91" s="101" t="str">
        <f>Dictionnary!C89</f>
        <v>Serial number</v>
      </c>
      <c r="D91" s="102" t="e">
        <v>#N/A</v>
      </c>
      <c r="E91" s="103">
        <v>0.5</v>
      </c>
    </row>
    <row r="92" spans="1:5" ht="15.75" x14ac:dyDescent="0.25">
      <c r="A92" s="207" t="str">
        <f>Dictionnary!A90</f>
        <v>EQUIP1.2d</v>
      </c>
      <c r="B92" s="100" t="str">
        <f>Dictionnary!B90</f>
        <v>Equipment</v>
      </c>
      <c r="C92" s="101" t="str">
        <f>Dictionnary!C90</f>
        <v>Manufacturer name</v>
      </c>
      <c r="D92" s="102" t="e">
        <v>#N/A</v>
      </c>
      <c r="E92" s="103">
        <v>0.5</v>
      </c>
    </row>
    <row r="93" spans="1:5" ht="15.75" x14ac:dyDescent="0.25">
      <c r="A93" s="207" t="str">
        <f>Dictionnary!A91</f>
        <v>EQUIP1.2e</v>
      </c>
      <c r="B93" s="100" t="str">
        <f>Dictionnary!B91</f>
        <v>Equipment</v>
      </c>
      <c r="C93" s="101" t="str">
        <f>Dictionnary!C91</f>
        <v>Manufacturer’s contact person and contact details</v>
      </c>
      <c r="D93" s="102" t="e">
        <v>#N/A</v>
      </c>
      <c r="E93" s="103">
        <v>0.5</v>
      </c>
    </row>
    <row r="94" spans="1:5" ht="15.75" x14ac:dyDescent="0.25">
      <c r="A94" s="207" t="str">
        <f>Dictionnary!A92</f>
        <v>EQUIP1.2f</v>
      </c>
      <c r="B94" s="100" t="str">
        <f>Dictionnary!B92</f>
        <v>Equipment</v>
      </c>
      <c r="C94" s="101" t="str">
        <f>Dictionnary!C92</f>
        <v>Service provider name</v>
      </c>
      <c r="D94" s="102" t="e">
        <v>#N/A</v>
      </c>
      <c r="E94" s="103">
        <v>0.5</v>
      </c>
    </row>
    <row r="95" spans="1:5" ht="15.75" x14ac:dyDescent="0.25">
      <c r="A95" s="207" t="str">
        <f>Dictionnary!A93</f>
        <v>EQUIP1.2g</v>
      </c>
      <c r="B95" s="100" t="str">
        <f>Dictionnary!B93</f>
        <v>Equipment</v>
      </c>
      <c r="C95" s="101" t="str">
        <f>Dictionnary!C93</f>
        <v>Service provider’s contact person and contact details</v>
      </c>
      <c r="D95" s="102" t="e">
        <v>#N/A</v>
      </c>
      <c r="E95" s="103">
        <v>0.5</v>
      </c>
    </row>
    <row r="96" spans="1:5" ht="15.75" x14ac:dyDescent="0.25">
      <c r="A96" s="207" t="str">
        <f>Dictionnary!A94</f>
        <v>EQUIP1.2h</v>
      </c>
      <c r="B96" s="100" t="str">
        <f>Dictionnary!B94</f>
        <v>Equipment</v>
      </c>
      <c r="C96" s="101" t="str">
        <f>Dictionnary!C94</f>
        <v>Date of purchase</v>
      </c>
      <c r="D96" s="102" t="e">
        <v>#N/A</v>
      </c>
      <c r="E96" s="103">
        <v>0.5</v>
      </c>
    </row>
    <row r="97" spans="1:5" ht="15.75" x14ac:dyDescent="0.25">
      <c r="A97" s="207" t="str">
        <f>Dictionnary!A95</f>
        <v>EQUIP1.2i</v>
      </c>
      <c r="B97" s="100" t="str">
        <f>Dictionnary!B95</f>
        <v>Equipment</v>
      </c>
      <c r="C97" s="101" t="str">
        <f>Dictionnary!C95</f>
        <v>Date of putting into service</v>
      </c>
      <c r="D97" s="102" t="e">
        <v>#N/A</v>
      </c>
      <c r="E97" s="103">
        <v>0.5</v>
      </c>
    </row>
    <row r="98" spans="1:5" ht="15.75" x14ac:dyDescent="0.25">
      <c r="A98" s="207" t="str">
        <f>Dictionnary!A96</f>
        <v>EQUIP1.2j</v>
      </c>
      <c r="B98" s="100" t="str">
        <f>Dictionnary!B96</f>
        <v>Equipment</v>
      </c>
      <c r="C98" s="101" t="str">
        <f>Dictionnary!C96</f>
        <v>Location</v>
      </c>
      <c r="D98" s="102" t="e">
        <v>#N/A</v>
      </c>
      <c r="E98" s="103">
        <v>0.5</v>
      </c>
    </row>
    <row r="99" spans="1:5" ht="15.75" x14ac:dyDescent="0.25">
      <c r="A99" s="207" t="str">
        <f>Dictionnary!A97</f>
        <v>EQUIP1.2k</v>
      </c>
      <c r="B99" s="100" t="str">
        <f>Dictionnary!B97</f>
        <v>Equipment</v>
      </c>
      <c r="C99" s="101" t="str">
        <f>Dictionnary!C97</f>
        <v>Condition</v>
      </c>
      <c r="D99" s="102" t="e">
        <v>#N/A</v>
      </c>
      <c r="E99" s="103">
        <v>0.5</v>
      </c>
    </row>
    <row r="100" spans="1:5" ht="15.75" x14ac:dyDescent="0.25">
      <c r="A100" s="207" t="str">
        <f>Dictionnary!A98</f>
        <v>EQUIP1.2l</v>
      </c>
      <c r="B100" s="100" t="str">
        <f>Dictionnary!B98</f>
        <v>Equipment</v>
      </c>
      <c r="C100" s="101" t="str">
        <f>Dictionnary!C98</f>
        <v>Frequency of maintenance</v>
      </c>
      <c r="D100" s="102" t="e">
        <v>#N/A</v>
      </c>
      <c r="E100" s="103">
        <v>0.5</v>
      </c>
    </row>
    <row r="101" spans="1:5" ht="15.75" x14ac:dyDescent="0.25">
      <c r="A101" s="207" t="str">
        <f>Dictionnary!A99</f>
        <v>EQUIP1.2m</v>
      </c>
      <c r="B101" s="100" t="str">
        <f>Dictionnary!B99</f>
        <v>Equipment</v>
      </c>
      <c r="C101" s="101" t="str">
        <f>Dictionnary!C99</f>
        <v>Date of previous maintenance</v>
      </c>
      <c r="D101" s="102" t="e">
        <v>#N/A</v>
      </c>
      <c r="E101" s="103">
        <v>0.5</v>
      </c>
    </row>
    <row r="102" spans="1:5" ht="15.75" x14ac:dyDescent="0.25">
      <c r="A102" s="207" t="str">
        <f>Dictionnary!A100</f>
        <v>EQUIP1.2n</v>
      </c>
      <c r="B102" s="100" t="str">
        <f>Dictionnary!B100</f>
        <v>Equipment</v>
      </c>
      <c r="C102" s="101" t="str">
        <f>Dictionnary!C100</f>
        <v>Date of next scheduled maintenance</v>
      </c>
      <c r="D102" s="102" t="e">
        <v>#N/A</v>
      </c>
      <c r="E102" s="103">
        <v>0</v>
      </c>
    </row>
    <row r="103" spans="1:5" ht="15.75" x14ac:dyDescent="0.25">
      <c r="A103" s="207" t="str">
        <f>Dictionnary!A101</f>
        <v>EQUIP1.2o</v>
      </c>
      <c r="B103" s="100" t="str">
        <f>Dictionnary!B101</f>
        <v>Equipment</v>
      </c>
      <c r="C103" s="101" t="str">
        <f>Dictionnary!C101</f>
        <v>Remarks</v>
      </c>
      <c r="D103" s="102" t="e">
        <v>#N/A</v>
      </c>
      <c r="E103" s="103" t="e">
        <f>(COUNTIFS('Phase1 - Fill-in'!A$1:A$1000,A103,'Phase1 - Fill-in'!E$1:E$1000,Dictionnary!C$666)+0.5*COUNTIFS('Phase1 - Fill-in'!A$1:A$1000,A103,'Phase1 - Fill-in'!E$1:E$1000,Dictionnary!C$669))/(COUNTIFS('Phase1 - Fill-in'!A$5:A$1000,A103,'Phase1 - Fill-in'!E$5:E$1000,"&lt;&gt;Dictionnary!C669"))</f>
        <v>#DIV/0!</v>
      </c>
    </row>
    <row r="104" spans="1:5" ht="15.75" x14ac:dyDescent="0.25">
      <c r="A104" s="207" t="str">
        <f>Dictionnary!A102</f>
        <v>EQUIP1.3</v>
      </c>
      <c r="B104" s="99" t="str">
        <f>Dictionnary!B102</f>
        <v>Equipment</v>
      </c>
      <c r="C104" s="17" t="str">
        <f>Dictionnary!C102</f>
        <v>Is all critical equipment functional?</v>
      </c>
      <c r="D104" s="16" t="s">
        <v>3198</v>
      </c>
      <c r="E104" s="103" t="e">
        <f>(COUNTIFS('Phase1 - Fill-in'!A$1:A$1000,A104,'Phase1 - Fill-in'!E$1:E$1000,Dictionnary!C$666)+0.5*COUNTIFS('Phase1 - Fill-in'!A$1:A$1000,A104,'Phase1 - Fill-in'!E$1:E$1000,Dictionnary!C$669))/(COUNTIFS('Phase1 - Fill-in'!A$5:A$1000,A104,'Phase1 - Fill-in'!E$5:E$1000,"&lt;&gt;Dictionnary!C669"))</f>
        <v>#DIV/0!</v>
      </c>
    </row>
    <row r="105" spans="1:5" ht="31.5" x14ac:dyDescent="0.25">
      <c r="A105" s="207" t="str">
        <f>Dictionnary!A103</f>
        <v>EQUIP1.4</v>
      </c>
      <c r="B105" s="14" t="str">
        <f>Dictionnary!B103</f>
        <v>Equipment</v>
      </c>
      <c r="C105" s="15" t="str">
        <f>Dictionnary!C103</f>
        <v>Has the laboratory identified critical needs for specific pieces of equipment that must be present in order for the piece of equipment to function?</v>
      </c>
      <c r="D105" s="12" t="s">
        <v>3198</v>
      </c>
      <c r="E105" s="103" t="e">
        <f>(COUNTIFS('Phase1 - Fill-in'!A$1:A$1000,A105,'Phase1 - Fill-in'!E$1:E$1000,Dictionnary!C$666)+0.5*COUNTIFS('Phase1 - Fill-in'!A$1:A$1000,A105,'Phase1 - Fill-in'!E$1:E$1000,Dictionnary!C$669))/(COUNTIFS('Phase1 - Fill-in'!A$5:A$1000,A105,'Phase1 - Fill-in'!E$5:E$1000,"&lt;&gt;Dictionnary!C669"))</f>
        <v>#DIV/0!</v>
      </c>
    </row>
    <row r="106" spans="1:5" ht="15.75" x14ac:dyDescent="0.25">
      <c r="A106" s="207" t="str">
        <f>Dictionnary!A104</f>
        <v>EQUIP1.5</v>
      </c>
      <c r="B106" s="99" t="str">
        <f>Dictionnary!B104</f>
        <v>Equipment</v>
      </c>
      <c r="C106" s="17" t="str">
        <f>Dictionnary!C104</f>
        <v>Are SOPs present for all pieces of equipment?</v>
      </c>
      <c r="D106" s="16" t="s">
        <v>3199</v>
      </c>
      <c r="E106" s="103" t="e">
        <f>(COUNTIFS('Phase1 - Fill-in'!A$1:A$1000,A106,'Phase1 - Fill-in'!E$1:E$1000,Dictionnary!C$666)+0.5*COUNTIFS('Phase1 - Fill-in'!A$1:A$1000,A106,'Phase1 - Fill-in'!E$1:E$1000,Dictionnary!C$669))/(COUNTIFS('Phase1 - Fill-in'!A$5:A$1000,A106,'Phase1 - Fill-in'!E$5:E$1000,"&lt;&gt;Dictionnary!C669"))</f>
        <v>#DIV/0!</v>
      </c>
    </row>
    <row r="107" spans="1:5" ht="31.5" x14ac:dyDescent="0.25">
      <c r="A107" s="207" t="str">
        <f>Dictionnary!A105</f>
        <v>EQUIP1.6</v>
      </c>
      <c r="B107" s="14" t="str">
        <f>Dictionnary!B105</f>
        <v>Equipment</v>
      </c>
      <c r="C107" s="15" t="str">
        <f>Dictionnary!C105</f>
        <v>Are Equipment SOPs written in accordance with the procedure described in the Master SOP?</v>
      </c>
      <c r="D107" s="12" t="s">
        <v>3198</v>
      </c>
      <c r="E107" s="103" t="e">
        <f>(COUNTIFS('Phase1 - Fill-in'!A$1:A$1000,A107,'Phase1 - Fill-in'!E$1:E$1000,Dictionnary!C$666)+0.5*COUNTIFS('Phase1 - Fill-in'!A$1:A$1000,A107,'Phase1 - Fill-in'!E$1:E$1000,Dictionnary!C$669))/(COUNTIFS('Phase1 - Fill-in'!A$5:A$1000,A107,'Phase1 - Fill-in'!E$5:E$1000,"&lt;&gt;Dictionnary!C669"))</f>
        <v>#DIV/0!</v>
      </c>
    </row>
    <row r="108" spans="1:5" ht="31.5" x14ac:dyDescent="0.25">
      <c r="A108" s="207" t="str">
        <f>Dictionnary!A106</f>
        <v>EQUIP1.7</v>
      </c>
      <c r="B108" s="99" t="str">
        <f>Dictionnary!B106</f>
        <v>Equipment</v>
      </c>
      <c r="C108" s="17" t="str">
        <f>Dictionnary!C106</f>
        <v>Are Equipment SOPs stored at a logical location (near the equipment they have been written for), accessible to all staff members?</v>
      </c>
      <c r="D108" s="16" t="s">
        <v>3200</v>
      </c>
      <c r="E108" s="103" t="e">
        <f>(COUNTIFS('Phase1 - Fill-in'!A$1:A$1000,A108,'Phase1 - Fill-in'!E$1:E$1000,Dictionnary!C$666)+0.5*COUNTIFS('Phase1 - Fill-in'!A$1:A$1000,A108,'Phase1 - Fill-in'!E$1:E$1000,Dictionnary!C$669))/(COUNTIFS('Phase1 - Fill-in'!A$5:A$1000,A108,'Phase1 - Fill-in'!E$5:E$1000,"&lt;&gt;Dictionnary!C669"))</f>
        <v>#DIV/0!</v>
      </c>
    </row>
    <row r="109" spans="1:5" ht="15.75" x14ac:dyDescent="0.25">
      <c r="A109" s="207" t="str">
        <f>Dictionnary!A107</f>
        <v>EQUIP1.8</v>
      </c>
      <c r="B109" s="14" t="str">
        <f>Dictionnary!B107</f>
        <v>Equipment</v>
      </c>
      <c r="C109" s="15" t="str">
        <f>Dictionnary!C107</f>
        <v>Have staff members demonstrably read the SOPs that are relevant for them?</v>
      </c>
      <c r="D109" s="12" t="s">
        <v>3201</v>
      </c>
      <c r="E109" s="103" t="e">
        <f>(COUNTIFS('Phase1 - Fill-in'!A$1:A$1000,A109,'Phase1 - Fill-in'!E$1:E$1000,Dictionnary!C$666)+0.5*COUNTIFS('Phase1 - Fill-in'!A$1:A$1000,A109,'Phase1 - Fill-in'!E$1:E$1000,Dictionnary!C$669))/(COUNTIFS('Phase1 - Fill-in'!A$5:A$1000,A109,'Phase1 - Fill-in'!E$5:E$1000,"&lt;&gt;Dictionnary!C669"))</f>
        <v>#DIV/0!</v>
      </c>
    </row>
    <row r="110" spans="1:5" ht="78.75" x14ac:dyDescent="0.25">
      <c r="A110" s="207" t="str">
        <f>Dictionnary!A108</f>
        <v>PI1.1</v>
      </c>
      <c r="B110" s="99" t="str">
        <f>Dictionnary!B108</f>
        <v>Puchasing and Inventory</v>
      </c>
      <c r="C110" s="17" t="str">
        <f>Dictionnary!C108</f>
        <v>Are all items available in the laboratory stock recorded in a Stock Inventory Register?
Take a sample by checking for two or three supplies in the stock if their Stock Cards are in the Stock Inventory Register and check if the Stock Cards are up-to-date.</v>
      </c>
      <c r="D110" s="16" t="s">
        <v>3200</v>
      </c>
      <c r="E110" s="103" t="e">
        <f>(COUNTIFS('Phase1 - Fill-in'!A$1:A$1000,A110,'Phase1 - Fill-in'!E$1:E$1000,Dictionnary!C$666)+0.5*COUNTIFS('Phase1 - Fill-in'!A$1:A$1000,A110,'Phase1 - Fill-in'!E$1:E$1000,Dictionnary!C$669))/(COUNTIFS('Phase1 - Fill-in'!A$5:A$1000,A110,'Phase1 - Fill-in'!E$5:E$1000,"&lt;&gt;Dictionnary!C669"))</f>
        <v>#DIV/0!</v>
      </c>
    </row>
    <row r="111" spans="1:5" ht="15.75" x14ac:dyDescent="0.25">
      <c r="A111" s="207" t="str">
        <f>Dictionnary!A109</f>
        <v>PI1.2</v>
      </c>
      <c r="B111" s="14" t="str">
        <f>Dictionnary!B109</f>
        <v>Puchasing and Inventory</v>
      </c>
      <c r="C111" s="15" t="str">
        <f>Dictionnary!C109</f>
        <v>Is the stock register in accordance with the actual stock (i.e. is it up-to-date)?</v>
      </c>
      <c r="D111" s="12" t="s">
        <v>3201</v>
      </c>
      <c r="E111" s="103" t="e">
        <f>(COUNTIFS('Phase1 - Fill-in'!A$1:A$1000,A111,'Phase1 - Fill-in'!E$1:E$1000,Dictionnary!C$666)+0.5*COUNTIFS('Phase1 - Fill-in'!A$1:A$1000,A111,'Phase1 - Fill-in'!E$1:E$1000,Dictionnary!C$669))/(COUNTIFS('Phase1 - Fill-in'!A$5:A$1000,A111,'Phase1 - Fill-in'!E$5:E$1000,"&lt;&gt;Dictionnary!C669"))</f>
        <v>#DIV/0!</v>
      </c>
    </row>
    <row r="112" spans="1:5" ht="47.25" x14ac:dyDescent="0.25">
      <c r="A112" s="207" t="str">
        <f>Dictionnary!A110</f>
        <v>PI1.3</v>
      </c>
      <c r="B112" s="99" t="str">
        <f>Dictionnary!B110</f>
        <v>Puchasing and Inventory</v>
      </c>
      <c r="C112" s="17" t="str">
        <f>Dictionnary!C110</f>
        <v>Do staff members know the correct procedure of taking items from the stock?
Take a sample by asking random staff members.</v>
      </c>
      <c r="D112" s="16" t="s">
        <v>3198</v>
      </c>
      <c r="E112" s="103" t="e">
        <f>(COUNTIFS('Phase1 - Fill-in'!A$1:A$1000,A112,'Phase1 - Fill-in'!E$1:E$1000,Dictionnary!C$666)+0.5*COUNTIFS('Phase1 - Fill-in'!A$1:A$1000,A112,'Phase1 - Fill-in'!E$1:E$1000,Dictionnary!C$669))/(COUNTIFS('Phase1 - Fill-in'!A$5:A$1000,A112,'Phase1 - Fill-in'!E$5:E$1000,"&lt;&gt;Dictionnary!C669"))</f>
        <v>#DIV/0!</v>
      </c>
    </row>
    <row r="113" spans="1:5" ht="31.5" x14ac:dyDescent="0.25">
      <c r="A113" s="207" t="str">
        <f>Dictionnary!A111</f>
        <v>PM1.1</v>
      </c>
      <c r="B113" s="14" t="str">
        <f>Dictionnary!B111</f>
        <v>Process Management</v>
      </c>
      <c r="C113" s="15" t="str">
        <f>Dictionnary!C111</f>
        <v>Does the laboratory have a Request Form that includes at least the following details (tick off):</v>
      </c>
      <c r="D113" s="12" t="s">
        <v>3198</v>
      </c>
      <c r="E113" s="103" t="e">
        <f>(COUNTIFS('Phase1 - Fill-in'!A$1:A$1000,A113,'Phase1 - Fill-in'!E$1:E$1000,Dictionnary!C$666)+0.5*COUNTIFS('Phase1 - Fill-in'!A$1:A$1000,A113,'Phase1 - Fill-in'!E$1:E$1000,Dictionnary!C$669))/(COUNTIFS('Phase1 - Fill-in'!A$5:A$1000,A113,'Phase1 - Fill-in'!E$5:E$1000,"&lt;&gt;Dictionnary!C669"))</f>
        <v>#DIV/0!</v>
      </c>
    </row>
    <row r="114" spans="1:5" ht="15.75" x14ac:dyDescent="0.25">
      <c r="A114" s="207" t="str">
        <f>Dictionnary!A112</f>
        <v>PM1.1a</v>
      </c>
      <c r="B114" s="99" t="str">
        <f>Dictionnary!B112</f>
        <v>Process Management</v>
      </c>
      <c r="C114" s="17" t="str">
        <f>Dictionnary!C112</f>
        <v>Patient details (name, address, telephone number, birth date, gender, etc.)</v>
      </c>
      <c r="D114" s="16" t="s">
        <v>3199</v>
      </c>
      <c r="E114" s="103" t="e">
        <f>(COUNTIFS('Phase1 - Fill-in'!A$1:A$1000,A114,'Phase1 - Fill-in'!E$1:E$1000,Dictionnary!C$666)+0.5*COUNTIFS('Phase1 - Fill-in'!A$1:A$1000,A114,'Phase1 - Fill-in'!E$1:E$1000,Dictionnary!C$669))/(COUNTIFS('Phase1 - Fill-in'!A$5:A$1000,A114,'Phase1 - Fill-in'!E$5:E$1000,"&lt;&gt;Dictionnary!C669"))</f>
        <v>#DIV/0!</v>
      </c>
    </row>
    <row r="115" spans="1:5" ht="15.75" x14ac:dyDescent="0.25">
      <c r="A115" s="207" t="str">
        <f>Dictionnary!A113</f>
        <v>PM1.1b</v>
      </c>
      <c r="B115" s="14" t="str">
        <f>Dictionnary!B113</f>
        <v>Process Management</v>
      </c>
      <c r="C115" s="15" t="str">
        <f>Dictionnary!C113</f>
        <v>Requester details</v>
      </c>
      <c r="D115" s="16" t="s">
        <v>3198</v>
      </c>
      <c r="E115" s="103" t="e">
        <f>(COUNTIFS('Phase1 - Fill-in'!A$1:A$1000,A115,'Phase1 - Fill-in'!E$1:E$1000,Dictionnary!C$666)+0.5*COUNTIFS('Phase1 - Fill-in'!A$1:A$1000,A115,'Phase1 - Fill-in'!E$1:E$1000,Dictionnary!C$669))/(COUNTIFS('Phase1 - Fill-in'!A$5:A$1000,A115,'Phase1 - Fill-in'!E$5:E$1000,"&lt;&gt;Dictionnary!C669"))</f>
        <v>#DIV/0!</v>
      </c>
    </row>
    <row r="116" spans="1:5" ht="15.75" x14ac:dyDescent="0.25">
      <c r="A116" s="207" t="str">
        <f>Dictionnary!A114</f>
        <v>PM1.1c</v>
      </c>
      <c r="B116" s="99" t="str">
        <f>Dictionnary!B114</f>
        <v>Process Management</v>
      </c>
      <c r="C116" s="17" t="str">
        <f>Dictionnary!C114</f>
        <v>Type of primary sample</v>
      </c>
      <c r="D116" s="12" t="s">
        <v>3198</v>
      </c>
      <c r="E116" s="103" t="e">
        <f>(COUNTIFS('Phase1 - Fill-in'!A$1:A$1000,A116,'Phase1 - Fill-in'!E$1:E$1000,Dictionnary!C$666)+0.5*COUNTIFS('Phase1 - Fill-in'!A$1:A$1000,A116,'Phase1 - Fill-in'!E$1:E$1000,Dictionnary!C$669))/(COUNTIFS('Phase1 - Fill-in'!A$5:A$1000,A116,'Phase1 - Fill-in'!E$5:E$1000,"&lt;&gt;Dictionnary!C669"))</f>
        <v>#DIV/0!</v>
      </c>
    </row>
    <row r="117" spans="1:5" ht="15.75" x14ac:dyDescent="0.25">
      <c r="A117" s="207" t="str">
        <f>Dictionnary!A115</f>
        <v>PM1.1d</v>
      </c>
      <c r="B117" s="14" t="str">
        <f>Dictionnary!B115</f>
        <v>Process Management</v>
      </c>
      <c r="C117" s="15" t="str">
        <f>Dictionnary!C115</f>
        <v>Examination(s) requested</v>
      </c>
      <c r="D117" s="16" t="s">
        <v>3199</v>
      </c>
      <c r="E117" s="103" t="e">
        <f>(COUNTIFS('Phase1 - Fill-in'!A$1:A$1000,A117,'Phase1 - Fill-in'!E$1:E$1000,Dictionnary!C$666)+0.5*COUNTIFS('Phase1 - Fill-in'!A$1:A$1000,A117,'Phase1 - Fill-in'!E$1:E$1000,Dictionnary!C$669))/(COUNTIFS('Phase1 - Fill-in'!A$5:A$1000,A117,'Phase1 - Fill-in'!E$5:E$1000,"&lt;&gt;Dictionnary!C669"))</f>
        <v>#DIV/0!</v>
      </c>
    </row>
    <row r="118" spans="1:5" ht="15.75" x14ac:dyDescent="0.25">
      <c r="A118" s="207" t="str">
        <f>Dictionnary!A116</f>
        <v>PM1.1e</v>
      </c>
      <c r="B118" s="99" t="str">
        <f>Dictionnary!B116</f>
        <v>Process Management</v>
      </c>
      <c r="C118" s="17" t="str">
        <f>Dictionnary!C116</f>
        <v>Clinical information relevant to the laboratory (HIV status, CD4 count, etc)</v>
      </c>
      <c r="D118" s="12" t="s">
        <v>3198</v>
      </c>
      <c r="E118" s="103" t="e">
        <f>(COUNTIFS('Phase1 - Fill-in'!A$1:A$1000,A118,'Phase1 - Fill-in'!E$1:E$1000,Dictionnary!C$666)+0.5*COUNTIFS('Phase1 - Fill-in'!A$1:A$1000,A118,'Phase1 - Fill-in'!E$1:E$1000,Dictionnary!C$669))/(COUNTIFS('Phase1 - Fill-in'!A$5:A$1000,A118,'Phase1 - Fill-in'!E$5:E$1000,"&lt;&gt;Dictionnary!C669"))</f>
        <v>#DIV/0!</v>
      </c>
    </row>
    <row r="119" spans="1:5" ht="15.75" x14ac:dyDescent="0.25">
      <c r="A119" s="207" t="str">
        <f>Dictionnary!A117</f>
        <v>PM1.1f</v>
      </c>
      <c r="B119" s="14" t="str">
        <f>Dictionnary!B117</f>
        <v>Process Management</v>
      </c>
      <c r="C119" s="15" t="str">
        <f>Dictionnary!C117</f>
        <v>Date, time and place of sample collection</v>
      </c>
      <c r="D119" s="16" t="s">
        <v>3200</v>
      </c>
      <c r="E119" s="103" t="e">
        <f>(COUNTIFS('Phase1 - Fill-in'!A$1:A$1000,A119,'Phase1 - Fill-in'!E$1:E$1000,Dictionnary!C$666)+0.5*COUNTIFS('Phase1 - Fill-in'!A$1:A$1000,A119,'Phase1 - Fill-in'!E$1:E$1000,Dictionnary!C$669))/(COUNTIFS('Phase1 - Fill-in'!A$5:A$1000,A119,'Phase1 - Fill-in'!E$5:E$1000,"&lt;&gt;Dictionnary!C669"))</f>
        <v>#DIV/0!</v>
      </c>
    </row>
    <row r="120" spans="1:5" ht="15.75" x14ac:dyDescent="0.25">
      <c r="A120" s="207" t="str">
        <f>Dictionnary!A118</f>
        <v>PM1.1g</v>
      </c>
      <c r="B120" s="99" t="str">
        <f>Dictionnary!B118</f>
        <v>Process Management</v>
      </c>
      <c r="C120" s="17" t="str">
        <f>Dictionnary!C118</f>
        <v>Date and time of receipt of the sample at the laboratory</v>
      </c>
      <c r="D120" s="12" t="s">
        <v>3201</v>
      </c>
      <c r="E120" s="103" t="e">
        <f>(COUNTIFS('Phase1 - Fill-in'!A$1:A$1000,A120,'Phase1 - Fill-in'!E$1:E$1000,Dictionnary!C$666)+0.5*COUNTIFS('Phase1 - Fill-in'!A$1:A$1000,A120,'Phase1 - Fill-in'!E$1:E$1000,Dictionnary!C$669))/(COUNTIFS('Phase1 - Fill-in'!A$5:A$1000,A120,'Phase1 - Fill-in'!E$5:E$1000,"&lt;&gt;Dictionnary!C669"))</f>
        <v>#DIV/0!</v>
      </c>
    </row>
    <row r="121" spans="1:5" ht="15.75" x14ac:dyDescent="0.25">
      <c r="A121" s="207" t="str">
        <f>Dictionnary!A119</f>
        <v>PM1.2</v>
      </c>
      <c r="B121" s="14" t="str">
        <f>Dictionnary!B119</f>
        <v>Process Management</v>
      </c>
      <c r="C121" s="15" t="str">
        <f>Dictionnary!C119</f>
        <v>Is the Request Form for Laboratory Testing clear?</v>
      </c>
      <c r="D121" s="16" t="s">
        <v>3200</v>
      </c>
      <c r="E121" s="103" t="e">
        <f>(COUNTIFS('Phase1 - Fill-in'!A$1:A$1000,A121,'Phase1 - Fill-in'!E$1:E$1000,Dictionnary!C$666)+0.5*COUNTIFS('Phase1 - Fill-in'!A$1:A$1000,A121,'Phase1 - Fill-in'!E$1:E$1000,Dictionnary!C$669))/(COUNTIFS('Phase1 - Fill-in'!A$5:A$1000,A121,'Phase1 - Fill-in'!E$5:E$1000,"&lt;&gt;Dictionnary!C669"))</f>
        <v>#DIV/0!</v>
      </c>
    </row>
    <row r="122" spans="1:5" ht="31.5" x14ac:dyDescent="0.25">
      <c r="A122" s="207" t="str">
        <f>Dictionnary!A120</f>
        <v>PM1.3</v>
      </c>
      <c r="B122" s="99" t="str">
        <f>Dictionnary!B120</f>
        <v>Process Management</v>
      </c>
      <c r="C122" s="17" t="str">
        <f>Dictionnary!C120</f>
        <v>Does the Request Form for Laboratory Testing provide clear guidance on how it should be filled-out?</v>
      </c>
      <c r="D122" s="12" t="s">
        <v>3201</v>
      </c>
      <c r="E122" s="103" t="e">
        <f>(COUNTIFS('Phase1 - Fill-in'!A$1:A$1000,A122,'Phase1 - Fill-in'!E$1:E$1000,Dictionnary!C$666)+0.5*COUNTIFS('Phase1 - Fill-in'!A$1:A$1000,A122,'Phase1 - Fill-in'!E$1:E$1000,Dictionnary!C$669))/(COUNTIFS('Phase1 - Fill-in'!A$5:A$1000,A122,'Phase1 - Fill-in'!E$5:E$1000,"&lt;&gt;Dictionnary!C669"))</f>
        <v>#DIV/0!</v>
      </c>
    </row>
    <row r="123" spans="1:5" ht="31.5" x14ac:dyDescent="0.25">
      <c r="A123" s="207" t="str">
        <f>Dictionnary!A121</f>
        <v>PM1.4</v>
      </c>
      <c r="B123" s="14" t="str">
        <f>Dictionnary!B121</f>
        <v>Process Management</v>
      </c>
      <c r="C123" s="15" t="str">
        <f>Dictionnary!C121</f>
        <v>Has the laboratory identified and listed all the tests performed to determine which SOPs need to be written?</v>
      </c>
      <c r="D123" s="16" t="s">
        <v>3198</v>
      </c>
      <c r="E123" s="103" t="e">
        <f>(COUNTIFS('Phase1 - Fill-in'!A$1:A$1000,A123,'Phase1 - Fill-in'!E$1:E$1000,Dictionnary!C$666)+0.5*COUNTIFS('Phase1 - Fill-in'!A$1:A$1000,A123,'Phase1 - Fill-in'!E$1:E$1000,Dictionnary!C$669))/(COUNTIFS('Phase1 - Fill-in'!A$5:A$1000,A123,'Phase1 - Fill-in'!E$5:E$1000,"&lt;&gt;Dictionnary!C669"))</f>
        <v>#DIV/0!</v>
      </c>
    </row>
    <row r="124" spans="1:5" ht="15.75" x14ac:dyDescent="0.25">
      <c r="A124" s="207" t="str">
        <f>Dictionnary!A122</f>
        <v>PM1.5</v>
      </c>
      <c r="B124" s="99" t="str">
        <f>Dictionnary!B122</f>
        <v>Process Management</v>
      </c>
      <c r="C124" s="17" t="str">
        <f>Dictionnary!C122</f>
        <v>Have SOPs been written for all the tests routinely performed at the laboratory?</v>
      </c>
      <c r="D124" s="12" t="s">
        <v>3198</v>
      </c>
      <c r="E124" s="103" t="e">
        <f>(COUNTIFS('Phase1 - Fill-in'!A$1:A$1000,A124,'Phase1 - Fill-in'!E$1:E$1000,Dictionnary!C$666)+0.5*COUNTIFS('Phase1 - Fill-in'!A$1:A$1000,A124,'Phase1 - Fill-in'!E$1:E$1000,Dictionnary!C$669))/(COUNTIFS('Phase1 - Fill-in'!A$5:A$1000,A124,'Phase1 - Fill-in'!E$5:E$1000,"&lt;&gt;Dictionnary!C669"))</f>
        <v>#DIV/0!</v>
      </c>
    </row>
    <row r="125" spans="1:5" ht="31.5" x14ac:dyDescent="0.25">
      <c r="A125" s="207" t="str">
        <f>Dictionnary!A123</f>
        <v>PM1.6</v>
      </c>
      <c r="B125" s="14" t="str">
        <f>Dictionnary!B123</f>
        <v>Process Management</v>
      </c>
      <c r="C125" s="15" t="str">
        <f>Dictionnary!C123</f>
        <v>Have all SOPs been written according to the procedures described in the Master SOP?</v>
      </c>
      <c r="D125" s="16" t="s">
        <v>3199</v>
      </c>
      <c r="E125" s="103" t="e">
        <f>(COUNTIFS('Phase1 - Fill-in'!A$1:A$1000,A125,'Phase1 - Fill-in'!E$1:E$1000,Dictionnary!C$666)+0.5*COUNTIFS('Phase1 - Fill-in'!A$1:A$1000,A125,'Phase1 - Fill-in'!E$1:E$1000,Dictionnary!C$669))/(COUNTIFS('Phase1 - Fill-in'!A$5:A$1000,A125,'Phase1 - Fill-in'!E$5:E$1000,"&lt;&gt;Dictionnary!C669"))</f>
        <v>#DIV/0!</v>
      </c>
    </row>
    <row r="126" spans="1:5" ht="31.5" x14ac:dyDescent="0.25">
      <c r="A126" s="207" t="str">
        <f>Dictionnary!A124</f>
        <v>PM1.7</v>
      </c>
      <c r="B126" s="99" t="str">
        <f>Dictionnary!B124</f>
        <v>Process Management</v>
      </c>
      <c r="C126" s="17" t="str">
        <f>Dictionnary!C124</f>
        <v>Do all SOPs have the same structure and lay-out, complying with the guidelines of the Master SOP?</v>
      </c>
      <c r="D126" s="16" t="s">
        <v>3198</v>
      </c>
      <c r="E126" s="103" t="e">
        <f>(COUNTIFS('Phase1 - Fill-in'!A$1:A$1000,A126,'Phase1 - Fill-in'!E$1:E$1000,Dictionnary!C$666)+0.5*COUNTIFS('Phase1 - Fill-in'!A$1:A$1000,A126,'Phase1 - Fill-in'!E$1:E$1000,Dictionnary!C$669))/(COUNTIFS('Phase1 - Fill-in'!A$5:A$1000,A126,'Phase1 - Fill-in'!E$5:E$1000,"&lt;&gt;Dictionnary!C669"))</f>
        <v>#DIV/0!</v>
      </c>
    </row>
    <row r="127" spans="1:5" ht="15.75" x14ac:dyDescent="0.25">
      <c r="A127" s="207" t="str">
        <f>Dictionnary!A125</f>
        <v>DR1.1</v>
      </c>
      <c r="B127" s="14" t="str">
        <f>Dictionnary!B125</f>
        <v>Documents and records</v>
      </c>
      <c r="C127" s="15" t="str">
        <f>Dictionnary!C125</f>
        <v>Does the laboratory have a Master SOP that explains how to write SOPs?</v>
      </c>
      <c r="D127" s="12" t="s">
        <v>3198</v>
      </c>
      <c r="E127" s="103" t="e">
        <f>(COUNTIFS('Phase1 - Fill-in'!A$1:A$1000,A127,'Phase1 - Fill-in'!E$1:E$1000,Dictionnary!C$666)+0.5*COUNTIFS('Phase1 - Fill-in'!A$1:A$1000,A127,'Phase1 - Fill-in'!E$1:E$1000,Dictionnary!C$669))/(COUNTIFS('Phase1 - Fill-in'!A$5:A$1000,A127,'Phase1 - Fill-in'!E$5:E$1000,"&lt;&gt;Dictionnary!C669"))</f>
        <v>#DIV/0!</v>
      </c>
    </row>
    <row r="128" spans="1:5" ht="31.5" x14ac:dyDescent="0.25">
      <c r="A128" s="207" t="str">
        <f>Dictionnary!A126</f>
        <v>DR1.2</v>
      </c>
      <c r="B128" s="99" t="str">
        <f>Dictionnary!B126</f>
        <v>Documents and records</v>
      </c>
      <c r="C128" s="17" t="str">
        <f>Dictionnary!C126</f>
        <v>Does the Master SOP have different sections on how to write Analysis SOPs, Equipment SOPs and Procedure SOPs?</v>
      </c>
      <c r="D128" s="16" t="s">
        <v>3199</v>
      </c>
      <c r="E128" s="103" t="e">
        <f>(COUNTIFS('Phase1 - Fill-in'!A$1:A$1000,A128,'Phase1 - Fill-in'!E$1:E$1000,Dictionnary!C$666)+0.5*COUNTIFS('Phase1 - Fill-in'!A$1:A$1000,A128,'Phase1 - Fill-in'!E$1:E$1000,Dictionnary!C$669))/(COUNTIFS('Phase1 - Fill-in'!A$5:A$1000,A128,'Phase1 - Fill-in'!E$5:E$1000,"&lt;&gt;Dictionnary!C669"))</f>
        <v>#DIV/0!</v>
      </c>
    </row>
    <row r="129" spans="1:5" ht="47.25" x14ac:dyDescent="0.25">
      <c r="A129" s="207" t="str">
        <f>Dictionnary!A127</f>
        <v>ASSESS1.1</v>
      </c>
      <c r="B129" s="14" t="str">
        <f>Dictionnary!B127</f>
        <v>Assessment</v>
      </c>
      <c r="C129" s="15" t="str">
        <f>Dictionnary!C127</f>
        <v>Has a Baseline Assessment of the laboratory been conducted to gain information on where some elements of a quality management system may be already in place and functioning, or where there are gaps that need to be addressed?</v>
      </c>
      <c r="D129" s="12" t="s">
        <v>3198</v>
      </c>
      <c r="E129" s="103" t="e">
        <f>(COUNTIFS('Phase1 - Fill-in'!A$1:A$1000,A129,'Phase1 - Fill-in'!E$1:E$1000,Dictionnary!C$666)+0.5*COUNTIFS('Phase1 - Fill-in'!A$1:A$1000,A129,'Phase1 - Fill-in'!E$1:E$1000,Dictionnary!C$669))/(COUNTIFS('Phase1 - Fill-in'!A$5:A$1000,A129,'Phase1 - Fill-in'!E$5:E$1000,"&lt;&gt;Dictionnary!C669"))</f>
        <v>#DIV/0!</v>
      </c>
    </row>
  </sheetData>
  <mergeCells count="2">
    <mergeCell ref="B1:E1"/>
    <mergeCell ref="B2:D2"/>
  </mergeCells>
  <conditionalFormatting sqref="B1:B2">
    <cfRule type="dataBar" priority="3">
      <dataBar>
        <cfvo type="num" val="0"/>
        <cfvo type="num" val="1"/>
        <color theme="4" tint="-0.249977111117893"/>
      </dataBar>
      <extLst>
        <ext xmlns:x14="http://schemas.microsoft.com/office/spreadsheetml/2009/9/main" uri="{B025F937-C7B1-47D3-B67F-A62EFF666E3E}">
          <x14:id>{58CEC60B-4244-4D66-804A-0F68317B3B5B}</x14:id>
        </ext>
      </extLst>
    </cfRule>
  </conditionalFormatting>
  <conditionalFormatting sqref="F4:F7">
    <cfRule type="colorScale" priority="2">
      <colorScale>
        <cfvo type="num" val="0"/>
        <cfvo type="num" val="1"/>
        <color rgb="FFC00000"/>
        <color theme="9"/>
      </colorScale>
    </cfRule>
  </conditionalFormatting>
  <conditionalFormatting sqref="E4:E129">
    <cfRule type="colorScale" priority="1">
      <colorScale>
        <cfvo type="num" val="0"/>
        <cfvo type="num" val="1"/>
        <color rgb="FFFF7128"/>
        <color theme="9" tint="0.39997558519241921"/>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8CEC60B-4244-4D66-804A-0F68317B3B5B}">
            <x14:dataBar minLength="0" maxLength="100" gradient="0">
              <x14:cfvo type="num">
                <xm:f>0</xm:f>
              </x14:cfvo>
              <x14:cfvo type="num">
                <xm:f>1</xm:f>
              </x14:cfvo>
              <x14:negativeFillColor rgb="FFFF0000"/>
              <x14:axisColor rgb="FF000000"/>
            </x14:dataBar>
          </x14:cfRule>
          <xm:sqref>B1:B2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D4:D129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241"/>
  <sheetViews>
    <sheetView zoomScale="70" zoomScaleNormal="70" workbookViewId="0">
      <selection activeCell="D3" sqref="D3"/>
    </sheetView>
  </sheetViews>
  <sheetFormatPr defaultColWidth="90.42578125" defaultRowHeight="15" x14ac:dyDescent="0.25"/>
  <cols>
    <col min="1" max="1" width="16.28515625" style="2" customWidth="1"/>
    <col min="2" max="2" width="24.140625" style="2" bestFit="1" customWidth="1"/>
    <col min="3" max="3" width="72.42578125" style="2" customWidth="1"/>
    <col min="4" max="4" width="56.140625" style="2" customWidth="1"/>
    <col min="5" max="6" width="55.42578125" style="2" customWidth="1"/>
    <col min="7" max="7" width="55.85546875" style="2" customWidth="1"/>
    <col min="8" max="8" width="45.85546875" style="2" customWidth="1"/>
    <col min="9" max="9" width="50" style="2" customWidth="1"/>
    <col min="10" max="16384" width="90.42578125" style="2"/>
  </cols>
  <sheetData>
    <row r="1" spans="1:19" s="239" customFormat="1" ht="69" customHeight="1" x14ac:dyDescent="0.25">
      <c r="B1" s="291" t="s">
        <v>3193</v>
      </c>
      <c r="C1" s="291"/>
      <c r="D1" s="291"/>
    </row>
    <row r="2" spans="1:19" s="239" customFormat="1" ht="16.5" thickBot="1" x14ac:dyDescent="0.3">
      <c r="A2" s="290"/>
      <c r="B2" s="290"/>
      <c r="C2" s="239" t="s">
        <v>1414</v>
      </c>
      <c r="D2" s="239" t="s">
        <v>1461</v>
      </c>
      <c r="E2" s="239" t="s">
        <v>1462</v>
      </c>
      <c r="F2" s="239" t="s">
        <v>1463</v>
      </c>
      <c r="G2" s="239" t="s">
        <v>1464</v>
      </c>
    </row>
    <row r="3" spans="1:19" s="42" customFormat="1" ht="31.5" x14ac:dyDescent="0.25">
      <c r="A3" s="28" t="str">
        <f>Phase2!A4</f>
        <v>FS2.1</v>
      </c>
      <c r="B3" s="29" t="str">
        <f>Phase2!B4</f>
        <v>Facilities and Safety</v>
      </c>
      <c r="C3" s="29" t="str">
        <f>Phase2!C4</f>
        <v>Is access to the laboratory facility controlled against unauthorized persons?</v>
      </c>
      <c r="D3" s="42" t="s">
        <v>2267</v>
      </c>
    </row>
    <row r="4" spans="1:19" s="104" customFormat="1" ht="48" thickBot="1" x14ac:dyDescent="0.3">
      <c r="A4" s="30" t="str">
        <f>Phase2!A5</f>
        <v>FS2.2</v>
      </c>
      <c r="B4" s="31" t="str">
        <f>Phase2!B5</f>
        <v>Facilities and Safety</v>
      </c>
      <c r="C4" s="31" t="str">
        <f>Phase2!C5</f>
        <v>Can the access control system, protecting the laboratory from unauthorized access, be overridden in case of an emergency such as fire?</v>
      </c>
      <c r="D4" s="104" t="s">
        <v>2268</v>
      </c>
      <c r="H4" s="98"/>
      <c r="I4" s="98"/>
      <c r="J4" s="98"/>
      <c r="K4" s="98"/>
      <c r="L4" s="98"/>
      <c r="M4" s="98"/>
      <c r="N4" s="293"/>
      <c r="O4" s="293"/>
      <c r="P4" s="293"/>
      <c r="Q4" s="293"/>
      <c r="R4" s="293"/>
      <c r="S4" s="293"/>
    </row>
    <row r="5" spans="1:19" ht="15.75" thickBot="1" x14ac:dyDescent="0.3"/>
    <row r="6" spans="1:19" s="42" customFormat="1" ht="31.5" x14ac:dyDescent="0.25">
      <c r="A6" s="28" t="str">
        <f>Phase2!A6</f>
        <v>FS2.3</v>
      </c>
      <c r="B6" s="29" t="str">
        <f>Phase2!B6</f>
        <v>Facilities and Safety</v>
      </c>
      <c r="C6" s="29" t="str">
        <f>Phase2!C6</f>
        <v>Are primary sample collection facilities separated from the laboratory rooms?</v>
      </c>
      <c r="D6" s="42" t="s">
        <v>2269</v>
      </c>
    </row>
    <row r="7" spans="1:19" s="45" customFormat="1" ht="15.75" x14ac:dyDescent="0.25">
      <c r="A7" s="34" t="str">
        <f>Phase2!A7</f>
        <v>FS2.4</v>
      </c>
      <c r="B7" s="35" t="str">
        <f>Phase2!B7</f>
        <v>Facilities and Safety</v>
      </c>
      <c r="C7" s="35" t="str">
        <f>Phase2!C7</f>
        <v>Is the sample processing room separated from the room where PCR is performed?</v>
      </c>
      <c r="H7" s="46"/>
      <c r="I7" s="46"/>
      <c r="J7" s="46"/>
      <c r="K7" s="46"/>
      <c r="L7" s="46"/>
      <c r="M7" s="46"/>
      <c r="N7" s="46"/>
      <c r="O7" s="46"/>
      <c r="P7" s="46"/>
      <c r="Q7" s="46"/>
      <c r="R7" s="46"/>
      <c r="S7" s="46"/>
    </row>
    <row r="8" spans="1:19" s="45" customFormat="1" ht="47.25" x14ac:dyDescent="0.25">
      <c r="A8" s="34" t="str">
        <f>Phase2!A8</f>
        <v>FS2.5</v>
      </c>
      <c r="B8" s="35" t="str">
        <f>Phase2!B8</f>
        <v>Facilities and Safety</v>
      </c>
      <c r="C8" s="35" t="str">
        <f>Phase2!C8</f>
        <v>Are laboratory rooms where incompatible procedures are being undertaken separated from each other?</v>
      </c>
      <c r="D8" s="45" t="s">
        <v>2309</v>
      </c>
      <c r="E8" s="45" t="s">
        <v>2302</v>
      </c>
      <c r="F8" s="45" t="s">
        <v>2303</v>
      </c>
      <c r="G8" s="45" t="s">
        <v>2304</v>
      </c>
      <c r="H8" s="46" t="s">
        <v>2305</v>
      </c>
      <c r="I8" s="46" t="s">
        <v>2306</v>
      </c>
      <c r="J8" s="46" t="s">
        <v>2307</v>
      </c>
      <c r="K8" s="46" t="s">
        <v>2308</v>
      </c>
      <c r="L8" s="46"/>
      <c r="M8" s="46"/>
      <c r="N8" s="46"/>
      <c r="O8" s="46"/>
      <c r="P8" s="46"/>
      <c r="Q8" s="46"/>
      <c r="R8" s="46"/>
      <c r="S8" s="46"/>
    </row>
    <row r="9" spans="1:19" s="45" customFormat="1" ht="31.5" x14ac:dyDescent="0.25">
      <c r="A9" s="34" t="str">
        <f>Phase2!A9</f>
        <v>FS2.6</v>
      </c>
      <c r="B9" s="35" t="str">
        <f>Phase2!B9</f>
        <v>Facilities and Safety</v>
      </c>
      <c r="C9" s="35" t="str">
        <f>Phase2!C9</f>
        <v>Are rooms for cleaning of laboratory glassware and tools separated from the laboratory rooms?</v>
      </c>
      <c r="D9" s="45" t="s">
        <v>2270</v>
      </c>
      <c r="H9" s="46"/>
      <c r="I9" s="46"/>
      <c r="J9" s="46"/>
      <c r="K9" s="46"/>
      <c r="L9" s="46"/>
      <c r="M9" s="46"/>
      <c r="N9" s="46"/>
      <c r="O9" s="46"/>
      <c r="P9" s="46"/>
      <c r="Q9" s="46"/>
      <c r="R9" s="46"/>
      <c r="S9" s="46"/>
    </row>
    <row r="10" spans="1:19" s="45" customFormat="1" ht="47.25" x14ac:dyDescent="0.25">
      <c r="A10" s="34" t="str">
        <f>Phase2!A10</f>
        <v>FS2.7</v>
      </c>
      <c r="B10" s="35" t="str">
        <f>Phase2!B10</f>
        <v>Facilities and Safety</v>
      </c>
      <c r="C10" s="35" t="str">
        <f>Phase2!C10</f>
        <v>Are the rooms designed and furnished in a logical way enabling a unidirectional workflow and preventing unnecessary movements of people through the rooms?</v>
      </c>
      <c r="D10" s="45" t="s">
        <v>2271</v>
      </c>
      <c r="E10" s="45" t="s">
        <v>2272</v>
      </c>
      <c r="H10" s="46"/>
      <c r="I10" s="46"/>
      <c r="J10" s="46"/>
      <c r="K10" s="46"/>
      <c r="L10" s="46"/>
      <c r="M10" s="46"/>
      <c r="N10" s="46"/>
      <c r="O10" s="46"/>
      <c r="P10" s="46"/>
      <c r="Q10" s="46"/>
      <c r="R10" s="46"/>
      <c r="S10" s="46"/>
    </row>
    <row r="11" spans="1:19" s="45" customFormat="1" ht="31.5" x14ac:dyDescent="0.25">
      <c r="A11" s="34" t="str">
        <f>Phase2!A11</f>
        <v>FS2.8</v>
      </c>
      <c r="B11" s="35" t="str">
        <f>Phase2!B11</f>
        <v>Facilities and Safety</v>
      </c>
      <c r="C11" s="35" t="str">
        <f>Phase2!C11</f>
        <v>Is office space separated from laboratory rooms?</v>
      </c>
      <c r="D11" s="45" t="s">
        <v>2273</v>
      </c>
      <c r="H11" s="46"/>
      <c r="I11" s="46"/>
      <c r="J11" s="46"/>
      <c r="K11" s="46"/>
      <c r="L11" s="46"/>
      <c r="M11" s="46"/>
      <c r="N11" s="46"/>
      <c r="O11" s="46"/>
      <c r="P11" s="46"/>
      <c r="Q11" s="46"/>
      <c r="R11" s="46"/>
      <c r="S11" s="46"/>
    </row>
    <row r="12" spans="1:19" s="104" customFormat="1" ht="32.25" thickBot="1" x14ac:dyDescent="0.3">
      <c r="A12" s="30" t="str">
        <f>Phase2!A12</f>
        <v>FS2.9</v>
      </c>
      <c r="B12" s="31" t="str">
        <f>Phase2!B12</f>
        <v>Facilities and Safety</v>
      </c>
      <c r="C12" s="31" t="str">
        <f>Phase2!C12</f>
        <v>Is there a dedicated area for breaks/lunches?</v>
      </c>
      <c r="D12" s="104" t="s">
        <v>2274</v>
      </c>
      <c r="H12" s="98"/>
      <c r="I12" s="98"/>
      <c r="J12" s="98"/>
      <c r="K12" s="98"/>
      <c r="L12" s="98"/>
      <c r="M12" s="98"/>
      <c r="N12" s="293"/>
      <c r="O12" s="293"/>
      <c r="P12" s="293"/>
      <c r="Q12" s="293"/>
      <c r="R12" s="293"/>
      <c r="S12" s="293"/>
    </row>
    <row r="13" spans="1:19" ht="15.75" thickBot="1" x14ac:dyDescent="0.3"/>
    <row r="14" spans="1:19" s="42" customFormat="1" ht="31.5" x14ac:dyDescent="0.25">
      <c r="A14" s="28" t="str">
        <f>Phase2!A13</f>
        <v>FS2.10</v>
      </c>
      <c r="B14" s="29" t="str">
        <f>Phase2!B13</f>
        <v>Facilities and Safety</v>
      </c>
      <c r="C14" s="29" t="str">
        <f>Phase2!C13</f>
        <v>Is communication to outside the laboratory rooms possible without leaving the room?</v>
      </c>
      <c r="D14" s="42" t="s">
        <v>2275</v>
      </c>
    </row>
    <row r="15" spans="1:19" s="45" customFormat="1" ht="47.25" x14ac:dyDescent="0.25">
      <c r="A15" s="34" t="str">
        <f>Phase2!A14</f>
        <v>FS2.11</v>
      </c>
      <c r="B15" s="35" t="str">
        <f>Phase2!B14</f>
        <v>Facilities and Safety</v>
      </c>
      <c r="C15" s="35" t="str">
        <f>Phase2!C14</f>
        <v>Are emergency numbers available near telephones and clearly visible?</v>
      </c>
      <c r="D15" s="45" t="s">
        <v>2276</v>
      </c>
      <c r="H15" s="46"/>
      <c r="I15" s="46"/>
      <c r="J15" s="46"/>
      <c r="K15" s="46"/>
      <c r="L15" s="46"/>
      <c r="M15" s="46"/>
      <c r="N15" s="46"/>
      <c r="O15" s="46"/>
      <c r="P15" s="46"/>
      <c r="Q15" s="46"/>
      <c r="R15" s="46"/>
      <c r="S15" s="46"/>
    </row>
    <row r="16" spans="1:19" s="104" customFormat="1" ht="32.25" thickBot="1" x14ac:dyDescent="0.3">
      <c r="A16" s="30" t="str">
        <f>Phase2!A15</f>
        <v>FS2.12</v>
      </c>
      <c r="B16" s="31" t="str">
        <f>Phase2!B15</f>
        <v>Facilities and Safety</v>
      </c>
      <c r="C16" s="31" t="str">
        <f>Phase2!C15</f>
        <v>Is the use of mobile phones forbidden inside all laboratory rooms?</v>
      </c>
      <c r="D16" s="104" t="s">
        <v>2277</v>
      </c>
      <c r="H16" s="98"/>
      <c r="I16" s="98"/>
      <c r="J16" s="98"/>
      <c r="K16" s="98"/>
      <c r="L16" s="98"/>
      <c r="M16" s="98"/>
      <c r="N16" s="293"/>
      <c r="O16" s="293"/>
      <c r="P16" s="293"/>
      <c r="Q16" s="293"/>
      <c r="R16" s="293"/>
      <c r="S16" s="293"/>
    </row>
    <row r="17" spans="1:19" ht="15.75" thickBot="1" x14ac:dyDescent="0.3">
      <c r="D17" s="109"/>
    </row>
    <row r="18" spans="1:19" s="42" customFormat="1" ht="47.25" x14ac:dyDescent="0.25">
      <c r="A18" s="28" t="str">
        <f>Phase2!A16</f>
        <v>FS2.13</v>
      </c>
      <c r="B18" s="29" t="str">
        <f>Phase2!B16</f>
        <v>Facilities and Safety</v>
      </c>
      <c r="C18" s="29" t="str">
        <f>Phase2!C16</f>
        <v>Is continuing delivery of electricity guaranteed through a working generator and/or Uninterrupted Power Supply (UPS) system in case of a power failure?</v>
      </c>
      <c r="D18" s="42" t="s">
        <v>2280</v>
      </c>
      <c r="E18" s="42" t="s">
        <v>2278</v>
      </c>
      <c r="F18" s="42" t="s">
        <v>2279</v>
      </c>
    </row>
    <row r="19" spans="1:19" s="104" customFormat="1" ht="32.25" thickBot="1" x14ac:dyDescent="0.3">
      <c r="A19" s="30" t="str">
        <f>Phase2!A17</f>
        <v>FS2.14</v>
      </c>
      <c r="B19" s="31" t="str">
        <f>Phase2!B17</f>
        <v>Facilities and Safety</v>
      </c>
      <c r="C19" s="31" t="str">
        <f>Phase2!C17</f>
        <v>Is all the essential/critical equipment locked onto the generator?</v>
      </c>
      <c r="D19" s="104" t="s">
        <v>2281</v>
      </c>
      <c r="H19" s="98"/>
      <c r="I19" s="98"/>
      <c r="J19" s="98"/>
      <c r="K19" s="98"/>
      <c r="L19" s="98"/>
      <c r="M19" s="98"/>
      <c r="N19" s="293"/>
      <c r="O19" s="293"/>
      <c r="P19" s="293"/>
      <c r="Q19" s="293"/>
      <c r="R19" s="293"/>
      <c r="S19" s="293"/>
    </row>
    <row r="20" spans="1:19" ht="15.75" thickBot="1" x14ac:dyDescent="0.3">
      <c r="D20" s="109"/>
    </row>
    <row r="21" spans="1:19" s="42" customFormat="1" ht="63" x14ac:dyDescent="0.25">
      <c r="A21" s="28" t="str">
        <f>Phase2!A18</f>
        <v>FS2.15</v>
      </c>
      <c r="B21" s="29" t="str">
        <f>Phase2!B18</f>
        <v>Facilities and Safety</v>
      </c>
      <c r="C21" s="29" t="str">
        <f>Phase2!C18</f>
        <v>Is an indicator placed in relevant rooms for monitoring the air flow and preventing that pathogens are blown towards the staff working in the laboratory.</v>
      </c>
      <c r="D21" s="42" t="s">
        <v>2282</v>
      </c>
    </row>
    <row r="22" spans="1:19" s="45" customFormat="1" ht="63" x14ac:dyDescent="0.25">
      <c r="A22" s="34" t="str">
        <f>Phase2!A19</f>
        <v>FS2.16</v>
      </c>
      <c r="B22" s="35" t="str">
        <f>Phase2!B19</f>
        <v>Facilities and Safety</v>
      </c>
      <c r="C22" s="35" t="str">
        <f>Phase2!C19</f>
        <v>Are all hazardous materials in the laboratory registered?
Take a sample by identifying some hazardous materials and looking them up in the register.</v>
      </c>
      <c r="D22" s="45" t="s">
        <v>2283</v>
      </c>
      <c r="H22" s="46"/>
      <c r="I22" s="46"/>
      <c r="J22" s="46"/>
      <c r="K22" s="46"/>
      <c r="L22" s="46"/>
      <c r="M22" s="46"/>
      <c r="N22" s="46"/>
      <c r="O22" s="46"/>
      <c r="P22" s="46"/>
      <c r="Q22" s="46"/>
      <c r="R22" s="46"/>
      <c r="S22" s="46"/>
    </row>
    <row r="23" spans="1:19" s="45" customFormat="1" ht="63" x14ac:dyDescent="0.25">
      <c r="A23" s="34" t="str">
        <f>Phase2!A20</f>
        <v>FS2.17</v>
      </c>
      <c r="B23" s="35" t="str">
        <f>Phase2!B20</f>
        <v>Facilities and Safety</v>
      </c>
      <c r="C23" s="35" t="str">
        <f>Phase2!C20</f>
        <v>Is the Hazardous Material Register up to date?
Take a sample by comparing the amount of several materials as noted in the register and in reality.</v>
      </c>
      <c r="D23" s="45" t="s">
        <v>2284</v>
      </c>
      <c r="H23" s="46"/>
      <c r="I23" s="46"/>
      <c r="J23" s="46"/>
      <c r="K23" s="46"/>
      <c r="L23" s="46"/>
      <c r="M23" s="46"/>
      <c r="N23" s="46"/>
      <c r="O23" s="46"/>
      <c r="P23" s="46"/>
      <c r="Q23" s="46"/>
      <c r="R23" s="46"/>
      <c r="S23" s="46"/>
    </row>
    <row r="24" spans="1:19" s="104" customFormat="1" ht="63.75" thickBot="1" x14ac:dyDescent="0.3">
      <c r="A24" s="30" t="str">
        <f>Phase2!A21</f>
        <v>FS2.18</v>
      </c>
      <c r="B24" s="31" t="str">
        <f>Phase2!B21</f>
        <v>Facilities and Safety</v>
      </c>
      <c r="C24" s="31" t="str">
        <f>Phase2!C21</f>
        <v>Are MSDS Sheets present for all hazardous materials in the laboratory?
Take a sample and check.</v>
      </c>
      <c r="D24" s="104" t="s">
        <v>2288</v>
      </c>
      <c r="E24" s="104" t="s">
        <v>2289</v>
      </c>
      <c r="H24" s="98"/>
      <c r="I24" s="98"/>
      <c r="J24" s="98"/>
      <c r="K24" s="98"/>
      <c r="L24" s="98"/>
      <c r="M24" s="98"/>
      <c r="N24" s="293"/>
      <c r="O24" s="293"/>
      <c r="P24" s="293"/>
      <c r="Q24" s="293"/>
      <c r="R24" s="293"/>
      <c r="S24" s="293"/>
    </row>
    <row r="25" spans="1:19" ht="15.75" thickBot="1" x14ac:dyDescent="0.3"/>
    <row r="26" spans="1:19" s="42" customFormat="1" ht="47.25" x14ac:dyDescent="0.25">
      <c r="A26" s="28" t="str">
        <f>Phase2!A22</f>
        <v>FS2.19</v>
      </c>
      <c r="B26" s="29" t="str">
        <f>Phase2!B22</f>
        <v>Facilities and Safety</v>
      </c>
      <c r="C26" s="29" t="str">
        <f>Phase2!C22</f>
        <v>Have critical environmental/equipment parameters been identified?</v>
      </c>
      <c r="D26" s="42" t="s">
        <v>2301</v>
      </c>
      <c r="E26" s="42" t="s">
        <v>2297</v>
      </c>
      <c r="F26" s="42" t="s">
        <v>2298</v>
      </c>
      <c r="G26" s="42" t="s">
        <v>2299</v>
      </c>
      <c r="H26" s="42" t="s">
        <v>2300</v>
      </c>
    </row>
    <row r="27" spans="1:19" s="45" customFormat="1" ht="31.5" x14ac:dyDescent="0.25">
      <c r="A27" s="34" t="str">
        <f>Phase2!A23</f>
        <v>FS2.20</v>
      </c>
      <c r="B27" s="35" t="str">
        <f>Phase2!B23</f>
        <v>Facilities and Safety</v>
      </c>
      <c r="C27" s="35" t="str">
        <f>Phase2!C23</f>
        <v>Are all critical environmental/equipment parameters monitored adequately?</v>
      </c>
      <c r="D27" s="45" t="s">
        <v>2294</v>
      </c>
      <c r="E27" s="45" t="s">
        <v>2291</v>
      </c>
      <c r="F27" s="45" t="s">
        <v>2292</v>
      </c>
      <c r="G27" s="45" t="s">
        <v>2293</v>
      </c>
      <c r="H27" s="46"/>
      <c r="I27" s="46"/>
      <c r="J27" s="46"/>
      <c r="K27" s="46"/>
      <c r="L27" s="46"/>
      <c r="M27" s="46"/>
      <c r="N27" s="46"/>
      <c r="O27" s="46"/>
      <c r="P27" s="46"/>
      <c r="Q27" s="46"/>
      <c r="R27" s="46"/>
      <c r="S27" s="46"/>
    </row>
    <row r="28" spans="1:19" s="45" customFormat="1" ht="31.5" x14ac:dyDescent="0.25">
      <c r="A28" s="34" t="str">
        <f>Phase2!A24</f>
        <v>FS2.21</v>
      </c>
      <c r="B28" s="35" t="str">
        <f>Phase2!B24</f>
        <v>Facilities and Safety</v>
      </c>
      <c r="C28" s="35" t="str">
        <f>Phase2!C24</f>
        <v>Are all Critical Parameter Log Sheets filled out completely and up-to-date?</v>
      </c>
      <c r="D28" s="45" t="s">
        <v>2290</v>
      </c>
      <c r="H28" s="46"/>
      <c r="I28" s="46"/>
      <c r="J28" s="46"/>
      <c r="K28" s="46"/>
      <c r="L28" s="46"/>
      <c r="M28" s="46"/>
      <c r="N28" s="46"/>
      <c r="O28" s="46"/>
      <c r="P28" s="46"/>
      <c r="Q28" s="46"/>
      <c r="R28" s="46"/>
      <c r="S28" s="46"/>
    </row>
    <row r="29" spans="1:19" s="104" customFormat="1" ht="32.25" thickBot="1" x14ac:dyDescent="0.3">
      <c r="A29" s="30" t="str">
        <f>Phase2!A25</f>
        <v>FS2.22</v>
      </c>
      <c r="B29" s="31" t="str">
        <f>Phase2!B25</f>
        <v>Facilities and Safety</v>
      </c>
      <c r="C29" s="31" t="str">
        <f>Phase2!C25</f>
        <v>Are all Critical Parameter Log Sheets placed at a logical location?</v>
      </c>
      <c r="D29" s="104" t="s">
        <v>2295</v>
      </c>
      <c r="E29" s="104" t="s">
        <v>2296</v>
      </c>
      <c r="H29" s="98"/>
      <c r="I29" s="98"/>
      <c r="J29" s="98"/>
      <c r="K29" s="98"/>
      <c r="L29" s="98"/>
      <c r="M29" s="98"/>
      <c r="N29" s="293"/>
      <c r="O29" s="293"/>
      <c r="P29" s="293"/>
      <c r="Q29" s="293"/>
      <c r="R29" s="293"/>
      <c r="S29" s="293"/>
    </row>
    <row r="30" spans="1:19" ht="15.75" thickBot="1" x14ac:dyDescent="0.3"/>
    <row r="31" spans="1:19" s="47" customFormat="1" ht="15.75" x14ac:dyDescent="0.25">
      <c r="A31" s="36" t="str">
        <f>Phase2!A26</f>
        <v>ORG2.1</v>
      </c>
      <c r="B31" s="37" t="str">
        <f>Phase2!B26</f>
        <v>Organization</v>
      </c>
      <c r="C31" s="37" t="str">
        <f>Phase2!C26</f>
        <v>Has a Quality Officer been appointed?</v>
      </c>
      <c r="D31" s="47" t="s">
        <v>2310</v>
      </c>
    </row>
    <row r="32" spans="1:19" s="48" customFormat="1" ht="31.5" x14ac:dyDescent="0.25">
      <c r="A32" s="38" t="str">
        <f>Phase2!A27</f>
        <v>ORG2.2</v>
      </c>
      <c r="B32" s="39" t="str">
        <f>Phase2!B27</f>
        <v>Organization</v>
      </c>
      <c r="C32" s="39" t="str">
        <f>Phase2!C27</f>
        <v>Is the position of Quality Officer visible, at the right place, in the Organizational Chart?</v>
      </c>
      <c r="D32" s="48" t="s">
        <v>2311</v>
      </c>
    </row>
    <row r="33" spans="1:5" s="48" customFormat="1" ht="31.5" x14ac:dyDescent="0.25">
      <c r="A33" s="38" t="str">
        <f>Phase2!A28</f>
        <v>ORG2.3</v>
      </c>
      <c r="B33" s="39" t="str">
        <f>Phase2!B28</f>
        <v>Organization</v>
      </c>
      <c r="C33" s="39" t="str">
        <f>Phase2!C28</f>
        <v>Does the laboratory have a job description of the position of Quality Officer?</v>
      </c>
      <c r="D33" s="48" t="s">
        <v>2312</v>
      </c>
    </row>
    <row r="34" spans="1:5" s="48" customFormat="1" ht="31.5" x14ac:dyDescent="0.25">
      <c r="A34" s="38" t="str">
        <f>Phase2!A29</f>
        <v>ORG2.4</v>
      </c>
      <c r="B34" s="39" t="str">
        <f>Phase2!B29</f>
        <v>Organization</v>
      </c>
      <c r="C34" s="39" t="str">
        <f>Phase2!C29</f>
        <v>Is the position of Quality Officer included in the Authorization Matrix?</v>
      </c>
      <c r="D34" s="48" t="s">
        <v>2313</v>
      </c>
    </row>
    <row r="35" spans="1:5" s="48" customFormat="1" ht="63" x14ac:dyDescent="0.25">
      <c r="A35" s="38" t="str">
        <f>Phase2!A30</f>
        <v>ORG2.5</v>
      </c>
      <c r="B35" s="39" t="str">
        <f>Phase2!B30</f>
        <v>Organization</v>
      </c>
      <c r="C35" s="39" t="str">
        <f>Phase2!C30</f>
        <v>Do the Quality Officer and Laboratory Manager have regular bilateral meetings to discuss proceedings?
Ask the Quality Officer.</v>
      </c>
      <c r="D35" s="48" t="s">
        <v>2314</v>
      </c>
    </row>
    <row r="36" spans="1:5" s="48" customFormat="1" ht="47.25" x14ac:dyDescent="0.25">
      <c r="A36" s="38" t="str">
        <f>Phase2!A31</f>
        <v>ORG2.6</v>
      </c>
      <c r="B36" s="39" t="str">
        <f>Phase2!B31</f>
        <v>Organization</v>
      </c>
      <c r="C36" s="39" t="str">
        <f>Phase2!C31</f>
        <v>If a staff member was appointed as Quality Officer, has his former position been filled by a new/another staff member if necessary?</v>
      </c>
      <c r="D36" s="48" t="s">
        <v>2317</v>
      </c>
    </row>
    <row r="37" spans="1:5" s="48" customFormat="1" ht="31.5" x14ac:dyDescent="0.25">
      <c r="A37" s="38" t="str">
        <f>Phase2!A32</f>
        <v>ORG2.7</v>
      </c>
      <c r="B37" s="39" t="str">
        <f>Phase2!B32</f>
        <v>Organization</v>
      </c>
      <c r="C37" s="39" t="str">
        <f>Phase2!C32</f>
        <v>Has the laboratory manager been trained in principles of change management?</v>
      </c>
    </row>
    <row r="38" spans="1:5" s="48" customFormat="1" ht="15.75" x14ac:dyDescent="0.25">
      <c r="A38" s="38" t="str">
        <f>Phase2!A33</f>
        <v>ORG2.8</v>
      </c>
      <c r="B38" s="39" t="str">
        <f>Phase2!B33</f>
        <v>Organization</v>
      </c>
      <c r="C38" s="39" t="str">
        <f>Phase2!C33</f>
        <v>Does the laboratory have an up-to-date routine work schedule?</v>
      </c>
      <c r="D38" s="48" t="s">
        <v>2318</v>
      </c>
    </row>
    <row r="39" spans="1:5" s="48" customFormat="1" ht="15.75" x14ac:dyDescent="0.25">
      <c r="A39" s="38"/>
      <c r="B39" s="39"/>
      <c r="C39" s="39"/>
    </row>
    <row r="40" spans="1:5" s="48" customFormat="1" ht="31.5" x14ac:dyDescent="0.25">
      <c r="A40" s="38" t="str">
        <f>Phase2!A34</f>
        <v>ORG2.9</v>
      </c>
      <c r="B40" s="39" t="str">
        <f>Phase2!B34</f>
        <v>Organization</v>
      </c>
      <c r="C40" s="39" t="str">
        <f>Phase2!C34</f>
        <v>Is this Daily Routine Work Schedule placed at a visible location accessible to all staff?</v>
      </c>
      <c r="D40" s="48" t="s">
        <v>2320</v>
      </c>
      <c r="E40" s="48" t="s">
        <v>2319</v>
      </c>
    </row>
    <row r="41" spans="1:5" s="49" customFormat="1" ht="63.75" thickBot="1" x14ac:dyDescent="0.3">
      <c r="A41" s="40" t="str">
        <f>Phase2!A35</f>
        <v>ORG2.10</v>
      </c>
      <c r="B41" s="41" t="str">
        <f>Phase2!B35</f>
        <v>Organization</v>
      </c>
      <c r="C41" s="41" t="str">
        <f>Phase2!C35</f>
        <v>Do all staff members know where to find the Daily Routine Work Schedule?
Take a sample by asking this question to several staff members.</v>
      </c>
      <c r="D41" s="49" t="s">
        <v>2321</v>
      </c>
    </row>
    <row r="42" spans="1:5" ht="15.75" thickBot="1" x14ac:dyDescent="0.3"/>
    <row r="43" spans="1:5" s="47" customFormat="1" ht="15.75" x14ac:dyDescent="0.25">
      <c r="A43" s="36" t="str">
        <f>Phase2!A36</f>
        <v>ORG2.11</v>
      </c>
      <c r="B43" s="37" t="str">
        <f>Phase2!B36</f>
        <v>Organization</v>
      </c>
      <c r="C43" s="37" t="str">
        <f>Phase2!C36</f>
        <v>Is the laboratory legally identifiable?</v>
      </c>
    </row>
    <row r="44" spans="1:5" s="49" customFormat="1" ht="16.5" thickBot="1" x14ac:dyDescent="0.3">
      <c r="A44" s="40" t="str">
        <f>Phase2!A37</f>
        <v>ORG2.12</v>
      </c>
      <c r="B44" s="41" t="str">
        <f>Phase2!B37</f>
        <v>Organization</v>
      </c>
      <c r="C44" s="41" t="str">
        <f>Phase2!C37</f>
        <v>Is the laboratory and its status recognized by the appropriate authorities?</v>
      </c>
    </row>
    <row r="45" spans="1:5" ht="15.75" thickBot="1" x14ac:dyDescent="0.3"/>
    <row r="46" spans="1:5" s="47" customFormat="1" ht="15.75" x14ac:dyDescent="0.25">
      <c r="A46" s="36" t="str">
        <f>Phase2!A38</f>
        <v>ORG2.13</v>
      </c>
      <c r="B46" s="37" t="str">
        <f>Phase2!B38</f>
        <v>Organization</v>
      </c>
      <c r="C46" s="37" t="str">
        <f>Phase2!C38</f>
        <v>Are the Organizational Charts up-to-date?</v>
      </c>
      <c r="D46" s="47" t="s">
        <v>2322</v>
      </c>
    </row>
    <row r="47" spans="1:5" s="49" customFormat="1" ht="32.25" thickBot="1" x14ac:dyDescent="0.3">
      <c r="A47" s="40" t="str">
        <f>Phase2!A39</f>
        <v>ORG2.14</v>
      </c>
      <c r="B47" s="41" t="str">
        <f>Phase2!B39</f>
        <v>Organization</v>
      </c>
      <c r="C47" s="41" t="str">
        <f>Phase2!C39</f>
        <v>Are the Organizational Charts signed and dated by the appropriate management?</v>
      </c>
      <c r="D47" s="49" t="s">
        <v>2323</v>
      </c>
    </row>
    <row r="48" spans="1:5" ht="15.75" thickBot="1" x14ac:dyDescent="0.3"/>
    <row r="49" spans="1:9" s="57" customFormat="1" ht="15.75" x14ac:dyDescent="0.25">
      <c r="A49" s="53" t="str">
        <f>Phase2!A40</f>
        <v>PERS2.1</v>
      </c>
      <c r="B49" s="54" t="str">
        <f>Phase2!B40</f>
        <v>Personnel</v>
      </c>
      <c r="C49" s="54" t="str">
        <f>Phase2!C40</f>
        <v>Has an SOP for Competency Assessment been developed?</v>
      </c>
      <c r="D49" s="57" t="s">
        <v>2324</v>
      </c>
    </row>
    <row r="50" spans="1:9" s="61" customFormat="1" ht="31.5" x14ac:dyDescent="0.25">
      <c r="A50" s="59" t="str">
        <f>Phase2!A41</f>
        <v>PERS2.2</v>
      </c>
      <c r="B50" s="60" t="str">
        <f>Phase2!B41</f>
        <v>Personnel</v>
      </c>
      <c r="C50" s="60" t="str">
        <f>Phase2!C41</f>
        <v>Does this SOP contain one or more standardized form(s) that must be used to record the findings of the assessment?</v>
      </c>
    </row>
    <row r="51" spans="1:9" s="61" customFormat="1" ht="31.5" x14ac:dyDescent="0.25">
      <c r="A51" s="59" t="str">
        <f>Phase2!A42</f>
        <v>PERS2.3</v>
      </c>
      <c r="B51" s="60" t="str">
        <f>Phase2!B42</f>
        <v>Personnel</v>
      </c>
      <c r="C51" s="60" t="str">
        <f>Phase2!C42</f>
        <v>Are competency assessments done annually for each staff member?</v>
      </c>
      <c r="D51" s="61" t="s">
        <v>2325</v>
      </c>
    </row>
    <row r="52" spans="1:9" s="61" customFormat="1" ht="31.5" x14ac:dyDescent="0.25">
      <c r="A52" s="59" t="str">
        <f>Phase2!A43</f>
        <v>PERS2.4</v>
      </c>
      <c r="B52" s="60" t="str">
        <f>Phase2!B43</f>
        <v>Personnel</v>
      </c>
      <c r="C52" s="60" t="str">
        <f>Phase2!C43</f>
        <v>Is a report made of each competency assessment?</v>
      </c>
      <c r="D52" s="61" t="s">
        <v>2326</v>
      </c>
    </row>
    <row r="53" spans="1:9" s="61" customFormat="1" ht="47.25" x14ac:dyDescent="0.25">
      <c r="A53" s="59" t="str">
        <f>Phase2!A44</f>
        <v>PERS2.5</v>
      </c>
      <c r="B53" s="60" t="str">
        <f>Phase2!B44</f>
        <v>Personnel</v>
      </c>
      <c r="C53" s="60" t="str">
        <f>Phase2!C44</f>
        <v>Are the points for improvement described in the report of a competency assessment, including with a description of the strategy on how to improve these points?</v>
      </c>
      <c r="D53" s="61" t="s">
        <v>2327</v>
      </c>
    </row>
    <row r="54" spans="1:9" s="61" customFormat="1" ht="31.5" x14ac:dyDescent="0.25">
      <c r="A54" s="59" t="str">
        <f>Phase2!A45</f>
        <v>PERS2.6</v>
      </c>
      <c r="B54" s="60" t="str">
        <f>Phase2!B45</f>
        <v>Personnel</v>
      </c>
      <c r="C54" s="60" t="str">
        <f>Phase2!C45</f>
        <v>Are the reports of the competency assessments stored in the personnel files?</v>
      </c>
      <c r="D54" s="61" t="s">
        <v>2328</v>
      </c>
    </row>
    <row r="55" spans="1:9" s="61" customFormat="1" ht="31.5" x14ac:dyDescent="0.25">
      <c r="A55" s="59" t="str">
        <f>Phase2!A46</f>
        <v>PERS2.7</v>
      </c>
      <c r="B55" s="60" t="str">
        <f>Phase2!B46</f>
        <v>Personnel</v>
      </c>
      <c r="C55" s="60" t="str">
        <f>Phase2!C46</f>
        <v>If training needs are identified during competency assessment, is the staff member send to the appropriate training?</v>
      </c>
      <c r="D55" s="61" t="s">
        <v>2329</v>
      </c>
    </row>
    <row r="56" spans="1:9" s="58" customFormat="1" ht="32.25" thickBot="1" x14ac:dyDescent="0.3">
      <c r="A56" s="55" t="str">
        <f>Phase2!A47</f>
        <v>PERS2.8</v>
      </c>
      <c r="B56" s="56" t="str">
        <f>Phase2!B47</f>
        <v>Personnel</v>
      </c>
      <c r="C56" s="56" t="str">
        <f>Phase2!C47</f>
        <v>Is the competency of the Laboratory Manager annually assessed?</v>
      </c>
      <c r="D56" s="58" t="s">
        <v>2330</v>
      </c>
    </row>
    <row r="57" spans="1:9" ht="15.75" thickBot="1" x14ac:dyDescent="0.3"/>
    <row r="58" spans="1:9" s="57" customFormat="1" ht="31.5" x14ac:dyDescent="0.25">
      <c r="A58" s="53" t="str">
        <f>Phase2!A48</f>
        <v>PERS2.9</v>
      </c>
      <c r="B58" s="54" t="str">
        <f>Phase2!B48</f>
        <v>Personnel</v>
      </c>
      <c r="C58" s="54" t="str">
        <f>Phase2!C48</f>
        <v>Does the laboratory have an induction program for new staff?</v>
      </c>
      <c r="D58" s="57" t="s">
        <v>2332</v>
      </c>
    </row>
    <row r="59" spans="1:9" s="61" customFormat="1" ht="15.75" x14ac:dyDescent="0.25">
      <c r="A59" s="59" t="str">
        <f>Phase2!A49</f>
        <v>PERS2.10</v>
      </c>
      <c r="B59" s="60" t="str">
        <f>Phase2!B49</f>
        <v>Personnel</v>
      </c>
      <c r="C59" s="60" t="str">
        <f>Phase2!C49</f>
        <v>Is the procedure of the induction program documented in an SOP?</v>
      </c>
      <c r="D59" s="61" t="s">
        <v>2331</v>
      </c>
    </row>
    <row r="60" spans="1:9" s="58" customFormat="1" ht="32.25" thickBot="1" x14ac:dyDescent="0.3">
      <c r="A60" s="55" t="str">
        <f>Phase2!A50</f>
        <v>PERS2.11</v>
      </c>
      <c r="B60" s="56" t="str">
        <f>Phase2!B50</f>
        <v>Personnel</v>
      </c>
      <c r="C60" s="56" t="str">
        <f>Phase2!C50</f>
        <v>Does the SOP for Induction of New Personnel include a checklist for verifying correct completion of the program?</v>
      </c>
    </row>
    <row r="61" spans="1:9" ht="15.75" thickBot="1" x14ac:dyDescent="0.3"/>
    <row r="62" spans="1:9" s="52" customFormat="1" ht="32.25" thickBot="1" x14ac:dyDescent="0.3">
      <c r="A62" s="50" t="str">
        <f>Phase2!A51</f>
        <v>PERS2.12</v>
      </c>
      <c r="B62" s="51" t="str">
        <f>Phase2!B51</f>
        <v>Personnel</v>
      </c>
      <c r="C62" s="51" t="str">
        <f>Phase2!C51</f>
        <v>Are completed checklists stored at a logical location (e.g. in the personnel file of the new staff member)?</v>
      </c>
      <c r="D62" s="52" t="s">
        <v>2333</v>
      </c>
    </row>
    <row r="63" spans="1:9" ht="15.75" thickBot="1" x14ac:dyDescent="0.3">
      <c r="D63" s="110"/>
    </row>
    <row r="64" spans="1:9" s="57" customFormat="1" ht="31.5" x14ac:dyDescent="0.25">
      <c r="A64" s="53" t="str">
        <f>Phase2!A52</f>
        <v>PERS2.13</v>
      </c>
      <c r="B64" s="54" t="str">
        <f>Phase2!B52</f>
        <v>Personnel</v>
      </c>
      <c r="C64" s="54" t="str">
        <f>Phase2!C52</f>
        <v>Are performance appraisals performed for all staff members at least once per two years?</v>
      </c>
      <c r="D64" s="57" t="s">
        <v>2339</v>
      </c>
      <c r="E64" s="57" t="s">
        <v>2334</v>
      </c>
      <c r="F64" s="57" t="s">
        <v>2335</v>
      </c>
      <c r="G64" s="57" t="s">
        <v>2336</v>
      </c>
      <c r="H64" s="57" t="s">
        <v>2337</v>
      </c>
      <c r="I64" s="57" t="s">
        <v>2338</v>
      </c>
    </row>
    <row r="65" spans="1:6" s="61" customFormat="1" ht="47.25" x14ac:dyDescent="0.25">
      <c r="A65" s="59" t="str">
        <f>Phase2!A53</f>
        <v>PERS2.14</v>
      </c>
      <c r="B65" s="60" t="str">
        <f>Phase2!B53</f>
        <v>Personnel</v>
      </c>
      <c r="C65" s="60" t="str">
        <f>Phase2!C53</f>
        <v>Are findings of performance appraisals discussed with staff members that were assessed to find the root cause and come to a good approach on eliminating this root cause and improving performance?</v>
      </c>
      <c r="D65" s="61" t="s">
        <v>2340</v>
      </c>
      <c r="E65" s="61" t="s">
        <v>2341</v>
      </c>
    </row>
    <row r="66" spans="1:6" s="58" customFormat="1" ht="48" thickBot="1" x14ac:dyDescent="0.3">
      <c r="A66" s="55" t="str">
        <f>Phase2!A54</f>
        <v>PERS2.15</v>
      </c>
      <c r="B66" s="56" t="str">
        <f>Phase2!B54</f>
        <v>Personnel</v>
      </c>
      <c r="C66" s="56" t="str">
        <f>Phase2!C54</f>
        <v>Are findings of performance appraisals recorded, including the identification of root causes behind poor performance and the approach chosen to eliminate these and improve performance?</v>
      </c>
    </row>
    <row r="67" spans="1:6" ht="15.75" thickBot="1" x14ac:dyDescent="0.3"/>
    <row r="68" spans="1:6" s="57" customFormat="1" ht="15.75" x14ac:dyDescent="0.25">
      <c r="A68" s="53" t="str">
        <f>Phase2!A55</f>
        <v>PERS2.16</v>
      </c>
      <c r="B68" s="54" t="str">
        <f>Phase2!B55</f>
        <v>Personnel</v>
      </c>
      <c r="C68" s="54" t="str">
        <f>Phase2!C55</f>
        <v>Is a personnel file present of each staff member?</v>
      </c>
      <c r="D68" s="57" t="s">
        <v>2342</v>
      </c>
    </row>
    <row r="69" spans="1:6" s="61" customFormat="1" ht="47.25" x14ac:dyDescent="0.25">
      <c r="A69" s="59" t="str">
        <f>Phase2!A56</f>
        <v>PERS2.17</v>
      </c>
      <c r="B69" s="60" t="str">
        <f>Phase2!B56</f>
        <v>Personnel</v>
      </c>
      <c r="C69" s="60" t="str">
        <f>Phase2!C56</f>
        <v>Are all the records described in ISO 15189:2012 article 5.1.9 (ISO 15189:2007 5.1.2) present in the personnel file of each staff member?</v>
      </c>
      <c r="D69" s="61" t="s">
        <v>2343</v>
      </c>
    </row>
    <row r="70" spans="1:6" s="61" customFormat="1" ht="15.75" x14ac:dyDescent="0.25">
      <c r="A70" s="59" t="str">
        <f>Phase2!A57</f>
        <v>PERS2.18</v>
      </c>
      <c r="B70" s="60" t="str">
        <f>Phase2!B57</f>
        <v>Personnel</v>
      </c>
      <c r="C70" s="60" t="str">
        <f>Phase2!C57</f>
        <v>Are the personnel files structured in an orderly fashion?</v>
      </c>
      <c r="D70" s="61" t="s">
        <v>2344</v>
      </c>
    </row>
    <row r="71" spans="1:6" s="58" customFormat="1" ht="32.25" thickBot="1" x14ac:dyDescent="0.3">
      <c r="A71" s="55" t="str">
        <f>Phase2!A58</f>
        <v>PERS2.19</v>
      </c>
      <c r="B71" s="56" t="str">
        <f>Phase2!B58</f>
        <v>Personnel</v>
      </c>
      <c r="C71" s="56" t="str">
        <f>Phase2!C58</f>
        <v>Is the Personnel Files folder stored in a locked cabinet that is only accessible to the Laboratory Manager and the secretary?</v>
      </c>
      <c r="D71" s="58" t="s">
        <v>2345</v>
      </c>
    </row>
    <row r="72" spans="1:6" ht="15.75" thickBot="1" x14ac:dyDescent="0.3">
      <c r="D72" s="110"/>
    </row>
    <row r="73" spans="1:6" s="70" customFormat="1" ht="47.25" x14ac:dyDescent="0.25">
      <c r="A73" s="62" t="str">
        <f>Phase2!A59</f>
        <v>EQUIP2.1</v>
      </c>
      <c r="B73" s="63" t="str">
        <f>Phase2!B59</f>
        <v>Equipment</v>
      </c>
      <c r="C73" s="63" t="str">
        <f>Phase2!C59</f>
        <v>Does the laboratory have a standardized, documented procedure for procurement and reception of new equipment?</v>
      </c>
      <c r="D73" s="70" t="s">
        <v>2346</v>
      </c>
    </row>
    <row r="74" spans="1:6" s="72" customFormat="1" ht="31.5" x14ac:dyDescent="0.25">
      <c r="A74" s="66" t="str">
        <f>Phase2!A60</f>
        <v>EQUIP2.2</v>
      </c>
      <c r="B74" s="67" t="str">
        <f>Phase2!B60</f>
        <v>Equipment</v>
      </c>
      <c r="C74" s="67" t="str">
        <f>Phase2!C60</f>
        <v>Does the laboratory have a standardized, documented procedure for acceptance or rejection of donated equipment?</v>
      </c>
    </row>
    <row r="75" spans="1:6" s="72" customFormat="1" ht="31.5" x14ac:dyDescent="0.25">
      <c r="A75" s="66" t="str">
        <f>Phase2!A61</f>
        <v>EQUIP2.3</v>
      </c>
      <c r="B75" s="67" t="str">
        <f>Phase2!B61</f>
        <v>Equipment</v>
      </c>
      <c r="C75" s="67" t="str">
        <f>Phase2!C61</f>
        <v>Is the SOP for Procurement and Reception of Equipment stored at a logical location, accessible to all staff members?</v>
      </c>
      <c r="D75" s="72" t="s">
        <v>2347</v>
      </c>
    </row>
    <row r="76" spans="1:6" s="72" customFormat="1" ht="31.5" x14ac:dyDescent="0.25">
      <c r="A76" s="66" t="str">
        <f>Phase2!A62</f>
        <v>EQUIP2.4</v>
      </c>
      <c r="B76" s="67" t="str">
        <f>Phase2!B62</f>
        <v>Equipment</v>
      </c>
      <c r="C76" s="67" t="str">
        <f>Phase2!C62</f>
        <v>Is the SOP for Procurement and Reception of Equipment demonstrably reviewed and verified by fellow staff members?</v>
      </c>
      <c r="D76" s="72" t="s">
        <v>2348</v>
      </c>
    </row>
    <row r="77" spans="1:6" s="72" customFormat="1" ht="31.5" x14ac:dyDescent="0.25">
      <c r="A77" s="66" t="str">
        <f>Phase2!A63</f>
        <v>EQUIP2.5</v>
      </c>
      <c r="B77" s="67" t="str">
        <f>Phase2!B63</f>
        <v>Equipment</v>
      </c>
      <c r="C77" s="67" t="str">
        <f>Phase2!C63</f>
        <v>Is the SOP for Procurement and Reception of Equipment demonstrably authorized by laboratory management?</v>
      </c>
      <c r="D77" s="72" t="s">
        <v>2349</v>
      </c>
    </row>
    <row r="78" spans="1:6" s="73" customFormat="1" ht="32.25" thickBot="1" x14ac:dyDescent="0.3">
      <c r="A78" s="68" t="str">
        <f>Phase2!A64</f>
        <v>EQUIP2.6</v>
      </c>
      <c r="B78" s="69" t="str">
        <f>Phase2!B64</f>
        <v>Equipment</v>
      </c>
      <c r="C78" s="69" t="str">
        <f>Phase2!C64</f>
        <v>Are all technical and managerial staff members aware of the existence of the SOP and do they know when to use it?</v>
      </c>
      <c r="D78" s="73" t="s">
        <v>2350</v>
      </c>
    </row>
    <row r="79" spans="1:6" ht="15.75" thickBot="1" x14ac:dyDescent="0.3">
      <c r="D79" s="110"/>
    </row>
    <row r="80" spans="1:6" s="70" customFormat="1" ht="31.5" x14ac:dyDescent="0.25">
      <c r="A80" s="62" t="str">
        <f>Phase2!A65</f>
        <v>EQUIP2.7</v>
      </c>
      <c r="B80" s="63" t="str">
        <f>Phase2!B65</f>
        <v>Equipment</v>
      </c>
      <c r="C80" s="63" t="str">
        <f>Phase2!C65</f>
        <v>Has all equipment in the laboratory been labeled?</v>
      </c>
      <c r="D80" s="70" t="s">
        <v>2353</v>
      </c>
      <c r="E80" s="70" t="s">
        <v>2351</v>
      </c>
      <c r="F80" s="70" t="s">
        <v>2352</v>
      </c>
    </row>
    <row r="81" spans="1:11" s="72" customFormat="1" ht="15.75" x14ac:dyDescent="0.25">
      <c r="A81" s="66" t="str">
        <f>Phase2!A66</f>
        <v>EQUIP2.8</v>
      </c>
      <c r="B81" s="67" t="str">
        <f>Phase2!B66</f>
        <v>Equipment</v>
      </c>
      <c r="C81" s="67" t="str">
        <f>Phase2!C66</f>
        <v>Do the equipment labels include the following data:</v>
      </c>
    </row>
    <row r="82" spans="1:11" s="73" customFormat="1" ht="48" thickBot="1" x14ac:dyDescent="0.3">
      <c r="A82" s="68" t="str">
        <f>Phase2!A70</f>
        <v>EQUIP2.9</v>
      </c>
      <c r="B82" s="69" t="str">
        <f>Phase2!B70</f>
        <v>Equipment</v>
      </c>
      <c r="C82" s="69" t="str">
        <f>Phase2!C70</f>
        <v>Are the equipment labels resistant to fluids, chemicals, light, and other daily factors causing wear and tear of the labels?</v>
      </c>
      <c r="D82" s="73" t="s">
        <v>2359</v>
      </c>
    </row>
    <row r="83" spans="1:11" ht="15.75" thickBot="1" x14ac:dyDescent="0.3">
      <c r="D83" s="110"/>
    </row>
    <row r="84" spans="1:11" s="70" customFormat="1" ht="47.25" x14ac:dyDescent="0.25">
      <c r="A84" s="62" t="str">
        <f>Phase2!A71</f>
        <v>EQUIP2.10</v>
      </c>
      <c r="B84" s="63" t="str">
        <f>Phase2!B71</f>
        <v>Equipment</v>
      </c>
      <c r="C84" s="63" t="str">
        <f>Phase2!C71</f>
        <v>Is it documented who is responsible for each piece of equipment and who is authorized to use the equipment?</v>
      </c>
      <c r="D84" s="70" t="s">
        <v>2360</v>
      </c>
      <c r="E84" s="70" t="s">
        <v>2361</v>
      </c>
    </row>
    <row r="85" spans="1:11" s="72" customFormat="1" ht="63" x14ac:dyDescent="0.25">
      <c r="A85" s="66" t="str">
        <f>Phase2!A72</f>
        <v>EQUIP2.11</v>
      </c>
      <c r="B85" s="67" t="str">
        <f>Phase2!B72</f>
        <v>Equipment</v>
      </c>
      <c r="C85" s="67" t="str">
        <f>Phase2!C72</f>
        <v>Do staff members who are responsible for a piece of equipment know their responsibilities?
Take a sample by asking such a staff member.</v>
      </c>
      <c r="D85" s="72" t="s">
        <v>2362</v>
      </c>
    </row>
    <row r="86" spans="1:11" s="73" customFormat="1" ht="32.25" thickBot="1" x14ac:dyDescent="0.3">
      <c r="A86" s="68" t="str">
        <f>Phase2!A73</f>
        <v>EQUIP2.12</v>
      </c>
      <c r="B86" s="69" t="str">
        <f>Phase2!B73</f>
        <v>Equipment</v>
      </c>
      <c r="C86" s="69" t="str">
        <f>Phase2!C73</f>
        <v>Are staff members authorized for use of a piece of equipment properly instructed/trained?</v>
      </c>
      <c r="D86" s="73" t="s">
        <v>2365</v>
      </c>
    </row>
    <row r="87" spans="1:11" ht="15.75" thickBot="1" x14ac:dyDescent="0.3">
      <c r="D87" s="108"/>
    </row>
    <row r="88" spans="1:11" s="70" customFormat="1" ht="47.25" x14ac:dyDescent="0.25">
      <c r="A88" s="62" t="str">
        <f>Phase2!A74</f>
        <v>EQUIP2.13</v>
      </c>
      <c r="B88" s="63" t="str">
        <f>Phase2!B74</f>
        <v>Equipment</v>
      </c>
      <c r="C88" s="63" t="str">
        <f>Phase2!C74</f>
        <v>Does the laboratory have a Maintenance Log Sheet for each piece of equipment that shows what maintenance has been performed at which moment to which piece of equipment?</v>
      </c>
      <c r="D88" s="70" t="s">
        <v>2366</v>
      </c>
    </row>
    <row r="89" spans="1:11" s="72" customFormat="1" ht="31.5" x14ac:dyDescent="0.25">
      <c r="A89" s="66" t="str">
        <f>Phase2!A75</f>
        <v>EQUIP2.14</v>
      </c>
      <c r="B89" s="67" t="str">
        <f>Phase2!B75</f>
        <v>Equipment</v>
      </c>
      <c r="C89" s="67" t="str">
        <f>Phase2!C75</f>
        <v>Does the laboratory use log sheets to record usage of specific pieces of equipment where necessary?</v>
      </c>
      <c r="D89" s="72" t="s">
        <v>2367</v>
      </c>
    </row>
    <row r="90" spans="1:11" s="72" customFormat="1" ht="31.5" x14ac:dyDescent="0.25">
      <c r="A90" s="66" t="str">
        <f>Phase2!A76</f>
        <v>EQUIP2.15</v>
      </c>
      <c r="B90" s="67" t="str">
        <f>Phase2!B76</f>
        <v>Equipment</v>
      </c>
      <c r="C90" s="67" t="str">
        <f>Phase2!C76</f>
        <v>Do staff members know how and when to fill out Usage Log Sheets/log books for each piece of equipment?</v>
      </c>
      <c r="D90" s="72" t="s">
        <v>2368</v>
      </c>
    </row>
    <row r="91" spans="1:11" s="72" customFormat="1" ht="47.25" x14ac:dyDescent="0.25">
      <c r="A91" s="66" t="str">
        <f>Phase2!A77</f>
        <v>EQUIP2.16</v>
      </c>
      <c r="B91" s="67" t="str">
        <f>Phase2!B77</f>
        <v>Equipment</v>
      </c>
      <c r="C91" s="67" t="str">
        <f>Phase2!C77</f>
        <v>Are the Usage Log Sheets placed near the piece of equipment they have been developed for?</v>
      </c>
      <c r="D91" s="72" t="s">
        <v>2370</v>
      </c>
      <c r="E91" s="72" t="s">
        <v>2369</v>
      </c>
    </row>
    <row r="92" spans="1:11" s="73" customFormat="1" ht="45" thickBot="1" x14ac:dyDescent="0.3">
      <c r="A92" s="68" t="str">
        <f>Phase2!A78</f>
        <v>EQUIP2.17</v>
      </c>
      <c r="B92" s="69" t="str">
        <f>Phase2!B78</f>
        <v>Equipment</v>
      </c>
      <c r="C92" s="69" t="str">
        <f>Phase2!C78</f>
        <v>Are Maintenance Log Sheets of equipment stored orderly in the Equipment Archive?</v>
      </c>
      <c r="D92" s="73" t="s">
        <v>2371</v>
      </c>
    </row>
    <row r="93" spans="1:11" ht="15.75" thickBot="1" x14ac:dyDescent="0.3">
      <c r="D93" s="110"/>
    </row>
    <row r="94" spans="1:11" s="114" customFormat="1" ht="48" thickBot="1" x14ac:dyDescent="0.3">
      <c r="A94" s="112" t="str">
        <f>Phase2!A79</f>
        <v>EQUIP2.18</v>
      </c>
      <c r="B94" s="113" t="str">
        <f>Phase2!B79</f>
        <v>Equipment</v>
      </c>
      <c r="C94" s="113" t="str">
        <f>Phase2!C79</f>
        <v>Does the laboratory have an Equipment Archive that contains all the documents and records needed for each piece of equipment as listed in ISO 15189:2007 article 5.3.4 or ISO 15189:2012 article 5.3.1.7?</v>
      </c>
      <c r="D94" s="114" t="s">
        <v>2377</v>
      </c>
      <c r="E94" s="114" t="s">
        <v>2372</v>
      </c>
      <c r="F94" s="114" t="s">
        <v>2373</v>
      </c>
      <c r="G94" s="114" t="s">
        <v>2374</v>
      </c>
      <c r="H94" s="114" t="s">
        <v>2375</v>
      </c>
      <c r="I94" s="114" t="s">
        <v>2376</v>
      </c>
      <c r="J94" s="114" t="s">
        <v>2378</v>
      </c>
      <c r="K94" s="114" t="s">
        <v>2379</v>
      </c>
    </row>
    <row r="95" spans="1:11" ht="15.75" thickBot="1" x14ac:dyDescent="0.3">
      <c r="D95" s="204"/>
    </row>
    <row r="96" spans="1:11" s="114" customFormat="1" ht="32.25" thickBot="1" x14ac:dyDescent="0.3">
      <c r="A96" s="112" t="str">
        <f>Phase2!A80</f>
        <v>EQUIP2.19</v>
      </c>
      <c r="B96" s="113" t="str">
        <f>Phase2!B80</f>
        <v>Equipment</v>
      </c>
      <c r="C96" s="113" t="str">
        <f>Phase2!C80</f>
        <v>Does the laboratory have a documented procedure that describes the following:</v>
      </c>
    </row>
    <row r="97" spans="1:5" ht="15.75" thickBot="1" x14ac:dyDescent="0.3">
      <c r="D97" s="108"/>
    </row>
    <row r="98" spans="1:5" s="70" customFormat="1" ht="31.5" x14ac:dyDescent="0.25">
      <c r="A98" s="62" t="str">
        <f>Phase2!A84</f>
        <v>EQUIP2.20</v>
      </c>
      <c r="B98" s="63" t="str">
        <f>Phase2!B84</f>
        <v>Equipment</v>
      </c>
      <c r="C98" s="63" t="str">
        <f>Phase2!C84</f>
        <v>Are Bench Aids used for various pieces of equipment?</v>
      </c>
      <c r="D98" s="70" t="s">
        <v>2383</v>
      </c>
    </row>
    <row r="99" spans="1:5" s="73" customFormat="1" ht="16.5" thickBot="1" x14ac:dyDescent="0.3">
      <c r="A99" s="68" t="str">
        <f>Phase2!A85</f>
        <v>EQUIP2.21</v>
      </c>
      <c r="B99" s="69" t="str">
        <f>Phase2!B85</f>
        <v>Equipment</v>
      </c>
      <c r="C99" s="69" t="str">
        <f>Phase2!C85</f>
        <v>Are these Bench Aids in accordance with the SOPs for equipment?</v>
      </c>
    </row>
    <row r="100" spans="1:5" ht="15.75" thickBot="1" x14ac:dyDescent="0.3"/>
    <row r="101" spans="1:5" s="70" customFormat="1" ht="47.25" x14ac:dyDescent="0.25">
      <c r="A101" s="62" t="str">
        <f>Phase2!A86</f>
        <v>EQUIP2.22</v>
      </c>
      <c r="B101" s="63" t="str">
        <f>Phase2!B86</f>
        <v>Equipment</v>
      </c>
      <c r="C101" s="63" t="str">
        <f>Phase2!C86</f>
        <v>Is the method of maintenance and calibration of equipment documented?</v>
      </c>
      <c r="D101" s="70" t="s">
        <v>2384</v>
      </c>
    </row>
    <row r="102" spans="1:5" s="72" customFormat="1" ht="47.25" x14ac:dyDescent="0.25">
      <c r="A102" s="66" t="str">
        <f>Phase2!A87</f>
        <v>EQUIP2.23</v>
      </c>
      <c r="B102" s="67" t="str">
        <f>Phase2!B87</f>
        <v>Equipment</v>
      </c>
      <c r="C102" s="67" t="str">
        <f>Phase2!C87</f>
        <v>Is the budget needed for the maintenance and calibration of equipment calculated and documented?</v>
      </c>
      <c r="D102" s="72" t="s">
        <v>2385</v>
      </c>
      <c r="E102" s="72" t="s">
        <v>2386</v>
      </c>
    </row>
    <row r="103" spans="1:5" s="72" customFormat="1" ht="31.5" x14ac:dyDescent="0.25">
      <c r="A103" s="66" t="str">
        <f>Phase2!A88</f>
        <v>EQUIP2.24</v>
      </c>
      <c r="B103" s="67" t="str">
        <f>Phase2!B88</f>
        <v>Equipment</v>
      </c>
      <c r="C103" s="67" t="str">
        <f>Phase2!C88</f>
        <v>Have funds been identified for annual maintenance and calibration of equipment?</v>
      </c>
      <c r="D103" s="72" t="s">
        <v>2387</v>
      </c>
    </row>
    <row r="104" spans="1:5" s="73" customFormat="1" ht="48" thickBot="1" x14ac:dyDescent="0.3">
      <c r="A104" s="68" t="str">
        <f>Phase2!A89</f>
        <v>EQUIP2.25</v>
      </c>
      <c r="B104" s="69" t="str">
        <f>Phase2!B89</f>
        <v>Equipment</v>
      </c>
      <c r="C104" s="69" t="str">
        <f>Phase2!C89</f>
        <v>Have funds been identified for training of a staff member for internal maintenance and calibration of equipment?</v>
      </c>
      <c r="D104" s="73" t="s">
        <v>2388</v>
      </c>
    </row>
    <row r="105" spans="1:5" ht="15.75" thickBot="1" x14ac:dyDescent="0.3">
      <c r="D105" s="110"/>
    </row>
    <row r="106" spans="1:5" s="70" customFormat="1" ht="31.5" x14ac:dyDescent="0.25">
      <c r="A106" s="62" t="str">
        <f>Phase2!A90</f>
        <v>EQUIP2.26</v>
      </c>
      <c r="B106" s="63" t="str">
        <f>Phase2!B90</f>
        <v>Equipment</v>
      </c>
      <c r="C106" s="63" t="str">
        <f>Phase2!C90</f>
        <v>Is a preventive maintenance program in place for all pieces of equipment?</v>
      </c>
      <c r="D106" s="70" t="s">
        <v>2390</v>
      </c>
      <c r="E106" s="70" t="s">
        <v>2389</v>
      </c>
    </row>
    <row r="107" spans="1:5" s="73" customFormat="1" ht="79.5" thickBot="1" x14ac:dyDescent="0.3">
      <c r="A107" s="68" t="str">
        <f>Phase2!A91</f>
        <v>EQUIP2.27</v>
      </c>
      <c r="B107" s="69" t="str">
        <f>Phase2!B91</f>
        <v>Equipment</v>
      </c>
      <c r="C107" s="69" t="str">
        <f>Phase2!C91</f>
        <v>Does the laboratory demonstrably adhere to this program?
Compare maintenance records for a piece of equipment from the equipment file with the dates this maintenance was planned in the Equipment Maintenance Schedule.</v>
      </c>
      <c r="D107" s="73" t="s">
        <v>2391</v>
      </c>
    </row>
    <row r="108" spans="1:5" ht="15.75" thickBot="1" x14ac:dyDescent="0.3">
      <c r="D108" s="108"/>
    </row>
    <row r="109" spans="1:5" s="70" customFormat="1" ht="31.5" x14ac:dyDescent="0.25">
      <c r="A109" s="62" t="str">
        <f>Phase2!A92</f>
        <v>EQUIP2.28</v>
      </c>
      <c r="B109" s="63" t="str">
        <f>Phase2!B92</f>
        <v>Equipment</v>
      </c>
      <c r="C109" s="63" t="str">
        <f>Phase2!C92</f>
        <v>Is the procedure for ensuring equipment maintenance standardized in an SOP?</v>
      </c>
      <c r="D109" s="70" t="s">
        <v>2392</v>
      </c>
    </row>
    <row r="110" spans="1:5" s="72" customFormat="1" ht="47.25" x14ac:dyDescent="0.25">
      <c r="A110" s="66" t="str">
        <f>Phase2!A93</f>
        <v>EQUIP2.29</v>
      </c>
      <c r="B110" s="67" t="str">
        <f>Phase2!B93</f>
        <v>Equipment</v>
      </c>
      <c r="C110" s="67" t="str">
        <f>Phase2!C93</f>
        <v>Does the laboratory have an SOP for Equipment Repair, including a clear procedure for disinfection and clear labeling the equipment as “defect”?</v>
      </c>
      <c r="D110" s="72" t="s">
        <v>2393</v>
      </c>
    </row>
    <row r="111" spans="1:5" s="73" customFormat="1" ht="48" thickBot="1" x14ac:dyDescent="0.3">
      <c r="A111" s="68" t="str">
        <f>Phase2!A94</f>
        <v>EQUIP2.30</v>
      </c>
      <c r="B111" s="69" t="str">
        <f>Phase2!B94</f>
        <v>Equipment</v>
      </c>
      <c r="C111" s="69" t="str">
        <f>Phase2!C94</f>
        <v>Does the laboratory have an SOP explaining the procedure to be followed for ensuring validation of adequate functioning of equipment when it is returned into service after repair?</v>
      </c>
      <c r="D111" s="73" t="s">
        <v>2394</v>
      </c>
    </row>
    <row r="112" spans="1:5" ht="15.75" thickBot="1" x14ac:dyDescent="0.3">
      <c r="D112" s="110"/>
    </row>
    <row r="113" spans="1:4" s="89" customFormat="1" ht="31.5" x14ac:dyDescent="0.25">
      <c r="A113" s="83" t="str">
        <f>Phase2!A95</f>
        <v>PI2.1</v>
      </c>
      <c r="B113" s="84" t="str">
        <f>Phase2!B95</f>
        <v>Puchasing and Inventory</v>
      </c>
      <c r="C113" s="84" t="str">
        <f>Phase2!C95</f>
        <v>Does the laboratory have an overview of all the items in stock?</v>
      </c>
      <c r="D113" s="89" t="s">
        <v>2395</v>
      </c>
    </row>
    <row r="114" spans="1:4" s="91" customFormat="1" ht="32.25" thickBot="1" x14ac:dyDescent="0.3">
      <c r="A114" s="87" t="str">
        <f>Phase2!A96</f>
        <v>PI2.2</v>
      </c>
      <c r="B114" s="88" t="str">
        <f>Phase2!B96</f>
        <v>Puchasing and Inventory</v>
      </c>
      <c r="C114" s="88" t="str">
        <f>Phase2!C96</f>
        <v>Has the laboratory formulated key specification for each item in stock?</v>
      </c>
    </row>
    <row r="115" spans="1:4" ht="15.75" thickBot="1" x14ac:dyDescent="0.3"/>
    <row r="116" spans="1:4" s="89" customFormat="1" ht="31.5" x14ac:dyDescent="0.25">
      <c r="A116" s="83" t="str">
        <f>Phase2!A97</f>
        <v>PI2.3</v>
      </c>
      <c r="B116" s="84" t="str">
        <f>Phase2!B97</f>
        <v>Puchasing and Inventory</v>
      </c>
      <c r="C116" s="84" t="str">
        <f>Phase2!C97</f>
        <v>Does the laboratory have an Inventory Control Register that contains the following details:</v>
      </c>
    </row>
    <row r="117" spans="1:4" s="91" customFormat="1" ht="32.25" thickBot="1" x14ac:dyDescent="0.3">
      <c r="A117" s="87" t="str">
        <f>Phase2!A105</f>
        <v>PI2.4</v>
      </c>
      <c r="B117" s="88" t="str">
        <f>Phase2!B105</f>
        <v>Puchasing and Inventory</v>
      </c>
      <c r="C117" s="88" t="str">
        <f>Phase2!C105</f>
        <v>Is the Inventory Control Register kept up to date by counting the items in stock and comparing this with the number of items shown in the register?</v>
      </c>
      <c r="D117" s="91" t="s">
        <v>2403</v>
      </c>
    </row>
    <row r="118" spans="1:4" ht="15.75" thickBot="1" x14ac:dyDescent="0.3"/>
    <row r="119" spans="1:4" s="118" customFormat="1" ht="63.75" thickBot="1" x14ac:dyDescent="0.3">
      <c r="A119" s="116" t="str">
        <f>Phase2!A106</f>
        <v>PI2.5</v>
      </c>
      <c r="B119" s="117" t="str">
        <f>Phase2!B106</f>
        <v>Puchasing and Inventory</v>
      </c>
      <c r="C119" s="117" t="str">
        <f>Phase2!C106</f>
        <v>Does the laboratory routinely perform acceptance tests on newly delivered products before they are taken into service?
Ask for evidence.</v>
      </c>
      <c r="D119" s="118" t="s">
        <v>2404</v>
      </c>
    </row>
    <row r="120" spans="1:4" ht="15.75" thickBot="1" x14ac:dyDescent="0.3">
      <c r="D120" s="108"/>
    </row>
    <row r="121" spans="1:4" s="89" customFormat="1" ht="47.25" x14ac:dyDescent="0.25">
      <c r="A121" s="83" t="str">
        <f>Phase2!A107</f>
        <v>PI2.6</v>
      </c>
      <c r="B121" s="84" t="str">
        <f>Phase2!B107</f>
        <v>Puchasing and Inventory</v>
      </c>
      <c r="C121" s="84" t="str">
        <f>Phase2!C107</f>
        <v>Does the laboratory have a documented procedure on selecting, ordering, acceptance testing and storing of new reagents and consumables?</v>
      </c>
      <c r="D121" s="89" t="s">
        <v>2406</v>
      </c>
    </row>
    <row r="122" spans="1:4" s="91" customFormat="1" ht="32.25" thickBot="1" x14ac:dyDescent="0.3">
      <c r="A122" s="87" t="str">
        <f>Phase2!A108</f>
        <v>PI2.7</v>
      </c>
      <c r="B122" s="88" t="str">
        <f>Phase2!B108</f>
        <v>Puchasing and Inventory</v>
      </c>
      <c r="C122" s="88" t="str">
        <f>Phase2!C108</f>
        <v>Does the laboratory have a documented procedure on maintenance of the stock and inventory system?</v>
      </c>
    </row>
    <row r="123" spans="1:4" ht="15.75" thickBot="1" x14ac:dyDescent="0.3"/>
    <row r="124" spans="1:4" s="89" customFormat="1" ht="31.5" x14ac:dyDescent="0.25">
      <c r="A124" s="83" t="str">
        <f>Phase2!A109</f>
        <v>PI2.8</v>
      </c>
      <c r="B124" s="84" t="str">
        <f>Phase2!B109</f>
        <v>Puchasing and Inventory</v>
      </c>
      <c r="C124" s="84" t="str">
        <f>Phase2!C109</f>
        <v>Are all supplies stored under the right conditions in the laboratory?</v>
      </c>
      <c r="D124" s="89" t="s">
        <v>2407</v>
      </c>
    </row>
    <row r="125" spans="1:4" s="90" customFormat="1" ht="31.5" x14ac:dyDescent="0.25">
      <c r="A125" s="85" t="str">
        <f>Phase2!A110</f>
        <v>PI2.9</v>
      </c>
      <c r="B125" s="86" t="str">
        <f>Phase2!B110</f>
        <v>Puchasing and Inventory</v>
      </c>
      <c r="C125" s="86" t="str">
        <f>Phase2!C110</f>
        <v>Are records of supplies kept with the following details? [tick off]</v>
      </c>
    </row>
    <row r="126" spans="1:4" s="90" customFormat="1" ht="31.5" x14ac:dyDescent="0.25">
      <c r="A126" s="85" t="str">
        <f>Phase2!A117</f>
        <v>PI2.10</v>
      </c>
      <c r="B126" s="86" t="str">
        <f>Phase2!B117</f>
        <v>Puchasing and Inventory</v>
      </c>
      <c r="C126" s="86" t="str">
        <f>Phase2!C117</f>
        <v>Are all supplies stored such that they cannot fall from shelves or suffer damage in other ways?</v>
      </c>
      <c r="D126" s="90" t="s">
        <v>2415</v>
      </c>
    </row>
    <row r="127" spans="1:4" s="90" customFormat="1" ht="31.5" x14ac:dyDescent="0.25">
      <c r="A127" s="85" t="str">
        <f>Phase2!A118</f>
        <v>PI2.11</v>
      </c>
      <c r="B127" s="86" t="str">
        <f>Phase2!B118</f>
        <v>Puchasing and Inventory</v>
      </c>
      <c r="C127" s="86" t="str">
        <f>Phase2!C118</f>
        <v>In regions where earthquakes are a real risk: are supplies stored in such a way that they cannot be damaged due to an earthquake?</v>
      </c>
    </row>
    <row r="128" spans="1:4" s="90" customFormat="1" ht="31.5" x14ac:dyDescent="0.25">
      <c r="A128" s="85" t="str">
        <f>Phase2!A119</f>
        <v>PI2.12</v>
      </c>
      <c r="B128" s="86" t="str">
        <f>Phase2!B119</f>
        <v>Puchasing and Inventory</v>
      </c>
      <c r="C128" s="86" t="str">
        <f>Phase2!C119</f>
        <v>Are all supplies stored according to the first-in-first-out (FIFO) system?</v>
      </c>
      <c r="D128" s="90" t="s">
        <v>2416</v>
      </c>
    </row>
    <row r="129" spans="1:5" s="90" customFormat="1" ht="31.5" x14ac:dyDescent="0.25">
      <c r="A129" s="85" t="str">
        <f>Phase2!A120</f>
        <v>PI2.13</v>
      </c>
      <c r="B129" s="86" t="str">
        <f>Phase2!B120</f>
        <v>Puchasing and Inventory</v>
      </c>
      <c r="C129" s="86" t="str">
        <f>Phase2!C120</f>
        <v>Are all storage areas complying with the safety requirements related to the supplies stored in them?</v>
      </c>
      <c r="D129" s="90" t="s">
        <v>2417</v>
      </c>
    </row>
    <row r="130" spans="1:5" s="90" customFormat="1" ht="31.5" x14ac:dyDescent="0.25">
      <c r="A130" s="85" t="str">
        <f>Phase2!A121</f>
        <v>PI2.14</v>
      </c>
      <c r="B130" s="86" t="str">
        <f>Phase2!B121</f>
        <v>Puchasing and Inventory</v>
      </c>
      <c r="C130" s="86" t="str">
        <f>Phase2!C121</f>
        <v>Do storage areas protect the supplies from external influences such as humidity, light, insects, etc.?</v>
      </c>
      <c r="D130" s="90" t="s">
        <v>2418</v>
      </c>
    </row>
    <row r="131" spans="1:5" s="90" customFormat="1" ht="31.5" x14ac:dyDescent="0.25">
      <c r="A131" s="85" t="str">
        <f>Phase2!A122</f>
        <v>PI2.15</v>
      </c>
      <c r="B131" s="86" t="str">
        <f>Phase2!B122</f>
        <v>Puchasing and Inventory</v>
      </c>
      <c r="C131" s="86" t="str">
        <f>Phase2!C122</f>
        <v>Are all storage areas lockable to prevent unauthorized access?</v>
      </c>
      <c r="D131" s="90" t="s">
        <v>2422</v>
      </c>
      <c r="E131" s="90" t="s">
        <v>2423</v>
      </c>
    </row>
    <row r="132" spans="1:5" s="90" customFormat="1" ht="31.5" x14ac:dyDescent="0.25">
      <c r="A132" s="85" t="str">
        <f>Phase2!A123</f>
        <v>PI2.16</v>
      </c>
      <c r="B132" s="86" t="str">
        <f>Phase2!B123</f>
        <v>Puchasing and Inventory</v>
      </c>
      <c r="C132" s="86" t="str">
        <f>Phase2!C123</f>
        <v>Are all storage areas labeled with hazard symbols related to the supplies stored in them?</v>
      </c>
      <c r="D132" s="90" t="s">
        <v>2419</v>
      </c>
    </row>
    <row r="133" spans="1:5" s="90" customFormat="1" ht="31.5" x14ac:dyDescent="0.25">
      <c r="A133" s="85" t="str">
        <f>Phase2!A124</f>
        <v>PI2.17</v>
      </c>
      <c r="B133" s="86" t="str">
        <f>Phase2!B124</f>
        <v>Puchasing and Inventory</v>
      </c>
      <c r="C133" s="86" t="str">
        <f>Phase2!C124</f>
        <v>Is a list with R- and S-sentences provided on each storage area where this is relevant?</v>
      </c>
      <c r="D133" s="90" t="s">
        <v>2420</v>
      </c>
    </row>
    <row r="134" spans="1:5" s="91" customFormat="1" ht="63.75" thickBot="1" x14ac:dyDescent="0.3">
      <c r="A134" s="87" t="str">
        <f>Phase2!A125</f>
        <v>PI2.18</v>
      </c>
      <c r="B134" s="88" t="str">
        <f>Phase2!B125</f>
        <v>Puchasing and Inventory</v>
      </c>
      <c r="C134" s="88" t="str">
        <f>Phase2!C125</f>
        <v>Do staff members know what R- and S-sentences are and how to find them?
Take a sample by asking some staff members.</v>
      </c>
      <c r="D134" s="91" t="s">
        <v>2421</v>
      </c>
    </row>
    <row r="135" spans="1:5" ht="15.75" thickBot="1" x14ac:dyDescent="0.3"/>
    <row r="136" spans="1:5" s="153" customFormat="1" ht="48" thickBot="1" x14ac:dyDescent="0.3">
      <c r="A136" s="151" t="str">
        <f>Phase2!A126</f>
        <v>PM2.1</v>
      </c>
      <c r="B136" s="152" t="str">
        <f>Phase2!B126</f>
        <v>Process Management</v>
      </c>
      <c r="C136" s="152" t="str">
        <f>Phase2!C126</f>
        <v>Has the laboratory formulated clear and specific sample acceptation/rejection criteria for each type of sample used by the laboratory, leaving no room for interpretation?</v>
      </c>
      <c r="D136" s="153" t="s">
        <v>2424</v>
      </c>
    </row>
    <row r="137" spans="1:5" ht="15.75" thickBot="1" x14ac:dyDescent="0.3"/>
    <row r="138" spans="1:5" s="156" customFormat="1" ht="47.25" x14ac:dyDescent="0.25">
      <c r="A138" s="154" t="str">
        <f>Phase2!A127</f>
        <v>PM2.2</v>
      </c>
      <c r="B138" s="155" t="str">
        <f>Phase2!B127</f>
        <v>Process Management</v>
      </c>
      <c r="C138" s="155" t="str">
        <f>Phase2!C127</f>
        <v>Does the laboratory have an SOP for Sample Collection to ensure correct collection of good quality samples for each test, protecting the safety of both the sample collector and patient as well as the privacy of the patient?</v>
      </c>
      <c r="D138" s="156" t="s">
        <v>2425</v>
      </c>
    </row>
    <row r="139" spans="1:5" s="159" customFormat="1" ht="32.25" thickBot="1" x14ac:dyDescent="0.3">
      <c r="A139" s="157" t="str">
        <f>Phase2!A128</f>
        <v>PM2.3</v>
      </c>
      <c r="B139" s="158" t="str">
        <f>Phase2!B128</f>
        <v>Process Management</v>
      </c>
      <c r="C139" s="158" t="str">
        <f>Phase2!C128</f>
        <v>Does the SOP for Sample Collection include at least the following element? [tick-off]</v>
      </c>
    </row>
    <row r="140" spans="1:5" ht="15.75" thickBot="1" x14ac:dyDescent="0.3"/>
    <row r="141" spans="1:5" s="163" customFormat="1" ht="15.75" x14ac:dyDescent="0.25">
      <c r="A141" s="161" t="str">
        <f>Phase2!A146</f>
        <v>PM2.4</v>
      </c>
      <c r="B141" s="162" t="str">
        <f>Phase2!B146</f>
        <v>Process Management</v>
      </c>
      <c r="C141" s="162" t="str">
        <f>Phase2!C146</f>
        <v>Does the laboratory have an SOP for Sample Reception and Processing?</v>
      </c>
      <c r="D141" s="163" t="s">
        <v>2441</v>
      </c>
    </row>
    <row r="142" spans="1:5" s="168" customFormat="1" ht="31.5" x14ac:dyDescent="0.25">
      <c r="A142" s="160" t="str">
        <f>Phase2!A147</f>
        <v>PM2.5</v>
      </c>
      <c r="B142" s="167" t="str">
        <f>Phase2!B147</f>
        <v>Process Management</v>
      </c>
      <c r="C142" s="167" t="str">
        <f>Phase2!C147</f>
        <v>Does the SOP for Sample Reception and Processing cover the following procedures:</v>
      </c>
    </row>
    <row r="143" spans="1:5" s="168" customFormat="1" ht="31.5" x14ac:dyDescent="0.25">
      <c r="A143" s="160" t="str">
        <f>Phase2!A155</f>
        <v>PM2.6</v>
      </c>
      <c r="B143" s="167" t="str">
        <f>Phase2!B155</f>
        <v>Process Management</v>
      </c>
      <c r="C143" s="167" t="str">
        <f>Phase2!C155</f>
        <v>Has the laboratory authorized staff members for reviewing requests and deciding which examinations must be performed?</v>
      </c>
    </row>
    <row r="144" spans="1:5" s="168" customFormat="1" ht="31.5" x14ac:dyDescent="0.25">
      <c r="A144" s="160" t="str">
        <f>Phase2!A156</f>
        <v>PM2.7</v>
      </c>
      <c r="B144" s="167" t="str">
        <f>Phase2!B156</f>
        <v>Process Management</v>
      </c>
      <c r="C144" s="167" t="str">
        <f>Phase2!C156</f>
        <v>Has the SOP for Sample Reception and Processing been read by all relevant staff members?</v>
      </c>
    </row>
    <row r="145" spans="1:5" s="166" customFormat="1" ht="15.75" x14ac:dyDescent="0.25">
      <c r="A145" s="164" t="str">
        <f>Phase2!A157</f>
        <v>PM2.8</v>
      </c>
      <c r="B145" s="165" t="str">
        <f>Phase2!B157</f>
        <v>Process Management</v>
      </c>
      <c r="C145" s="165" t="str">
        <f>Phase2!C157</f>
        <v>Does the laboratory use a Sample Reception Register?</v>
      </c>
    </row>
    <row r="146" spans="1:5" s="159" customFormat="1" ht="32.25" thickBot="1" x14ac:dyDescent="0.3">
      <c r="A146" s="157" t="str">
        <f>Phase2!A158</f>
        <v>PM2.9</v>
      </c>
      <c r="B146" s="158" t="str">
        <f>Phase2!B158</f>
        <v>Process Management</v>
      </c>
      <c r="C146" s="158" t="str">
        <f>Phase2!C158</f>
        <v>Does the Sample Reception Register leave room for including the following information:</v>
      </c>
    </row>
    <row r="147" spans="1:5" ht="15.75" thickBot="1" x14ac:dyDescent="0.3"/>
    <row r="148" spans="1:5" s="163" customFormat="1" ht="31.5" x14ac:dyDescent="0.25">
      <c r="A148" s="161" t="str">
        <f>Phase2!A169</f>
        <v>PM2.10</v>
      </c>
      <c r="B148" s="162" t="str">
        <f>Phase2!B169</f>
        <v>Process Management</v>
      </c>
      <c r="C148" s="162" t="str">
        <f>Phase2!C169</f>
        <v>Does the SOP for Sample Reception and Processing have an appendix with a Sample Rejection Form?</v>
      </c>
      <c r="D148" s="163" t="s">
        <v>2470</v>
      </c>
    </row>
    <row r="149" spans="1:5" s="168" customFormat="1" ht="15.75" x14ac:dyDescent="0.25">
      <c r="A149" s="160" t="str">
        <f>Phase2!A170</f>
        <v>PM2.11</v>
      </c>
      <c r="B149" s="167" t="str">
        <f>Phase2!B170</f>
        <v>Process Management</v>
      </c>
      <c r="C149" s="167" t="str">
        <f>Phase2!C170</f>
        <v>Does the Sample Rejection Form include the following elements?</v>
      </c>
    </row>
    <row r="150" spans="1:5" s="159" customFormat="1" ht="32.25" thickBot="1" x14ac:dyDescent="0.3">
      <c r="A150" s="157" t="str">
        <f>Phase2!A177</f>
        <v>PM2.12</v>
      </c>
      <c r="B150" s="158" t="str">
        <f>Phase2!B177</f>
        <v>Process Management</v>
      </c>
      <c r="C150" s="158" t="str">
        <f>Phase2!C177</f>
        <v>Are copies of completed forms stored at the laboratory?</v>
      </c>
      <c r="D150" s="159" t="s">
        <v>2471</v>
      </c>
      <c r="E150" s="159" t="s">
        <v>2472</v>
      </c>
    </row>
    <row r="151" spans="1:5" ht="15.75" thickBot="1" x14ac:dyDescent="0.3">
      <c r="D151" s="111"/>
    </row>
    <row r="152" spans="1:5" s="153" customFormat="1" ht="32.25" thickBot="1" x14ac:dyDescent="0.3">
      <c r="A152" s="151" t="str">
        <f>Phase2!A178</f>
        <v>PM2.13</v>
      </c>
      <c r="B152" s="152" t="str">
        <f>Phase2!B178</f>
        <v>Process Management</v>
      </c>
      <c r="C152" s="152" t="str">
        <f>Phase2!C178</f>
        <v>Has the laboratory made flowcharts of all the procedures routinely being performed in the laboratory?</v>
      </c>
      <c r="D152" s="153" t="s">
        <v>2473</v>
      </c>
    </row>
    <row r="153" spans="1:5" ht="15.75" thickBot="1" x14ac:dyDescent="0.3"/>
    <row r="154" spans="1:5" s="163" customFormat="1" ht="47.25" x14ac:dyDescent="0.25">
      <c r="A154" s="161" t="str">
        <f>Phase2!A179</f>
        <v>PM2.14</v>
      </c>
      <c r="B154" s="162" t="str">
        <f>Phase2!B179</f>
        <v>Process Management</v>
      </c>
      <c r="C154" s="162" t="str">
        <f>Phase2!C179</f>
        <v>Has the laboratory formulated quality controls to guard the quality of each process step in each procedure?</v>
      </c>
      <c r="D154" s="163" t="s">
        <v>2474</v>
      </c>
    </row>
    <row r="155" spans="1:5" s="168" customFormat="1" ht="31.5" x14ac:dyDescent="0.25">
      <c r="A155" s="160" t="str">
        <f>Phase2!A180</f>
        <v>PM2.15</v>
      </c>
      <c r="B155" s="167" t="str">
        <f>Phase2!B180</f>
        <v>Process Management</v>
      </c>
      <c r="C155" s="167" t="str">
        <f>Phase2!C180</f>
        <v>Are internal quality control results recorded in a register?</v>
      </c>
      <c r="D155" s="168" t="s">
        <v>2475</v>
      </c>
    </row>
    <row r="156" spans="1:5" s="168" customFormat="1" ht="31.5" x14ac:dyDescent="0.25">
      <c r="A156" s="160" t="str">
        <f>Phase2!A181</f>
        <v>PM2.16</v>
      </c>
      <c r="B156" s="167" t="str">
        <f>Phase2!B181</f>
        <v>Process Management</v>
      </c>
      <c r="C156" s="167" t="str">
        <f>Phase2!C181</f>
        <v>Are internal quality control protocols included in all relevant SOPs?</v>
      </c>
      <c r="D156" s="168" t="s">
        <v>2476</v>
      </c>
    </row>
    <row r="157" spans="1:5" s="168" customFormat="1" ht="31.5" x14ac:dyDescent="0.25">
      <c r="A157" s="160" t="str">
        <f>Phase2!A182</f>
        <v>PM2.17</v>
      </c>
      <c r="B157" s="167" t="str">
        <f>Phase2!B182</f>
        <v>Process Management</v>
      </c>
      <c r="C157" s="167" t="str">
        <f>Phase2!C182</f>
        <v>Does the laboratory have an SOP for Internal Quality Control that contains:</v>
      </c>
      <c r="D157" s="168" t="s">
        <v>2477</v>
      </c>
    </row>
    <row r="158" spans="1:5" s="159" customFormat="1" ht="32.25" thickBot="1" x14ac:dyDescent="0.3">
      <c r="A158" s="157" t="str">
        <f>Phase2!A188</f>
        <v>PM2.18</v>
      </c>
      <c r="B158" s="158" t="str">
        <f>Phase2!B188</f>
        <v>Process Management</v>
      </c>
      <c r="C158" s="158" t="str">
        <f>Phase2!C188</f>
        <v>Does the laboratory monitor internal quality control results and act on quality control failures?</v>
      </c>
      <c r="D158" s="159" t="s">
        <v>2478</v>
      </c>
    </row>
    <row r="159" spans="1:5" ht="15.75" thickBot="1" x14ac:dyDescent="0.3">
      <c r="D159" s="108"/>
    </row>
    <row r="160" spans="1:5" s="163" customFormat="1" ht="47.25" x14ac:dyDescent="0.25">
      <c r="A160" s="161" t="str">
        <f>Phase2!A189</f>
        <v>PM2.19</v>
      </c>
      <c r="B160" s="162" t="str">
        <f>Phase2!B189</f>
        <v>Process Management</v>
      </c>
      <c r="C160" s="162" t="str">
        <f>Phase2!C189</f>
        <v>Are internal quality control results continuously monitored?</v>
      </c>
      <c r="D160" s="163" t="s">
        <v>2479</v>
      </c>
      <c r="E160" s="163" t="s">
        <v>2480</v>
      </c>
    </row>
    <row r="161" spans="1:4" s="168" customFormat="1" ht="31.5" x14ac:dyDescent="0.25">
      <c r="A161" s="160" t="str">
        <f>Phase2!A190</f>
        <v>PM2.20</v>
      </c>
      <c r="B161" s="167" t="str">
        <f>Phase2!B190</f>
        <v>Process Management</v>
      </c>
      <c r="C161" s="167" t="str">
        <f>Phase2!C190</f>
        <v>Does the laboratory undertake action as soon as possible to solve internal quality control failures/deviations from trends?</v>
      </c>
      <c r="D161" s="168" t="s">
        <v>2481</v>
      </c>
    </row>
    <row r="162" spans="1:4" s="159" customFormat="1" ht="32.25" thickBot="1" x14ac:dyDescent="0.3">
      <c r="A162" s="157" t="str">
        <f>Phase2!A191</f>
        <v>PM2.21</v>
      </c>
      <c r="B162" s="158" t="str">
        <f>Phase2!B191</f>
        <v>Process Management</v>
      </c>
      <c r="C162" s="158" t="str">
        <f>Phase2!C191</f>
        <v>Is reporting of results halted when internal quality controls deviate/fail?</v>
      </c>
      <c r="D162" s="159" t="s">
        <v>2482</v>
      </c>
    </row>
    <row r="163" spans="1:4" ht="15.75" thickBot="1" x14ac:dyDescent="0.3">
      <c r="D163" s="108"/>
    </row>
    <row r="164" spans="1:4" s="163" customFormat="1" ht="31.5" x14ac:dyDescent="0.25">
      <c r="A164" s="161" t="str">
        <f>Phase2!A192</f>
        <v>PM2.22</v>
      </c>
      <c r="B164" s="162" t="str">
        <f>Phase2!B192</f>
        <v>Process Management</v>
      </c>
      <c r="C164" s="162" t="str">
        <f>Phase2!C192</f>
        <v>Has the laboratory developed a list of all SOPs needed to standardize the entire primary process?</v>
      </c>
      <c r="D164" s="163" t="s">
        <v>2483</v>
      </c>
    </row>
    <row r="165" spans="1:4" s="168" customFormat="1" ht="78.75" x14ac:dyDescent="0.25">
      <c r="A165" s="160" t="str">
        <f>Phase2!A193</f>
        <v>PM2.23</v>
      </c>
      <c r="B165" s="167" t="str">
        <f>Phase2!B193</f>
        <v>Process Management</v>
      </c>
      <c r="C165" s="167" t="str">
        <f>Phase2!C193</f>
        <v>Are all routinely performed procedures in the laboratory standardized in SOPs?
Take a sample by asking for several SOPs indicated in the flow charts and check the document control log of the laboratory.</v>
      </c>
      <c r="D165" s="168" t="s">
        <v>2484</v>
      </c>
    </row>
    <row r="166" spans="1:4" s="159" customFormat="1" ht="48" thickBot="1" x14ac:dyDescent="0.3">
      <c r="A166" s="157" t="str">
        <f>Phase2!A194</f>
        <v>PM2.24</v>
      </c>
      <c r="B166" s="158" t="str">
        <f>Phase2!B194</f>
        <v>Process Management</v>
      </c>
      <c r="C166" s="158" t="str">
        <f>Phase2!C194</f>
        <v>Are all SOPs complete and in line with the Master SOP, covering all required elements such as quality control, safety, tasks, authorizations and responsibilities, references, appendixes, etc.?</v>
      </c>
    </row>
    <row r="167" spans="1:4" ht="15.75" thickBot="1" x14ac:dyDescent="0.3"/>
    <row r="168" spans="1:4" s="178" customFormat="1" ht="31.5" x14ac:dyDescent="0.25">
      <c r="A168" s="172" t="str">
        <f>Phase2!A195</f>
        <v>INFO2.1</v>
      </c>
      <c r="B168" s="173" t="str">
        <f>Phase2!B195</f>
        <v>Information Management</v>
      </c>
      <c r="C168" s="173" t="str">
        <f>Phase2!C195</f>
        <v>Does the laboratory have a fixed format for the Result Report?</v>
      </c>
      <c r="D168" s="178" t="s">
        <v>2486</v>
      </c>
    </row>
    <row r="169" spans="1:4" s="179" customFormat="1" ht="31.5" x14ac:dyDescent="0.25">
      <c r="A169" s="174" t="str">
        <f>Phase2!A196</f>
        <v>INFO2.2</v>
      </c>
      <c r="B169" s="175" t="str">
        <f>Phase2!B196</f>
        <v>Information Management</v>
      </c>
      <c r="C169" s="175" t="str">
        <f>Phase2!C196</f>
        <v>Does the Result Report include at least the following elements: [tick off]</v>
      </c>
    </row>
    <row r="170" spans="1:4" s="180" customFormat="1" ht="32.25" thickBot="1" x14ac:dyDescent="0.3">
      <c r="A170" s="176" t="str">
        <f>Phase2!A208</f>
        <v>INFO2.3</v>
      </c>
      <c r="B170" s="177" t="str">
        <f>Phase2!B208</f>
        <v>Information Management</v>
      </c>
      <c r="C170" s="177" t="str">
        <f>Phase2!C208</f>
        <v>Was the format of the Result Report discussed with regular clients of the laboratory during development?</v>
      </c>
      <c r="D170" s="180" t="s">
        <v>2498</v>
      </c>
    </row>
    <row r="171" spans="1:4" ht="15.75" thickBot="1" x14ac:dyDescent="0.3">
      <c r="D171" s="111"/>
    </row>
    <row r="172" spans="1:4" s="186" customFormat="1" ht="31.5" x14ac:dyDescent="0.25">
      <c r="A172" s="184" t="str">
        <f>Phase2!A209</f>
        <v>INFO2.4</v>
      </c>
      <c r="B172" s="185" t="str">
        <f>Phase2!B209</f>
        <v>Information Management</v>
      </c>
      <c r="C172" s="185" t="str">
        <f>Phase2!C209</f>
        <v>Is a procedure in place that ensures verification of correct transcription of results on reports?</v>
      </c>
      <c r="D172" s="186" t="s">
        <v>2499</v>
      </c>
    </row>
    <row r="173" spans="1:4" s="180" customFormat="1" ht="48" thickBot="1" x14ac:dyDescent="0.3">
      <c r="A173" s="176" t="str">
        <f>Phase2!A210</f>
        <v>INFO2.5</v>
      </c>
      <c r="B173" s="177" t="str">
        <f>Phase2!B210</f>
        <v>Information Management</v>
      </c>
      <c r="C173" s="177" t="str">
        <f>Phase2!C210</f>
        <v>Is a procedure in place for authorizing Result Reports for release only if review of results has taken place and correct transcription of correct results and other important information to the report has been confirmed?</v>
      </c>
    </row>
    <row r="174" spans="1:4" ht="15.75" thickBot="1" x14ac:dyDescent="0.3"/>
    <row r="175" spans="1:4" s="186" customFormat="1" ht="31.5" x14ac:dyDescent="0.25">
      <c r="A175" s="184" t="str">
        <f>Phase2!A211</f>
        <v>INFO2.6</v>
      </c>
      <c r="B175" s="185" t="str">
        <f>Phase2!B211</f>
        <v>Information Management</v>
      </c>
      <c r="C175" s="185" t="str">
        <f>Phase2!C211</f>
        <v>Does the laboratory have a procedure to ensure immediate notification of the requester in case results fall within critical intervals?</v>
      </c>
      <c r="D175" s="186" t="s">
        <v>2500</v>
      </c>
    </row>
    <row r="176" spans="1:4" s="180" customFormat="1" ht="48" thickBot="1" x14ac:dyDescent="0.3">
      <c r="A176" s="176" t="str">
        <f>Phase2!A212</f>
        <v>INFO2.7</v>
      </c>
      <c r="B176" s="177" t="str">
        <f>Phase2!B212</f>
        <v>Information Management</v>
      </c>
      <c r="C176" s="177" t="str">
        <f>Phase2!C212</f>
        <v>Does the laboratory record the occurrences in which results fall within critical intervals and requesters have to be notified directly (for verification purposes)?</v>
      </c>
      <c r="D176" s="180" t="s">
        <v>2501</v>
      </c>
    </row>
    <row r="177" spans="1:5" ht="15.75" thickBot="1" x14ac:dyDescent="0.3">
      <c r="D177" s="108"/>
    </row>
    <row r="178" spans="1:5" s="186" customFormat="1" ht="31.5" x14ac:dyDescent="0.25">
      <c r="A178" s="184" t="str">
        <f>Phase2!A213</f>
        <v>INFO2.8</v>
      </c>
      <c r="B178" s="185" t="str">
        <f>Phase2!B213</f>
        <v>Information Management</v>
      </c>
      <c r="C178" s="185" t="str">
        <f>Phase2!C213</f>
        <v>Does the laboratory use a method for sending the Result Reports to the requesters with a minimum risk for losing reports?</v>
      </c>
    </row>
    <row r="179" spans="1:5" s="180" customFormat="1" ht="32.25" thickBot="1" x14ac:dyDescent="0.3">
      <c r="A179" s="176" t="str">
        <f>Phase2!A214</f>
        <v>INFO2.9</v>
      </c>
      <c r="B179" s="177" t="str">
        <f>Phase2!B214</f>
        <v>Information Management</v>
      </c>
      <c r="C179" s="177" t="str">
        <f>Phase2!C214</f>
        <v>Does the laboratory use a method for sending the Result Reports to the requester that ensures that reports are delivered as soon as possible?</v>
      </c>
    </row>
    <row r="180" spans="1:5" ht="15.75" thickBot="1" x14ac:dyDescent="0.3"/>
    <row r="181" spans="1:5" s="186" customFormat="1" ht="47.25" x14ac:dyDescent="0.25">
      <c r="A181" s="184" t="str">
        <f>Phase2!A215</f>
        <v>INFO2.10</v>
      </c>
      <c r="B181" s="185" t="str">
        <f>Phase2!B215</f>
        <v>Information Management</v>
      </c>
      <c r="C181" s="185" t="str">
        <f>Phase2!C215</f>
        <v>Are patient data (such as Request Forms, work forms, registers, copies of Result Reports, revised Result Reports, Immediate Notification Forms, etc.) stored securely, protected from unauthorized access?</v>
      </c>
      <c r="D181" s="186" t="s">
        <v>2502</v>
      </c>
    </row>
    <row r="182" spans="1:5" s="180" customFormat="1" ht="48" thickBot="1" x14ac:dyDescent="0.3">
      <c r="A182" s="176" t="str">
        <f>Phase2!A216</f>
        <v>INFO2.11</v>
      </c>
      <c r="B182" s="177" t="str">
        <f>Phase2!B216</f>
        <v>Information Management</v>
      </c>
      <c r="C182" s="177" t="str">
        <f>Phase2!C216</f>
        <v>Are patient data (such as Request Forms, work forms, registers, copies of Result Reports, revised Result Reports, Immediate Notification Forms, etc.) stored in a logical way enabling quick and easy retrieval of data?</v>
      </c>
      <c r="D182" s="180" t="s">
        <v>2759</v>
      </c>
      <c r="E182" s="180" t="s">
        <v>2503</v>
      </c>
    </row>
    <row r="183" spans="1:5" ht="15.75" thickBot="1" x14ac:dyDescent="0.3">
      <c r="D183" s="110"/>
    </row>
    <row r="184" spans="1:5" s="183" customFormat="1" ht="32.25" thickBot="1" x14ac:dyDescent="0.3">
      <c r="A184" s="181" t="str">
        <f>Phase2!A217</f>
        <v>INFO2.12</v>
      </c>
      <c r="B184" s="182" t="str">
        <f>Phase2!B217</f>
        <v>Information Management</v>
      </c>
      <c r="C184" s="182" t="str">
        <f>Phase2!C217</f>
        <v>Does the laboratory have an SOP for Recording, Reporting and Archiving of Results, describing at least the following procedures:</v>
      </c>
    </row>
    <row r="185" spans="1:5" ht="15.75" thickBot="1" x14ac:dyDescent="0.3"/>
    <row r="186" spans="1:5" s="186" customFormat="1" ht="31.5" x14ac:dyDescent="0.25">
      <c r="A186" s="184" t="str">
        <f>Phase2!A228</f>
        <v>INFO2.13</v>
      </c>
      <c r="B186" s="185" t="str">
        <f>Phase2!B228</f>
        <v>Information Management</v>
      </c>
      <c r="C186" s="185" t="str">
        <f>Phase2!C228</f>
        <v>Are the procedures in the SOP for Recording, Reporting and Archiving of Results routinely and correctly implemented in practice?</v>
      </c>
    </row>
    <row r="187" spans="1:5" s="180" customFormat="1" ht="48" thickBot="1" x14ac:dyDescent="0.3">
      <c r="A187" s="176" t="str">
        <f>Phase2!A229</f>
        <v>INFO2.14</v>
      </c>
      <c r="B187" s="177" t="str">
        <f>Phase2!B229</f>
        <v>Information Management</v>
      </c>
      <c r="C187" s="177" t="str">
        <f>Phase2!C229</f>
        <v>Are all staff members that are involved in any way in recording, reporting and archiving of results aware of the contents of the SOP for Recording, Reporting and Archiving of Results?</v>
      </c>
      <c r="D187" s="180" t="s">
        <v>2514</v>
      </c>
    </row>
    <row r="188" spans="1:5" ht="15.75" thickBot="1" x14ac:dyDescent="0.3">
      <c r="D188" s="108"/>
    </row>
    <row r="189" spans="1:5" s="183" customFormat="1" ht="32.25" thickBot="1" x14ac:dyDescent="0.3">
      <c r="A189" s="181" t="str">
        <f>Phase2!A230</f>
        <v>INFO2.15</v>
      </c>
      <c r="B189" s="182" t="str">
        <f>Phase2!B230</f>
        <v>Information Management</v>
      </c>
      <c r="C189" s="182" t="str">
        <f>Phase2!C230</f>
        <v>Is the laboratory able to trace back the staff members who signed documents based on the signature or initials?</v>
      </c>
      <c r="D189" s="183" t="s">
        <v>2760</v>
      </c>
    </row>
    <row r="190" spans="1:5" ht="15.75" thickBot="1" x14ac:dyDescent="0.3">
      <c r="D190" s="110"/>
    </row>
    <row r="191" spans="1:5" s="178" customFormat="1" ht="46.5" x14ac:dyDescent="0.25">
      <c r="A191" s="172" t="str">
        <f>Phase2!A231</f>
        <v>INFO2.16</v>
      </c>
      <c r="B191" s="173" t="str">
        <f>Phase2!B231</f>
        <v>Information Management</v>
      </c>
      <c r="C191" s="173" t="str">
        <f>Phase2!C231</f>
        <v>Have all laboratory staff members signed a confidentiality agreement?</v>
      </c>
      <c r="D191" s="178" t="s">
        <v>2515</v>
      </c>
    </row>
    <row r="192" spans="1:5" s="179" customFormat="1" ht="31.5" x14ac:dyDescent="0.25">
      <c r="A192" s="174" t="str">
        <f>Phase2!A232</f>
        <v>INFO2.17</v>
      </c>
      <c r="B192" s="175" t="str">
        <f>Phase2!B232</f>
        <v>Information Management</v>
      </c>
      <c r="C192" s="175" t="str">
        <f>Phase2!C232</f>
        <v>If the laboratory stores information digitally: are weekly backups being made?</v>
      </c>
      <c r="D192" s="179" t="s">
        <v>2516</v>
      </c>
    </row>
    <row r="193" spans="1:5" s="180" customFormat="1" ht="48" thickBot="1" x14ac:dyDescent="0.3">
      <c r="A193" s="176" t="str">
        <f>Phase2!A233</f>
        <v>INFO2.18</v>
      </c>
      <c r="B193" s="177" t="str">
        <f>Phase2!B233</f>
        <v>Information Management</v>
      </c>
      <c r="C193" s="177" t="str">
        <f>Phase2!C233</f>
        <v>Are backups of the computerized system stored behind lock and key in another building than the laboratory building where the computerized system is?</v>
      </c>
      <c r="D193" s="180" t="s">
        <v>2517</v>
      </c>
    </row>
    <row r="194" spans="1:5" ht="15.75" thickBot="1" x14ac:dyDescent="0.3"/>
    <row r="195" spans="1:5" s="96" customFormat="1" ht="31.5" x14ac:dyDescent="0.25">
      <c r="A195" s="92" t="str">
        <f>Phase2!A234</f>
        <v>DR2.1</v>
      </c>
      <c r="B195" s="93" t="str">
        <f>Phase2!B234</f>
        <v>Documents and records</v>
      </c>
      <c r="C195" s="93" t="str">
        <f>Phase2!C234</f>
        <v>Does the laboratory have an overview of the time each type of record should be archived?</v>
      </c>
      <c r="D195" s="96" t="s">
        <v>2518</v>
      </c>
    </row>
    <row r="196" spans="1:5" s="97" customFormat="1" ht="32.25" thickBot="1" x14ac:dyDescent="0.3">
      <c r="A196" s="94" t="str">
        <f>Phase2!A235</f>
        <v>DR2.2</v>
      </c>
      <c r="B196" s="95" t="str">
        <f>Phase2!B235</f>
        <v>Documents and records</v>
      </c>
      <c r="C196" s="95" t="str">
        <f>Phase2!C235</f>
        <v>Does the laboratory have an overview of where each type of record should be archived?</v>
      </c>
    </row>
    <row r="197" spans="1:5" ht="15.75" thickBot="1" x14ac:dyDescent="0.3"/>
    <row r="198" spans="1:5" s="126" customFormat="1" ht="16.5" thickBot="1" x14ac:dyDescent="0.3">
      <c r="A198" s="124" t="str">
        <f>Phase2!A236</f>
        <v>DR2.3</v>
      </c>
      <c r="B198" s="125" t="str">
        <f>Phase2!B236</f>
        <v>Documents and records</v>
      </c>
      <c r="C198" s="125" t="str">
        <f>Phase2!C236</f>
        <v>Are SOPs available at logical locations, at least:</v>
      </c>
    </row>
    <row r="199" spans="1:5" ht="15.75" thickBot="1" x14ac:dyDescent="0.3"/>
    <row r="200" spans="1:5" s="96" customFormat="1" ht="31.5" x14ac:dyDescent="0.25">
      <c r="A200" s="92" t="str">
        <f>Phase2!A240</f>
        <v>DR2.4</v>
      </c>
      <c r="B200" s="93" t="str">
        <f>Phase2!B240</f>
        <v>Documents and records</v>
      </c>
      <c r="C200" s="93" t="str">
        <f>Phase2!C240</f>
        <v>Are inconsistencies and errors found in documents recorded in a Document Revision Form?</v>
      </c>
      <c r="D200" s="96" t="s">
        <v>2523</v>
      </c>
      <c r="E200" s="96" t="s">
        <v>2524</v>
      </c>
    </row>
    <row r="201" spans="1:5" s="132" customFormat="1" ht="15.75" x14ac:dyDescent="0.25">
      <c r="A201" s="130" t="str">
        <f>Phase2!A241</f>
        <v>DR2.5</v>
      </c>
      <c r="B201" s="131" t="str">
        <f>Phase2!B241</f>
        <v>Documents and records</v>
      </c>
      <c r="C201" s="131" t="str">
        <f>Phase2!C241</f>
        <v>Do staff members know where to find the Document Revision Form?</v>
      </c>
    </row>
    <row r="202" spans="1:5" s="129" customFormat="1" ht="32.25" thickBot="1" x14ac:dyDescent="0.3">
      <c r="A202" s="127" t="str">
        <f>Phase2!A242</f>
        <v>DR2.6</v>
      </c>
      <c r="B202" s="128" t="str">
        <f>Phase2!B242</f>
        <v>Documents and records</v>
      </c>
      <c r="C202" s="128" t="str">
        <f>Phase2!C242</f>
        <v>Do staff members know what the Document Revision Form is for and do they know how to use it?</v>
      </c>
      <c r="D202" s="129" t="s">
        <v>2522</v>
      </c>
    </row>
    <row r="203" spans="1:5" ht="15.75" thickBot="1" x14ac:dyDescent="0.3"/>
    <row r="204" spans="1:5" s="126" customFormat="1" ht="32.25" thickBot="1" x14ac:dyDescent="0.3">
      <c r="A204" s="124" t="str">
        <f>Phase2!A243</f>
        <v>DR2.7</v>
      </c>
      <c r="B204" s="125" t="str">
        <f>Phase2!B243</f>
        <v>Documents and records</v>
      </c>
      <c r="C204" s="125" t="str">
        <f>Phase2!C243</f>
        <v>Is a Document Control Log available that shows all the quality documents of the laboratory with at least the following details:</v>
      </c>
    </row>
    <row r="205" spans="1:5" ht="15.75" thickBot="1" x14ac:dyDescent="0.3"/>
    <row r="206" spans="1:5" s="126" customFormat="1" ht="48" thickBot="1" x14ac:dyDescent="0.3">
      <c r="A206" s="124" t="str">
        <f>Phase2!A260</f>
        <v>DR2.8</v>
      </c>
      <c r="B206" s="125" t="str">
        <f>Phase2!B260</f>
        <v>Documents and records</v>
      </c>
      <c r="C206" s="125" t="str">
        <f>Phase2!C260</f>
        <v>Is each quality document (SOP, quality manual chapter, Biosafety Manual chapter) supplied with a front page that contains the following information: [tick off]</v>
      </c>
    </row>
    <row r="207" spans="1:5" ht="15.75" thickBot="1" x14ac:dyDescent="0.3"/>
    <row r="208" spans="1:5" s="96" customFormat="1" ht="63" x14ac:dyDescent="0.25">
      <c r="A208" s="92" t="str">
        <f>Phase2!A271</f>
        <v>DR2.9</v>
      </c>
      <c r="B208" s="93" t="str">
        <f>Phase2!B271</f>
        <v>Documents and records</v>
      </c>
      <c r="C208" s="93" t="str">
        <f>Phase2!C271</f>
        <v>Does the laboratory have a document control system that ensures that all its quality documents are reviewed, and, when necessary, revised on an annual (or, after maturation of the quality management system, biannual) basis?</v>
      </c>
      <c r="D208" s="96" t="s">
        <v>2552</v>
      </c>
    </row>
    <row r="209" spans="1:4" s="132" customFormat="1" ht="31.5" x14ac:dyDescent="0.25">
      <c r="A209" s="130" t="str">
        <f>Phase2!A272</f>
        <v>DR2.10</v>
      </c>
      <c r="B209" s="131" t="str">
        <f>Phase2!B272</f>
        <v>Documents and records</v>
      </c>
      <c r="C209" s="131" t="str">
        <f>Phase2!C272</f>
        <v>Are the Bench Aids used in the laboratory based on current versions of SOPs?</v>
      </c>
      <c r="D209" s="132" t="s">
        <v>2553</v>
      </c>
    </row>
    <row r="210" spans="1:4" s="132" customFormat="1" ht="31.5" x14ac:dyDescent="0.25">
      <c r="A210" s="130" t="str">
        <f>Phase2!A273</f>
        <v>DR2.11</v>
      </c>
      <c r="B210" s="131" t="str">
        <f>Phase2!B273</f>
        <v>Documents and records</v>
      </c>
      <c r="C210" s="131" t="str">
        <f>Phase2!C273</f>
        <v>Have all quality documents currently in use been reviewed by at least one reviewer?</v>
      </c>
      <c r="D210" s="132" t="s">
        <v>2554</v>
      </c>
    </row>
    <row r="211" spans="1:4" s="132" customFormat="1" ht="31.5" x14ac:dyDescent="0.25">
      <c r="A211" s="130" t="str">
        <f>Phase2!A274</f>
        <v>DR2.12</v>
      </c>
      <c r="B211" s="131" t="str">
        <f>Phase2!B274</f>
        <v>Documents and records</v>
      </c>
      <c r="C211" s="131" t="str">
        <f>Phase2!C274</f>
        <v>Are all the quality documents used in the laboratory authorized for release?</v>
      </c>
      <c r="D211" s="132" t="s">
        <v>2555</v>
      </c>
    </row>
    <row r="212" spans="1:4" s="132" customFormat="1" ht="31.5" x14ac:dyDescent="0.25">
      <c r="A212" s="130" t="str">
        <f>Phase2!A275</f>
        <v>DR2.13</v>
      </c>
      <c r="B212" s="131" t="str">
        <f>Phase2!B275</f>
        <v>Documents and records</v>
      </c>
      <c r="C212" s="131" t="str">
        <f>Phase2!C275</f>
        <v>Are all the quality documents used in the laboratory the current versions?</v>
      </c>
      <c r="D212" s="132" t="s">
        <v>2556</v>
      </c>
    </row>
    <row r="213" spans="1:4" s="132" customFormat="1" ht="47.25" x14ac:dyDescent="0.25">
      <c r="A213" s="130" t="str">
        <f>Phase2!A276</f>
        <v>DR2.14</v>
      </c>
      <c r="B213" s="131" t="str">
        <f>Phase2!B276</f>
        <v>Documents and records</v>
      </c>
      <c r="C213" s="131" t="str">
        <f>Phase2!C276</f>
        <v>Are copies of replaced quality documents in the quality documentation archive clearly marked as “replaced” with the date on which they were replaced?</v>
      </c>
      <c r="D213" s="132" t="s">
        <v>2557</v>
      </c>
    </row>
    <row r="214" spans="1:4" s="129" customFormat="1" ht="32.25" thickBot="1" x14ac:dyDescent="0.3">
      <c r="A214" s="127" t="str">
        <f>Phase2!A277</f>
        <v>DR2.15</v>
      </c>
      <c r="B214" s="128" t="str">
        <f>Phase2!B277</f>
        <v>Documents and records</v>
      </c>
      <c r="C214" s="128" t="str">
        <f>Phase2!C277</f>
        <v>Are all the references in quality documents to other documents, locations and equipment correct?</v>
      </c>
      <c r="D214" s="129" t="s">
        <v>2558</v>
      </c>
    </row>
    <row r="215" spans="1:4" ht="15.75" thickBot="1" x14ac:dyDescent="0.3"/>
    <row r="216" spans="1:4" s="126" customFormat="1" ht="32.25" thickBot="1" x14ac:dyDescent="0.3">
      <c r="A216" s="124" t="str">
        <f>Phase2!A278</f>
        <v>DR2.16</v>
      </c>
      <c r="B216" s="125" t="str">
        <f>Phase2!B278</f>
        <v>Documents and records</v>
      </c>
      <c r="C216" s="125" t="str">
        <f>Phase2!C278</f>
        <v>Does the laboratory have a dedicated archive in which it stores all its current and replaced quality documents for a period of five years?</v>
      </c>
      <c r="D216" s="126" t="s">
        <v>2559</v>
      </c>
    </row>
    <row r="217" spans="1:4" ht="15.75" thickBot="1" x14ac:dyDescent="0.3"/>
    <row r="218" spans="1:4" s="96" customFormat="1" ht="31.5" x14ac:dyDescent="0.25">
      <c r="A218" s="92" t="str">
        <f>Phase2!A279</f>
        <v>DR2.17</v>
      </c>
      <c r="B218" s="93" t="str">
        <f>Phase2!B279</f>
        <v>Documents and records</v>
      </c>
      <c r="C218" s="93" t="str">
        <f>Phase2!C279</f>
        <v>Are all the procedures related to the document control system standardized in an SOP?</v>
      </c>
      <c r="D218" s="96" t="s">
        <v>2560</v>
      </c>
    </row>
    <row r="219" spans="1:4" s="97" customFormat="1" ht="63.75" thickBot="1" x14ac:dyDescent="0.3">
      <c r="A219" s="94" t="str">
        <f>Phase2!A280</f>
        <v>DR2.18</v>
      </c>
      <c r="B219" s="95" t="str">
        <f>Phase2!B280</f>
        <v>Documents and records</v>
      </c>
      <c r="C219" s="95" t="str">
        <f>Phase2!C280</f>
        <v>Is staff aware of what they have to do when they detect an error in a quality document?
Take a sample by asking several staff members.</v>
      </c>
    </row>
    <row r="220" spans="1:4" ht="15.75" thickBot="1" x14ac:dyDescent="0.3"/>
    <row r="221" spans="1:4" s="126" customFormat="1" ht="48" thickBot="1" x14ac:dyDescent="0.3">
      <c r="A221" s="124" t="str">
        <f>Phase2!A281</f>
        <v>DR2.19</v>
      </c>
      <c r="B221" s="125" t="str">
        <f>Phase2!B281</f>
        <v>Documents and records</v>
      </c>
      <c r="C221" s="125" t="str">
        <f>Phase2!C281</f>
        <v>Are the Equipment SOPs complete, i.e. do they include the procedures that were developed in phase 2 such as calibration, preventive maintenance and corrective maintenance?</v>
      </c>
    </row>
    <row r="222" spans="1:4" ht="15.75" thickBot="1" x14ac:dyDescent="0.3"/>
    <row r="223" spans="1:4" s="203" customFormat="1" ht="31.5" thickBot="1" x14ac:dyDescent="0.3">
      <c r="A223" s="201" t="str">
        <f>Phase2!A282</f>
        <v>CF2.1</v>
      </c>
      <c r="B223" s="202" t="str">
        <f>Phase2!B282</f>
        <v>Customer Focus</v>
      </c>
      <c r="C223" s="202" t="str">
        <f>Phase2!C282</f>
        <v>Does the laboratory have a database/register with regular customers?</v>
      </c>
      <c r="D223" s="203" t="s">
        <v>2561</v>
      </c>
    </row>
    <row r="224" spans="1:4" ht="15.75" thickBot="1" x14ac:dyDescent="0.3">
      <c r="D224" s="115"/>
    </row>
    <row r="225" spans="1:6" s="194" customFormat="1" ht="47.25" x14ac:dyDescent="0.25">
      <c r="A225" s="188" t="str">
        <f>Phase2!A283</f>
        <v>CF2.2</v>
      </c>
      <c r="B225" s="189" t="str">
        <f>Phase2!B283</f>
        <v>Customer Focus</v>
      </c>
      <c r="C225" s="189" t="str">
        <f>Phase2!C283</f>
        <v>Are correct biological reference intervals/decision values and alert/critical interval values included for all the examinations performed by the laboratory in the Laboratory Result Reports?</v>
      </c>
      <c r="D225" s="194" t="s">
        <v>2566</v>
      </c>
      <c r="E225" s="194" t="s">
        <v>2564</v>
      </c>
      <c r="F225" s="194" t="s">
        <v>2565</v>
      </c>
    </row>
    <row r="226" spans="1:6" s="195" customFormat="1" ht="47.25" x14ac:dyDescent="0.25">
      <c r="A226" s="190" t="str">
        <f>Phase2!A284</f>
        <v>CF2.3</v>
      </c>
      <c r="B226" s="191" t="str">
        <f>Phase2!B284</f>
        <v>Customer Focus</v>
      </c>
      <c r="C226" s="191" t="str">
        <f>Phase2!C284</f>
        <v>Is the correctness of the biological reference intervals/diagnostic decision values and alert/critical interval values regularly verified for all the examinations performed by the laboratory?</v>
      </c>
      <c r="D226" s="195" t="s">
        <v>2562</v>
      </c>
    </row>
    <row r="227" spans="1:6" s="199" customFormat="1" ht="48" thickBot="1" x14ac:dyDescent="0.3">
      <c r="A227" s="197" t="str">
        <f>Phase2!A285</f>
        <v>CF2.4</v>
      </c>
      <c r="B227" s="198" t="str">
        <f>Phase2!B285</f>
        <v>Customer Focus</v>
      </c>
      <c r="C227" s="198" t="str">
        <f>Phase2!C285</f>
        <v>If the methodology of an examination is changed, does the laboratory verify if the biological reference interval/diagnostic decision value and alert/critical interval value is still correct for that examination?</v>
      </c>
      <c r="D227" s="199" t="s">
        <v>2563</v>
      </c>
    </row>
    <row r="228" spans="1:6" ht="15.75" thickBot="1" x14ac:dyDescent="0.3">
      <c r="D228" s="200"/>
    </row>
    <row r="229" spans="1:6" s="194" customFormat="1" ht="31.5" x14ac:dyDescent="0.25">
      <c r="A229" s="188" t="str">
        <f>Phase2!A286</f>
        <v>CF2.5</v>
      </c>
      <c r="B229" s="189" t="str">
        <f>Phase2!B286</f>
        <v>Customer Focus</v>
      </c>
      <c r="C229" s="189" t="str">
        <f>Phase2!C286</f>
        <v>Does the laboratory have a service manual that includes the following: [tick-off]</v>
      </c>
    </row>
    <row r="230" spans="1:6" s="195" customFormat="1" ht="31.5" x14ac:dyDescent="0.25">
      <c r="A230" s="190" t="str">
        <f>Phase2!A310</f>
        <v>CF2.6</v>
      </c>
      <c r="B230" s="191" t="str">
        <f>Phase2!B310</f>
        <v>Customer Focus</v>
      </c>
      <c r="C230" s="191" t="str">
        <f>Phase2!C310</f>
        <v>Has the Laboratory Service Manual been sent to all the clients of the laboratory?</v>
      </c>
      <c r="D230" s="195" t="s">
        <v>2589</v>
      </c>
    </row>
    <row r="231" spans="1:6" s="195" customFormat="1" ht="47.25" x14ac:dyDescent="0.25">
      <c r="A231" s="190" t="str">
        <f>Phase2!A311</f>
        <v>CF2.7</v>
      </c>
      <c r="B231" s="191" t="str">
        <f>Phase2!B311</f>
        <v>Customer Focus</v>
      </c>
      <c r="C231" s="191" t="str">
        <f>Phase2!C311</f>
        <v>When changes are made to the service manual, is the new version directly printed and sent to the clients of the laboratory, with the note that they have to destroy the previous version?</v>
      </c>
      <c r="D231" s="195" t="s">
        <v>2590</v>
      </c>
    </row>
    <row r="232" spans="1:6" s="195" customFormat="1" ht="47.25" x14ac:dyDescent="0.25">
      <c r="A232" s="190" t="str">
        <f>Phase2!A312</f>
        <v>CF2.31</v>
      </c>
      <c r="B232" s="191" t="str">
        <f>Phase2!B312</f>
        <v>Customer Focus</v>
      </c>
      <c r="C232" s="191" t="str">
        <f>Phase2!C312</f>
        <v>Are correct biological reference intervals/decision values and alert/critical interval values included for all the examinations performed by the laboratory in the Laboratory Service Manual?</v>
      </c>
      <c r="D232" s="195" t="s">
        <v>2591</v>
      </c>
    </row>
    <row r="233" spans="1:6" s="199" customFormat="1" ht="95.25" thickBot="1" x14ac:dyDescent="0.3">
      <c r="A233" s="197" t="str">
        <f>Phase2!A313</f>
        <v>CF2.32</v>
      </c>
      <c r="B233" s="198" t="str">
        <f>Phase2!B313</f>
        <v>Customer Focus</v>
      </c>
      <c r="C233" s="198" t="str">
        <f>Phase2!C313</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233" s="199" t="s">
        <v>2594</v>
      </c>
      <c r="E233" s="199" t="s">
        <v>2592</v>
      </c>
      <c r="F233" s="199" t="s">
        <v>2593</v>
      </c>
    </row>
    <row r="234" spans="1:6" ht="15.75" thickBot="1" x14ac:dyDescent="0.3"/>
    <row r="235" spans="1:6" s="144" customFormat="1" ht="31.5" x14ac:dyDescent="0.25">
      <c r="A235" s="139" t="str">
        <f>Phase2!A314</f>
        <v>ASSESS2.1</v>
      </c>
      <c r="B235" s="140" t="str">
        <f>Phase2!B314</f>
        <v>Assessment</v>
      </c>
      <c r="C235" s="140" t="str">
        <f>Phase2!C314</f>
        <v>Does the laboratory participate in proficiency testing/inter-laboratory comparison schemes for all the examinations performed?</v>
      </c>
      <c r="D235" s="144" t="s">
        <v>2595</v>
      </c>
    </row>
    <row r="236" spans="1:6" s="145" customFormat="1" ht="47.25" x14ac:dyDescent="0.25">
      <c r="A236" s="136" t="str">
        <f>Phase2!A315</f>
        <v>ASSESS2.2</v>
      </c>
      <c r="B236" s="143" t="str">
        <f>Phase2!B315</f>
        <v>Assessment</v>
      </c>
      <c r="C236" s="143" t="str">
        <f>Phase2!C315</f>
        <v>If participation in a proficiency testing scheme or organization of an inter-laboratory comparison for a certain test is not possible: does the laboratory have a rechecking/retesting system to compare results?</v>
      </c>
    </row>
    <row r="237" spans="1:6" s="145" customFormat="1" ht="63" x14ac:dyDescent="0.25">
      <c r="A237" s="136" t="str">
        <f>Phase2!A316</f>
        <v>ASSESS2.3</v>
      </c>
      <c r="B237" s="143" t="str">
        <f>Phase2!B316</f>
        <v>Assessment</v>
      </c>
      <c r="C237" s="143" t="str">
        <f>Phase2!C316</f>
        <v>If results of proficiency testing/inter-laboratory comparisons are deviating/incorrect, does the laboratory act with performing an analysis to identify the causes of the problem and does it implement corrective actions, controls and, if possible, preventive actions?</v>
      </c>
      <c r="D237" s="145" t="s">
        <v>2596</v>
      </c>
    </row>
    <row r="238" spans="1:6" s="145" customFormat="1" ht="15.75" x14ac:dyDescent="0.25">
      <c r="A238" s="136"/>
      <c r="B238" s="143"/>
      <c r="C238" s="143"/>
    </row>
    <row r="239" spans="1:6" s="145" customFormat="1" ht="31.5" x14ac:dyDescent="0.25">
      <c r="A239" s="136" t="str">
        <f>Phase2!A317</f>
        <v>ASSESS2.4</v>
      </c>
      <c r="B239" s="143" t="str">
        <f>Phase2!B317</f>
        <v>Assessment</v>
      </c>
      <c r="C239" s="143" t="str">
        <f>Phase2!C317</f>
        <v>Does the laboratory have an SOP for participation in a proficiency testing scheme and/or an inter-laboratory comparison scheme?</v>
      </c>
    </row>
    <row r="240" spans="1:6" s="146" customFormat="1" ht="47.25" x14ac:dyDescent="0.25">
      <c r="A240" s="141" t="str">
        <f>Phase2!A318</f>
        <v>ASSESS2.5</v>
      </c>
      <c r="B240" s="142" t="str">
        <f>Phase2!B318</f>
        <v>Assessment</v>
      </c>
      <c r="C240" s="142" t="str">
        <f>Phase2!C318</f>
        <v>If the laboratory is the organizer of an inter-laboratory comparison scheme, does the SOP for External Quality Assessment include the procedure for organizing this?</v>
      </c>
      <c r="D240" s="146" t="s">
        <v>2597</v>
      </c>
    </row>
    <row r="241" spans="1:3" s="147" customFormat="1" ht="48" thickBot="1" x14ac:dyDescent="0.3">
      <c r="A241" s="137" t="str">
        <f>Phase2!A319</f>
        <v>ASSESS2.6</v>
      </c>
      <c r="B241" s="138" t="str">
        <f>Phase2!B319</f>
        <v>Assessment</v>
      </c>
      <c r="C241" s="138" t="str">
        <f>Phase2!C319</f>
        <v>If the laboratory rechecks/retests samples for a certain test (in case no PT or inter-laboratory comparison was possible), does the SOP for External Quality Assessment include the procedure for organizing this?</v>
      </c>
    </row>
  </sheetData>
  <mergeCells count="20">
    <mergeCell ref="B1:D1"/>
    <mergeCell ref="A2:B2"/>
    <mergeCell ref="N4:O4"/>
    <mergeCell ref="P4:Q4"/>
    <mergeCell ref="R4:S4"/>
    <mergeCell ref="N12:O12"/>
    <mergeCell ref="P12:Q12"/>
    <mergeCell ref="R12:S12"/>
    <mergeCell ref="N16:O16"/>
    <mergeCell ref="P16:Q16"/>
    <mergeCell ref="R16:S16"/>
    <mergeCell ref="N29:O29"/>
    <mergeCell ref="P29:Q29"/>
    <mergeCell ref="R29:S29"/>
    <mergeCell ref="N19:O19"/>
    <mergeCell ref="P19:Q19"/>
    <mergeCell ref="R19:S19"/>
    <mergeCell ref="N24:O24"/>
    <mergeCell ref="P24:Q24"/>
    <mergeCell ref="R24:S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1000"/>
  <sheetViews>
    <sheetView workbookViewId="0">
      <pane xSplit="2" ySplit="1" topLeftCell="C2" activePane="bottomRight" state="frozen"/>
      <selection pane="topRight" activeCell="B1" sqref="B1"/>
      <selection pane="bottomLeft" activeCell="A2" sqref="A2"/>
      <selection pane="bottomRight" activeCell="B1" sqref="B1:E1"/>
    </sheetView>
  </sheetViews>
  <sheetFormatPr defaultColWidth="8.85546875" defaultRowHeight="15.75" x14ac:dyDescent="0.25"/>
  <cols>
    <col min="1" max="1" width="8.85546875" style="12"/>
    <col min="2" max="2" width="12.28515625" style="12" customWidth="1"/>
    <col min="3" max="3" width="55.28515625" style="10" customWidth="1"/>
    <col min="4" max="4" width="111.28515625" style="10" customWidth="1"/>
    <col min="5" max="5" width="14.7109375" style="12" bestFit="1" customWidth="1"/>
    <col min="6" max="6" width="12.5703125" style="12" customWidth="1"/>
    <col min="7" max="7" width="97.140625" style="12" customWidth="1"/>
    <col min="8" max="16384" width="8.85546875" style="12"/>
  </cols>
  <sheetData>
    <row r="1" spans="1:7" x14ac:dyDescent="0.25">
      <c r="B1" s="294">
        <f>COUNTA(E3:E1000)/COUNTIF(D3:D1000, "&lt;&gt;*     *")</f>
        <v>0.97340425531914898</v>
      </c>
      <c r="C1" s="294"/>
      <c r="D1" s="294"/>
      <c r="E1" s="294"/>
    </row>
    <row r="2" spans="1:7" ht="15" customHeight="1" x14ac:dyDescent="0.25">
      <c r="B2" s="290"/>
      <c r="C2" s="291" t="s">
        <v>3194</v>
      </c>
      <c r="D2" s="291"/>
      <c r="E2" s="290" t="s">
        <v>1460</v>
      </c>
      <c r="F2" s="323" t="s">
        <v>5654</v>
      </c>
      <c r="G2" s="323" t="s">
        <v>5655</v>
      </c>
    </row>
    <row r="3" spans="1:7" x14ac:dyDescent="0.25">
      <c r="B3" s="290"/>
      <c r="C3" s="291"/>
      <c r="D3" s="291"/>
      <c r="E3" s="290"/>
      <c r="F3" s="323"/>
      <c r="G3" s="323"/>
    </row>
    <row r="4" spans="1:7" ht="33" customHeight="1" x14ac:dyDescent="0.25">
      <c r="B4" s="290"/>
      <c r="C4" s="291"/>
      <c r="D4" s="291"/>
      <c r="E4" s="290"/>
      <c r="F4" s="323"/>
      <c r="G4" s="323"/>
    </row>
    <row r="5" spans="1:7" ht="47.25" x14ac:dyDescent="0.25">
      <c r="A5" s="12" t="s">
        <v>5315</v>
      </c>
      <c r="B5" s="10" t="str">
        <f>_xlfn.IFNA(VLOOKUP($A5,CompChecksTrans!$A:$C,2,FALSE), "")</f>
        <v>FS2.1</v>
      </c>
      <c r="C5" s="10" t="str">
        <f>_xlfn.IFNA(VLOOKUP(B5,Phase2!A$4:C$1000,3,FALSE),"")</f>
        <v>Is access to the laboratory facility controlled against unauthorized persons?</v>
      </c>
      <c r="D5" s="10" t="str">
        <f>_xlfn.IFNA(VLOOKUP($A5,CompChecksTrans!$A:$C,3,FALSE), "     ")</f>
        <v>1. Presence of the "Authorized Personnel Only" sign on the entry doors.</v>
      </c>
      <c r="E5" s="12" t="s">
        <v>3198</v>
      </c>
    </row>
    <row r="6" spans="1:7" ht="47.25" x14ac:dyDescent="0.25">
      <c r="A6" s="12" t="s">
        <v>5316</v>
      </c>
      <c r="B6" s="10" t="str">
        <f>_xlfn.IFNA(VLOOKUP($A6,CompChecksTrans!$A:$C,2,FALSE), "")</f>
        <v>FS2.2</v>
      </c>
      <c r="C6" s="10" t="str">
        <f>_xlfn.IFNA(VLOOKUP(B6,Phase2!A$4:C$1000,3,FALSE),"")</f>
        <v>Can the access control system, protecting the laboratory from unauthorized access, be overridden in case of an emergency such as fire?</v>
      </c>
      <c r="D6" s="10" t="str">
        <f>_xlfn.IFNA(VLOOKUP($A6,CompChecksTrans!$A:$C,3,FALSE), "     ")</f>
        <v>1. Presence of a lock on the entrance door(s) and only a door handle on the inside of the door.</v>
      </c>
      <c r="E6" s="12" t="s">
        <v>3198</v>
      </c>
    </row>
    <row r="7" spans="1:7" ht="31.5" x14ac:dyDescent="0.25">
      <c r="A7" s="12" t="s">
        <v>5317</v>
      </c>
      <c r="B7" s="10" t="str">
        <f>_xlfn.IFNA(VLOOKUP($A7,CompChecksTrans!$A:$C,2,FALSE), "")</f>
        <v>FS2.3</v>
      </c>
      <c r="C7" s="10" t="str">
        <f>_xlfn.IFNA(VLOOKUP(B7,Phase2!A$4:C$1000,3,FALSE),"")</f>
        <v>Are primary sample collection facilities separated from the laboratory rooms?</v>
      </c>
      <c r="D7" s="10" t="str">
        <f>_xlfn.IFNA(VLOOKUP($A7,CompChecksTrans!$A:$C,3,FALSE), "     ")</f>
        <v>Primary sample collection area is separated from the laboratory rooms.</v>
      </c>
      <c r="E7" s="12" t="s">
        <v>3199</v>
      </c>
    </row>
    <row r="8" spans="1:7" ht="31.5" x14ac:dyDescent="0.25">
      <c r="A8" s="12" t="s">
        <v>5318</v>
      </c>
      <c r="B8" s="10" t="str">
        <f>_xlfn.IFNA(VLOOKUP($A8,CompChecksTrans!$A:$C,2,FALSE), "")</f>
        <v>FS2.5</v>
      </c>
      <c r="C8" s="10" t="str">
        <f>_xlfn.IFNA(VLOOKUP(B8,Phase2!A$4:C$1000,3,FALSE),"")</f>
        <v>Are laboratory rooms where incompatible procedures are being undertaken separated from each other?</v>
      </c>
      <c r="D8" s="10" t="str">
        <f>_xlfn.IFNA(VLOOKUP($A8,CompChecksTrans!$A:$C,3,FALSE), "     ")</f>
        <v>Presence of different processing rooms/areas:
1. General analyzing laboratory room (hem, bio, sero/immuno)</v>
      </c>
      <c r="E8" s="12" t="s">
        <v>3201</v>
      </c>
    </row>
    <row r="9" spans="1:7" ht="31.5" x14ac:dyDescent="0.25">
      <c r="A9" s="12" t="s">
        <v>5319</v>
      </c>
      <c r="B9" s="10" t="str">
        <f>_xlfn.IFNA(VLOOKUP($A9,CompChecksTrans!$A:$C,2,FALSE), "")</f>
        <v>FS2.5</v>
      </c>
      <c r="C9" s="10" t="str">
        <f>_xlfn.IFNA(VLOOKUP(B9,Phase2!A$4:C$1000,3,FALSE),"")</f>
        <v>Are laboratory rooms where incompatible procedures are being undertaken separated from each other?</v>
      </c>
      <c r="D9" s="10" t="str">
        <f>_xlfn.IFNA(VLOOKUP($A9,CompChecksTrans!$A:$C,3,FALSE), "     ")</f>
        <v>3. TB microscopy room</v>
      </c>
      <c r="E9" s="12" t="s">
        <v>3200</v>
      </c>
    </row>
    <row r="10" spans="1:7" ht="31.5" x14ac:dyDescent="0.25">
      <c r="A10" s="12" t="s">
        <v>5320</v>
      </c>
      <c r="B10" s="10" t="str">
        <f>_xlfn.IFNA(VLOOKUP($A10,CompChecksTrans!$A:$C,2,FALSE), "")</f>
        <v>FS2.5</v>
      </c>
      <c r="C10" s="10" t="str">
        <f>_xlfn.IFNA(VLOOKUP(B10,Phase2!A$4:C$1000,3,FALSE),"")</f>
        <v>Are laboratory rooms where incompatible procedures are being undertaken separated from each other?</v>
      </c>
      <c r="D10" s="10" t="str">
        <f>_xlfn.IFNA(VLOOKUP($A10,CompChecksTrans!$A:$C,3,FALSE), "     ")</f>
        <v xml:space="preserve">4. TB Culture room </v>
      </c>
      <c r="E10" s="12" t="s">
        <v>1409</v>
      </c>
    </row>
    <row r="11" spans="1:7" ht="31.5" x14ac:dyDescent="0.25">
      <c r="A11" s="12" t="s">
        <v>5321</v>
      </c>
      <c r="B11" s="10" t="str">
        <f>_xlfn.IFNA(VLOOKUP($A11,CompChecksTrans!$A:$C,2,FALSE), "")</f>
        <v>FS2.5</v>
      </c>
      <c r="C11" s="10" t="str">
        <f>_xlfn.IFNA(VLOOKUP(B11,Phase2!A$4:C$1000,3,FALSE),"")</f>
        <v>Are laboratory rooms where incompatible procedures are being undertaken separated from each other?</v>
      </c>
      <c r="D11" s="10" t="str">
        <f>_xlfn.IFNA(VLOOKUP($A11,CompChecksTrans!$A:$C,3,FALSE), "     ")</f>
        <v>5. TB Drug Susceptibility testing room.</v>
      </c>
      <c r="E11" s="12" t="s">
        <v>1409</v>
      </c>
    </row>
    <row r="12" spans="1:7" ht="31.5" x14ac:dyDescent="0.25">
      <c r="A12" s="12" t="s">
        <v>5322</v>
      </c>
      <c r="B12" s="10" t="str">
        <f>_xlfn.IFNA(VLOOKUP($A12,CompChecksTrans!$A:$C,2,FALSE), "")</f>
        <v>FS2.5</v>
      </c>
      <c r="C12" s="10" t="str">
        <f>_xlfn.IFNA(VLOOKUP(B12,Phase2!A$4:C$1000,3,FALSE),"")</f>
        <v>Are laboratory rooms where incompatible procedures are being undertaken separated from each other?</v>
      </c>
      <c r="D12" s="10" t="str">
        <f>_xlfn.IFNA(VLOOKUP($A12,CompChecksTrans!$A:$C,3,FALSE), "     ")</f>
        <v>6. Microbiology room</v>
      </c>
      <c r="E12" s="12" t="s">
        <v>1408</v>
      </c>
    </row>
    <row r="13" spans="1:7" ht="31.5" x14ac:dyDescent="0.25">
      <c r="A13" s="12" t="s">
        <v>5323</v>
      </c>
      <c r="B13" s="10" t="str">
        <f>_xlfn.IFNA(VLOOKUP($A13,CompChecksTrans!$A:$C,2,FALSE), "")</f>
        <v>FS2.5</v>
      </c>
      <c r="C13" s="10" t="str">
        <f>_xlfn.IFNA(VLOOKUP(B13,Phase2!A$4:C$1000,3,FALSE),"")</f>
        <v>Are laboratory rooms where incompatible procedures are being undertaken separated from each other?</v>
      </c>
      <c r="D13" s="10" t="str">
        <f>_xlfn.IFNA(VLOOKUP($A13,CompChecksTrans!$A:$C,3,FALSE), "     ")</f>
        <v>7. Media preparation room</v>
      </c>
      <c r="E13" s="12" t="s">
        <v>1409</v>
      </c>
    </row>
    <row r="14" spans="1:7" ht="31.5" x14ac:dyDescent="0.25">
      <c r="A14" s="12" t="s">
        <v>5324</v>
      </c>
      <c r="B14" s="10" t="str">
        <f>_xlfn.IFNA(VLOOKUP($A14,CompChecksTrans!$A:$C,2,FALSE), "")</f>
        <v>FS2.5</v>
      </c>
      <c r="C14" s="10" t="str">
        <f>_xlfn.IFNA(VLOOKUP(B14,Phase2!A$4:C$1000,3,FALSE),"")</f>
        <v>Are laboratory rooms where incompatible procedures are being undertaken separated from each other?</v>
      </c>
      <c r="D14" s="10" t="str">
        <f>_xlfn.IFNA(VLOOKUP($A14,CompChecksTrans!$A:$C,3,FALSE), "     ")</f>
        <v>8. Waste autoclaving and glassware room</v>
      </c>
      <c r="E14" s="12" t="s">
        <v>1408</v>
      </c>
    </row>
    <row r="15" spans="1:7" ht="31.5" x14ac:dyDescent="0.25">
      <c r="A15" s="12" t="s">
        <v>5325</v>
      </c>
      <c r="B15" s="10" t="str">
        <f>_xlfn.IFNA(VLOOKUP($A15,CompChecksTrans!$A:$C,2,FALSE), "")</f>
        <v>FS2.5</v>
      </c>
      <c r="C15" s="10" t="str">
        <f>_xlfn.IFNA(VLOOKUP(B15,Phase2!A$4:C$1000,3,FALSE),"")</f>
        <v>Are laboratory rooms where incompatible procedures are being undertaken separated from each other?</v>
      </c>
      <c r="D15" s="10" t="str">
        <f>_xlfn.IFNA(VLOOKUP($A15,CompChecksTrans!$A:$C,3,FALSE), "     ")</f>
        <v>9. Storage areas for clothing, personal items and personal protective equipment</v>
      </c>
      <c r="E15" s="12" t="s">
        <v>1408</v>
      </c>
    </row>
    <row r="16" spans="1:7" ht="47.25" x14ac:dyDescent="0.25">
      <c r="A16" s="12" t="s">
        <v>5326</v>
      </c>
      <c r="B16" s="10" t="str">
        <f>_xlfn.IFNA(VLOOKUP($A16,CompChecksTrans!$A:$C,2,FALSE), "")</f>
        <v>FS2.6</v>
      </c>
      <c r="C16" s="10" t="str">
        <f>_xlfn.IFNA(VLOOKUP(B16,Phase2!A$4:C$1000,3,FALSE),"")</f>
        <v>Are rooms for cleaning of laboratory glassware and tools separated from the laboratory rooms?</v>
      </c>
      <c r="D16" s="10" t="str">
        <f>_xlfn.IFNA(VLOOKUP($A16,CompChecksTrans!$A:$C,3,FALSE), "     ")</f>
        <v>Presence of cleaning of laboratory glassware/tools room separated from the laboratory room.</v>
      </c>
      <c r="E16" s="12" t="s">
        <v>1409</v>
      </c>
    </row>
    <row r="17" spans="1:5" ht="63" x14ac:dyDescent="0.25">
      <c r="A17" s="12" t="s">
        <v>5327</v>
      </c>
      <c r="B17" s="10" t="str">
        <f>_xlfn.IFNA(VLOOKUP($A17,CompChecksTrans!$A:$C,2,FALSE), "")</f>
        <v>FS2.7</v>
      </c>
      <c r="C17" s="10" t="str">
        <f>_xlfn.IFNA(VLOOKUP(B17,Phase2!A$4:C$1000,3,FALSE),"")</f>
        <v>Are the rooms designed and furnished in a logical way enabling a unidirectional workflow and preventing unnecessary movements of people through the rooms?</v>
      </c>
      <c r="D17" s="10" t="str">
        <f>_xlfn.IFNA(VLOOKUP($A17,CompChecksTrans!$A:$C,3,FALSE), "     ")</f>
        <v>1. Presence of work efficiency floor plan (Spaghetti diagram) in folder of "Organization".</v>
      </c>
      <c r="E17" s="12" t="s">
        <v>1408</v>
      </c>
    </row>
    <row r="18" spans="1:5" ht="63" x14ac:dyDescent="0.25">
      <c r="A18" s="12" t="s">
        <v>5328</v>
      </c>
      <c r="B18" s="10" t="str">
        <f>_xlfn.IFNA(VLOOKUP($A18,CompChecksTrans!$A:$C,2,FALSE), "")</f>
        <v>FS2.7</v>
      </c>
      <c r="C18" s="10" t="str">
        <f>_xlfn.IFNA(VLOOKUP(B18,Phase2!A$4:C$1000,3,FALSE),"")</f>
        <v>Are the rooms designed and furnished in a logical way enabling a unidirectional workflow and preventing unnecessary movements of people through the rooms?</v>
      </c>
      <c r="D18" s="10" t="str">
        <f>_xlfn.IFNA(VLOOKUP($A18,CompChecksTrans!$A:$C,3,FALSE), "     ")</f>
        <v>2.  Laboratory has unidirectional workflow.</v>
      </c>
      <c r="E18" s="12" t="s">
        <v>1408</v>
      </c>
    </row>
    <row r="19" spans="1:5" ht="31.5" x14ac:dyDescent="0.25">
      <c r="A19" s="12" t="s">
        <v>5329</v>
      </c>
      <c r="B19" s="10" t="str">
        <f>_xlfn.IFNA(VLOOKUP($A19,CompChecksTrans!$A:$C,2,FALSE), "")</f>
        <v>FS2.8</v>
      </c>
      <c r="C19" s="10" t="str">
        <f>_xlfn.IFNA(VLOOKUP(B19,Phase2!A$4:C$1000,3,FALSE),"")</f>
        <v>Is office space separated from laboratory rooms?</v>
      </c>
      <c r="D19" s="10" t="str">
        <f>_xlfn.IFNA(VLOOKUP($A19,CompChecksTrans!$A:$C,3,FALSE), "     ")</f>
        <v>Presence of an office area/room separated from laboratory room.</v>
      </c>
      <c r="E19" s="12" t="s">
        <v>1409</v>
      </c>
    </row>
    <row r="20" spans="1:5" ht="31.5" x14ac:dyDescent="0.25">
      <c r="A20" s="12" t="s">
        <v>5330</v>
      </c>
      <c r="B20" s="10" t="str">
        <f>_xlfn.IFNA(VLOOKUP($A20,CompChecksTrans!$A:$C,2,FALSE), "")</f>
        <v>FS2.9</v>
      </c>
      <c r="C20" s="10" t="str">
        <f>_xlfn.IFNA(VLOOKUP(B20,Phase2!A$4:C$1000,3,FALSE),"")</f>
        <v>Is there a dedicated area for breaks/lunches?</v>
      </c>
      <c r="D20" s="10" t="str">
        <f>_xlfn.IFNA(VLOOKUP($A20,CompChecksTrans!$A:$C,3,FALSE), "     ")</f>
        <v>Presence of a room where staff can have breaks/lunch (not in laboratory rooms!).</v>
      </c>
      <c r="E20" s="12" t="s">
        <v>1409</v>
      </c>
    </row>
    <row r="21" spans="1:5" ht="47.25" x14ac:dyDescent="0.25">
      <c r="A21" s="12" t="s">
        <v>5331</v>
      </c>
      <c r="B21" s="10" t="str">
        <f>_xlfn.IFNA(VLOOKUP($A21,CompChecksTrans!$A:$C,2,FALSE), "")</f>
        <v>FS2.10</v>
      </c>
      <c r="C21" s="10" t="str">
        <f>_xlfn.IFNA(VLOOKUP(B21,Phase2!A$4:C$1000,3,FALSE),"")</f>
        <v>Is communication to outside the laboratory rooms possible without leaving the room?</v>
      </c>
      <c r="D21" s="10" t="str">
        <f>_xlfn.IFNA(VLOOKUP($A21,CompChecksTrans!$A:$C,3,FALSE), "     ")</f>
        <v>Presence of a telephone/intercom system in the rooms where necessary.</v>
      </c>
      <c r="E21" s="12" t="s">
        <v>1408</v>
      </c>
    </row>
    <row r="22" spans="1:5" ht="31.5" x14ac:dyDescent="0.25">
      <c r="A22" s="12" t="s">
        <v>5332</v>
      </c>
      <c r="B22" s="10" t="str">
        <f>_xlfn.IFNA(VLOOKUP($A22,CompChecksTrans!$A:$C,2,FALSE), "")</f>
        <v>FS2.11</v>
      </c>
      <c r="C22" s="10" t="str">
        <f>_xlfn.IFNA(VLOOKUP(B22,Phase2!A$4:C$1000,3,FALSE),"")</f>
        <v>Are emergency numbers available near telephones and clearly visible?</v>
      </c>
      <c r="D22" s="10" t="str">
        <f>_xlfn.IFNA(VLOOKUP($A22,CompChecksTrans!$A:$C,3,FALSE), "     ")</f>
        <v>Presence of the emergency numbers (fire, police, ambulance,...etc.) on the wall near the communication system.</v>
      </c>
      <c r="E22" s="12" t="s">
        <v>1409</v>
      </c>
    </row>
    <row r="23" spans="1:5" ht="31.5" x14ac:dyDescent="0.25">
      <c r="A23" s="12" t="s">
        <v>5333</v>
      </c>
      <c r="B23" s="10" t="str">
        <f>_xlfn.IFNA(VLOOKUP($A23,CompChecksTrans!$A:$C,2,FALSE), "")</f>
        <v>FS2.12</v>
      </c>
      <c r="C23" s="10" t="str">
        <f>_xlfn.IFNA(VLOOKUP(B23,Phase2!A$4:C$1000,3,FALSE),"")</f>
        <v>Is the use of mobile phones forbidden inside all laboratory rooms?</v>
      </c>
      <c r="D23" s="10" t="str">
        <f>_xlfn.IFNA(VLOOKUP($A23,CompChecksTrans!$A:$C,3,FALSE), "     ")</f>
        <v>Presence of signage states that mobile phone is forbidden in laboratory rooms.</v>
      </c>
      <c r="E23" s="12" t="s">
        <v>1408</v>
      </c>
    </row>
    <row r="24" spans="1:5" ht="47.25" x14ac:dyDescent="0.25">
      <c r="A24" s="12" t="s">
        <v>5334</v>
      </c>
      <c r="B24" s="10" t="str">
        <f>_xlfn.IFNA(VLOOKUP($A24,CompChecksTrans!$A:$C,2,FALSE), "")</f>
        <v>FS2.13</v>
      </c>
      <c r="C24" s="10" t="str">
        <f>_xlfn.IFNA(VLOOKUP(B24,Phase2!A$4:C$1000,3,FALSE),"")</f>
        <v>Is continuing delivery of electricity guaranteed through a working generator and/or Uninterrupted Power Supply (UPS) system in case of a power failure?</v>
      </c>
      <c r="D24" s="10" t="str">
        <f>_xlfn.IFNA(VLOOKUP($A24,CompChecksTrans!$A:$C,3,FALSE), "     ")</f>
        <v>1. Presence of a list of equipment that should be connected to a generator.</v>
      </c>
      <c r="E24" s="12" t="s">
        <v>1408</v>
      </c>
    </row>
    <row r="25" spans="1:5" ht="47.25" x14ac:dyDescent="0.25">
      <c r="A25" s="12" t="s">
        <v>5335</v>
      </c>
      <c r="B25" s="10" t="str">
        <f>_xlfn.IFNA(VLOOKUP($A25,CompChecksTrans!$A:$C,2,FALSE), "")</f>
        <v>FS2.13</v>
      </c>
      <c r="C25" s="10" t="str">
        <f>_xlfn.IFNA(VLOOKUP(B25,Phase2!A$4:C$1000,3,FALSE),"")</f>
        <v>Is continuing delivery of electricity guaranteed through a working generator and/or Uninterrupted Power Supply (UPS) system in case of a power failure?</v>
      </c>
      <c r="D25" s="10" t="str">
        <f>_xlfn.IFNA(VLOOKUP($A25,CompChecksTrans!$A:$C,3,FALSE), "     ")</f>
        <v>2. Presence of  a list of equipment that should be connected to a UPS.</v>
      </c>
      <c r="E25" s="12" t="s">
        <v>1409</v>
      </c>
    </row>
    <row r="26" spans="1:5" ht="47.25" x14ac:dyDescent="0.25">
      <c r="A26" s="12" t="s">
        <v>5336</v>
      </c>
      <c r="B26" s="10" t="str">
        <f>_xlfn.IFNA(VLOOKUP($A26,CompChecksTrans!$A:$C,2,FALSE), "")</f>
        <v>FS2.13</v>
      </c>
      <c r="C26" s="10" t="str">
        <f>_xlfn.IFNA(VLOOKUP(B26,Phase2!A$4:C$1000,3,FALSE),"")</f>
        <v>Is continuing delivery of electricity guaranteed through a working generator and/or Uninterrupted Power Supply (UPS) system in case of a power failure?</v>
      </c>
      <c r="D26" s="10" t="str">
        <f>_xlfn.IFNA(VLOOKUP($A26,CompChecksTrans!$A:$C,3,FALSE), "     ")</f>
        <v>3. Presence of a list of equipment that should be connected to a voltage regulator/stabilizer.</v>
      </c>
      <c r="E26" s="12" t="s">
        <v>1408</v>
      </c>
    </row>
    <row r="27" spans="1:5" ht="31.5" x14ac:dyDescent="0.25">
      <c r="A27" s="12" t="s">
        <v>5337</v>
      </c>
      <c r="B27" s="10" t="str">
        <f>_xlfn.IFNA(VLOOKUP($A27,CompChecksTrans!$A:$C,2,FALSE), "")</f>
        <v>FS2.14</v>
      </c>
      <c r="C27" s="10" t="str">
        <f>_xlfn.IFNA(VLOOKUP(B27,Phase2!A$4:C$1000,3,FALSE),"")</f>
        <v>Is all the essential/critical equipment locked onto the generator?</v>
      </c>
      <c r="D27" s="10" t="str">
        <f>_xlfn.IFNA(VLOOKUP($A27,CompChecksTrans!$A:$C,3,FALSE), "     ")</f>
        <v>All necessary equipment are connected to generator, UPS, voltage stabilizer</v>
      </c>
      <c r="E27" s="12" t="s">
        <v>1408</v>
      </c>
    </row>
    <row r="28" spans="1:5" ht="63" x14ac:dyDescent="0.25">
      <c r="A28" s="12" t="s">
        <v>5338</v>
      </c>
      <c r="B28" s="10" t="str">
        <f>_xlfn.IFNA(VLOOKUP($A28,CompChecksTrans!$A:$C,2,FALSE), "")</f>
        <v>FS2.15</v>
      </c>
      <c r="C28" s="10" t="str">
        <f>_xlfn.IFNA(VLOOKUP(B28,Phase2!A$4:C$1000,3,FALSE),"")</f>
        <v>Is an indicator placed in relevant rooms for monitoring the air flow and preventing that pathogens are blown towards the staff working in the laboratory.</v>
      </c>
      <c r="D28" s="10" t="str">
        <f>_xlfn.IFNA(VLOOKUP($A28,CompChecksTrans!$A:$C,3,FALSE), "     ")</f>
        <v>Presence of a visual indicator (i.e. a piece of tissue-paper) for directional airflow in the laboratory rooms/benchs/BSC which work with the airbone pathogenes.</v>
      </c>
      <c r="E28" s="12" t="s">
        <v>1409</v>
      </c>
    </row>
    <row r="29" spans="1:5" ht="78.75" x14ac:dyDescent="0.25">
      <c r="A29" s="12" t="s">
        <v>5339</v>
      </c>
      <c r="B29" s="10" t="str">
        <f>_xlfn.IFNA(VLOOKUP($A29,CompChecksTrans!$A:$C,2,FALSE), "")</f>
        <v>FS2.16</v>
      </c>
      <c r="C29" s="10" t="str">
        <f>_xlfn.IFNA(VLOOKUP(B29,Phase2!A$4:C$1000,3,FALSE),"")</f>
        <v>Are all hazardous materials in the laboratory registered?
Take a sample by identifying some hazardous materials and looking them up in the register.</v>
      </c>
      <c r="D29" s="10" t="str">
        <f>_xlfn.IFNA(VLOOKUP($A29,CompChecksTrans!$A:$C,3,FALSE), "     ")</f>
        <v xml:space="preserve">Presence of "Hazardous Material Register". </v>
      </c>
      <c r="E29" s="12" t="s">
        <v>1409</v>
      </c>
    </row>
    <row r="30" spans="1:5" ht="63" x14ac:dyDescent="0.25">
      <c r="A30" s="12" t="s">
        <v>5340</v>
      </c>
      <c r="B30" s="10" t="str">
        <f>_xlfn.IFNA(VLOOKUP($A30,CompChecksTrans!$A:$C,2,FALSE), "")</f>
        <v>FS2.17</v>
      </c>
      <c r="C30" s="10" t="str">
        <f>_xlfn.IFNA(VLOOKUP(B30,Phase2!A$4:C$1000,3,FALSE),"")</f>
        <v>Is the Hazardous Material Register up to date?
Take a sample by comparing the amount of several materials as noted in the register and in reality.</v>
      </c>
      <c r="D30" s="10" t="str">
        <f>_xlfn.IFNA(VLOOKUP($A30,CompChecksTrans!$A:$C,3,FALSE), "     ")</f>
        <v>Hazardous Material Register is up to date</v>
      </c>
      <c r="E30" s="12" t="s">
        <v>1408</v>
      </c>
    </row>
    <row r="31" spans="1:5" ht="63" x14ac:dyDescent="0.25">
      <c r="A31" s="12" t="s">
        <v>5341</v>
      </c>
      <c r="B31" s="10" t="str">
        <f>_xlfn.IFNA(VLOOKUP($A31,CompChecksTrans!$A:$C,2,FALSE), "")</f>
        <v>FS2.18</v>
      </c>
      <c r="C31" s="10" t="str">
        <f>_xlfn.IFNA(VLOOKUP(B31,Phase2!A$4:C$1000,3,FALSE),"")</f>
        <v>Are MSDS Sheets present for all hazardous materials in the laboratory?
Take a sample and check.</v>
      </c>
      <c r="D31" s="10" t="str">
        <f>_xlfn.IFNA(VLOOKUP($A31,CompChecksTrans!$A:$C,3,FALSE), "     ")</f>
        <v>1. Presence of MSDS folder with MSDS sheet</v>
      </c>
      <c r="E31" s="12" t="s">
        <v>1409</v>
      </c>
    </row>
    <row r="32" spans="1:5" ht="63" x14ac:dyDescent="0.25">
      <c r="A32" s="12" t="s">
        <v>5342</v>
      </c>
      <c r="B32" s="10" t="str">
        <f>_xlfn.IFNA(VLOOKUP($A32,CompChecksTrans!$A:$C,2,FALSE), "")</f>
        <v>FS2.18</v>
      </c>
      <c r="C32" s="10" t="str">
        <f>_xlfn.IFNA(VLOOKUP(B32,Phase2!A$4:C$1000,3,FALSE),"")</f>
        <v>Are MSDS Sheets present for all hazardous materials in the laboratory?
Take a sample and check.</v>
      </c>
      <c r="D32" s="10" t="str">
        <f>_xlfn.IFNA(VLOOKUP($A32,CompChecksTrans!$A:$C,3,FALSE), "     ")</f>
        <v>2. Presence of minute of meeting</v>
      </c>
      <c r="E32" s="12" t="s">
        <v>1408</v>
      </c>
    </row>
    <row r="33" spans="1:5" ht="31.5" x14ac:dyDescent="0.25">
      <c r="A33" s="12" t="s">
        <v>5343</v>
      </c>
      <c r="B33" s="10" t="str">
        <f>_xlfn.IFNA(VLOOKUP($A33,CompChecksTrans!$A:$C,2,FALSE), "")</f>
        <v>FS2.19</v>
      </c>
      <c r="C33" s="10" t="str">
        <f>_xlfn.IFNA(VLOOKUP(B33,Phase2!A$4:C$1000,3,FALSE),"")</f>
        <v>Have critical environmental/equipment parameters been identified?</v>
      </c>
      <c r="D33" s="10" t="str">
        <f>_xlfn.IFNA(VLOOKUP($A33,CompChecksTrans!$A:$C,3,FALSE), "     ")</f>
        <v>Presence of monitoring logsheet, which include the critical intervals, for:
1. Temperature of incubators</v>
      </c>
      <c r="E33" s="12" t="s">
        <v>1408</v>
      </c>
    </row>
    <row r="34" spans="1:5" ht="31.5" x14ac:dyDescent="0.25">
      <c r="A34" s="12" t="s">
        <v>5344</v>
      </c>
      <c r="B34" s="10" t="str">
        <f>_xlfn.IFNA(VLOOKUP($A34,CompChecksTrans!$A:$C,2,FALSE), "")</f>
        <v>FS2.19</v>
      </c>
      <c r="C34" s="10" t="str">
        <f>_xlfn.IFNA(VLOOKUP(B34,Phase2!A$4:C$1000,3,FALSE),"")</f>
        <v>Have critical environmental/equipment parameters been identified?</v>
      </c>
      <c r="D34" s="10" t="str">
        <f>_xlfn.IFNA(VLOOKUP($A34,CompChecksTrans!$A:$C,3,FALSE), "     ")</f>
        <v>2. Temperature of refrigerators and freezers</v>
      </c>
      <c r="E34" s="12" t="s">
        <v>1409</v>
      </c>
    </row>
    <row r="35" spans="1:5" ht="31.5" x14ac:dyDescent="0.25">
      <c r="A35" s="12" t="s">
        <v>5345</v>
      </c>
      <c r="B35" s="10" t="str">
        <f>_xlfn.IFNA(VLOOKUP($A35,CompChecksTrans!$A:$C,2,FALSE), "")</f>
        <v>FS2.19</v>
      </c>
      <c r="C35" s="10" t="str">
        <f>_xlfn.IFNA(VLOOKUP(B35,Phase2!A$4:C$1000,3,FALSE),"")</f>
        <v>Have critical environmental/equipment parameters been identified?</v>
      </c>
      <c r="D35" s="10" t="str">
        <f>_xlfn.IFNA(VLOOKUP($A35,CompChecksTrans!$A:$C,3,FALSE), "     ")</f>
        <v>3. Environmental temperature</v>
      </c>
      <c r="E35" s="12" t="s">
        <v>1408</v>
      </c>
    </row>
    <row r="36" spans="1:5" ht="31.5" x14ac:dyDescent="0.25">
      <c r="A36" s="12" t="s">
        <v>5346</v>
      </c>
      <c r="B36" s="10" t="str">
        <f>_xlfn.IFNA(VLOOKUP($A36,CompChecksTrans!$A:$C,2,FALSE), "")</f>
        <v>FS2.19</v>
      </c>
      <c r="C36" s="10" t="str">
        <f>_xlfn.IFNA(VLOOKUP(B36,Phase2!A$4:C$1000,3,FALSE),"")</f>
        <v>Have critical environmental/equipment parameters been identified?</v>
      </c>
      <c r="D36" s="10" t="str">
        <f>_xlfn.IFNA(VLOOKUP($A36,CompChecksTrans!$A:$C,3,FALSE), "     ")</f>
        <v>4. Environmental pressure</v>
      </c>
      <c r="E36" s="12" t="s">
        <v>1408</v>
      </c>
    </row>
    <row r="37" spans="1:5" ht="31.5" x14ac:dyDescent="0.25">
      <c r="A37" s="12" t="s">
        <v>5347</v>
      </c>
      <c r="B37" s="10" t="str">
        <f>_xlfn.IFNA(VLOOKUP($A37,CompChecksTrans!$A:$C,2,FALSE), "")</f>
        <v>FS2.19</v>
      </c>
      <c r="C37" s="10" t="str">
        <f>_xlfn.IFNA(VLOOKUP(B37,Phase2!A$4:C$1000,3,FALSE),"")</f>
        <v>Have critical environmental/equipment parameters been identified?</v>
      </c>
      <c r="D37" s="10" t="str">
        <f>_xlfn.IFNA(VLOOKUP($A37,CompChecksTrans!$A:$C,3,FALSE), "     ")</f>
        <v>5. Calibration of equipment</v>
      </c>
      <c r="E37" s="12" t="s">
        <v>1409</v>
      </c>
    </row>
    <row r="38" spans="1:5" ht="31.5" x14ac:dyDescent="0.25">
      <c r="A38" s="12" t="s">
        <v>5348</v>
      </c>
      <c r="B38" s="10" t="str">
        <f>_xlfn.IFNA(VLOOKUP($A38,CompChecksTrans!$A:$C,2,FALSE), "")</f>
        <v>FS2.20</v>
      </c>
      <c r="C38" s="10" t="str">
        <f>_xlfn.IFNA(VLOOKUP(B38,Phase2!A$4:C$1000,3,FALSE),"")</f>
        <v>Are all critical environmental/equipment parameters monitored adequately?</v>
      </c>
      <c r="D38" s="10" t="str">
        <f>_xlfn.IFNA(VLOOKUP($A38,CompChecksTrans!$A:$C,3,FALSE), "     ")</f>
        <v>1. Presence of each parameter the frequency with which it should be monitored (e.g. daily/weekly/monthly).</v>
      </c>
      <c r="E38" s="12" t="s">
        <v>1409</v>
      </c>
    </row>
    <row r="39" spans="1:5" ht="31.5" x14ac:dyDescent="0.25">
      <c r="A39" s="12" t="s">
        <v>5349</v>
      </c>
      <c r="B39" s="10" t="str">
        <f>_xlfn.IFNA(VLOOKUP($A39,CompChecksTrans!$A:$C,2,FALSE), "")</f>
        <v>FS2.20</v>
      </c>
      <c r="C39" s="10" t="str">
        <f>_xlfn.IFNA(VLOOKUP(B39,Phase2!A$4:C$1000,3,FALSE),"")</f>
        <v>Are all critical environmental/equipment parameters monitored adequately?</v>
      </c>
      <c r="D39" s="10" t="str">
        <f>_xlfn.IFNA(VLOOKUP($A39,CompChecksTrans!$A:$C,3,FALSE), "     ")</f>
        <v>2. Presence of responsible persons for the task of monitoring the various parameters.</v>
      </c>
      <c r="E39" s="12" t="s">
        <v>1408</v>
      </c>
    </row>
    <row r="40" spans="1:5" ht="31.5" x14ac:dyDescent="0.25">
      <c r="A40" s="12" t="s">
        <v>5350</v>
      </c>
      <c r="B40" s="10" t="str">
        <f>_xlfn.IFNA(VLOOKUP($A40,CompChecksTrans!$A:$C,2,FALSE), "")</f>
        <v>FS2.20</v>
      </c>
      <c r="C40" s="10" t="str">
        <f>_xlfn.IFNA(VLOOKUP(B40,Phase2!A$4:C$1000,3,FALSE),"")</f>
        <v>Are all critical environmental/equipment parameters monitored adequately?</v>
      </c>
      <c r="D40" s="10" t="str">
        <f>_xlfn.IFNA(VLOOKUP($A40,CompChecksTrans!$A:$C,3,FALSE), "     ")</f>
        <v>3. Parameters are reviewed and signed monthly by lab manager/quality officer</v>
      </c>
      <c r="E40" s="12" t="s">
        <v>1409</v>
      </c>
    </row>
    <row r="41" spans="1:5" ht="31.5" x14ac:dyDescent="0.25">
      <c r="A41" s="12" t="s">
        <v>5351</v>
      </c>
      <c r="B41" s="10" t="str">
        <f>_xlfn.IFNA(VLOOKUP($A41,CompChecksTrans!$A:$C,2,FALSE), "")</f>
        <v>FS2.20</v>
      </c>
      <c r="C41" s="10" t="str">
        <f>_xlfn.IFNA(VLOOKUP(B41,Phase2!A$4:C$1000,3,FALSE),"")</f>
        <v>Are all critical environmental/equipment parameters monitored adequately?</v>
      </c>
      <c r="D41" s="10" t="str">
        <f>_xlfn.IFNA(VLOOKUP($A41,CompChecksTrans!$A:$C,3,FALSE), "     ")</f>
        <v>4. Presence of corrective actions taken and documented.</v>
      </c>
      <c r="E41" s="12" t="s">
        <v>1408</v>
      </c>
    </row>
    <row r="42" spans="1:5" ht="31.5" x14ac:dyDescent="0.25">
      <c r="A42" s="12" t="s">
        <v>5352</v>
      </c>
      <c r="B42" s="10" t="str">
        <f>_xlfn.IFNA(VLOOKUP($A42,CompChecksTrans!$A:$C,2,FALSE), "")</f>
        <v>FS2.21</v>
      </c>
      <c r="C42" s="10" t="str">
        <f>_xlfn.IFNA(VLOOKUP(B42,Phase2!A$4:C$1000,3,FALSE),"")</f>
        <v>Are all Critical Parameter Log Sheets filled out completely and up-to-date?</v>
      </c>
      <c r="D42" s="10" t="str">
        <f>_xlfn.IFNA(VLOOKUP($A42,CompChecksTrans!$A:$C,3,FALSE), "     ")</f>
        <v>Logsheets are filled out regularly and properly</v>
      </c>
      <c r="E42" s="12" t="s">
        <v>1408</v>
      </c>
    </row>
    <row r="43" spans="1:5" ht="31.5" x14ac:dyDescent="0.25">
      <c r="A43" s="12" t="s">
        <v>5353</v>
      </c>
      <c r="B43" s="10" t="str">
        <f>_xlfn.IFNA(VLOOKUP($A43,CompChecksTrans!$A:$C,2,FALSE), "")</f>
        <v>FS2.22</v>
      </c>
      <c r="C43" s="10" t="str">
        <f>_xlfn.IFNA(VLOOKUP(B43,Phase2!A$4:C$1000,3,FALSE),"")</f>
        <v>Are all Critical Parameter Log Sheets placed at a logical location?</v>
      </c>
      <c r="D43" s="10" t="str">
        <f>_xlfn.IFNA(VLOOKUP($A43,CompChecksTrans!$A:$C,3,FALSE), "     ")</f>
        <v>1. Presence of logsheets on the wall or next to, or attach to the equipment</v>
      </c>
      <c r="E43" s="12" t="s">
        <v>1409</v>
      </c>
    </row>
    <row r="44" spans="1:5" ht="31.5" x14ac:dyDescent="0.25">
      <c r="A44" s="12" t="s">
        <v>5354</v>
      </c>
      <c r="B44" s="10" t="str">
        <f>_xlfn.IFNA(VLOOKUP($A44,CompChecksTrans!$A:$C,2,FALSE), "")</f>
        <v>FS2.22</v>
      </c>
      <c r="C44" s="10" t="str">
        <f>_xlfn.IFNA(VLOOKUP(B44,Phase2!A$4:C$1000,3,FALSE),"")</f>
        <v>Are all Critical Parameter Log Sheets placed at a logical location?</v>
      </c>
      <c r="D44" s="10" t="str">
        <f>_xlfn.IFNA(VLOOKUP($A44,CompChecksTrans!$A:$C,3,FALSE), "     ")</f>
        <v>2. Presence of a folder to keep the old logsheets.</v>
      </c>
      <c r="E44" s="12" t="s">
        <v>1408</v>
      </c>
    </row>
    <row r="45" spans="1:5" x14ac:dyDescent="0.25">
      <c r="A45" s="12" t="s">
        <v>5355</v>
      </c>
      <c r="B45" s="10" t="str">
        <f>_xlfn.IFNA(VLOOKUP($A45,CompChecksTrans!$A:$C,2,FALSE), "")</f>
        <v>ORG2.1</v>
      </c>
      <c r="C45" s="10" t="str">
        <f>_xlfn.IFNA(VLOOKUP(B45,Phase2!A$4:C$1000,3,FALSE),"")</f>
        <v>Has a Quality Officer been appointed?</v>
      </c>
      <c r="D45" s="10" t="str">
        <f>_xlfn.IFNA(VLOOKUP($A45,CompChecksTrans!$A:$C,3,FALSE), "     ")</f>
        <v>Presence of nomination letter for Quality Officer</v>
      </c>
      <c r="E45" s="12" t="s">
        <v>1408</v>
      </c>
    </row>
    <row r="46" spans="1:5" ht="31.5" x14ac:dyDescent="0.25">
      <c r="A46" s="12" t="s">
        <v>5356</v>
      </c>
      <c r="B46" s="10" t="str">
        <f>_xlfn.IFNA(VLOOKUP($A46,CompChecksTrans!$A:$C,2,FALSE), "")</f>
        <v>ORG2.2</v>
      </c>
      <c r="C46" s="10" t="str">
        <f>_xlfn.IFNA(VLOOKUP(B46,Phase2!A$4:C$1000,3,FALSE),"")</f>
        <v>Is the position of Quality Officer visible, at the right place, in the Organizational Chart?</v>
      </c>
      <c r="D46" s="10" t="str">
        <f>_xlfn.IFNA(VLOOKUP($A46,CompChecksTrans!$A:$C,3,FALSE), "     ")</f>
        <v>Presence of Organizational chart with the position of Quality Officer</v>
      </c>
      <c r="E46" s="12" t="s">
        <v>1409</v>
      </c>
    </row>
    <row r="47" spans="1:5" ht="31.5" x14ac:dyDescent="0.25">
      <c r="A47" s="12" t="s">
        <v>5357</v>
      </c>
      <c r="B47" s="10" t="str">
        <f>_xlfn.IFNA(VLOOKUP($A47,CompChecksTrans!$A:$C,2,FALSE), "")</f>
        <v>ORG2.3</v>
      </c>
      <c r="C47" s="10" t="str">
        <f>_xlfn.IFNA(VLOOKUP(B47,Phase2!A$4:C$1000,3,FALSE),"")</f>
        <v>Does the laboratory have a job description of the position of Quality Officer?</v>
      </c>
      <c r="D47" s="10" t="str">
        <f>_xlfn.IFNA(VLOOKUP($A47,CompChecksTrans!$A:$C,3,FALSE), "     ")</f>
        <v>Presence of Job Description of Quality Officer</v>
      </c>
      <c r="E47" s="12" t="s">
        <v>1409</v>
      </c>
    </row>
    <row r="48" spans="1:5" ht="31.5" x14ac:dyDescent="0.25">
      <c r="A48" s="12" t="s">
        <v>5358</v>
      </c>
      <c r="B48" s="10" t="str">
        <f>_xlfn.IFNA(VLOOKUP($A48,CompChecksTrans!$A:$C,2,FALSE), "")</f>
        <v>ORG2.4</v>
      </c>
      <c r="C48" s="10" t="str">
        <f>_xlfn.IFNA(VLOOKUP(B48,Phase2!A$4:C$1000,3,FALSE),"")</f>
        <v>Is the position of Quality Officer included in the Authorization Matrix?</v>
      </c>
      <c r="D48" s="10" t="str">
        <f>_xlfn.IFNA(VLOOKUP($A48,CompChecksTrans!$A:$C,3,FALSE), "     ")</f>
        <v>Presence of position of Quality Officer in the Authorization Matrix</v>
      </c>
      <c r="E48" s="12" t="s">
        <v>1408</v>
      </c>
    </row>
    <row r="49" spans="1:5" ht="78.75" x14ac:dyDescent="0.25">
      <c r="A49" s="12" t="s">
        <v>5359</v>
      </c>
      <c r="B49" s="10" t="str">
        <f>_xlfn.IFNA(VLOOKUP($A49,CompChecksTrans!$A:$C,2,FALSE), "")</f>
        <v>ORG2.5</v>
      </c>
      <c r="C49" s="10" t="str">
        <f>_xlfn.IFNA(VLOOKUP(B49,Phase2!A$4:C$1000,3,FALSE),"")</f>
        <v>Do the Quality Officer and Laboratory Manager have regular bilateral meetings to discuss proceedings?
Ask the Quality Officer.</v>
      </c>
      <c r="D49" s="10" t="str">
        <f>_xlfn.IFNA(VLOOKUP($A49,CompChecksTrans!$A:$C,3,FALSE), "     ")</f>
        <v>Presence of meeting minute</v>
      </c>
      <c r="E49" s="12" t="s">
        <v>1409</v>
      </c>
    </row>
    <row r="50" spans="1:5" ht="47.25" x14ac:dyDescent="0.25">
      <c r="A50" s="12" t="s">
        <v>5360</v>
      </c>
      <c r="B50" s="10" t="str">
        <f>_xlfn.IFNA(VLOOKUP($A50,CompChecksTrans!$A:$C,2,FALSE), "")</f>
        <v>ORG2.6</v>
      </c>
      <c r="C50" s="10" t="str">
        <f>_xlfn.IFNA(VLOOKUP(B50,Phase2!A$4:C$1000,3,FALSE),"")</f>
        <v>If a staff member was appointed as Quality Officer, has his former position been filled by a new/another staff member if necessary?</v>
      </c>
      <c r="D50" s="10" t="str">
        <f>_xlfn.IFNA(VLOOKUP($A50,CompChecksTrans!$A:$C,3,FALSE), "     ")</f>
        <v>Presence of another staff incharge of the former position of Quality Officer if necessary</v>
      </c>
      <c r="E50" s="12" t="s">
        <v>1408</v>
      </c>
    </row>
    <row r="51" spans="1:5" ht="31.5" x14ac:dyDescent="0.25">
      <c r="A51" s="12" t="s">
        <v>5361</v>
      </c>
      <c r="B51" s="10" t="str">
        <f>_xlfn.IFNA(VLOOKUP($A51,CompChecksTrans!$A:$C,2,FALSE), "")</f>
        <v>ORG2.8</v>
      </c>
      <c r="C51" s="10" t="str">
        <f>_xlfn.IFNA(VLOOKUP(B51,Phase2!A$4:C$1000,3,FALSE),"")</f>
        <v>Does the laboratory have an up-to-date routine work schedule?</v>
      </c>
      <c r="D51" s="10" t="str">
        <f>_xlfn.IFNA(VLOOKUP($A51,CompChecksTrans!$A:$C,3,FALSE), "     ")</f>
        <v>Presence of daily routine work schedule</v>
      </c>
      <c r="E51" s="12" t="s">
        <v>1408</v>
      </c>
    </row>
    <row r="52" spans="1:5" ht="31.5" x14ac:dyDescent="0.25">
      <c r="A52" s="12" t="s">
        <v>5362</v>
      </c>
      <c r="B52" s="10" t="str">
        <f>_xlfn.IFNA(VLOOKUP($A52,CompChecksTrans!$A:$C,2,FALSE), "")</f>
        <v>ORG2.9</v>
      </c>
      <c r="C52" s="10" t="str">
        <f>_xlfn.IFNA(VLOOKUP(B52,Phase2!A$4:C$1000,3,FALSE),"")</f>
        <v>Is this Daily Routine Work Schedule placed at a visible location accessible to all staff?</v>
      </c>
      <c r="D52" s="10" t="str">
        <f>_xlfn.IFNA(VLOOKUP($A52,CompChecksTrans!$A:$C,3,FALSE), "     ")</f>
        <v>1. The daily routine work schedule (Duty Roster) is at a visible location accessible to all staff</v>
      </c>
      <c r="E52" s="12" t="s">
        <v>1409</v>
      </c>
    </row>
    <row r="53" spans="1:5" ht="31.5" x14ac:dyDescent="0.25">
      <c r="A53" s="12" t="s">
        <v>5363</v>
      </c>
      <c r="B53" s="10" t="str">
        <f>_xlfn.IFNA(VLOOKUP($A53,CompChecksTrans!$A:$C,2,FALSE), "")</f>
        <v>ORG2.9</v>
      </c>
      <c r="C53" s="10" t="str">
        <f>_xlfn.IFNA(VLOOKUP(B53,Phase2!A$4:C$1000,3,FALSE),"")</f>
        <v>Is this Daily Routine Work Schedule placed at a visible location accessible to all staff?</v>
      </c>
      <c r="D53" s="10" t="str">
        <f>_xlfn.IFNA(VLOOKUP($A53,CompChecksTrans!$A:$C,3,FALSE), "     ")</f>
        <v>2. Presence of a folder documented the old duty rosters.</v>
      </c>
      <c r="E53" s="12" t="s">
        <v>1408</v>
      </c>
    </row>
    <row r="54" spans="1:5" ht="63" x14ac:dyDescent="0.25">
      <c r="A54" s="12" t="s">
        <v>5364</v>
      </c>
      <c r="B54" s="10" t="str">
        <f>_xlfn.IFNA(VLOOKUP($A54,CompChecksTrans!$A:$C,2,FALSE), "")</f>
        <v>ORG2.10</v>
      </c>
      <c r="C54" s="10" t="str">
        <f>_xlfn.IFNA(VLOOKUP(B54,Phase2!A$4:C$1000,3,FALSE),"")</f>
        <v>Do all staff members know where to find the Daily Routine Work Schedule?
Take a sample by asking this question to several staff members.</v>
      </c>
      <c r="D54" s="10" t="str">
        <f>_xlfn.IFNA(VLOOKUP($A54,CompChecksTrans!$A:$C,3,FALSE), "     ")</f>
        <v>Presence of minute of meeting</v>
      </c>
      <c r="E54" s="12" t="s">
        <v>1408</v>
      </c>
    </row>
    <row r="55" spans="1:5" x14ac:dyDescent="0.25">
      <c r="A55" s="12" t="s">
        <v>5365</v>
      </c>
      <c r="B55" s="10" t="str">
        <f>_xlfn.IFNA(VLOOKUP($A55,CompChecksTrans!$A:$C,2,FALSE), "")</f>
        <v>ORG2.13</v>
      </c>
      <c r="C55" s="10" t="str">
        <f>_xlfn.IFNA(VLOOKUP(B55,Phase2!A$4:C$1000,3,FALSE),"")</f>
        <v>Are the Organizational Charts up-to-date?</v>
      </c>
      <c r="D55" s="10" t="str">
        <f>_xlfn.IFNA(VLOOKUP($A55,CompChecksTrans!$A:$C,3,FALSE), "     ")</f>
        <v>Organizational chart is up to date.</v>
      </c>
      <c r="E55" s="12" t="s">
        <v>1409</v>
      </c>
    </row>
    <row r="56" spans="1:5" ht="31.5" x14ac:dyDescent="0.25">
      <c r="A56" s="12" t="s">
        <v>5366</v>
      </c>
      <c r="B56" s="10" t="str">
        <f>_xlfn.IFNA(VLOOKUP($A56,CompChecksTrans!$A:$C,2,FALSE), "")</f>
        <v>ORG2.14</v>
      </c>
      <c r="C56" s="10" t="str">
        <f>_xlfn.IFNA(VLOOKUP(B56,Phase2!A$4:C$1000,3,FALSE),"")</f>
        <v>Are the Organizational Charts signed and dated by the appropriate management?</v>
      </c>
      <c r="D56" s="10" t="str">
        <f>_xlfn.IFNA(VLOOKUP($A56,CompChecksTrans!$A:$C,3,FALSE), "     ")</f>
        <v>Presence of signature of laboratory manager and the date on the organizational chart.</v>
      </c>
      <c r="E56" s="12" t="s">
        <v>1409</v>
      </c>
    </row>
    <row r="57" spans="1:5" ht="31.5" x14ac:dyDescent="0.25">
      <c r="A57" s="12" t="s">
        <v>5367</v>
      </c>
      <c r="B57" s="10" t="str">
        <f>_xlfn.IFNA(VLOOKUP($A57,CompChecksTrans!$A:$C,2,FALSE), "")</f>
        <v>PERS2.1</v>
      </c>
      <c r="C57" s="10" t="str">
        <f>_xlfn.IFNA(VLOOKUP(B57,Phase2!A$4:C$1000,3,FALSE),"")</f>
        <v>Has an SOP for Competency Assessment been developed?</v>
      </c>
      <c r="D57" s="10" t="str">
        <f>_xlfn.IFNA(VLOOKUP($A57,CompChecksTrans!$A:$C,3,FALSE), "     ")</f>
        <v>Presence of a SOP for competency assessment</v>
      </c>
      <c r="E57" s="12" t="s">
        <v>1408</v>
      </c>
    </row>
    <row r="58" spans="1:5" ht="31.5" x14ac:dyDescent="0.25">
      <c r="A58" s="12" t="s">
        <v>5368</v>
      </c>
      <c r="B58" s="10" t="str">
        <f>_xlfn.IFNA(VLOOKUP($A58,CompChecksTrans!$A:$C,2,FALSE), "")</f>
        <v>PERS2.3</v>
      </c>
      <c r="C58" s="10" t="str">
        <f>_xlfn.IFNA(VLOOKUP(B58,Phase2!A$4:C$1000,3,FALSE),"")</f>
        <v>Are competency assessments done annually for each staff member?</v>
      </c>
      <c r="D58" s="10" t="str">
        <f>_xlfn.IFNA(VLOOKUP($A58,CompChecksTrans!$A:$C,3,FALSE), "     ")</f>
        <v>All lab staff have been assessed with standardized forms/checklists</v>
      </c>
      <c r="E58" s="12" t="s">
        <v>1409</v>
      </c>
    </row>
    <row r="59" spans="1:5" ht="31.5" x14ac:dyDescent="0.25">
      <c r="A59" s="12" t="s">
        <v>5369</v>
      </c>
      <c r="B59" s="10" t="str">
        <f>_xlfn.IFNA(VLOOKUP($A59,CompChecksTrans!$A:$C,2,FALSE), "")</f>
        <v>PERS2.4</v>
      </c>
      <c r="C59" s="10" t="str">
        <f>_xlfn.IFNA(VLOOKUP(B59,Phase2!A$4:C$1000,3,FALSE),"")</f>
        <v>Is a report made of each competency assessment?</v>
      </c>
      <c r="D59" s="10" t="str">
        <f>_xlfn.IFNA(VLOOKUP($A59,CompChecksTrans!$A:$C,3,FALSE), "     ")</f>
        <v>Presence staff competency assessment report in staff personnel file folders</v>
      </c>
      <c r="E59" s="12" t="s">
        <v>1408</v>
      </c>
    </row>
    <row r="60" spans="1:5" ht="47.25" x14ac:dyDescent="0.25">
      <c r="A60" s="12" t="s">
        <v>5370</v>
      </c>
      <c r="B60" s="10" t="str">
        <f>_xlfn.IFNA(VLOOKUP($A60,CompChecksTrans!$A:$C,2,FALSE), "")</f>
        <v>PERS2.5</v>
      </c>
      <c r="C60" s="10" t="str">
        <f>_xlfn.IFNA(VLOOKUP(B60,Phase2!A$4:C$1000,3,FALSE),"")</f>
        <v>Are the points for improvement described in the report of a competency assessment, including with a description of the strategy on how to improve these points?</v>
      </c>
      <c r="D60" s="10" t="str">
        <f>_xlfn.IFNA(VLOOKUP($A60,CompChecksTrans!$A:$C,3,FALSE), "     ")</f>
        <v>Presence of the corrective actions in the report of competency assessment.</v>
      </c>
      <c r="E60" s="12" t="s">
        <v>1408</v>
      </c>
    </row>
    <row r="61" spans="1:5" ht="31.5" x14ac:dyDescent="0.25">
      <c r="A61" s="12" t="s">
        <v>5371</v>
      </c>
      <c r="B61" s="10" t="str">
        <f>_xlfn.IFNA(VLOOKUP($A61,CompChecksTrans!$A:$C,2,FALSE), "")</f>
        <v>PERS2.6</v>
      </c>
      <c r="C61" s="10" t="str">
        <f>_xlfn.IFNA(VLOOKUP(B61,Phase2!A$4:C$1000,3,FALSE),"")</f>
        <v>Are the reports of the competency assessments stored in the personnel files?</v>
      </c>
      <c r="D61" s="10" t="str">
        <f>_xlfn.IFNA(VLOOKUP($A61,CompChecksTrans!$A:$C,3,FALSE), "     ")</f>
        <v>Presence of competency assessment checklists and report in the personnel files</v>
      </c>
      <c r="E61" s="12" t="s">
        <v>1409</v>
      </c>
    </row>
    <row r="62" spans="1:5" ht="47.25" x14ac:dyDescent="0.25">
      <c r="A62" s="12" t="s">
        <v>5372</v>
      </c>
      <c r="B62" s="10" t="str">
        <f>_xlfn.IFNA(VLOOKUP($A62,CompChecksTrans!$A:$C,2,FALSE), "")</f>
        <v>PERS2.7</v>
      </c>
      <c r="C62" s="10" t="str">
        <f>_xlfn.IFNA(VLOOKUP(B62,Phase2!A$4:C$1000,3,FALSE),"")</f>
        <v>If training needs are identified during competency assessment, is the staff member send to the appropriate training?</v>
      </c>
      <c r="D62" s="10" t="str">
        <f>_xlfn.IFNA(VLOOKUP($A62,CompChecksTrans!$A:$C,3,FALSE), "     ")</f>
        <v>Staff have been trained according to the finding from competency assessment</v>
      </c>
      <c r="E62" s="12" t="s">
        <v>1408</v>
      </c>
    </row>
    <row r="63" spans="1:5" ht="31.5" x14ac:dyDescent="0.25">
      <c r="A63" s="12" t="s">
        <v>5373</v>
      </c>
      <c r="B63" s="10" t="str">
        <f>_xlfn.IFNA(VLOOKUP($A63,CompChecksTrans!$A:$C,2,FALSE), "")</f>
        <v>PERS2.8</v>
      </c>
      <c r="C63" s="10" t="str">
        <f>_xlfn.IFNA(VLOOKUP(B63,Phase2!A$4:C$1000,3,FALSE),"")</f>
        <v>Is the competency of the Laboratory Manager annually assessed?</v>
      </c>
      <c r="D63" s="10" t="str">
        <f>_xlfn.IFNA(VLOOKUP($A63,CompChecksTrans!$A:$C,3,FALSE), "     ")</f>
        <v>Presence of report of competency assessment on laboratory manager.</v>
      </c>
      <c r="E63" s="12" t="s">
        <v>1408</v>
      </c>
    </row>
    <row r="64" spans="1:5" ht="31.5" x14ac:dyDescent="0.25">
      <c r="A64" s="12" t="s">
        <v>5374</v>
      </c>
      <c r="B64" s="10" t="str">
        <f>_xlfn.IFNA(VLOOKUP($A64,CompChecksTrans!$A:$C,2,FALSE), "")</f>
        <v>PERS2.9</v>
      </c>
      <c r="C64" s="10" t="str">
        <f>_xlfn.IFNA(VLOOKUP(B64,Phase2!A$4:C$1000,3,FALSE),"")</f>
        <v>Does the laboratory have an induction program for new staff?</v>
      </c>
      <c r="D64" s="10" t="str">
        <f>_xlfn.IFNA(VLOOKUP($A64,CompChecksTrans!$A:$C,3,FALSE), "     ")</f>
        <v>Presence of induction program for new staff in quality manual</v>
      </c>
      <c r="E64" s="12" t="s">
        <v>1409</v>
      </c>
    </row>
    <row r="65" spans="1:5" ht="31.5" x14ac:dyDescent="0.25">
      <c r="A65" s="12" t="s">
        <v>5375</v>
      </c>
      <c r="B65" s="10" t="str">
        <f>_xlfn.IFNA(VLOOKUP($A65,CompChecksTrans!$A:$C,2,FALSE), "")</f>
        <v>PERS2.10</v>
      </c>
      <c r="C65" s="10" t="str">
        <f>_xlfn.IFNA(VLOOKUP(B65,Phase2!A$4:C$1000,3,FALSE),"")</f>
        <v>Is the procedure of the induction program documented in an SOP?</v>
      </c>
      <c r="D65" s="10" t="str">
        <f>_xlfn.IFNA(VLOOKUP($A65,CompChecksTrans!$A:$C,3,FALSE), "     ")</f>
        <v>Presence of SOP for the induction of the New Personnel</v>
      </c>
      <c r="E65" s="12" t="s">
        <v>1409</v>
      </c>
    </row>
    <row r="66" spans="1:5" ht="47.25" x14ac:dyDescent="0.25">
      <c r="A66" s="12" t="s">
        <v>5376</v>
      </c>
      <c r="B66" s="10" t="str">
        <f>_xlfn.IFNA(VLOOKUP($A66,CompChecksTrans!$A:$C,2,FALSE), "")</f>
        <v>PERS2.12</v>
      </c>
      <c r="C66" s="10" t="str">
        <f>_xlfn.IFNA(VLOOKUP(B66,Phase2!A$4:C$1000,3,FALSE),"")</f>
        <v>Are completed checklists stored at a logical location (e.g. in the personnel file of the new staff member)?</v>
      </c>
      <c r="D66" s="10" t="str">
        <f>_xlfn.IFNA(VLOOKUP($A66,CompChecksTrans!$A:$C,3,FALSE), "     ")</f>
        <v>Presence of completed checklist in personnel files for new staff</v>
      </c>
      <c r="E66" s="12" t="s">
        <v>1408</v>
      </c>
    </row>
    <row r="67" spans="1:5" ht="31.5" x14ac:dyDescent="0.25">
      <c r="A67" s="12" t="s">
        <v>5377</v>
      </c>
      <c r="B67" s="10" t="str">
        <f>_xlfn.IFNA(VLOOKUP($A67,CompChecksTrans!$A:$C,2,FALSE), "")</f>
        <v>PERS2.13</v>
      </c>
      <c r="C67" s="10" t="str">
        <f>_xlfn.IFNA(VLOOKUP(B67,Phase2!A$4:C$1000,3,FALSE),"")</f>
        <v>Are performance appraisals performed for all staff members at least once per two years?</v>
      </c>
      <c r="D67" s="10" t="str">
        <f>_xlfn.IFNA(VLOOKUP($A67,CompChecksTrans!$A:$C,3,FALSE), "     ")</f>
        <v>1. Presence of SOP on Conducting Performance Appraisals.</v>
      </c>
      <c r="E67" s="12" t="s">
        <v>1409</v>
      </c>
    </row>
    <row r="68" spans="1:5" ht="31.5" x14ac:dyDescent="0.25">
      <c r="A68" s="12" t="s">
        <v>5378</v>
      </c>
      <c r="B68" s="10" t="str">
        <f>_xlfn.IFNA(VLOOKUP($A68,CompChecksTrans!$A:$C,2,FALSE), "")</f>
        <v>PERS2.13</v>
      </c>
      <c r="C68" s="10" t="str">
        <f>_xlfn.IFNA(VLOOKUP(B68,Phase2!A$4:C$1000,3,FALSE),"")</f>
        <v>Are performance appraisals performed for all staff members at least once per two years?</v>
      </c>
      <c r="D68" s="10" t="str">
        <f>_xlfn.IFNA(VLOOKUP($A68,CompChecksTrans!$A:$C,3,FALSE), "     ")</f>
        <v>2. Performance appraisals for all the staff members have been conducted</v>
      </c>
      <c r="E68" s="12" t="s">
        <v>1408</v>
      </c>
    </row>
    <row r="69" spans="1:5" ht="31.5" x14ac:dyDescent="0.25">
      <c r="A69" s="12" t="s">
        <v>5379</v>
      </c>
      <c r="B69" s="10" t="str">
        <f>_xlfn.IFNA(VLOOKUP($A69,CompChecksTrans!$A:$C,2,FALSE), "")</f>
        <v>PERS2.13</v>
      </c>
      <c r="C69" s="10" t="str">
        <f>_xlfn.IFNA(VLOOKUP(B69,Phase2!A$4:C$1000,3,FALSE),"")</f>
        <v>Are performance appraisals performed for all staff members at least once per two years?</v>
      </c>
      <c r="D69" s="10" t="str">
        <f>_xlfn.IFNA(VLOOKUP($A69,CompChecksTrans!$A:$C,3,FALSE), "     ")</f>
        <v xml:space="preserve">3. Presence of record of the findings of the performance appraisal </v>
      </c>
      <c r="E69" s="12" t="s">
        <v>1408</v>
      </c>
    </row>
    <row r="70" spans="1:5" ht="31.5" x14ac:dyDescent="0.25">
      <c r="A70" s="12" t="s">
        <v>5380</v>
      </c>
      <c r="B70" s="10" t="str">
        <f>_xlfn.IFNA(VLOOKUP($A70,CompChecksTrans!$A:$C,2,FALSE), "")</f>
        <v>PERS2.13</v>
      </c>
      <c r="C70" s="10" t="str">
        <f>_xlfn.IFNA(VLOOKUP(B70,Phase2!A$4:C$1000,3,FALSE),"")</f>
        <v>Are performance appraisals performed for all staff members at least once per two years?</v>
      </c>
      <c r="D70" s="10" t="str">
        <f>_xlfn.IFNA(VLOOKUP($A70,CompChecksTrans!$A:$C,3,FALSE), "     ")</f>
        <v xml:space="preserve">4. Presence of reports of the findings of the assessments and conclusion of discussions of the findings. </v>
      </c>
      <c r="E70" s="12" t="s">
        <v>1409</v>
      </c>
    </row>
    <row r="71" spans="1:5" ht="31.5" x14ac:dyDescent="0.25">
      <c r="A71" s="12" t="s">
        <v>5381</v>
      </c>
      <c r="B71" s="10" t="str">
        <f>_xlfn.IFNA(VLOOKUP($A71,CompChecksTrans!$A:$C,2,FALSE), "")</f>
        <v>PERS2.13</v>
      </c>
      <c r="C71" s="10" t="str">
        <f>_xlfn.IFNA(VLOOKUP(B71,Phase2!A$4:C$1000,3,FALSE),"")</f>
        <v>Are performance appraisals performed for all staff members at least once per two years?</v>
      </c>
      <c r="D71" s="10" t="str">
        <f>_xlfn.IFNA(VLOOKUP($A71,CompChecksTrans!$A:$C,3,FALSE), "     ")</f>
        <v>5. Presence of the identified training needs in the report.</v>
      </c>
      <c r="E71" s="12" t="s">
        <v>1408</v>
      </c>
    </row>
    <row r="72" spans="1:5" ht="31.5" x14ac:dyDescent="0.25">
      <c r="A72" s="12" t="s">
        <v>5382</v>
      </c>
      <c r="B72" s="10" t="str">
        <f>_xlfn.IFNA(VLOOKUP($A72,CompChecksTrans!$A:$C,2,FALSE), "")</f>
        <v>PERS2.13</v>
      </c>
      <c r="C72" s="10" t="str">
        <f>_xlfn.IFNA(VLOOKUP(B72,Phase2!A$4:C$1000,3,FALSE),"")</f>
        <v>Are performance appraisals performed for all staff members at least once per two years?</v>
      </c>
      <c r="D72" s="10" t="str">
        <f>_xlfn.IFNA(VLOOKUP($A72,CompChecksTrans!$A:$C,3,FALSE), "     ")</f>
        <v>6. Presence of the report of performance appraisals in the Personnel File of the staff member.</v>
      </c>
      <c r="E72" s="12" t="s">
        <v>1408</v>
      </c>
    </row>
    <row r="73" spans="1:5" ht="78.75" x14ac:dyDescent="0.25">
      <c r="A73" s="12" t="s">
        <v>5383</v>
      </c>
      <c r="B73" s="10" t="str">
        <f>_xlfn.IFNA(VLOOKUP($A73,CompChecksTrans!$A:$C,2,FALSE), "")</f>
        <v>PERS2.14</v>
      </c>
      <c r="C73" s="10" t="str">
        <f>_xlfn.IFNA(VLOOKUP(B73,Phase2!A$4:C$1000,3,FALSE),"")</f>
        <v>Are findings of performance appraisals discussed with staff members that were assessed to find the root cause and come to a good approach on eliminating this root cause and improving performance?</v>
      </c>
      <c r="D73" s="10" t="str">
        <f>_xlfn.IFNA(VLOOKUP($A73,CompChecksTrans!$A:$C,3,FALSE), "     ")</f>
        <v xml:space="preserve">1. Presence of record the discussion of the findings of performance appraisals with staff members that were assessed 
</v>
      </c>
      <c r="E73" s="12" t="s">
        <v>1409</v>
      </c>
    </row>
    <row r="74" spans="1:5" ht="78.75" x14ac:dyDescent="0.25">
      <c r="A74" s="12" t="s">
        <v>5384</v>
      </c>
      <c r="B74" s="10" t="str">
        <f>_xlfn.IFNA(VLOOKUP($A74,CompChecksTrans!$A:$C,2,FALSE), "")</f>
        <v>PERS2.14</v>
      </c>
      <c r="C74" s="10" t="str">
        <f>_xlfn.IFNA(VLOOKUP(B74,Phase2!A$4:C$1000,3,FALSE),"")</f>
        <v>Are findings of performance appraisals discussed with staff members that were assessed to find the root cause and come to a good approach on eliminating this root cause and improving performance?</v>
      </c>
      <c r="D74" s="10" t="str">
        <f>_xlfn.IFNA(VLOOKUP($A74,CompChecksTrans!$A:$C,3,FALSE), "     ")</f>
        <v>2. Presence of record the root cause.</v>
      </c>
      <c r="E74" s="12" t="s">
        <v>1409</v>
      </c>
    </row>
    <row r="75" spans="1:5" x14ac:dyDescent="0.25">
      <c r="A75" s="12" t="s">
        <v>5385</v>
      </c>
      <c r="B75" s="10" t="str">
        <f>_xlfn.IFNA(VLOOKUP($A75,CompChecksTrans!$A:$C,2,FALSE), "")</f>
        <v>PERS2.16</v>
      </c>
      <c r="C75" s="10" t="str">
        <f>_xlfn.IFNA(VLOOKUP(B75,Phase2!A$4:C$1000,3,FALSE),"")</f>
        <v>Is a personnel file present of each staff member?</v>
      </c>
      <c r="D75" s="10" t="str">
        <f>_xlfn.IFNA(VLOOKUP($A75,CompChecksTrans!$A:$C,3,FALSE), "     ")</f>
        <v>Presence of up to date personnel file of each staff member</v>
      </c>
      <c r="E75" s="12" t="s">
        <v>1408</v>
      </c>
    </row>
    <row r="76" spans="1:5" ht="47.25" x14ac:dyDescent="0.25">
      <c r="A76" s="12" t="s">
        <v>5386</v>
      </c>
      <c r="B76" s="10" t="str">
        <f>_xlfn.IFNA(VLOOKUP($A76,CompChecksTrans!$A:$C,2,FALSE), "")</f>
        <v>PERS2.17</v>
      </c>
      <c r="C76" s="10" t="str">
        <f>_xlfn.IFNA(VLOOKUP(B76,Phase2!A$4:C$1000,3,FALSE),"")</f>
        <v>Are all the records described in ISO 15189:2012 article 5.1.9 (ISO 15189:2007 5.1.2) present in the personnel file of each staff member?</v>
      </c>
      <c r="D76" s="10" t="str">
        <f>_xlfn.IFNA(VLOOKUP($A76,CompChecksTrans!$A:$C,3,FALSE), "     ")</f>
        <v xml:space="preserve">Presence of personnel file that contains all necessary elements
</v>
      </c>
      <c r="E76" s="12" t="s">
        <v>1409</v>
      </c>
    </row>
    <row r="77" spans="1:5" ht="31.5" x14ac:dyDescent="0.25">
      <c r="A77" s="12" t="s">
        <v>5387</v>
      </c>
      <c r="B77" s="10" t="str">
        <f>_xlfn.IFNA(VLOOKUP($A77,CompChecksTrans!$A:$C,2,FALSE), "")</f>
        <v>PERS2.18</v>
      </c>
      <c r="C77" s="10" t="str">
        <f>_xlfn.IFNA(VLOOKUP(B77,Phase2!A$4:C$1000,3,FALSE),"")</f>
        <v>Are the personnel files structured in an orderly fashion?</v>
      </c>
      <c r="D77" s="10" t="str">
        <f>_xlfn.IFNA(VLOOKUP($A77,CompChecksTrans!$A:$C,3,FALSE), "     ")</f>
        <v>Personnel files are structured in an orderly fashion</v>
      </c>
      <c r="E77" s="12" t="s">
        <v>1408</v>
      </c>
    </row>
    <row r="78" spans="1:5" ht="47.25" x14ac:dyDescent="0.25">
      <c r="A78" s="12" t="s">
        <v>5388</v>
      </c>
      <c r="B78" s="10" t="str">
        <f>_xlfn.IFNA(VLOOKUP($A78,CompChecksTrans!$A:$C,2,FALSE), "")</f>
        <v>PERS2.19</v>
      </c>
      <c r="C78" s="10" t="str">
        <f>_xlfn.IFNA(VLOOKUP(B78,Phase2!A$4:C$1000,3,FALSE),"")</f>
        <v>Is the Personnel Files folder stored in a locked cabinet that is only accessible to the Laboratory Manager and the secretary?</v>
      </c>
      <c r="D78" s="10" t="str">
        <f>_xlfn.IFNA(VLOOKUP($A78,CompChecksTrans!$A:$C,3,FALSE), "     ")</f>
        <v>Personnel Files folder is kept in a locked cabinet that is only accessible to the Laboratory Manager.</v>
      </c>
      <c r="E78" s="12" t="s">
        <v>1408</v>
      </c>
    </row>
    <row r="79" spans="1:5" ht="31.5" x14ac:dyDescent="0.25">
      <c r="A79" s="12" t="s">
        <v>5389</v>
      </c>
      <c r="B79" s="10" t="str">
        <f>_xlfn.IFNA(VLOOKUP($A79,CompChecksTrans!$A:$C,2,FALSE), "")</f>
        <v>EQUIP2.1</v>
      </c>
      <c r="C79" s="10" t="str">
        <f>_xlfn.IFNA(VLOOKUP(B79,Phase2!A$4:C$1000,3,FALSE),"")</f>
        <v>Does the laboratory have a standardized, documented procedure for procurement and reception of new equipment?</v>
      </c>
      <c r="D79" s="10" t="str">
        <f>_xlfn.IFNA(VLOOKUP($A79,CompChecksTrans!$A:$C,3,FALSE), "     ")</f>
        <v>Presence of SOP for procurement and reception of new equipment which include the criteria for acceptance and rejection of donated equipment</v>
      </c>
      <c r="E79" s="12" t="s">
        <v>1409</v>
      </c>
    </row>
    <row r="80" spans="1:5" ht="63" x14ac:dyDescent="0.25">
      <c r="A80" s="12" t="s">
        <v>5390</v>
      </c>
      <c r="B80" s="10" t="str">
        <f>_xlfn.IFNA(VLOOKUP($A80,CompChecksTrans!$A:$C,2,FALSE), "")</f>
        <v>EQUIP2.3</v>
      </c>
      <c r="C80" s="10" t="str">
        <f>_xlfn.IFNA(VLOOKUP(B80,Phase2!A$4:C$1000,3,FALSE),"")</f>
        <v>Is the SOP for Procurement and Reception of Equipment stored at a logical location, accessible to all staff members?</v>
      </c>
      <c r="D80" s="10" t="str">
        <f>_xlfn.IFNA(VLOOKUP($A80,CompChecksTrans!$A:$C,3,FALSE), "     ")</f>
        <v>The SOP for Procurement and Reception of Equipment is stored a logical location, accessible to all staff members</v>
      </c>
      <c r="E80" s="12" t="s">
        <v>1408</v>
      </c>
    </row>
    <row r="81" spans="1:5" ht="47.25" x14ac:dyDescent="0.25">
      <c r="A81" s="12" t="s">
        <v>5391</v>
      </c>
      <c r="B81" s="10" t="str">
        <f>_xlfn.IFNA(VLOOKUP($A81,CompChecksTrans!$A:$C,2,FALSE), "")</f>
        <v>EQUIP2.4</v>
      </c>
      <c r="C81" s="10" t="str">
        <f>_xlfn.IFNA(VLOOKUP(B81,Phase2!A$4:C$1000,3,FALSE),"")</f>
        <v>Is the SOP for Procurement and Reception of Equipment demonstrably reviewed and verified by fellow staff members?</v>
      </c>
      <c r="D81" s="10" t="str">
        <f>_xlfn.IFNA(VLOOKUP($A81,CompChecksTrans!$A:$C,3,FALSE), "     ")</f>
        <v>Presence of signature and date of reviewer and verifier on the SOP for Procurement and Reception of Equipment.</v>
      </c>
      <c r="E81" s="12" t="s">
        <v>1408</v>
      </c>
    </row>
    <row r="82" spans="1:5" ht="47.25" x14ac:dyDescent="0.25">
      <c r="A82" s="12" t="s">
        <v>5392</v>
      </c>
      <c r="B82" s="10" t="str">
        <f>_xlfn.IFNA(VLOOKUP($A82,CompChecksTrans!$A:$C,2,FALSE), "")</f>
        <v>EQUIP2.5</v>
      </c>
      <c r="C82" s="10" t="str">
        <f>_xlfn.IFNA(VLOOKUP(B82,Phase2!A$4:C$1000,3,FALSE),"")</f>
        <v>Is the SOP for Procurement and Reception of Equipment demonstrably authorized by laboratory management?</v>
      </c>
      <c r="D82" s="10" t="str">
        <f>_xlfn.IFNA(VLOOKUP($A82,CompChecksTrans!$A:$C,3,FALSE), "     ")</f>
        <v>Presence of signature, date of lab manager on the SOP for Procurement and Reception of Equipment</v>
      </c>
      <c r="E82" s="12" t="s">
        <v>1409</v>
      </c>
    </row>
    <row r="83" spans="1:5" ht="47.25" x14ac:dyDescent="0.25">
      <c r="A83" s="12" t="s">
        <v>5393</v>
      </c>
      <c r="B83" s="10" t="str">
        <f>_xlfn.IFNA(VLOOKUP($A83,CompChecksTrans!$A:$C,2,FALSE), "")</f>
        <v>EQUIP2.6</v>
      </c>
      <c r="C83" s="10" t="str">
        <f>_xlfn.IFNA(VLOOKUP(B83,Phase2!A$4:C$1000,3,FALSE),"")</f>
        <v>Are all technical and managerial staff members aware of the existence of the SOP and do they know when to use it?</v>
      </c>
      <c r="D83" s="10" t="str">
        <f>_xlfn.IFNA(VLOOKUP($A83,CompChecksTrans!$A:$C,3,FALSE), "     ")</f>
        <v>Presence of signature of all staff on the Read and Understood form</v>
      </c>
      <c r="E83" s="12" t="s">
        <v>1409</v>
      </c>
    </row>
    <row r="84" spans="1:5" ht="31.5" x14ac:dyDescent="0.25">
      <c r="A84" s="12" t="s">
        <v>5394</v>
      </c>
      <c r="B84" s="10" t="str">
        <f>_xlfn.IFNA(VLOOKUP($A84,CompChecksTrans!$A:$C,2,FALSE), "")</f>
        <v>EQUIP2.7</v>
      </c>
      <c r="C84" s="10" t="str">
        <f>_xlfn.IFNA(VLOOKUP(B84,Phase2!A$4:C$1000,3,FALSE),"")</f>
        <v>Has all equipment in the laboratory been labeled?</v>
      </c>
      <c r="D84" s="10" t="str">
        <f>_xlfn.IFNA(VLOOKUP($A84,CompChecksTrans!$A:$C,3,FALSE), "     ")</f>
        <v>Presence of label for all equipment in the laboratory with:
 1. Equipment code</v>
      </c>
      <c r="E84" s="12" t="s">
        <v>1408</v>
      </c>
    </row>
    <row r="85" spans="1:5" ht="31.5" x14ac:dyDescent="0.25">
      <c r="A85" s="12" t="s">
        <v>5395</v>
      </c>
      <c r="B85" s="10" t="str">
        <f>_xlfn.IFNA(VLOOKUP($A85,CompChecksTrans!$A:$C,2,FALSE), "")</f>
        <v>EQUIP2.7</v>
      </c>
      <c r="C85" s="10" t="str">
        <f>_xlfn.IFNA(VLOOKUP(B85,Phase2!A$4:C$1000,3,FALSE),"")</f>
        <v>Has all equipment in the laboratory been labeled?</v>
      </c>
      <c r="D85" s="10" t="str">
        <f>_xlfn.IFNA(VLOOKUP($A85,CompChecksTrans!$A:$C,3,FALSE), "     ")</f>
        <v>2. Date of last service/calibration (renewed each time the piece of equipment has been services).</v>
      </c>
      <c r="E85" s="12" t="s">
        <v>1409</v>
      </c>
    </row>
    <row r="86" spans="1:5" ht="31.5" x14ac:dyDescent="0.25">
      <c r="A86" s="12" t="s">
        <v>5396</v>
      </c>
      <c r="B86" s="10" t="str">
        <f>_xlfn.IFNA(VLOOKUP($A86,CompChecksTrans!$A:$C,2,FALSE), "")</f>
        <v>EQUIP2.7</v>
      </c>
      <c r="C86" s="10" t="str">
        <f>_xlfn.IFNA(VLOOKUP(B86,Phase2!A$4:C$1000,3,FALSE),"")</f>
        <v>Has all equipment in the laboratory been labeled?</v>
      </c>
      <c r="D86" s="10" t="str">
        <f>_xlfn.IFNA(VLOOKUP($A86,CompChecksTrans!$A:$C,3,FALSE), "     ")</f>
        <v xml:space="preserve"> 3. Date of next service/calibration (renewed each time the piece of equipment has been services).</v>
      </c>
      <c r="E86" s="12" t="s">
        <v>1408</v>
      </c>
    </row>
    <row r="87" spans="1:5" ht="47.25" x14ac:dyDescent="0.25">
      <c r="A87" s="12" t="s">
        <v>5397</v>
      </c>
      <c r="B87" s="10" t="str">
        <f>_xlfn.IFNA(VLOOKUP($A87,CompChecksTrans!$A:$C,2,FALSE), "")</f>
        <v>EQUIP2.9</v>
      </c>
      <c r="C87" s="10" t="str">
        <f>_xlfn.IFNA(VLOOKUP(B87,Phase2!A$4:C$1000,3,FALSE),"")</f>
        <v>Are the equipment labels resistant to fluids, chemicals, light, and other daily factors causing wear and tear of the labels?</v>
      </c>
      <c r="D87" s="10" t="str">
        <f>_xlfn.IFNA(VLOOKUP($A87,CompChecksTrans!$A:$C,3,FALSE), "     ")</f>
        <v>The equipment labels is laminated to resist to fluids, chemicals, light, and other daily factors causing wear and tear of the labels</v>
      </c>
      <c r="E87" s="12" t="s">
        <v>1408</v>
      </c>
    </row>
    <row r="88" spans="1:5" ht="47.25" x14ac:dyDescent="0.25">
      <c r="A88" s="12" t="s">
        <v>5398</v>
      </c>
      <c r="B88" s="10" t="str">
        <f>_xlfn.IFNA(VLOOKUP($A88,CompChecksTrans!$A:$C,2,FALSE), "")</f>
        <v>EQUIP2.10</v>
      </c>
      <c r="C88" s="10" t="str">
        <f>_xlfn.IFNA(VLOOKUP(B88,Phase2!A$4:C$1000,3,FALSE),"")</f>
        <v>Is it documented who is responsible for each piece of equipment and who is authorized to use the equipment?</v>
      </c>
      <c r="D88" s="10" t="str">
        <f>_xlfn.IFNA(VLOOKUP($A88,CompChecksTrans!$A:$C,3,FALSE), "     ")</f>
        <v>Presence of the equipment register with the name of:
1. Person responsible for equipment (chief of unit, for example)</v>
      </c>
      <c r="E88" s="12" t="s">
        <v>1409</v>
      </c>
    </row>
    <row r="89" spans="1:5" ht="47.25" x14ac:dyDescent="0.25">
      <c r="A89" s="12" t="s">
        <v>5399</v>
      </c>
      <c r="B89" s="10" t="str">
        <f>_xlfn.IFNA(VLOOKUP($A89,CompChecksTrans!$A:$C,2,FALSE), "")</f>
        <v>EQUIP2.10</v>
      </c>
      <c r="C89" s="10" t="str">
        <f>_xlfn.IFNA(VLOOKUP(B89,Phase2!A$4:C$1000,3,FALSE),"")</f>
        <v>Is it documented who is responsible for each piece of equipment and who is authorized to use the equipment?</v>
      </c>
      <c r="D89" s="10" t="str">
        <f>_xlfn.IFNA(VLOOKUP($A89,CompChecksTrans!$A:$C,3,FALSE), "     ")</f>
        <v>2. Initials of persons authorized to use equipment.</v>
      </c>
      <c r="E89" s="12" t="s">
        <v>1408</v>
      </c>
    </row>
    <row r="90" spans="1:5" ht="63" x14ac:dyDescent="0.25">
      <c r="A90" s="12" t="s">
        <v>5400</v>
      </c>
      <c r="B90" s="10" t="str">
        <f>_xlfn.IFNA(VLOOKUP($A90,CompChecksTrans!$A:$C,2,FALSE), "")</f>
        <v>EQUIP2.11</v>
      </c>
      <c r="C90" s="10" t="str">
        <f>_xlfn.IFNA(VLOOKUP(B90,Phase2!A$4:C$1000,3,FALSE),"")</f>
        <v>Do staff members who are responsible for a piece of equipment know their responsibilities?
Take a sample by asking such a staff member.</v>
      </c>
      <c r="D90" s="10" t="str">
        <f>_xlfn.IFNA(VLOOKUP($A90,CompChecksTrans!$A:$C,3,FALSE), "     ")</f>
        <v>Presence of the minute of the staff meeting</v>
      </c>
      <c r="E90" s="12" t="s">
        <v>1408</v>
      </c>
    </row>
    <row r="91" spans="1:5" ht="31.5" x14ac:dyDescent="0.25">
      <c r="A91" s="12" t="s">
        <v>5401</v>
      </c>
      <c r="B91" s="10" t="str">
        <f>_xlfn.IFNA(VLOOKUP($A91,CompChecksTrans!$A:$C,2,FALSE), "")</f>
        <v>EQUIP2.12</v>
      </c>
      <c r="C91" s="10" t="str">
        <f>_xlfn.IFNA(VLOOKUP(B91,Phase2!A$4:C$1000,3,FALSE),"")</f>
        <v>Are staff members authorized for use of a piece of equipment properly instructed/trained?</v>
      </c>
      <c r="D91" s="10" t="str">
        <f>_xlfn.IFNA(VLOOKUP($A91,CompChecksTrans!$A:$C,3,FALSE), "     ")</f>
        <v>Presence of training report with agenda, attendance sheet</v>
      </c>
      <c r="E91" s="12" t="s">
        <v>1409</v>
      </c>
    </row>
    <row r="92" spans="1:5" ht="47.25" x14ac:dyDescent="0.25">
      <c r="A92" s="12" t="s">
        <v>5402</v>
      </c>
      <c r="B92" s="10" t="str">
        <f>_xlfn.IFNA(VLOOKUP($A92,CompChecksTrans!$A:$C,2,FALSE), "")</f>
        <v>EQUIP2.13</v>
      </c>
      <c r="C92" s="10" t="str">
        <f>_xlfn.IFNA(VLOOKUP(B92,Phase2!A$4:C$1000,3,FALSE),"")</f>
        <v>Does the laboratory have a Maintenance Log Sheet for each piece of equipment that shows what maintenance has been performed at which moment to which piece of equipment?</v>
      </c>
      <c r="D92" s="10" t="str">
        <f>_xlfn.IFNA(VLOOKUP($A92,CompChecksTrans!$A:$C,3,FALSE), "     ")</f>
        <v>Presence of maintenance logsheet of each piece of equipment in the "Equipment Archive folder". And review frequently by lab manager.</v>
      </c>
      <c r="E92" s="12" t="s">
        <v>1409</v>
      </c>
    </row>
    <row r="93" spans="1:5" ht="47.25" x14ac:dyDescent="0.25">
      <c r="A93" s="12" t="s">
        <v>5403</v>
      </c>
      <c r="B93" s="10" t="str">
        <f>_xlfn.IFNA(VLOOKUP($A93,CompChecksTrans!$A:$C,2,FALSE), "")</f>
        <v>EQUIP2.14</v>
      </c>
      <c r="C93" s="10" t="str">
        <f>_xlfn.IFNA(VLOOKUP(B93,Phase2!A$4:C$1000,3,FALSE),"")</f>
        <v>Does the laboratory use log sheets to record usage of specific pieces of equipment where necessary?</v>
      </c>
      <c r="D93" s="10" t="str">
        <f>_xlfn.IFNA(VLOOKUP($A93,CompChecksTrans!$A:$C,3,FALSE), "     ")</f>
        <v>Presence of "Equipment Usage Logsheet" next to each piece of equipment, especially the analyzers, centrifuge.</v>
      </c>
      <c r="E93" s="12" t="s">
        <v>1408</v>
      </c>
    </row>
    <row r="94" spans="1:5" ht="47.25" x14ac:dyDescent="0.25">
      <c r="A94" s="12" t="s">
        <v>5404</v>
      </c>
      <c r="B94" s="10" t="str">
        <f>_xlfn.IFNA(VLOOKUP($A94,CompChecksTrans!$A:$C,2,FALSE), "")</f>
        <v>EQUIP2.15</v>
      </c>
      <c r="C94" s="10" t="str">
        <f>_xlfn.IFNA(VLOOKUP(B94,Phase2!A$4:C$1000,3,FALSE),"")</f>
        <v>Do staff members know how and when to fill out Usage Log Sheets/log books for each piece of equipment?</v>
      </c>
      <c r="D94" s="10" t="str">
        <f>_xlfn.IFNA(VLOOKUP($A94,CompChecksTrans!$A:$C,3,FALSE), "     ")</f>
        <v>Presence of a minute of the staff meeting</v>
      </c>
      <c r="E94" s="12" t="s">
        <v>1409</v>
      </c>
    </row>
    <row r="95" spans="1:5" ht="47.25" x14ac:dyDescent="0.25">
      <c r="A95" s="12" t="s">
        <v>5405</v>
      </c>
      <c r="B95" s="10" t="str">
        <f>_xlfn.IFNA(VLOOKUP($A95,CompChecksTrans!$A:$C,2,FALSE), "")</f>
        <v>EQUIP2.16</v>
      </c>
      <c r="C95" s="10" t="str">
        <f>_xlfn.IFNA(VLOOKUP(B95,Phase2!A$4:C$1000,3,FALSE),"")</f>
        <v>Are the Usage Log Sheets placed near the piece of equipment they have been developed for?</v>
      </c>
      <c r="D95" s="10" t="str">
        <f>_xlfn.IFNA(VLOOKUP($A95,CompChecksTrans!$A:$C,3,FALSE), "     ")</f>
        <v>1. Presence of Usage Logsheet near the piece of equipment</v>
      </c>
      <c r="E95" s="12" t="s">
        <v>1408</v>
      </c>
    </row>
    <row r="96" spans="1:5" ht="47.25" x14ac:dyDescent="0.25">
      <c r="A96" s="12" t="s">
        <v>5406</v>
      </c>
      <c r="B96" s="10" t="str">
        <f>_xlfn.IFNA(VLOOKUP($A96,CompChecksTrans!$A:$C,2,FALSE), "")</f>
        <v>EQUIP2.16</v>
      </c>
      <c r="C96" s="10" t="str">
        <f>_xlfn.IFNA(VLOOKUP(B96,Phase2!A$4:C$1000,3,FALSE),"")</f>
        <v>Are the Usage Log Sheets placed near the piece of equipment they have been developed for?</v>
      </c>
      <c r="D96" s="10" t="str">
        <f>_xlfn.IFNA(VLOOKUP($A96,CompChecksTrans!$A:$C,3,FALSE), "     ")</f>
        <v>2. Presence of the filled Usage Logsheet in the "Equipment Archive folder". And review frequently by lab manager.</v>
      </c>
      <c r="E96" s="12" t="s">
        <v>1408</v>
      </c>
    </row>
    <row r="97" spans="1:5" ht="47.25" x14ac:dyDescent="0.25">
      <c r="A97" s="12" t="s">
        <v>5407</v>
      </c>
      <c r="B97" s="10" t="str">
        <f>_xlfn.IFNA(VLOOKUP($A97,CompChecksTrans!$A:$C,2,FALSE), "")</f>
        <v>EQUIP2.17</v>
      </c>
      <c r="C97" s="10" t="str">
        <f>_xlfn.IFNA(VLOOKUP(B97,Phase2!A$4:C$1000,3,FALSE),"")</f>
        <v>Are Maintenance Log Sheets of equipment stored orderly in the Equipment Archive?</v>
      </c>
      <c r="D97" s="10" t="str">
        <f>_xlfn.IFNA(VLOOKUP($A97,CompChecksTrans!$A:$C,3,FALSE), "     ")</f>
        <v>Presence of the maintenance logsheet placed in the "Equipment Archive folder". And review frequently by lab manager.</v>
      </c>
      <c r="E97" s="12" t="s">
        <v>1409</v>
      </c>
    </row>
    <row r="98" spans="1:5" ht="63" x14ac:dyDescent="0.25">
      <c r="A98" s="12" t="s">
        <v>5408</v>
      </c>
      <c r="B98" s="10" t="str">
        <f>_xlfn.IFNA(VLOOKUP($A98,CompChecksTrans!$A:$C,2,FALSE), "")</f>
        <v>EQUIP2.18</v>
      </c>
      <c r="C98" s="10" t="str">
        <f>_xlfn.IFNA(VLOOKUP(B98,Phase2!A$4:C$1000,3,FALSE),"")</f>
        <v>Does the laboratory have an Equipment Archive that contains all the documents and records needed for each piece of equipment as listed in ISO 15189:2007 article 5.3.4 or ISO 15189:2012 article 5.3.1.7?</v>
      </c>
      <c r="D98" s="10" t="str">
        <f>_xlfn.IFNA(VLOOKUP($A98,CompChecksTrans!$A:$C,3,FALSE), "     ")</f>
        <v>Presence of Equipment Archive folder which contains:
1. Equipment Identification Page (list of content)</v>
      </c>
      <c r="E98" s="12" t="s">
        <v>1408</v>
      </c>
    </row>
    <row r="99" spans="1:5" ht="63" x14ac:dyDescent="0.25">
      <c r="A99" s="12" t="s">
        <v>5409</v>
      </c>
      <c r="B99" s="10" t="str">
        <f>_xlfn.IFNA(VLOOKUP($A99,CompChecksTrans!$A:$C,2,FALSE), "")</f>
        <v>EQUIP2.18</v>
      </c>
      <c r="C99" s="10" t="str">
        <f>_xlfn.IFNA(VLOOKUP(B99,Phase2!A$4:C$1000,3,FALSE),"")</f>
        <v>Does the laboratory have an Equipment Archive that contains all the documents and records needed for each piece of equipment as listed in ISO 15189:2007 article 5.3.4 or ISO 15189:2012 article 5.3.1.7?</v>
      </c>
      <c r="D99" s="10" t="str">
        <f>_xlfn.IFNA(VLOOKUP($A99,CompChecksTrans!$A:$C,3,FALSE), "     ")</f>
        <v>2. Equipment Register</v>
      </c>
      <c r="E99" s="12" t="s">
        <v>1408</v>
      </c>
    </row>
    <row r="100" spans="1:5" ht="63" x14ac:dyDescent="0.25">
      <c r="A100" s="12" t="s">
        <v>5410</v>
      </c>
      <c r="B100" s="10" t="str">
        <f>_xlfn.IFNA(VLOOKUP($A100,CompChecksTrans!$A:$C,2,FALSE), "")</f>
        <v>EQUIP2.18</v>
      </c>
      <c r="C100" s="10" t="str">
        <f>_xlfn.IFNA(VLOOKUP(B100,Phase2!A$4:C$1000,3,FALSE),"")</f>
        <v>Does the laboratory have an Equipment Archive that contains all the documents and records needed for each piece of equipment as listed in ISO 15189:2007 article 5.3.4 or ISO 15189:2012 article 5.3.1.7?</v>
      </c>
      <c r="D100" s="10" t="str">
        <f>_xlfn.IFNA(VLOOKUP($A100,CompChecksTrans!$A:$C,3,FALSE), "     ")</f>
        <v>3. Maintenance Log Sheets</v>
      </c>
      <c r="E100" s="12" t="s">
        <v>1409</v>
      </c>
    </row>
    <row r="101" spans="1:5" ht="63" x14ac:dyDescent="0.25">
      <c r="A101" s="12" t="s">
        <v>5411</v>
      </c>
      <c r="B101" s="10" t="str">
        <f>_xlfn.IFNA(VLOOKUP($A101,CompChecksTrans!$A:$C,2,FALSE), "")</f>
        <v>EQUIP2.18</v>
      </c>
      <c r="C101" s="10" t="str">
        <f>_xlfn.IFNA(VLOOKUP(B101,Phase2!A$4:C$1000,3,FALSE),"")</f>
        <v>Does the laboratory have an Equipment Archive that contains all the documents and records needed for each piece of equipment as listed in ISO 15189:2007 article 5.3.4 or ISO 15189:2012 article 5.3.1.7?</v>
      </c>
      <c r="D101" s="10" t="str">
        <f>_xlfn.IFNA(VLOOKUP($A101,CompChecksTrans!$A:$C,3,FALSE), "     ")</f>
        <v>4. Maintenance forms/calibration forms</v>
      </c>
      <c r="E101" s="12" t="s">
        <v>1409</v>
      </c>
    </row>
    <row r="102" spans="1:5" ht="63" x14ac:dyDescent="0.25">
      <c r="A102" s="12" t="s">
        <v>5412</v>
      </c>
      <c r="B102" s="10" t="str">
        <f>_xlfn.IFNA(VLOOKUP($A102,CompChecksTrans!$A:$C,2,FALSE), "")</f>
        <v>EQUIP2.18</v>
      </c>
      <c r="C102" s="10" t="str">
        <f>_xlfn.IFNA(VLOOKUP(B102,Phase2!A$4:C$1000,3,FALSE),"")</f>
        <v>Does the laboratory have an Equipment Archive that contains all the documents and records needed for each piece of equipment as listed in ISO 15189:2007 article 5.3.4 or ISO 15189:2012 article 5.3.1.7?</v>
      </c>
      <c r="D102" s="10" t="str">
        <f>_xlfn.IFNA(VLOOKUP($A102,CompChecksTrans!$A:$C,3,FALSE), "     ")</f>
        <v>5. Completed Usage Log Sheets/log books</v>
      </c>
      <c r="E102" s="12" t="s">
        <v>1408</v>
      </c>
    </row>
    <row r="103" spans="1:5" ht="63" x14ac:dyDescent="0.25">
      <c r="A103" s="12" t="s">
        <v>5413</v>
      </c>
      <c r="B103" s="10" t="str">
        <f>_xlfn.IFNA(VLOOKUP($A103,CompChecksTrans!$A:$C,2,FALSE), "")</f>
        <v>EQUIP2.18</v>
      </c>
      <c r="C103" s="10" t="str">
        <f>_xlfn.IFNA(VLOOKUP(B103,Phase2!A$4:C$1000,3,FALSE),"")</f>
        <v>Does the laboratory have an Equipment Archive that contains all the documents and records needed for each piece of equipment as listed in ISO 15189:2007 article 5.3.4 or ISO 15189:2012 article 5.3.1.7?</v>
      </c>
      <c r="D103" s="10" t="str">
        <f>_xlfn.IFNA(VLOOKUP($A103,CompChecksTrans!$A:$C,3,FALSE), "     ")</f>
        <v>6. Manufacturer's instructions</v>
      </c>
      <c r="E103" s="12" t="s">
        <v>1409</v>
      </c>
    </row>
    <row r="104" spans="1:5" ht="63" x14ac:dyDescent="0.25">
      <c r="A104" s="12" t="s">
        <v>5414</v>
      </c>
      <c r="B104" s="10" t="str">
        <f>_xlfn.IFNA(VLOOKUP($A104,CompChecksTrans!$A:$C,2,FALSE), "")</f>
        <v>EQUIP2.18</v>
      </c>
      <c r="C104" s="10" t="str">
        <f>_xlfn.IFNA(VLOOKUP(B104,Phase2!A$4:C$1000,3,FALSE),"")</f>
        <v>Does the laboratory have an Equipment Archive that contains all the documents and records needed for each piece of equipment as listed in ISO 15189:2007 article 5.3.4 or ISO 15189:2012 article 5.3.1.7?</v>
      </c>
      <c r="D104" s="10" t="str">
        <f>_xlfn.IFNA(VLOOKUP($A104,CompChecksTrans!$A:$C,3,FALSE), "     ")</f>
        <v>7. List of Spare Parts</v>
      </c>
      <c r="E104" s="12" t="s">
        <v>1408</v>
      </c>
    </row>
    <row r="105" spans="1:5" ht="63" x14ac:dyDescent="0.25">
      <c r="A105" s="12" t="s">
        <v>5415</v>
      </c>
      <c r="B105" s="10" t="str">
        <f>_xlfn.IFNA(VLOOKUP($A105,CompChecksTrans!$A:$C,2,FALSE), "")</f>
        <v>EQUIP2.18</v>
      </c>
      <c r="C105" s="10" t="str">
        <f>_xlfn.IFNA(VLOOKUP(B105,Phase2!A$4:C$1000,3,FALSE),"")</f>
        <v>Does the laboratory have an Equipment Archive that contains all the documents and records needed for each piece of equipment as listed in ISO 15189:2007 article 5.3.4 or ISO 15189:2012 article 5.3.1.7?</v>
      </c>
      <c r="D105" s="10" t="str">
        <f>_xlfn.IFNA(VLOOKUP($A105,CompChecksTrans!$A:$C,3,FALSE), "     ")</f>
        <v>8. Validation reports (will be developed in phase 4)</v>
      </c>
      <c r="E105" s="12" t="s">
        <v>1408</v>
      </c>
    </row>
    <row r="106" spans="1:5" ht="31.5" x14ac:dyDescent="0.25">
      <c r="A106" s="12" t="s">
        <v>5416</v>
      </c>
      <c r="B106" s="10" t="str">
        <f>_xlfn.IFNA(VLOOKUP($A106,CompChecksTrans!$A:$C,2,FALSE), "")</f>
        <v>EQUIP2.20</v>
      </c>
      <c r="C106" s="10" t="str">
        <f>_xlfn.IFNA(VLOOKUP(B106,Phase2!A$4:C$1000,3,FALSE),"")</f>
        <v>Are Bench Aids used for various pieces of equipment?</v>
      </c>
      <c r="D106" s="10" t="str">
        <f>_xlfn.IFNA(VLOOKUP($A106,CompChecksTrans!$A:$C,3,FALSE), "     ")</f>
        <v>Presence of Bench Aids used for various pieces of equipment in accordance with the SOPs for equipment</v>
      </c>
      <c r="E106" s="12" t="s">
        <v>1409</v>
      </c>
    </row>
    <row r="107" spans="1:5" ht="31.5" x14ac:dyDescent="0.25">
      <c r="A107" s="12" t="s">
        <v>5417</v>
      </c>
      <c r="B107" s="10" t="str">
        <f>_xlfn.IFNA(VLOOKUP($A107,CompChecksTrans!$A:$C,2,FALSE), "")</f>
        <v>EQUIP2.22</v>
      </c>
      <c r="C107" s="10" t="str">
        <f>_xlfn.IFNA(VLOOKUP(B107,Phase2!A$4:C$1000,3,FALSE),"")</f>
        <v>Is the method of maintenance and calibration of equipment documented?</v>
      </c>
      <c r="D107" s="10" t="str">
        <f>_xlfn.IFNA(VLOOKUP($A107,CompChecksTrans!$A:$C,3,FALSE), "     ")</f>
        <v>Presence of maintenance (daily/weekly/monthly preventive) and calibration in the "Equipment Archive folder".</v>
      </c>
      <c r="E107" s="12" t="s">
        <v>1408</v>
      </c>
    </row>
    <row r="108" spans="1:5" ht="47.25" x14ac:dyDescent="0.25">
      <c r="A108" s="12" t="s">
        <v>5418</v>
      </c>
      <c r="B108" s="10" t="str">
        <f>_xlfn.IFNA(VLOOKUP($A108,CompChecksTrans!$A:$C,2,FALSE), "")</f>
        <v>EQUIP2.23</v>
      </c>
      <c r="C108" s="10" t="str">
        <f>_xlfn.IFNA(VLOOKUP(B108,Phase2!A$4:C$1000,3,FALSE),"")</f>
        <v>Is the budget needed for the maintenance and calibration of equipment calculated and documented?</v>
      </c>
      <c r="D108" s="10" t="str">
        <f>_xlfn.IFNA(VLOOKUP($A108,CompChecksTrans!$A:$C,3,FALSE), "     ")</f>
        <v xml:space="preserve">1. Presence of annual budget plan for maintenance and calibration of equipment.
</v>
      </c>
      <c r="E108" s="12" t="s">
        <v>1408</v>
      </c>
    </row>
    <row r="109" spans="1:5" ht="47.25" x14ac:dyDescent="0.25">
      <c r="A109" s="12" t="s">
        <v>5419</v>
      </c>
      <c r="B109" s="10" t="str">
        <f>_xlfn.IFNA(VLOOKUP($A109,CompChecksTrans!$A:$C,2,FALSE), "")</f>
        <v>EQUIP2.23</v>
      </c>
      <c r="C109" s="10" t="str">
        <f>_xlfn.IFNA(VLOOKUP(B109,Phase2!A$4:C$1000,3,FALSE),"")</f>
        <v>Is the budget needed for the maintenance and calibration of equipment calculated and documented?</v>
      </c>
      <c r="D109" s="10" t="str">
        <f>_xlfn.IFNA(VLOOKUP($A109,CompChecksTrans!$A:$C,3,FALSE), "     ")</f>
        <v>2. Presence of budget plan for training of a staff member to perform technical maintenance and calibration of equipment internally.</v>
      </c>
      <c r="E109" s="12" t="s">
        <v>1409</v>
      </c>
    </row>
    <row r="110" spans="1:5" ht="31.5" x14ac:dyDescent="0.25">
      <c r="A110" s="12" t="s">
        <v>5420</v>
      </c>
      <c r="B110" s="10" t="str">
        <f>_xlfn.IFNA(VLOOKUP($A110,CompChecksTrans!$A:$C,2,FALSE), "")</f>
        <v>EQUIP2.24</v>
      </c>
      <c r="C110" s="10" t="str">
        <f>_xlfn.IFNA(VLOOKUP(B110,Phase2!A$4:C$1000,3,FALSE),"")</f>
        <v>Have funds been identified for annual maintenance and calibration of equipment?</v>
      </c>
      <c r="D110" s="10" t="str">
        <f>_xlfn.IFNA(VLOOKUP($A110,CompChecksTrans!$A:$C,3,FALSE), "     ")</f>
        <v>Annual budget plan for equipment and calibration has been submitted to the hospital administration</v>
      </c>
      <c r="E110" s="12" t="s">
        <v>1409</v>
      </c>
    </row>
    <row r="111" spans="1:5" ht="31.5" x14ac:dyDescent="0.25">
      <c r="A111" s="12" t="s">
        <v>5421</v>
      </c>
      <c r="B111" s="10" t="str">
        <f>_xlfn.IFNA(VLOOKUP($A111,CompChecksTrans!$A:$C,2,FALSE), "")</f>
        <v>EQUIP2.25</v>
      </c>
      <c r="C111" s="10" t="str">
        <f>_xlfn.IFNA(VLOOKUP(B111,Phase2!A$4:C$1000,3,FALSE),"")</f>
        <v>Have funds been identified for training of a staff member for internal maintenance and calibration of equipment?</v>
      </c>
      <c r="D111" s="10" t="str">
        <f>_xlfn.IFNA(VLOOKUP($A111,CompChecksTrans!$A:$C,3,FALSE), "     ")</f>
        <v>Presence of annual budget plan for training of a staff member for internal maintenance and calibration of equipment to the hospital administration</v>
      </c>
      <c r="E111" s="12" t="s">
        <v>1408</v>
      </c>
    </row>
    <row r="112" spans="1:5" ht="31.5" x14ac:dyDescent="0.25">
      <c r="A112" s="12" t="s">
        <v>5422</v>
      </c>
      <c r="B112" s="10" t="str">
        <f>_xlfn.IFNA(VLOOKUP($A112,CompChecksTrans!$A:$C,2,FALSE), "")</f>
        <v>EQUIP2.26</v>
      </c>
      <c r="C112" s="10" t="str">
        <f>_xlfn.IFNA(VLOOKUP(B112,Phase2!A$4:C$1000,3,FALSE),"")</f>
        <v>Is a preventive maintenance program in place for all pieces of equipment?</v>
      </c>
      <c r="D112" s="10" t="str">
        <f>_xlfn.IFNA(VLOOKUP($A112,CompChecksTrans!$A:$C,3,FALSE), "     ")</f>
        <v>1. Presence of a plan for maintenance and calibration of all the pieces of equipment present in the laboratory.</v>
      </c>
      <c r="E112" s="12" t="s">
        <v>1409</v>
      </c>
    </row>
    <row r="113" spans="1:5" ht="31.5" x14ac:dyDescent="0.25">
      <c r="A113" s="12" t="s">
        <v>5423</v>
      </c>
      <c r="B113" s="10" t="str">
        <f>_xlfn.IFNA(VLOOKUP($A113,CompChecksTrans!$A:$C,2,FALSE), "")</f>
        <v>EQUIP2.26</v>
      </c>
      <c r="C113" s="10" t="str">
        <f>_xlfn.IFNA(VLOOKUP(B113,Phase2!A$4:C$1000,3,FALSE),"")</f>
        <v>Is a preventive maintenance program in place for all pieces of equipment?</v>
      </c>
      <c r="D113" s="10" t="str">
        <f>_xlfn.IFNA(VLOOKUP($A113,CompChecksTrans!$A:$C,3,FALSE), "     ")</f>
        <v xml:space="preserve">2. Presence of a yearly schedule for maintenance/calibration </v>
      </c>
      <c r="E113" s="12" t="s">
        <v>1408</v>
      </c>
    </row>
    <row r="114" spans="1:5" ht="94.5" x14ac:dyDescent="0.25">
      <c r="A114" s="12" t="s">
        <v>5424</v>
      </c>
      <c r="B114" s="10" t="str">
        <f>_xlfn.IFNA(VLOOKUP($A114,CompChecksTrans!$A:$C,2,FALSE), "")</f>
        <v>EQUIP2.27</v>
      </c>
      <c r="C114" s="10" t="str">
        <f>_xlfn.IFNA(VLOOKUP(B114,Phase2!A$4:C$1000,3,FALSE),"")</f>
        <v>Does the laboratory demonstrably adhere to this program?
Compare maintenance records for a piece of equipment from the equipment file with the dates this maintenance was planned in the Equipment Maintenance Schedule.</v>
      </c>
      <c r="D114" s="10" t="str">
        <f>_xlfn.IFNA(VLOOKUP($A114,CompChecksTrans!$A:$C,3,FALSE), "     ")</f>
        <v>Presence of maintenance/calibration report according to the yearly schedule</v>
      </c>
      <c r="E114" s="12" t="s">
        <v>1408</v>
      </c>
    </row>
    <row r="115" spans="1:5" ht="31.5" x14ac:dyDescent="0.25">
      <c r="A115" s="12" t="s">
        <v>5425</v>
      </c>
      <c r="B115" s="10" t="str">
        <f>_xlfn.IFNA(VLOOKUP($A115,CompChecksTrans!$A:$C,2,FALSE), "")</f>
        <v>EQUIP2.28</v>
      </c>
      <c r="C115" s="10" t="str">
        <f>_xlfn.IFNA(VLOOKUP(B115,Phase2!A$4:C$1000,3,FALSE),"")</f>
        <v>Is the procedure for ensuring equipment maintenance standardized in an SOP?</v>
      </c>
      <c r="D115" s="10" t="str">
        <f>_xlfn.IFNA(VLOOKUP($A115,CompChecksTrans!$A:$C,3,FALSE), "     ")</f>
        <v>Presence of the procedure for ensuring equipment maintenance standardized in an SOP</v>
      </c>
      <c r="E115" s="12" t="s">
        <v>1409</v>
      </c>
    </row>
    <row r="116" spans="1:5" ht="63" x14ac:dyDescent="0.25">
      <c r="A116" s="12" t="s">
        <v>5426</v>
      </c>
      <c r="B116" s="10" t="str">
        <f>_xlfn.IFNA(VLOOKUP($A116,CompChecksTrans!$A:$C,2,FALSE), "")</f>
        <v>EQUIP2.29</v>
      </c>
      <c r="C116" s="10" t="str">
        <f>_xlfn.IFNA(VLOOKUP(B116,Phase2!A$4:C$1000,3,FALSE),"")</f>
        <v>Does the laboratory have an SOP for Equipment Repair, including a clear procedure for disinfection and clear labeling the equipment as “defect”?</v>
      </c>
      <c r="D116" s="10" t="str">
        <f>_xlfn.IFNA(VLOOKUP($A116,CompChecksTrans!$A:$C,3,FALSE), "     ")</f>
        <v>Presence of an SOP for Equipment Repair, including a clear procedure for disinfection and clear labeling the equipment as “defect”</v>
      </c>
      <c r="E116" s="12" t="s">
        <v>1408</v>
      </c>
    </row>
    <row r="117" spans="1:5" ht="78.75" x14ac:dyDescent="0.25">
      <c r="A117" s="12" t="s">
        <v>5427</v>
      </c>
      <c r="B117" s="10" t="str">
        <f>_xlfn.IFNA(VLOOKUP($A117,CompChecksTrans!$A:$C,2,FALSE), "")</f>
        <v>EQUIP2.30</v>
      </c>
      <c r="C117" s="10" t="str">
        <f>_xlfn.IFNA(VLOOKUP(B117,Phase2!A$4:C$1000,3,FALSE),"")</f>
        <v>Does the laboratory have an SOP explaining the procedure to be followed for ensuring validation of adequate functioning of equipment when it is returned into service after repair?</v>
      </c>
      <c r="D117" s="10" t="str">
        <f>_xlfn.IFNA(VLOOKUP($A117,CompChecksTrans!$A:$C,3,FALSE), "     ")</f>
        <v>Presence of an SOP explaining the procedure to be followed for ensuring validation of adequate functioning of equipment when it is returned into service after repair</v>
      </c>
      <c r="E117" s="12" t="s">
        <v>1408</v>
      </c>
    </row>
    <row r="118" spans="1:5" ht="31.5" x14ac:dyDescent="0.25">
      <c r="A118" s="12" t="s">
        <v>5428</v>
      </c>
      <c r="B118" s="10" t="str">
        <f>_xlfn.IFNA(VLOOKUP($A118,CompChecksTrans!$A:$C,2,FALSE), "")</f>
        <v>PI2.1</v>
      </c>
      <c r="C118" s="10" t="str">
        <f>_xlfn.IFNA(VLOOKUP(B118,Phase2!A$4:C$1000,3,FALSE),"")</f>
        <v>Does the laboratory have an overview of all the items in stock?</v>
      </c>
      <c r="D118" s="10" t="str">
        <f>_xlfn.IFNA(VLOOKUP($A118,CompChecksTrans!$A:$C,3,FALSE), "     ")</f>
        <v>Presence of Inventory Control Register</v>
      </c>
      <c r="E118" s="12" t="s">
        <v>1409</v>
      </c>
    </row>
    <row r="119" spans="1:5" ht="63" x14ac:dyDescent="0.25">
      <c r="A119" s="12" t="s">
        <v>5429</v>
      </c>
      <c r="B119" s="10" t="str">
        <f>_xlfn.IFNA(VLOOKUP($A119,CompChecksTrans!$A:$C,2,FALSE), "")</f>
        <v>PI2.4</v>
      </c>
      <c r="C119" s="10" t="str">
        <f>_xlfn.IFNA(VLOOKUP(B119,Phase2!A$4:C$1000,3,FALSE),"")</f>
        <v>Is the Inventory Control Register kept up to date by counting the items in stock and comparing this with the number of items shown in the register?</v>
      </c>
      <c r="D119" s="10" t="str">
        <f>_xlfn.IFNA(VLOOKUP($A119,CompChecksTrans!$A:$C,3,FALSE), "     ")</f>
        <v>Presence an up to date Inventory Control Register</v>
      </c>
      <c r="E119" s="12" t="s">
        <v>1409</v>
      </c>
    </row>
    <row r="120" spans="1:5" ht="78.75" x14ac:dyDescent="0.25">
      <c r="A120" s="12" t="s">
        <v>5430</v>
      </c>
      <c r="B120" s="10" t="str">
        <f>_xlfn.IFNA(VLOOKUP($A120,CompChecksTrans!$A:$C,2,FALSE), "")</f>
        <v>PI2.5</v>
      </c>
      <c r="C120" s="10" t="str">
        <f>_xlfn.IFNA(VLOOKUP(B120,Phase2!A$4:C$1000,3,FALSE),"")</f>
        <v>Does the laboratory routinely perform acceptance tests on newly delivered products before they are taken into service?
Ask for evidence.</v>
      </c>
      <c r="D120" s="10" t="str">
        <f>_xlfn.IFNA(VLOOKUP($A120,CompChecksTrans!$A:$C,3,FALSE), "     ")</f>
        <v>Presence of a folder "Checklists New Deliveries"  with the filled-out checklists</v>
      </c>
      <c r="E120" s="12" t="s">
        <v>1409</v>
      </c>
    </row>
    <row r="121" spans="1:5" ht="47.25" x14ac:dyDescent="0.25">
      <c r="A121" s="12" t="s">
        <v>5431</v>
      </c>
      <c r="B121" s="10" t="str">
        <f>_xlfn.IFNA(VLOOKUP($A121,CompChecksTrans!$A:$C,2,FALSE), "")</f>
        <v>PI2.6</v>
      </c>
      <c r="C121" s="10" t="str">
        <f>_xlfn.IFNA(VLOOKUP(B121,Phase2!A$4:C$1000,3,FALSE),"")</f>
        <v>Does the laboratory have a documented procedure on selecting, ordering, acceptance testing and storing of new reagents and consumables?</v>
      </c>
      <c r="D121" s="10" t="str">
        <f>_xlfn.IFNA(VLOOKUP($A121,CompChecksTrans!$A:$C,3,FALSE), "     ")</f>
        <v>Presence of SOP on selecting, ordering, acceptance testing and storing of new reagents and consumables, and Maintaining the Stock</v>
      </c>
      <c r="E121" s="12" t="s">
        <v>1409</v>
      </c>
    </row>
    <row r="122" spans="1:5" ht="31.5" x14ac:dyDescent="0.25">
      <c r="A122" s="12" t="s">
        <v>5432</v>
      </c>
      <c r="B122" s="10" t="str">
        <f>_xlfn.IFNA(VLOOKUP($A122,CompChecksTrans!$A:$C,2,FALSE), "")</f>
        <v>PI2.8</v>
      </c>
      <c r="C122" s="10" t="str">
        <f>_xlfn.IFNA(VLOOKUP(B122,Phase2!A$4:C$1000,3,FALSE),"")</f>
        <v>Are all supplies stored under the right conditions in the laboratory?</v>
      </c>
      <c r="D122" s="10" t="str">
        <f>_xlfn.IFNA(VLOOKUP($A122,CompChecksTrans!$A:$C,3,FALSE), "     ")</f>
        <v>All supplies are stored under the right condition in the laboratory</v>
      </c>
      <c r="E122" s="12" t="s">
        <v>1409</v>
      </c>
    </row>
    <row r="123" spans="1:5" ht="47.25" x14ac:dyDescent="0.25">
      <c r="A123" s="12" t="s">
        <v>5433</v>
      </c>
      <c r="B123" s="10" t="str">
        <f>_xlfn.IFNA(VLOOKUP($A123,CompChecksTrans!$A:$C,2,FALSE), "")</f>
        <v>PI2.10</v>
      </c>
      <c r="C123" s="10" t="str">
        <f>_xlfn.IFNA(VLOOKUP(B123,Phase2!A$4:C$1000,3,FALSE),"")</f>
        <v>Are all supplies stored such that they cannot fall from shelves or suffer damage in other ways?</v>
      </c>
      <c r="D123" s="10" t="str">
        <f>_xlfn.IFNA(VLOOKUP($A123,CompChecksTrans!$A:$C,3,FALSE), "     ")</f>
        <v>All supplies are stored in such that they cannot fall from the shelves or suffer damage in other ways</v>
      </c>
      <c r="E123" s="12" t="s">
        <v>1409</v>
      </c>
    </row>
    <row r="124" spans="1:5" ht="31.5" x14ac:dyDescent="0.25">
      <c r="A124" s="12" t="s">
        <v>5434</v>
      </c>
      <c r="B124" s="10" t="str">
        <f>_xlfn.IFNA(VLOOKUP($A124,CompChecksTrans!$A:$C,2,FALSE), "")</f>
        <v>PI2.12</v>
      </c>
      <c r="C124" s="10" t="str">
        <f>_xlfn.IFNA(VLOOKUP(B124,Phase2!A$4:C$1000,3,FALSE),"")</f>
        <v>Are all supplies stored according to the first-in-first-out (FIFO) system?</v>
      </c>
      <c r="D124" s="10" t="str">
        <f>_xlfn.IFNA(VLOOKUP($A124,CompChecksTrans!$A:$C,3,FALSE), "     ")</f>
        <v>All supplies are stored according to the FIFO and FEFO system (First in-First out and First expired-First out).</v>
      </c>
      <c r="E124" s="12" t="s">
        <v>1409</v>
      </c>
    </row>
    <row r="125" spans="1:5" ht="47.25" x14ac:dyDescent="0.25">
      <c r="A125" s="12" t="s">
        <v>5435</v>
      </c>
      <c r="B125" s="10" t="str">
        <f>_xlfn.IFNA(VLOOKUP($A125,CompChecksTrans!$A:$C,2,FALSE), "")</f>
        <v>PI2.13</v>
      </c>
      <c r="C125" s="10" t="str">
        <f>_xlfn.IFNA(VLOOKUP(B125,Phase2!A$4:C$1000,3,FALSE),"")</f>
        <v>Are all storage areas complying with the safety requirements related to the supplies stored in them?</v>
      </c>
      <c r="D125" s="10" t="str">
        <f>_xlfn.IFNA(VLOOKUP($A125,CompChecksTrans!$A:$C,3,FALSE), "     ")</f>
        <v>All storage areas are complying with the safety requirements related to the supplies.</v>
      </c>
      <c r="E125" s="12" t="s">
        <v>1409</v>
      </c>
    </row>
    <row r="126" spans="1:5" ht="31.5" x14ac:dyDescent="0.25">
      <c r="A126" s="12" t="s">
        <v>5436</v>
      </c>
      <c r="B126" s="10" t="str">
        <f>_xlfn.IFNA(VLOOKUP($A126,CompChecksTrans!$A:$C,2,FALSE), "")</f>
        <v>PI2.14</v>
      </c>
      <c r="C126" s="10" t="str">
        <f>_xlfn.IFNA(VLOOKUP(B126,Phase2!A$4:C$1000,3,FALSE),"")</f>
        <v>Do storage areas protect the supplies from external influences such as humidity, light, insects, etc.?</v>
      </c>
      <c r="D126" s="10" t="str">
        <f>_xlfn.IFNA(VLOOKUP($A126,CompChecksTrans!$A:$C,3,FALSE), "     ")</f>
        <v>Supplies in the storage areas are protected from external influences such as humidity, light, insects, etc.</v>
      </c>
      <c r="E126" s="12" t="s">
        <v>1409</v>
      </c>
    </row>
    <row r="127" spans="1:5" ht="31.5" x14ac:dyDescent="0.25">
      <c r="A127" s="12" t="s">
        <v>5437</v>
      </c>
      <c r="B127" s="10" t="str">
        <f>_xlfn.IFNA(VLOOKUP($A127,CompChecksTrans!$A:$C,2,FALSE), "")</f>
        <v>PI2.15</v>
      </c>
      <c r="C127" s="10" t="str">
        <f>_xlfn.IFNA(VLOOKUP(B127,Phase2!A$4:C$1000,3,FALSE),"")</f>
        <v>Are all storage areas lockable to prevent unauthorized access?</v>
      </c>
      <c r="D127" s="10" t="str">
        <f>_xlfn.IFNA(VLOOKUP($A127,CompChecksTrans!$A:$C,3,FALSE), "     ")</f>
        <v>1. Presence of restricted access sign in front of the all storage areas</v>
      </c>
      <c r="E127" s="12" t="s">
        <v>1409</v>
      </c>
    </row>
    <row r="128" spans="1:5" ht="31.5" x14ac:dyDescent="0.25">
      <c r="A128" s="12" t="s">
        <v>5438</v>
      </c>
      <c r="B128" s="10" t="str">
        <f>_xlfn.IFNA(VLOOKUP($A128,CompChecksTrans!$A:$C,2,FALSE), "")</f>
        <v>PI2.15</v>
      </c>
      <c r="C128" s="10" t="str">
        <f>_xlfn.IFNA(VLOOKUP(B128,Phase2!A$4:C$1000,3,FALSE),"")</f>
        <v>Are all storage areas lockable to prevent unauthorized access?</v>
      </c>
      <c r="D128" s="10" t="str">
        <f>_xlfn.IFNA(VLOOKUP($A128,CompChecksTrans!$A:$C,3,FALSE), "     ")</f>
        <v>2. The door of all storage areas is always locked</v>
      </c>
      <c r="E128" s="12" t="s">
        <v>1409</v>
      </c>
    </row>
    <row r="129" spans="1:5" ht="47.25" x14ac:dyDescent="0.25">
      <c r="A129" s="12" t="s">
        <v>5439</v>
      </c>
      <c r="B129" s="10" t="str">
        <f>_xlfn.IFNA(VLOOKUP($A129,CompChecksTrans!$A:$C,2,FALSE), "")</f>
        <v>PI2.16</v>
      </c>
      <c r="C129" s="10" t="str">
        <f>_xlfn.IFNA(VLOOKUP(B129,Phase2!A$4:C$1000,3,FALSE),"")</f>
        <v>Are all storage areas labeled with hazard symbols related to the supplies stored in them?</v>
      </c>
      <c r="D129" s="10" t="str">
        <f>_xlfn.IFNA(VLOOKUP($A129,CompChecksTrans!$A:$C,3,FALSE), "     ")</f>
        <v>Presence of hazard symbols visibly on each storage area</v>
      </c>
      <c r="E129" s="12" t="s">
        <v>1409</v>
      </c>
    </row>
    <row r="130" spans="1:5" ht="31.5" x14ac:dyDescent="0.25">
      <c r="A130" s="12" t="s">
        <v>5440</v>
      </c>
      <c r="B130" s="10" t="str">
        <f>_xlfn.IFNA(VLOOKUP($A130,CompChecksTrans!$A:$C,2,FALSE), "")</f>
        <v>PI2.17</v>
      </c>
      <c r="C130" s="10" t="str">
        <f>_xlfn.IFNA(VLOOKUP(B130,Phase2!A$4:C$1000,3,FALSE),"")</f>
        <v>Is a list with R- and S-sentences provided on each storage area where this is relevant?</v>
      </c>
      <c r="D130" s="10" t="str">
        <f>_xlfn.IFNA(VLOOKUP($A130,CompChecksTrans!$A:$C,3,FALSE), "     ")</f>
        <v>Presence of a list with R- and S-sentences on each storage area where this is relevant</v>
      </c>
      <c r="E130" s="12" t="s">
        <v>1409</v>
      </c>
    </row>
    <row r="131" spans="1:5" ht="63" x14ac:dyDescent="0.25">
      <c r="A131" s="12" t="s">
        <v>5441</v>
      </c>
      <c r="B131" s="10" t="str">
        <f>_xlfn.IFNA(VLOOKUP($A131,CompChecksTrans!$A:$C,2,FALSE), "")</f>
        <v>PI2.18</v>
      </c>
      <c r="C131" s="10" t="str">
        <f>_xlfn.IFNA(VLOOKUP(B131,Phase2!A$4:C$1000,3,FALSE),"")</f>
        <v>Do staff members know what R- and S-sentences are and how to find them?
Take a sample by asking some staff members.</v>
      </c>
      <c r="D131" s="10" t="str">
        <f>_xlfn.IFNA(VLOOKUP($A131,CompChecksTrans!$A:$C,3,FALSE), "     ")</f>
        <v>Minute of the staff meeting</v>
      </c>
      <c r="E131" s="12" t="s">
        <v>1409</v>
      </c>
    </row>
    <row r="132" spans="1:5" ht="63" x14ac:dyDescent="0.25">
      <c r="A132" s="12" t="s">
        <v>5442</v>
      </c>
      <c r="B132" s="10" t="str">
        <f>_xlfn.IFNA(VLOOKUP($A132,CompChecksTrans!$A:$C,2,FALSE), "")</f>
        <v>PM2.1</v>
      </c>
      <c r="C132" s="10" t="str">
        <f>_xlfn.IFNA(VLOOKUP(B132,Phase2!A$4:C$1000,3,FALSE),"")</f>
        <v>Has the laboratory formulated clear and specific sample acceptation/rejection criteria for each type of sample used by the laboratory, leaving no room for interpretation?</v>
      </c>
      <c r="D132" s="10" t="str">
        <f>_xlfn.IFNA(VLOOKUP($A132,CompChecksTrans!$A:$C,3,FALSE), "     ")</f>
        <v>Presence of the criteria for sample acceptance/rejection.</v>
      </c>
      <c r="E132" s="12" t="s">
        <v>1409</v>
      </c>
    </row>
    <row r="133" spans="1:5" ht="78.75" x14ac:dyDescent="0.25">
      <c r="A133" s="12" t="s">
        <v>5443</v>
      </c>
      <c r="B133" s="10" t="str">
        <f>_xlfn.IFNA(VLOOKUP($A133,CompChecksTrans!$A:$C,2,FALSE), "")</f>
        <v>PM2.2</v>
      </c>
      <c r="C133" s="10" t="str">
        <f>_xlfn.IFNA(VLOOKUP(B133,Phase2!A$4:C$1000,3,FALSE),"")</f>
        <v>Does the laboratory have an SOP for Sample Collection to ensure correct collection of good quality samples for each test, protecting the safety of both the sample collector and patient as well as the privacy of the patient?</v>
      </c>
      <c r="D133" s="10" t="str">
        <f>_xlfn.IFNA(VLOOKUP($A133,CompChecksTrans!$A:$C,3,FALSE), "     ")</f>
        <v>Presence of SOP for sample collection</v>
      </c>
      <c r="E133" s="12" t="s">
        <v>1409</v>
      </c>
    </row>
    <row r="134" spans="1:5" ht="31.5" x14ac:dyDescent="0.25">
      <c r="A134" s="12" t="s">
        <v>5444</v>
      </c>
      <c r="B134" s="10" t="str">
        <f>_xlfn.IFNA(VLOOKUP($A134,CompChecksTrans!$A:$C,2,FALSE), "")</f>
        <v>PM2.4</v>
      </c>
      <c r="C134" s="10" t="str">
        <f>_xlfn.IFNA(VLOOKUP(B134,Phase2!A$4:C$1000,3,FALSE),"")</f>
        <v>Does the laboratory have an SOP for Sample Reception and Processing?</v>
      </c>
      <c r="D134" s="10" t="str">
        <f>_xlfn.IFNA(VLOOKUP($A134,CompChecksTrans!$A:$C,3,FALSE), "     ")</f>
        <v>Presence of SOP for sample reception and processing.</v>
      </c>
      <c r="E134" s="12" t="s">
        <v>1409</v>
      </c>
    </row>
    <row r="135" spans="1:5" ht="47.25" x14ac:dyDescent="0.25">
      <c r="A135" s="12" t="s">
        <v>5445</v>
      </c>
      <c r="B135" s="10" t="str">
        <f>_xlfn.IFNA(VLOOKUP($A135,CompChecksTrans!$A:$C,2,FALSE), "")</f>
        <v>PM2.10</v>
      </c>
      <c r="C135" s="10" t="str">
        <f>_xlfn.IFNA(VLOOKUP(B135,Phase2!A$4:C$1000,3,FALSE),"")</f>
        <v>Does the SOP for Sample Reception and Processing have an appendix with a Sample Rejection Form?</v>
      </c>
      <c r="D135" s="10" t="str">
        <f>_xlfn.IFNA(VLOOKUP($A135,CompChecksTrans!$A:$C,3,FALSE), "     ")</f>
        <v>Presence of Sample Rejection Form in the SOP for Sample Reception and Processing as an appendix</v>
      </c>
      <c r="E135" s="12" t="s">
        <v>1409</v>
      </c>
    </row>
    <row r="136" spans="1:5" ht="31.5" x14ac:dyDescent="0.25">
      <c r="A136" s="12" t="s">
        <v>5446</v>
      </c>
      <c r="B136" s="10" t="str">
        <f>_xlfn.IFNA(VLOOKUP($A136,CompChecksTrans!$A:$C,2,FALSE), "")</f>
        <v>PM2.12</v>
      </c>
      <c r="C136" s="10" t="str">
        <f>_xlfn.IFNA(VLOOKUP(B136,Phase2!A$4:C$1000,3,FALSE),"")</f>
        <v>Are copies of completed forms stored at the laboratory?</v>
      </c>
      <c r="D136" s="10" t="str">
        <f>_xlfn.IFNA(VLOOKUP($A136,CompChecksTrans!$A:$C,3,FALSE), "     ")</f>
        <v>1. Presence of a folder "Rejected samples"</v>
      </c>
      <c r="E136" s="12" t="s">
        <v>1409</v>
      </c>
    </row>
    <row r="137" spans="1:5" ht="31.5" x14ac:dyDescent="0.25">
      <c r="A137" s="12" t="s">
        <v>5447</v>
      </c>
      <c r="B137" s="10" t="str">
        <f>_xlfn.IFNA(VLOOKUP($A137,CompChecksTrans!$A:$C,2,FALSE), "")</f>
        <v>PM2.12</v>
      </c>
      <c r="C137" s="10" t="str">
        <f>_xlfn.IFNA(VLOOKUP(B137,Phase2!A$4:C$1000,3,FALSE),"")</f>
        <v>Are copies of completed forms stored at the laboratory?</v>
      </c>
      <c r="D137" s="10" t="str">
        <f>_xlfn.IFNA(VLOOKUP($A137,CompChecksTrans!$A:$C,3,FALSE), "     ")</f>
        <v>2. Presence of the copies of the sample rejection form in the folder "Rejected Samples".</v>
      </c>
      <c r="E137" s="12" t="s">
        <v>1409</v>
      </c>
    </row>
    <row r="138" spans="1:5" ht="47.25" x14ac:dyDescent="0.25">
      <c r="A138" s="12" t="s">
        <v>5448</v>
      </c>
      <c r="B138" s="10" t="str">
        <f>_xlfn.IFNA(VLOOKUP($A138,CompChecksTrans!$A:$C,2,FALSE), "")</f>
        <v>PM2.13</v>
      </c>
      <c r="C138" s="10" t="str">
        <f>_xlfn.IFNA(VLOOKUP(B138,Phase2!A$4:C$1000,3,FALSE),"")</f>
        <v>Has the laboratory made flowcharts of all the procedures routinely being performed in the laboratory?</v>
      </c>
      <c r="D138" s="10" t="str">
        <f>_xlfn.IFNA(VLOOKUP($A138,CompChecksTrans!$A:$C,3,FALSE), "     ")</f>
        <v>Presence of process flowcharts for each section/unit of laboratory.</v>
      </c>
      <c r="E138" s="12" t="s">
        <v>1409</v>
      </c>
    </row>
    <row r="139" spans="1:5" ht="47.25" x14ac:dyDescent="0.25">
      <c r="A139" s="12" t="s">
        <v>5449</v>
      </c>
      <c r="B139" s="10" t="str">
        <f>_xlfn.IFNA(VLOOKUP($A139,CompChecksTrans!$A:$C,2,FALSE), "")</f>
        <v>PM2.14</v>
      </c>
      <c r="C139" s="10" t="str">
        <f>_xlfn.IFNA(VLOOKUP(B139,Phase2!A$4:C$1000,3,FALSE),"")</f>
        <v>Has the laboratory formulated quality controls to guard the quality of each process step in each procedure?</v>
      </c>
      <c r="D139" s="10" t="str">
        <f>_xlfn.IFNA(VLOOKUP($A139,CompChecksTrans!$A:$C,3,FALSE), "     ")</f>
        <v>Presence of process flowcharts for each section of laboratory with the possible failure and quality control steps.</v>
      </c>
      <c r="E139" s="12" t="s">
        <v>1409</v>
      </c>
    </row>
    <row r="140" spans="1:5" ht="31.5" x14ac:dyDescent="0.25">
      <c r="A140" s="12" t="s">
        <v>5450</v>
      </c>
      <c r="B140" s="10" t="str">
        <f>_xlfn.IFNA(VLOOKUP($A140,CompChecksTrans!$A:$C,2,FALSE), "")</f>
        <v>PM2.15</v>
      </c>
      <c r="C140" s="10" t="str">
        <f>_xlfn.IFNA(VLOOKUP(B140,Phase2!A$4:C$1000,3,FALSE),"")</f>
        <v>Are internal quality control results recorded in a register?</v>
      </c>
      <c r="D140" s="10" t="str">
        <f>_xlfn.IFNA(VLOOKUP($A140,CompChecksTrans!$A:$C,3,FALSE), "     ")</f>
        <v>Presence of IQC register for each section (include Levy Jennings chart for quantitative tests).</v>
      </c>
      <c r="E140" s="12" t="s">
        <v>1409</v>
      </c>
    </row>
    <row r="141" spans="1:5" ht="31.5" x14ac:dyDescent="0.25">
      <c r="A141" s="12" t="s">
        <v>5451</v>
      </c>
      <c r="B141" s="10" t="str">
        <f>_xlfn.IFNA(VLOOKUP($A141,CompChecksTrans!$A:$C,2,FALSE), "")</f>
        <v>PM2.16</v>
      </c>
      <c r="C141" s="10" t="str">
        <f>_xlfn.IFNA(VLOOKUP(B141,Phase2!A$4:C$1000,3,FALSE),"")</f>
        <v>Are internal quality control protocols included in all relevant SOPs?</v>
      </c>
      <c r="D141" s="10" t="str">
        <f>_xlfn.IFNA(VLOOKUP($A141,CompChecksTrans!$A:$C,3,FALSE), "     ")</f>
        <v>All relevant SOPs in laboratory has internal quality control protocols.</v>
      </c>
      <c r="E141" s="12" t="s">
        <v>1408</v>
      </c>
    </row>
    <row r="142" spans="1:5" ht="31.5" x14ac:dyDescent="0.25">
      <c r="A142" s="12" t="s">
        <v>5452</v>
      </c>
      <c r="B142" s="10" t="str">
        <f>_xlfn.IFNA(VLOOKUP($A142,CompChecksTrans!$A:$C,2,FALSE), "")</f>
        <v>PM2.17</v>
      </c>
      <c r="C142" s="10" t="str">
        <f>_xlfn.IFNA(VLOOKUP(B142,Phase2!A$4:C$1000,3,FALSE),"")</f>
        <v>Does the laboratory have an SOP for Internal Quality Control that contains:</v>
      </c>
      <c r="D142" s="10" t="str">
        <f>_xlfn.IFNA(VLOOKUP($A142,CompChecksTrans!$A:$C,3,FALSE), "     ")</f>
        <v>Presence of SOP for internal quality control.</v>
      </c>
      <c r="E142" s="12" t="s">
        <v>1409</v>
      </c>
    </row>
    <row r="143" spans="1:5" ht="47.25" x14ac:dyDescent="0.25">
      <c r="A143" s="12" t="s">
        <v>5453</v>
      </c>
      <c r="B143" s="10" t="str">
        <f>_xlfn.IFNA(VLOOKUP($A143,CompChecksTrans!$A:$C,2,FALSE), "")</f>
        <v>PM2.18</v>
      </c>
      <c r="C143" s="10" t="str">
        <f>_xlfn.IFNA(VLOOKUP(B143,Phase2!A$4:C$1000,3,FALSE),"")</f>
        <v>Does the laboratory monitor internal quality control results and act on quality control failures?</v>
      </c>
      <c r="D143" s="10" t="str">
        <f>_xlfn.IFNA(VLOOKUP($A143,CompChecksTrans!$A:$C,3,FALSE), "     ")</f>
        <v>Presence of a nonconformity folder with the records of nonconformities.</v>
      </c>
      <c r="E143" s="12" t="s">
        <v>1408</v>
      </c>
    </row>
    <row r="144" spans="1:5" ht="31.5" x14ac:dyDescent="0.25">
      <c r="A144" s="12" t="s">
        <v>5454</v>
      </c>
      <c r="B144" s="10" t="str">
        <f>_xlfn.IFNA(VLOOKUP($A144,CompChecksTrans!$A:$C,2,FALSE), "")</f>
        <v>PM2.19</v>
      </c>
      <c r="C144" s="10" t="str">
        <f>_xlfn.IFNA(VLOOKUP(B144,Phase2!A$4:C$1000,3,FALSE),"")</f>
        <v>Are internal quality control results continuously monitored?</v>
      </c>
      <c r="D144" s="10" t="str">
        <f>_xlfn.IFNA(VLOOKUP($A144,CompChecksTrans!$A:$C,3,FALSE), "     ")</f>
        <v>1. Presence of daily note, signature and date of responsible person on the Levey Jenning control chart and IQC register</v>
      </c>
      <c r="E144" s="12" t="s">
        <v>1408</v>
      </c>
    </row>
    <row r="145" spans="1:5" ht="31.5" x14ac:dyDescent="0.25">
      <c r="A145" s="12" t="s">
        <v>5455</v>
      </c>
      <c r="B145" s="10" t="str">
        <f>_xlfn.IFNA(VLOOKUP($A145,CompChecksTrans!$A:$C,2,FALSE), "")</f>
        <v>PM2.19</v>
      </c>
      <c r="C145" s="10" t="str">
        <f>_xlfn.IFNA(VLOOKUP(B145,Phase2!A$4:C$1000,3,FALSE),"")</f>
        <v>Are internal quality control results continuously monitored?</v>
      </c>
      <c r="D145" s="10" t="str">
        <f>_xlfn.IFNA(VLOOKUP($A145,CompChecksTrans!$A:$C,3,FALSE), "     ")</f>
        <v>2. Presence of weekly note, signature and date of Quality Officer or Lab manager on the Levey Jenning control chart and IQC register</v>
      </c>
      <c r="E145" s="12" t="s">
        <v>1409</v>
      </c>
    </row>
    <row r="146" spans="1:5" ht="47.25" x14ac:dyDescent="0.25">
      <c r="A146" s="12" t="s">
        <v>5456</v>
      </c>
      <c r="B146" s="10" t="str">
        <f>_xlfn.IFNA(VLOOKUP($A146,CompChecksTrans!$A:$C,2,FALSE), "")</f>
        <v>PM2.20</v>
      </c>
      <c r="C146" s="10" t="str">
        <f>_xlfn.IFNA(VLOOKUP(B146,Phase2!A$4:C$1000,3,FALSE),"")</f>
        <v>Does the laboratory undertake action as soon as possible to solve internal quality control failures/deviations from trends?</v>
      </c>
      <c r="D146" s="10" t="str">
        <f>_xlfn.IFNA(VLOOKUP($A146,CompChecksTrans!$A:$C,3,FALSE), "     ")</f>
        <v xml:space="preserve">Presence of filled nonconformity form </v>
      </c>
      <c r="E146" s="12" t="s">
        <v>1409</v>
      </c>
    </row>
    <row r="147" spans="1:5" ht="47.25" x14ac:dyDescent="0.25">
      <c r="A147" s="12" t="s">
        <v>5457</v>
      </c>
      <c r="B147" s="10" t="str">
        <f>_xlfn.IFNA(VLOOKUP($A147,CompChecksTrans!$A:$C,2,FALSE), "")</f>
        <v>PM2.21</v>
      </c>
      <c r="C147" s="10" t="str">
        <f>_xlfn.IFNA(VLOOKUP(B147,Phase2!A$4:C$1000,3,FALSE),"")</f>
        <v>Is reporting of results halted when internal quality controls deviate/fail?</v>
      </c>
      <c r="D147" s="10" t="str">
        <f>_xlfn.IFNA(VLOOKUP($A147,CompChecksTrans!$A:$C,3,FALSE), "     ")</f>
        <v>Presence of filled nonconformity form with results halted when IQC fail.</v>
      </c>
      <c r="E147" s="12" t="s">
        <v>1408</v>
      </c>
    </row>
    <row r="148" spans="1:5" ht="47.25" x14ac:dyDescent="0.25">
      <c r="A148" s="12" t="s">
        <v>5458</v>
      </c>
      <c r="B148" s="10" t="str">
        <f>_xlfn.IFNA(VLOOKUP($A148,CompChecksTrans!$A:$C,2,FALSE), "")</f>
        <v>PM2.22</v>
      </c>
      <c r="C148" s="10" t="str">
        <f>_xlfn.IFNA(VLOOKUP(B148,Phase2!A$4:C$1000,3,FALSE),"")</f>
        <v>Has the laboratory developed a list of all SOPs needed to standardize the entire primary process?</v>
      </c>
      <c r="D148" s="10" t="str">
        <f>_xlfn.IFNA(VLOOKUP($A148,CompChecksTrans!$A:$C,3,FALSE), "     ")</f>
        <v>Presence of a list of all the needed SOPs according to the flowcharts</v>
      </c>
      <c r="E148" s="12" t="s">
        <v>1409</v>
      </c>
    </row>
    <row r="149" spans="1:5" ht="94.5" x14ac:dyDescent="0.25">
      <c r="A149" s="12" t="s">
        <v>5459</v>
      </c>
      <c r="B149" s="10" t="str">
        <f>_xlfn.IFNA(VLOOKUP($A149,CompChecksTrans!$A:$C,2,FALSE), "")</f>
        <v>PM2.23</v>
      </c>
      <c r="C149" s="10" t="str">
        <f>_xlfn.IFNA(VLOOKUP(B149,Phase2!A$4:C$1000,3,FALSE),"")</f>
        <v>Are all routinely performed procedures in the laboratory standardized in SOPs?
Take a sample by asking for several SOPs indicated in the flow charts and check the document control log of the laboratory.</v>
      </c>
      <c r="D149" s="10" t="str">
        <f>_xlfn.IFNA(VLOOKUP($A149,CompChecksTrans!$A:$C,3,FALSE), "     ")</f>
        <v>Presence of all SOPs according to the list in previous item</v>
      </c>
      <c r="E149" s="12" t="s">
        <v>1409</v>
      </c>
    </row>
    <row r="150" spans="1:5" ht="31.5" x14ac:dyDescent="0.25">
      <c r="A150" s="12" t="s">
        <v>5460</v>
      </c>
      <c r="B150" s="10" t="str">
        <f>_xlfn.IFNA(VLOOKUP($A150,CompChecksTrans!$A:$C,2,FALSE), "")</f>
        <v>INFO2.1</v>
      </c>
      <c r="C150" s="10" t="str">
        <f>_xlfn.IFNA(VLOOKUP(B150,Phase2!A$4:C$1000,3,FALSE),"")</f>
        <v>Does the laboratory have a fixed format for the Result Report?</v>
      </c>
      <c r="D150" s="10" t="str">
        <f>_xlfn.IFNA(VLOOKUP($A150,CompChecksTrans!$A:$C,3,FALSE), "     ")</f>
        <v>Presence of a fixed format for the Result Report (see CamLIS)</v>
      </c>
      <c r="E150" s="12" t="s">
        <v>1408</v>
      </c>
    </row>
    <row r="151" spans="1:5" ht="47.25" x14ac:dyDescent="0.25">
      <c r="A151" s="12" t="s">
        <v>5461</v>
      </c>
      <c r="B151" s="10" t="str">
        <f>_xlfn.IFNA(VLOOKUP($A151,CompChecksTrans!$A:$C,2,FALSE), "")</f>
        <v>INFO2.3</v>
      </c>
      <c r="C151" s="10" t="str">
        <f>_xlfn.IFNA(VLOOKUP(B151,Phase2!A$4:C$1000,3,FALSE),"")</f>
        <v>Was the format of the Result Report discussed with regular clients of the laboratory during development?</v>
      </c>
      <c r="D151" s="10" t="str">
        <f>_xlfn.IFNA(VLOOKUP($A151,CompChecksTrans!$A:$C,3,FALSE), "     ")</f>
        <v>CamLIS has disccused with the clients during the development phase</v>
      </c>
      <c r="E151" s="12" t="s">
        <v>1408</v>
      </c>
    </row>
    <row r="152" spans="1:5" ht="31.5" x14ac:dyDescent="0.25">
      <c r="A152" s="12" t="s">
        <v>5462</v>
      </c>
      <c r="B152" s="10" t="str">
        <f>_xlfn.IFNA(VLOOKUP($A152,CompChecksTrans!$A:$C,2,FALSE), "")</f>
        <v>INFO2.4</v>
      </c>
      <c r="C152" s="10" t="str">
        <f>_xlfn.IFNA(VLOOKUP(B152,Phase2!A$4:C$1000,3,FALSE),"")</f>
        <v>Is a procedure in place that ensures verification of correct transcription of results on reports?</v>
      </c>
      <c r="D152" s="10" t="str">
        <f>_xlfn.IFNA(VLOOKUP($A152,CompChecksTrans!$A:$C,3,FALSE), "     ")</f>
        <v>Presence of an SOP for Recording, Reporting and Archiving of Results.</v>
      </c>
      <c r="E152" s="12" t="s">
        <v>1409</v>
      </c>
    </row>
    <row r="153" spans="1:5" ht="47.25" x14ac:dyDescent="0.25">
      <c r="A153" s="12" t="s">
        <v>5463</v>
      </c>
      <c r="B153" s="10" t="str">
        <f>_xlfn.IFNA(VLOOKUP($A153,CompChecksTrans!$A:$C,2,FALSE), "")</f>
        <v>INFO2.6</v>
      </c>
      <c r="C153" s="10" t="str">
        <f>_xlfn.IFNA(VLOOKUP(B153,Phase2!A$4:C$1000,3,FALSE),"")</f>
        <v>Does the laboratory have a procedure to ensure immediate notification of the requester in case results fall within critical intervals?</v>
      </c>
      <c r="D153" s="10" t="str">
        <f>_xlfn.IFNA(VLOOKUP($A153,CompChecksTrans!$A:$C,3,FALSE), "     ")</f>
        <v>Presence of the blank "Immediate Notification Form" next to the telephone</v>
      </c>
      <c r="E153" s="12" t="s">
        <v>1408</v>
      </c>
    </row>
    <row r="154" spans="1:5" ht="63" x14ac:dyDescent="0.25">
      <c r="A154" s="12" t="s">
        <v>5464</v>
      </c>
      <c r="B154" s="10" t="str">
        <f>_xlfn.IFNA(VLOOKUP($A154,CompChecksTrans!$A:$C,2,FALSE), "")</f>
        <v>INFO2.7</v>
      </c>
      <c r="C154" s="10" t="str">
        <f>_xlfn.IFNA(VLOOKUP(B154,Phase2!A$4:C$1000,3,FALSE),"")</f>
        <v>Does the laboratory record the occurrences in which results fall within critical intervals and requesters have to be notified directly (for verification purposes)?</v>
      </c>
      <c r="D154" s="10" t="str">
        <f>_xlfn.IFNA(VLOOKUP($A154,CompChecksTrans!$A:$C,3,FALSE), "     ")</f>
        <v>Presence of the filled "Immediate Notification Form" kept in the folder locked in the cabinet</v>
      </c>
      <c r="E154" s="12" t="s">
        <v>1409</v>
      </c>
    </row>
    <row r="155" spans="1:5" ht="78.75" x14ac:dyDescent="0.25">
      <c r="A155" s="12" t="s">
        <v>5465</v>
      </c>
      <c r="B155" s="10" t="str">
        <f>_xlfn.IFNA(VLOOKUP($A155,CompChecksTrans!$A:$C,2,FALSE), "")</f>
        <v>INFO2.10</v>
      </c>
      <c r="C155" s="10" t="str">
        <f>_xlfn.IFNA(VLOOKUP(B155,Phase2!A$4:C$1000,3,FALSE),"")</f>
        <v>Are patient data (such as Request Forms, work forms, registers, copies of Result Reports, revised Result Reports, Immediate Notification Forms, etc.) stored securely, protected from unauthorized access?</v>
      </c>
      <c r="D155" s="10" t="str">
        <f>_xlfn.IFNA(VLOOKUP($A155,CompChecksTrans!$A:$C,3,FALSE), "     ")</f>
        <v>Presence of a locked cabinet that all records containing patient data are stored and that this cabinet can only be opened by authorized staff members.</v>
      </c>
      <c r="E155" s="12" t="s">
        <v>1409</v>
      </c>
    </row>
    <row r="156" spans="1:5" ht="78.75" x14ac:dyDescent="0.25">
      <c r="A156" s="12" t="s">
        <v>5466</v>
      </c>
      <c r="B156" s="10" t="str">
        <f>_xlfn.IFNA(VLOOKUP($A156,CompChecksTrans!$A:$C,2,FALSE), "")</f>
        <v>INFO2.11</v>
      </c>
      <c r="C156" s="10" t="str">
        <f>_xlfn.IFNA(VLOOKUP(B156,Phase2!A$4:C$1000,3,FALSE),"")</f>
        <v>Are patient data (such as Request Forms, work forms, registers, copies of Result Reports, revised Result Reports, Immediate Notification Forms, etc.) stored in a logical way enabling quick and easy retrieval of data?</v>
      </c>
      <c r="D156" s="10" t="str">
        <f>_xlfn.IFNA(VLOOKUP($A156,CompChecksTrans!$A:$C,3,FALSE), "     ")</f>
        <v>1. Patient data are store in a quick and easy retrieval way</v>
      </c>
      <c r="E156" s="12" t="s">
        <v>1408</v>
      </c>
    </row>
    <row r="157" spans="1:5" ht="78.75" x14ac:dyDescent="0.25">
      <c r="A157" s="12" t="s">
        <v>5467</v>
      </c>
      <c r="B157" s="10" t="str">
        <f>_xlfn.IFNA(VLOOKUP($A157,CompChecksTrans!$A:$C,2,FALSE), "")</f>
        <v>INFO2.11</v>
      </c>
      <c r="C157" s="10" t="str">
        <f>_xlfn.IFNA(VLOOKUP(B157,Phase2!A$4:C$1000,3,FALSE),"")</f>
        <v>Are patient data (such as Request Forms, work forms, registers, copies of Result Reports, revised Result Reports, Immediate Notification Forms, etc.) stored in a logical way enabling quick and easy retrieval of data?</v>
      </c>
      <c r="D157" s="10" t="str">
        <f>_xlfn.IFNA(VLOOKUP($A157,CompChecksTrans!$A:$C,3,FALSE), "     ")</f>
        <v>2. Available of updated Authorization Matrix and Personal Job Descriptiont of the assinged staff who are authorized to access the patient data archive.</v>
      </c>
      <c r="E157" s="12" t="s">
        <v>1408</v>
      </c>
    </row>
    <row r="158" spans="1:5" ht="63" x14ac:dyDescent="0.25">
      <c r="A158" s="12" t="s">
        <v>5468</v>
      </c>
      <c r="B158" s="10" t="str">
        <f>_xlfn.IFNA(VLOOKUP($A158,CompChecksTrans!$A:$C,2,FALSE), "")</f>
        <v>INFO2.14</v>
      </c>
      <c r="C158" s="10" t="str">
        <f>_xlfn.IFNA(VLOOKUP(B158,Phase2!A$4:C$1000,3,FALSE),"")</f>
        <v>Are all staff members that are involved in any way in recording, reporting and archiving of results aware of the contents of the SOP for Recording, Reporting and Archiving of Results?</v>
      </c>
      <c r="D158" s="10" t="str">
        <f>_xlfn.IFNA(VLOOKUP($A158,CompChecksTrans!$A:$C,3,FALSE), "     ")</f>
        <v>Presence of Read and Understood list with signatures.</v>
      </c>
      <c r="E158" s="12" t="s">
        <v>1409</v>
      </c>
    </row>
    <row r="159" spans="1:5" ht="47.25" x14ac:dyDescent="0.25">
      <c r="A159" s="12" t="s">
        <v>5469</v>
      </c>
      <c r="B159" s="10" t="str">
        <f>_xlfn.IFNA(VLOOKUP($A159,CompChecksTrans!$A:$C,2,FALSE), "")</f>
        <v>INFO2.15</v>
      </c>
      <c r="C159" s="10" t="str">
        <f>_xlfn.IFNA(VLOOKUP(B159,Phase2!A$4:C$1000,3,FALSE),"")</f>
        <v>Is the laboratory able to trace back the staff members who signed documents based on the signature or initials?</v>
      </c>
      <c r="D159" s="10" t="str">
        <f>_xlfn.IFNA(VLOOKUP($A159,CompChecksTrans!$A:$C,3,FALSE), "     ")</f>
        <v>Presence of the Signature List for all staffs.</v>
      </c>
      <c r="E159" s="12" t="s">
        <v>1408</v>
      </c>
    </row>
    <row r="160" spans="1:5" ht="31.5" x14ac:dyDescent="0.25">
      <c r="A160" s="12" t="s">
        <v>5470</v>
      </c>
      <c r="B160" s="10" t="str">
        <f>_xlfn.IFNA(VLOOKUP($A160,CompChecksTrans!$A:$C,2,FALSE), "")</f>
        <v>INFO2.16</v>
      </c>
      <c r="C160" s="10" t="str">
        <f>_xlfn.IFNA(VLOOKUP(B160,Phase2!A$4:C$1000,3,FALSE),"")</f>
        <v>Have all laboratory staff members signed a confidentiality agreement?</v>
      </c>
      <c r="D160" s="10" t="str">
        <f>_xlfn.IFNA(VLOOKUP($A160,CompChecksTrans!$A:$C,3,FALSE), "     ")</f>
        <v>1. Presence of Confidentiality Agreement Form for each staff with signature of each staff on it and kept in personnel files.</v>
      </c>
      <c r="E160" s="12" t="s">
        <v>1409</v>
      </c>
    </row>
    <row r="161" spans="1:5" ht="47.25" x14ac:dyDescent="0.25">
      <c r="A161" s="12" t="s">
        <v>5471</v>
      </c>
      <c r="B161" s="10" t="str">
        <f>_xlfn.IFNA(VLOOKUP($A161,CompChecksTrans!$A:$C,2,FALSE), "")</f>
        <v>INFO2.17</v>
      </c>
      <c r="C161" s="10" t="str">
        <f>_xlfn.IFNA(VLOOKUP(B161,Phase2!A$4:C$1000,3,FALSE),"")</f>
        <v>If the laboratory stores information digitally: are weekly backups being made?</v>
      </c>
      <c r="D161" s="10" t="str">
        <f>_xlfn.IFNA(VLOOKUP($A161,CompChecksTrans!$A:$C,3,FALSE), "     ")</f>
        <v>Lab has a weekly backup of the digital laboratory information.</v>
      </c>
      <c r="E161" s="12" t="s">
        <v>1409</v>
      </c>
    </row>
    <row r="162" spans="1:5" ht="63" x14ac:dyDescent="0.25">
      <c r="A162" s="12" t="s">
        <v>5472</v>
      </c>
      <c r="B162" s="10" t="str">
        <f>_xlfn.IFNA(VLOOKUP($A162,CompChecksTrans!$A:$C,2,FALSE), "")</f>
        <v>INFO2.18</v>
      </c>
      <c r="C162" s="10" t="str">
        <f>_xlfn.IFNA(VLOOKUP(B162,Phase2!A$4:C$1000,3,FALSE),"")</f>
        <v>Are backups of the computerized system stored behind lock and key in another building than the laboratory building where the computerized system is?</v>
      </c>
      <c r="D162" s="10" t="str">
        <f>_xlfn.IFNA(VLOOKUP($A162,CompChecksTrans!$A:$C,3,FALSE), "     ")</f>
        <v>Presence of a proper storage place where laboratory information backups are stored behind lock and key, in another building than the laboratory building.</v>
      </c>
      <c r="E162" s="12" t="s">
        <v>1408</v>
      </c>
    </row>
    <row r="163" spans="1:5" ht="31.5" x14ac:dyDescent="0.25">
      <c r="A163" s="12" t="s">
        <v>5473</v>
      </c>
      <c r="B163" s="10" t="str">
        <f>_xlfn.IFNA(VLOOKUP($A163,CompChecksTrans!$A:$C,2,FALSE), "")</f>
        <v>DR2.1</v>
      </c>
      <c r="C163" s="10" t="str">
        <f>_xlfn.IFNA(VLOOKUP(B163,Phase2!A$4:C$1000,3,FALSE),"")</f>
        <v>Does the laboratory have an overview of the time each type of record should be archived?</v>
      </c>
      <c r="D163" s="10" t="str">
        <f>_xlfn.IFNA(VLOOKUP($A163,CompChecksTrans!$A:$C,3,FALSE), "     ")</f>
        <v>Presence of a Document Retention List</v>
      </c>
      <c r="E163" s="12" t="s">
        <v>1408</v>
      </c>
    </row>
    <row r="164" spans="1:5" ht="47.25" x14ac:dyDescent="0.25">
      <c r="A164" s="12" t="s">
        <v>5474</v>
      </c>
      <c r="B164" s="10" t="str">
        <f>_xlfn.IFNA(VLOOKUP($A164,CompChecksTrans!$A:$C,2,FALSE), "")</f>
        <v>DR2.4</v>
      </c>
      <c r="C164" s="10" t="str">
        <f>_xlfn.IFNA(VLOOKUP(B164,Phase2!A$4:C$1000,3,FALSE),"")</f>
        <v>Are inconsistencies and errors found in documents recorded in a Document Revision Form?</v>
      </c>
      <c r="D164" s="10" t="str">
        <f>_xlfn.IFNA(VLOOKUP($A164,CompChecksTrans!$A:$C,3,FALSE), "     ")</f>
        <v>1. Presence of the blank Document Revision Form in lab templates folder</v>
      </c>
      <c r="E164" s="12" t="s">
        <v>1409</v>
      </c>
    </row>
    <row r="165" spans="1:5" ht="47.25" x14ac:dyDescent="0.25">
      <c r="A165" s="12" t="s">
        <v>5475</v>
      </c>
      <c r="B165" s="10" t="str">
        <f>_xlfn.IFNA(VLOOKUP($A165,CompChecksTrans!$A:$C,2,FALSE), "")</f>
        <v>DR2.4</v>
      </c>
      <c r="C165" s="10" t="str">
        <f>_xlfn.IFNA(VLOOKUP(B165,Phase2!A$4:C$1000,3,FALSE),"")</f>
        <v>Are inconsistencies and errors found in documents recorded in a Document Revision Form?</v>
      </c>
      <c r="D165" s="10" t="str">
        <f>_xlfn.IFNA(VLOOKUP($A165,CompChecksTrans!$A:$C,3,FALSE), "     ")</f>
        <v>2. Presence of a Document Revision Form folder with the filled Document Revision Form</v>
      </c>
      <c r="E165" s="12" t="s">
        <v>1408</v>
      </c>
    </row>
    <row r="166" spans="1:5" ht="31.5" x14ac:dyDescent="0.25">
      <c r="A166" s="12" t="s">
        <v>5476</v>
      </c>
      <c r="B166" s="10" t="str">
        <f>_xlfn.IFNA(VLOOKUP($A166,CompChecksTrans!$A:$C,2,FALSE), "")</f>
        <v>DR2.6</v>
      </c>
      <c r="C166" s="10" t="str">
        <f>_xlfn.IFNA(VLOOKUP(B166,Phase2!A$4:C$1000,3,FALSE),"")</f>
        <v>Do staff members know what the Document Revision Form is for and do they know how to use it?</v>
      </c>
      <c r="D166" s="10" t="str">
        <f>_xlfn.IFNA(VLOOKUP($A166,CompChecksTrans!$A:$C,3,FALSE), "     ")</f>
        <v>Presence of minute of the meeting</v>
      </c>
      <c r="E166" s="12" t="s">
        <v>1409</v>
      </c>
    </row>
    <row r="167" spans="1:5" ht="94.5" x14ac:dyDescent="0.25">
      <c r="A167" s="12" t="s">
        <v>5477</v>
      </c>
      <c r="B167" s="10" t="str">
        <f>_xlfn.IFNA(VLOOKUP($A167,CompChecksTrans!$A:$C,2,FALSE), "")</f>
        <v>DR2.9</v>
      </c>
      <c r="C167" s="10" t="str">
        <f>_xlfn.IFNA(VLOOKUP(B167,Phase2!A$4:C$1000,3,FALSE),"")</f>
        <v>Does the laboratory have a document control system that ensures that all its quality documents are reviewed, and, when necessary, revised on an annual (or, after maturation of the quality management system, biannual) basis?</v>
      </c>
      <c r="D167" s="10" t="str">
        <f>_xlfn.IFNA(VLOOKUP($A167,CompChecksTrans!$A:$C,3,FALSE), "     ")</f>
        <v>Presence of document review schedule</v>
      </c>
      <c r="E167" s="12" t="s">
        <v>1409</v>
      </c>
    </row>
    <row r="168" spans="1:5" ht="31.5" x14ac:dyDescent="0.25">
      <c r="A168" s="12" t="s">
        <v>5478</v>
      </c>
      <c r="B168" s="10" t="str">
        <f>_xlfn.IFNA(VLOOKUP($A168,CompChecksTrans!$A:$C,2,FALSE), "")</f>
        <v>DR2.10</v>
      </c>
      <c r="C168" s="10" t="str">
        <f>_xlfn.IFNA(VLOOKUP(B168,Phase2!A$4:C$1000,3,FALSE),"")</f>
        <v>Are the Bench Aids used in the laboratory based on current versions of SOPs?</v>
      </c>
      <c r="D168" s="10" t="str">
        <f>_xlfn.IFNA(VLOOKUP($A168,CompChecksTrans!$A:$C,3,FALSE), "     ")</f>
        <v>Presence of up to date bench aids</v>
      </c>
      <c r="E168" s="12" t="s">
        <v>1408</v>
      </c>
    </row>
    <row r="169" spans="1:5" ht="47.25" x14ac:dyDescent="0.25">
      <c r="A169" s="12" t="s">
        <v>5479</v>
      </c>
      <c r="B169" s="10" t="str">
        <f>_xlfn.IFNA(VLOOKUP($A169,CompChecksTrans!$A:$C,2,FALSE), "")</f>
        <v>DR2.11</v>
      </c>
      <c r="C169" s="10" t="str">
        <f>_xlfn.IFNA(VLOOKUP(B169,Phase2!A$4:C$1000,3,FALSE),"")</f>
        <v>Have all quality documents currently in use been reviewed by at least one reviewer?</v>
      </c>
      <c r="D169" s="10" t="str">
        <f>_xlfn.IFNA(VLOOKUP($A169,CompChecksTrans!$A:$C,3,FALSE), "     ")</f>
        <v>All quality documents currently in use are reviewed by at least one reviewer</v>
      </c>
      <c r="E169" s="12" t="s">
        <v>1408</v>
      </c>
    </row>
    <row r="170" spans="1:5" ht="47.25" x14ac:dyDescent="0.25">
      <c r="A170" s="12" t="s">
        <v>5480</v>
      </c>
      <c r="B170" s="10" t="str">
        <f>_xlfn.IFNA(VLOOKUP($A170,CompChecksTrans!$A:$C,2,FALSE), "")</f>
        <v>DR2.12</v>
      </c>
      <c r="C170" s="10" t="str">
        <f>_xlfn.IFNA(VLOOKUP(B170,Phase2!A$4:C$1000,3,FALSE),"")</f>
        <v>Are all the quality documents used in the laboratory authorized for release?</v>
      </c>
      <c r="D170" s="10" t="str">
        <f>_xlfn.IFNA(VLOOKUP($A170,CompChecksTrans!$A:$C,3,FALSE), "     ")</f>
        <v>All the quality documents used in the laboratory are authorized for release</v>
      </c>
      <c r="E170" s="12" t="s">
        <v>1409</v>
      </c>
    </row>
    <row r="171" spans="1:5" ht="31.5" x14ac:dyDescent="0.25">
      <c r="A171" s="12" t="s">
        <v>5481</v>
      </c>
      <c r="B171" s="10" t="str">
        <f>_xlfn.IFNA(VLOOKUP($A171,CompChecksTrans!$A:$C,2,FALSE), "")</f>
        <v>DR2.13</v>
      </c>
      <c r="C171" s="10" t="str">
        <f>_xlfn.IFNA(VLOOKUP(B171,Phase2!A$4:C$1000,3,FALSE),"")</f>
        <v>Are all the quality documents used in the laboratory the current versions?</v>
      </c>
      <c r="D171" s="10" t="str">
        <f>_xlfn.IFNA(VLOOKUP($A171,CompChecksTrans!$A:$C,3,FALSE), "     ")</f>
        <v>All the quality documents used in the laboratory are the current versions</v>
      </c>
      <c r="E171" s="12" t="s">
        <v>1408</v>
      </c>
    </row>
    <row r="172" spans="1:5" ht="63" x14ac:dyDescent="0.25">
      <c r="A172" s="12" t="s">
        <v>5482</v>
      </c>
      <c r="B172" s="10" t="str">
        <f>_xlfn.IFNA(VLOOKUP($A172,CompChecksTrans!$A:$C,2,FALSE), "")</f>
        <v>DR2.14</v>
      </c>
      <c r="C172" s="10" t="str">
        <f>_xlfn.IFNA(VLOOKUP(B172,Phase2!A$4:C$1000,3,FALSE),"")</f>
        <v>Are copies of replaced quality documents in the quality documentation archive clearly marked as “replaced” with the date on which they were replaced?</v>
      </c>
      <c r="D172" s="10" t="str">
        <f>_xlfn.IFNA(VLOOKUP($A172,CompChecksTrans!$A:$C,3,FALSE), "     ")</f>
        <v>All the old version of quality documents in the quality documentation archive are  marked with the word “replaced” with the date on which they were replaced</v>
      </c>
      <c r="E172" s="12" t="s">
        <v>1409</v>
      </c>
    </row>
    <row r="173" spans="1:5" ht="31.5" x14ac:dyDescent="0.25">
      <c r="A173" s="12" t="s">
        <v>5483</v>
      </c>
      <c r="B173" s="10" t="str">
        <f>_xlfn.IFNA(VLOOKUP($A173,CompChecksTrans!$A:$C,2,FALSE), "")</f>
        <v>DR2.15</v>
      </c>
      <c r="C173" s="10" t="str">
        <f>_xlfn.IFNA(VLOOKUP(B173,Phase2!A$4:C$1000,3,FALSE),"")</f>
        <v>Are all the references in quality documents to other documents, locations and equipment correct?</v>
      </c>
      <c r="D173" s="10" t="str">
        <f>_xlfn.IFNA(VLOOKUP($A173,CompChecksTrans!$A:$C,3,FALSE), "     ")</f>
        <v>All references to other documents, to locations and to pieces of equipment are correct</v>
      </c>
      <c r="E173" s="12" t="s">
        <v>1409</v>
      </c>
    </row>
    <row r="174" spans="1:5" ht="47.25" x14ac:dyDescent="0.25">
      <c r="A174" s="12" t="s">
        <v>5484</v>
      </c>
      <c r="B174" s="10" t="str">
        <f>_xlfn.IFNA(VLOOKUP($A174,CompChecksTrans!$A:$C,2,FALSE), "")</f>
        <v>DR2.16</v>
      </c>
      <c r="C174" s="10" t="str">
        <f>_xlfn.IFNA(VLOOKUP(B174,Phase2!A$4:C$1000,3,FALSE),"")</f>
        <v>Does the laboratory have a dedicated archive in which it stores all its current and replaced quality documents for a period of five years?</v>
      </c>
      <c r="D174" s="10" t="str">
        <f>_xlfn.IFNA(VLOOKUP($A174,CompChecksTrans!$A:$C,3,FALSE), "     ")</f>
        <v>Presence of area/room/cabinet for storing all quality documents for a period of five years.</v>
      </c>
      <c r="E174" s="12" t="s">
        <v>1408</v>
      </c>
    </row>
    <row r="175" spans="1:5" ht="31.5" x14ac:dyDescent="0.25">
      <c r="A175" s="12" t="s">
        <v>5485</v>
      </c>
      <c r="B175" s="10" t="str">
        <f>_xlfn.IFNA(VLOOKUP($A175,CompChecksTrans!$A:$C,2,FALSE), "")</f>
        <v>DR2.17</v>
      </c>
      <c r="C175" s="10" t="str">
        <f>_xlfn.IFNA(VLOOKUP(B175,Phase2!A$4:C$1000,3,FALSE),"")</f>
        <v>Are all the procedures related to the document control system standardized in an SOP?</v>
      </c>
      <c r="D175" s="10" t="str">
        <f>_xlfn.IFNA(VLOOKUP($A175,CompChecksTrans!$A:$C,3,FALSE), "     ")</f>
        <v>Presence of SOP for document control</v>
      </c>
      <c r="E175" s="12" t="s">
        <v>1408</v>
      </c>
    </row>
    <row r="176" spans="1:5" ht="31.5" x14ac:dyDescent="0.25">
      <c r="A176" s="12" t="s">
        <v>5486</v>
      </c>
      <c r="B176" s="10" t="str">
        <f>_xlfn.IFNA(VLOOKUP($A176,CompChecksTrans!$A:$C,2,FALSE), "")</f>
        <v>CF2.1</v>
      </c>
      <c r="C176" s="10" t="str">
        <f>_xlfn.IFNA(VLOOKUP(B176,Phase2!A$4:C$1000,3,FALSE),"")</f>
        <v>Does the laboratory have a database/register with regular customers?</v>
      </c>
      <c r="D176" s="10" t="str">
        <f>_xlfn.IFNA(VLOOKUP($A176,CompChecksTrans!$A:$C,3,FALSE), "     ")</f>
        <v>Presence of Client Register, next to the telephone or on the wall, where is accessible to all staff</v>
      </c>
      <c r="E176" s="12" t="s">
        <v>1409</v>
      </c>
    </row>
    <row r="177" spans="1:5" ht="63" x14ac:dyDescent="0.25">
      <c r="A177" s="12" t="s">
        <v>5487</v>
      </c>
      <c r="B177" s="10" t="str">
        <f>_xlfn.IFNA(VLOOKUP($A177,CompChecksTrans!$A:$C,2,FALSE), "")</f>
        <v>CF2.2</v>
      </c>
      <c r="C177" s="10" t="str">
        <f>_xlfn.IFNA(VLOOKUP(B177,Phase2!A$4:C$1000,3,FALSE),"")</f>
        <v>Are correct biological reference intervals/decision values and alert/critical interval values included for all the examinations performed by the laboratory in the Laboratory Result Reports?</v>
      </c>
      <c r="D177" s="10" t="str">
        <f>_xlfn.IFNA(VLOOKUP($A177,CompChecksTrans!$A:$C,3,FALSE), "     ")</f>
        <v>1. Presence of Biological Reference value and Critical Values for Cambodian Population</v>
      </c>
      <c r="E177" s="12" t="s">
        <v>1408</v>
      </c>
    </row>
    <row r="178" spans="1:5" ht="63" x14ac:dyDescent="0.25">
      <c r="A178" s="12" t="s">
        <v>5488</v>
      </c>
      <c r="B178" s="10" t="str">
        <f>_xlfn.IFNA(VLOOKUP($A178,CompChecksTrans!$A:$C,2,FALSE), "")</f>
        <v>CF2.2</v>
      </c>
      <c r="C178" s="10" t="str">
        <f>_xlfn.IFNA(VLOOKUP(B178,Phase2!A$4:C$1000,3,FALSE),"")</f>
        <v>Are correct biological reference intervals/decision values and alert/critical interval values included for all the examinations performed by the laboratory in the Laboratory Result Reports?</v>
      </c>
      <c r="D178" s="10" t="str">
        <f>_xlfn.IFNA(VLOOKUP($A178,CompChecksTrans!$A:$C,3,FALSE), "     ")</f>
        <v>2. Presence of lab report form which include biological reference values</v>
      </c>
      <c r="E178" s="12" t="s">
        <v>1409</v>
      </c>
    </row>
    <row r="179" spans="1:5" ht="63" x14ac:dyDescent="0.25">
      <c r="A179" s="12" t="s">
        <v>5489</v>
      </c>
      <c r="B179" s="10" t="str">
        <f>_xlfn.IFNA(VLOOKUP($A179,CompChecksTrans!$A:$C,2,FALSE), "")</f>
        <v>CF2.2</v>
      </c>
      <c r="C179" s="10" t="str">
        <f>_xlfn.IFNA(VLOOKUP(B179,Phase2!A$4:C$1000,3,FALSE),"")</f>
        <v>Are correct biological reference intervals/decision values and alert/critical interval values included for all the examinations performed by the laboratory in the Laboratory Result Reports?</v>
      </c>
      <c r="D179" s="10" t="str">
        <f>_xlfn.IFNA(VLOOKUP($A179,CompChecksTrans!$A:$C,3,FALSE), "     ")</f>
        <v>3. Presence of lab service manual which include biological reference values and critival values</v>
      </c>
      <c r="E179" s="12" t="s">
        <v>1409</v>
      </c>
    </row>
    <row r="180" spans="1:5" ht="63" x14ac:dyDescent="0.25">
      <c r="A180" s="12" t="s">
        <v>5490</v>
      </c>
      <c r="B180" s="10" t="str">
        <f>_xlfn.IFNA(VLOOKUP($A180,CompChecksTrans!$A:$C,2,FALSE), "")</f>
        <v>CF2.3</v>
      </c>
      <c r="C180" s="10" t="str">
        <f>_xlfn.IFNA(VLOOKUP(B180,Phase2!A$4:C$1000,3,FALSE),"")</f>
        <v>Is the correctness of the biological reference intervals/diagnostic decision values and alert/critical interval values regularly verified for all the examinations performed by the laboratory?</v>
      </c>
      <c r="D180" s="10" t="str">
        <f>_xlfn.IFNA(VLOOKUP($A180,CompChecksTrans!$A:$C,3,FALSE), "     ")</f>
        <v>Presence of Biological Reference Interval regularly</v>
      </c>
      <c r="E180" s="12" t="s">
        <v>1408</v>
      </c>
    </row>
    <row r="181" spans="1:5" ht="78.75" x14ac:dyDescent="0.25">
      <c r="A181" s="12" t="s">
        <v>5491</v>
      </c>
      <c r="B181" s="10" t="str">
        <f>_xlfn.IFNA(VLOOKUP($A181,CompChecksTrans!$A:$C,2,FALSE), "")</f>
        <v>CF2.4</v>
      </c>
      <c r="C181" s="10" t="str">
        <f>_xlfn.IFNA(VLOOKUP(B181,Phase2!A$4:C$1000,3,FALSE),"")</f>
        <v>If the methodology of an examination is changed, does the laboratory verify if the biological reference interval/diagnostic decision value and alert/critical interval value is still correct for that examination?</v>
      </c>
      <c r="D181" s="10" t="str">
        <f>_xlfn.IFNA(VLOOKUP($A181,CompChecksTrans!$A:$C,3,FALSE), "     ")</f>
        <v>Presence of Biological Reference Interval, based on the brands of reagents</v>
      </c>
      <c r="E181" s="12" t="s">
        <v>1408</v>
      </c>
    </row>
    <row r="182" spans="1:5" ht="31.5" x14ac:dyDescent="0.25">
      <c r="A182" s="12" t="s">
        <v>5492</v>
      </c>
      <c r="B182" s="10" t="str">
        <f>_xlfn.IFNA(VLOOKUP($A182,CompChecksTrans!$A:$C,2,FALSE), "")</f>
        <v>CF2.6</v>
      </c>
      <c r="C182" s="10" t="str">
        <f>_xlfn.IFNA(VLOOKUP(B182,Phase2!A$4:C$1000,3,FALSE),"")</f>
        <v>Has the Laboratory Service Manual been sent to all the clients of the laboratory?</v>
      </c>
      <c r="D182" s="10" t="str">
        <f>_xlfn.IFNA(VLOOKUP($A182,CompChecksTrans!$A:$C,3,FALSE), "     ")</f>
        <v>Presence of Lab Service Manual in all wards in the hospitals</v>
      </c>
      <c r="E182" s="12" t="s">
        <v>1409</v>
      </c>
    </row>
    <row r="183" spans="1:5" ht="78.75" x14ac:dyDescent="0.25">
      <c r="A183" s="12" t="s">
        <v>5493</v>
      </c>
      <c r="B183" s="10" t="str">
        <f>_xlfn.IFNA(VLOOKUP($A183,CompChecksTrans!$A:$C,2,FALSE), "")</f>
        <v>CF2.7</v>
      </c>
      <c r="C183" s="10" t="str">
        <f>_xlfn.IFNA(VLOOKUP(B183,Phase2!A$4:C$1000,3,FALSE),"")</f>
        <v>When changes are made to the service manual, is the new version directly printed and sent to the clients of the laboratory, with the note that they have to destroy the previous version?</v>
      </c>
      <c r="D183" s="10" t="str">
        <f>_xlfn.IFNA(VLOOKUP($A183,CompChecksTrans!$A:$C,3,FALSE), "     ")</f>
        <v>Presence of update Lab Service Manual according to the SOP of document control</v>
      </c>
      <c r="E183" s="12" t="s">
        <v>1408</v>
      </c>
    </row>
    <row r="184" spans="1:5" ht="78.75" x14ac:dyDescent="0.25">
      <c r="A184" s="12" t="s">
        <v>5494</v>
      </c>
      <c r="B184" s="10" t="str">
        <f>_xlfn.IFNA(VLOOKUP($A184,CompChecksTrans!$A:$C,2,FALSE), "")</f>
        <v>CF2.31</v>
      </c>
      <c r="C184" s="10" t="str">
        <f>_xlfn.IFNA(VLOOKUP(B184,Phase2!A$4:C$1000,3,FALSE),"")</f>
        <v>Are correct biological reference intervals/decision values and alert/critical interval values included for all the examinations performed by the laboratory in the Laboratory Service Manual?</v>
      </c>
      <c r="D184" s="10" t="str">
        <f>_xlfn.IFNA(VLOOKUP($A184,CompChecksTrans!$A:$C,3,FALSE), "     ")</f>
        <v>See item 168</v>
      </c>
      <c r="E184" s="12" t="s">
        <v>1409</v>
      </c>
    </row>
    <row r="185" spans="1:5" ht="126" x14ac:dyDescent="0.25">
      <c r="A185" s="12" t="s">
        <v>5495</v>
      </c>
      <c r="B185" s="10" t="str">
        <f>_xlfn.IFNA(VLOOKUP($A185,CompChecksTrans!$A:$C,2,FALSE), "")</f>
        <v>CF2.32</v>
      </c>
      <c r="C185" s="10" t="str">
        <f>_xlfn.IFNA(VLOOKUP(B185,Phase2!A$4:C$1000,3,FALSE),"")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185" s="10" t="str">
        <f>_xlfn.IFNA(VLOOKUP($A185,CompChecksTrans!$A:$C,3,FALSE), "     ")</f>
        <v>Presence of an updated biological reference interval/diagnostic decision value and/or alert/critical interval values in
- the Laboratory Service Manual</v>
      </c>
      <c r="E185" s="12" t="s">
        <v>1409</v>
      </c>
    </row>
    <row r="186" spans="1:5" ht="126" x14ac:dyDescent="0.25">
      <c r="A186" s="12" t="s">
        <v>5496</v>
      </c>
      <c r="B186" s="10" t="str">
        <f>_xlfn.IFNA(VLOOKUP($A186,CompChecksTrans!$A:$C,2,FALSE), "")</f>
        <v>CF2.32</v>
      </c>
      <c r="C186" s="10" t="str">
        <f>_xlfn.IFNA(VLOOKUP(B186,Phase2!A$4:C$1000,3,FALSE),"")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186" s="10" t="str">
        <f>_xlfn.IFNA(VLOOKUP($A186,CompChecksTrans!$A:$C,3,FALSE), "     ")</f>
        <v xml:space="preserve"> the Laboratory Result Report format</v>
      </c>
      <c r="E186" s="12" t="s">
        <v>1408</v>
      </c>
    </row>
    <row r="187" spans="1:5" ht="126" x14ac:dyDescent="0.25">
      <c r="A187" s="12" t="s">
        <v>5497</v>
      </c>
      <c r="B187" s="10" t="str">
        <f>_xlfn.IFNA(VLOOKUP($A187,CompChecksTrans!$A:$C,2,FALSE), "")</f>
        <v>CF2.32</v>
      </c>
      <c r="C187" s="10" t="str">
        <f>_xlfn.IFNA(VLOOKUP(B187,Phase2!A$4:C$1000,3,FALSE),"")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187" s="10" t="str">
        <f>_xlfn.IFNA(VLOOKUP($A187,CompChecksTrans!$A:$C,3,FALSE), "     ")</f>
        <v>all wards of the hospitals</v>
      </c>
      <c r="E187" s="12" t="s">
        <v>1408</v>
      </c>
    </row>
    <row r="188" spans="1:5" x14ac:dyDescent="0.25">
      <c r="A188" s="12" t="s">
        <v>5498</v>
      </c>
      <c r="C188" s="10" t="str">
        <f>_xlfn.IFNA(VLOOKUP(B188,Phase2!A$4:C$1000,3,FALSE),"")</f>
        <v/>
      </c>
      <c r="D188" s="10" t="str">
        <f>_xlfn.IFNA(VLOOKUP($A188,CompChecksTrans!$A:$C,3,FALSE), "     ")</f>
        <v>Presence of PT result</v>
      </c>
    </row>
    <row r="189" spans="1:5" x14ac:dyDescent="0.25">
      <c r="A189" s="12" t="s">
        <v>5499</v>
      </c>
      <c r="C189" s="10" t="str">
        <f>_xlfn.IFNA(VLOOKUP(B189,Phase2!A$4:C$1000,3,FALSE),"")</f>
        <v/>
      </c>
      <c r="D189" s="10" t="str">
        <f>_xlfn.IFNA(VLOOKUP($A189,CompChecksTrans!$A:$C,3,FALSE), "     ")</f>
        <v>Presence of record on the causes of the problem, corrective actions, and preventive actions.</v>
      </c>
    </row>
    <row r="190" spans="1:5" x14ac:dyDescent="0.25">
      <c r="A190" s="12" t="s">
        <v>5500</v>
      </c>
      <c r="C190" s="10" t="str">
        <f>_xlfn.IFNA(VLOOKUP(B190,Phase2!A$4:C$1000,3,FALSE),"")</f>
        <v/>
      </c>
      <c r="D190" s="10" t="str">
        <f>_xlfn.IFNA(VLOOKUP($A190,CompChecksTrans!$A:$C,3,FALSE), "     ")</f>
        <v>Presence of SOP for external quality assessment procedures</v>
      </c>
    </row>
    <row r="191" spans="1:5" x14ac:dyDescent="0.25">
      <c r="A191" s="12" t="s">
        <v>5656</v>
      </c>
      <c r="C191" s="10" t="str">
        <f>_xlfn.IFNA(VLOOKUP(B191,Phase2!A$4:C$1000,3,FALSE),"")</f>
        <v/>
      </c>
      <c r="D191" s="10" t="str">
        <f>_xlfn.IFNA(VLOOKUP($A191,CompChecksTrans!$A:$C,3,FALSE), "     ")</f>
        <v xml:space="preserve">     </v>
      </c>
    </row>
    <row r="192" spans="1:5" x14ac:dyDescent="0.25">
      <c r="A192" s="12" t="s">
        <v>5657</v>
      </c>
      <c r="C192" s="10" t="str">
        <f>_xlfn.IFNA(VLOOKUP(B192,Phase2!A$4:C$1000,3,FALSE),"")</f>
        <v/>
      </c>
      <c r="D192" s="10" t="str">
        <f>_xlfn.IFNA(VLOOKUP($A192,CompChecksTrans!$A:$C,3,FALSE), "     ")</f>
        <v xml:space="preserve">     </v>
      </c>
    </row>
    <row r="193" spans="1:4" x14ac:dyDescent="0.25">
      <c r="A193" s="12" t="s">
        <v>5658</v>
      </c>
      <c r="C193" s="10" t="str">
        <f>_xlfn.IFNA(VLOOKUP(B193,Phase2!A$4:C$1000,3,FALSE),"")</f>
        <v/>
      </c>
      <c r="D193" s="10" t="str">
        <f>_xlfn.IFNA(VLOOKUP($A193,CompChecksTrans!$A:$C,3,FALSE), "     ")</f>
        <v xml:space="preserve">     </v>
      </c>
    </row>
    <row r="194" spans="1:4" x14ac:dyDescent="0.25">
      <c r="A194" s="12" t="s">
        <v>5659</v>
      </c>
      <c r="C194" s="10" t="str">
        <f>_xlfn.IFNA(VLOOKUP(B194,Phase2!A$4:C$1000,3,FALSE),"")</f>
        <v/>
      </c>
      <c r="D194" s="10" t="str">
        <f>_xlfn.IFNA(VLOOKUP($A194,CompChecksTrans!$A:$C,3,FALSE), "     ")</f>
        <v xml:space="preserve">     </v>
      </c>
    </row>
    <row r="195" spans="1:4" x14ac:dyDescent="0.25">
      <c r="A195" s="12" t="s">
        <v>5660</v>
      </c>
      <c r="C195" s="10" t="str">
        <f>_xlfn.IFNA(VLOOKUP(B195,Phase2!A$4:C$1000,3,FALSE),"")</f>
        <v/>
      </c>
      <c r="D195" s="10" t="str">
        <f>_xlfn.IFNA(VLOOKUP($A195,CompChecksTrans!$A:$C,3,FALSE), "     ")</f>
        <v xml:space="preserve">     </v>
      </c>
    </row>
    <row r="196" spans="1:4" x14ac:dyDescent="0.25">
      <c r="A196" s="12" t="s">
        <v>5661</v>
      </c>
      <c r="C196" s="10" t="str">
        <f>_xlfn.IFNA(VLOOKUP(B196,Phase2!A$4:C$1000,3,FALSE),"")</f>
        <v/>
      </c>
      <c r="D196" s="10" t="str">
        <f>_xlfn.IFNA(VLOOKUP($A196,CompChecksTrans!$A:$C,3,FALSE), "     ")</f>
        <v xml:space="preserve">     </v>
      </c>
    </row>
    <row r="197" spans="1:4" x14ac:dyDescent="0.25">
      <c r="A197" s="12" t="s">
        <v>5662</v>
      </c>
      <c r="C197" s="10" t="str">
        <f>_xlfn.IFNA(VLOOKUP(B197,Phase2!A$4:C$1000,3,FALSE),"")</f>
        <v/>
      </c>
      <c r="D197" s="10" t="str">
        <f>_xlfn.IFNA(VLOOKUP($A197,CompChecksTrans!$A:$C,3,FALSE), "     ")</f>
        <v xml:space="preserve">     </v>
      </c>
    </row>
    <row r="198" spans="1:4" x14ac:dyDescent="0.25">
      <c r="A198" s="12" t="s">
        <v>5663</v>
      </c>
      <c r="C198" s="10" t="str">
        <f>_xlfn.IFNA(VLOOKUP(B198,Phase2!A$4:C$1000,3,FALSE),"")</f>
        <v/>
      </c>
      <c r="D198" s="10" t="str">
        <f>_xlfn.IFNA(VLOOKUP($A198,CompChecksTrans!$A:$C,3,FALSE), "     ")</f>
        <v xml:space="preserve">     </v>
      </c>
    </row>
    <row r="199" spans="1:4" x14ac:dyDescent="0.25">
      <c r="A199" s="12" t="s">
        <v>5664</v>
      </c>
      <c r="C199" s="10" t="str">
        <f>_xlfn.IFNA(VLOOKUP(B199,Phase2!A$4:C$1000,3,FALSE),"")</f>
        <v/>
      </c>
      <c r="D199" s="10" t="str">
        <f>_xlfn.IFNA(VLOOKUP($A199,CompChecksTrans!$A:$C,3,FALSE), "     ")</f>
        <v xml:space="preserve">     </v>
      </c>
    </row>
    <row r="200" spans="1:4" x14ac:dyDescent="0.25">
      <c r="A200" s="12" t="s">
        <v>5665</v>
      </c>
      <c r="C200" s="10" t="str">
        <f>_xlfn.IFNA(VLOOKUP(B200,Phase2!A$4:C$1000,3,FALSE),"")</f>
        <v/>
      </c>
      <c r="D200" s="10" t="str">
        <f>_xlfn.IFNA(VLOOKUP($A200,CompChecksTrans!$A:$C,3,FALSE), "     ")</f>
        <v xml:space="preserve">     </v>
      </c>
    </row>
    <row r="201" spans="1:4" x14ac:dyDescent="0.25">
      <c r="A201" s="12" t="s">
        <v>5666</v>
      </c>
      <c r="C201" s="10" t="str">
        <f>_xlfn.IFNA(VLOOKUP(B201,Phase2!A$4:C$1000,3,FALSE),"")</f>
        <v/>
      </c>
      <c r="D201" s="10" t="str">
        <f>_xlfn.IFNA(VLOOKUP($A201,CompChecksTrans!$A:$C,3,FALSE), "     ")</f>
        <v xml:space="preserve">     </v>
      </c>
    </row>
    <row r="202" spans="1:4" x14ac:dyDescent="0.25">
      <c r="A202" s="12" t="s">
        <v>5667</v>
      </c>
      <c r="C202" s="10" t="str">
        <f>_xlfn.IFNA(VLOOKUP(B202,Phase2!A$4:C$1000,3,FALSE),"")</f>
        <v/>
      </c>
      <c r="D202" s="10" t="str">
        <f>_xlfn.IFNA(VLOOKUP($A202,CompChecksTrans!$A:$C,3,FALSE), "     ")</f>
        <v xml:space="preserve">     </v>
      </c>
    </row>
    <row r="203" spans="1:4" x14ac:dyDescent="0.25">
      <c r="A203" s="12" t="s">
        <v>5668</v>
      </c>
      <c r="C203" s="10" t="str">
        <f>_xlfn.IFNA(VLOOKUP(B203,Phase2!A$4:C$1000,3,FALSE),"")</f>
        <v/>
      </c>
      <c r="D203" s="10" t="str">
        <f>_xlfn.IFNA(VLOOKUP($A203,CompChecksTrans!$A:$C,3,FALSE), "     ")</f>
        <v xml:space="preserve">     </v>
      </c>
    </row>
    <row r="204" spans="1:4" x14ac:dyDescent="0.25">
      <c r="A204" s="12" t="s">
        <v>5669</v>
      </c>
      <c r="C204" s="10" t="str">
        <f>_xlfn.IFNA(VLOOKUP(B204,Phase2!A$4:C$1000,3,FALSE),"")</f>
        <v/>
      </c>
      <c r="D204" s="10" t="str">
        <f>_xlfn.IFNA(VLOOKUP($A204,CompChecksTrans!$A:$C,3,FALSE), "     ")</f>
        <v xml:space="preserve">     </v>
      </c>
    </row>
    <row r="205" spans="1:4" x14ac:dyDescent="0.25">
      <c r="A205" s="12" t="s">
        <v>5670</v>
      </c>
      <c r="C205" s="10" t="str">
        <f>_xlfn.IFNA(VLOOKUP(B205,Phase2!A$4:C$1000,3,FALSE),"")</f>
        <v/>
      </c>
      <c r="D205" s="10" t="str">
        <f>_xlfn.IFNA(VLOOKUP($A205,CompChecksTrans!$A:$C,3,FALSE), "     ")</f>
        <v xml:space="preserve">     </v>
      </c>
    </row>
    <row r="206" spans="1:4" x14ac:dyDescent="0.25">
      <c r="A206" s="12" t="s">
        <v>5671</v>
      </c>
      <c r="C206" s="10" t="str">
        <f>_xlfn.IFNA(VLOOKUP(B206,Phase2!A$4:C$1000,3,FALSE),"")</f>
        <v/>
      </c>
      <c r="D206" s="10" t="str">
        <f>_xlfn.IFNA(VLOOKUP($A206,CompChecksTrans!$A:$C,3,FALSE), "     ")</f>
        <v xml:space="preserve">     </v>
      </c>
    </row>
    <row r="207" spans="1:4" x14ac:dyDescent="0.25">
      <c r="A207" s="12" t="s">
        <v>5672</v>
      </c>
      <c r="C207" s="10" t="str">
        <f>_xlfn.IFNA(VLOOKUP(B207,Phase2!A$4:C$1000,3,FALSE),"")</f>
        <v/>
      </c>
      <c r="D207" s="10" t="str">
        <f>_xlfn.IFNA(VLOOKUP($A207,CompChecksTrans!$A:$C,3,FALSE), "     ")</f>
        <v xml:space="preserve">     </v>
      </c>
    </row>
    <row r="208" spans="1:4" x14ac:dyDescent="0.25">
      <c r="A208" s="12" t="s">
        <v>5673</v>
      </c>
      <c r="C208" s="10" t="str">
        <f>_xlfn.IFNA(VLOOKUP(B208,Phase2!A$4:C$1000,3,FALSE),"")</f>
        <v/>
      </c>
      <c r="D208" s="10" t="str">
        <f>_xlfn.IFNA(VLOOKUP($A208,CompChecksTrans!$A:$C,3,FALSE), "     ")</f>
        <v xml:space="preserve">     </v>
      </c>
    </row>
    <row r="209" spans="1:4" x14ac:dyDescent="0.25">
      <c r="A209" s="12" t="s">
        <v>5674</v>
      </c>
      <c r="C209" s="10" t="str">
        <f>_xlfn.IFNA(VLOOKUP(B209,Phase2!A$4:C$1000,3,FALSE),"")</f>
        <v/>
      </c>
      <c r="D209" s="10" t="str">
        <f>_xlfn.IFNA(VLOOKUP($A209,CompChecksTrans!$A:$C,3,FALSE), "     ")</f>
        <v xml:space="preserve">     </v>
      </c>
    </row>
    <row r="210" spans="1:4" x14ac:dyDescent="0.25">
      <c r="A210" s="12" t="s">
        <v>5675</v>
      </c>
      <c r="C210" s="10" t="str">
        <f>_xlfn.IFNA(VLOOKUP(B210,Phase2!A$4:C$1000,3,FALSE),"")</f>
        <v/>
      </c>
      <c r="D210" s="10" t="str">
        <f>_xlfn.IFNA(VLOOKUP($A210,CompChecksTrans!$A:$C,3,FALSE), "     ")</f>
        <v xml:space="preserve">     </v>
      </c>
    </row>
    <row r="211" spans="1:4" x14ac:dyDescent="0.25">
      <c r="A211" s="12" t="s">
        <v>5676</v>
      </c>
      <c r="C211" s="10" t="str">
        <f>_xlfn.IFNA(VLOOKUP(B211,Phase2!A$4:C$1000,3,FALSE),"")</f>
        <v/>
      </c>
      <c r="D211" s="10" t="str">
        <f>_xlfn.IFNA(VLOOKUP($A211,CompChecksTrans!$A:$C,3,FALSE), "     ")</f>
        <v xml:space="preserve">     </v>
      </c>
    </row>
    <row r="212" spans="1:4" x14ac:dyDescent="0.25">
      <c r="A212" s="12" t="s">
        <v>5677</v>
      </c>
      <c r="C212" s="10" t="str">
        <f>_xlfn.IFNA(VLOOKUP(B212,Phase2!A$4:C$1000,3,FALSE),"")</f>
        <v/>
      </c>
      <c r="D212" s="10" t="str">
        <f>_xlfn.IFNA(VLOOKUP($A212,CompChecksTrans!$A:$C,3,FALSE), "     ")</f>
        <v xml:space="preserve">     </v>
      </c>
    </row>
    <row r="213" spans="1:4" x14ac:dyDescent="0.25">
      <c r="A213" s="12" t="s">
        <v>5678</v>
      </c>
      <c r="C213" s="10" t="str">
        <f>_xlfn.IFNA(VLOOKUP(B213,Phase2!A$4:C$1000,3,FALSE),"")</f>
        <v/>
      </c>
      <c r="D213" s="10" t="str">
        <f>_xlfn.IFNA(VLOOKUP($A213,CompChecksTrans!$A:$C,3,FALSE), "     ")</f>
        <v xml:space="preserve">     </v>
      </c>
    </row>
    <row r="214" spans="1:4" x14ac:dyDescent="0.25">
      <c r="A214" s="12" t="s">
        <v>5679</v>
      </c>
      <c r="C214" s="10" t="str">
        <f>_xlfn.IFNA(VLOOKUP(B214,Phase2!A$4:C$1000,3,FALSE),"")</f>
        <v/>
      </c>
      <c r="D214" s="10" t="str">
        <f>_xlfn.IFNA(VLOOKUP($A214,CompChecksTrans!$A:$C,3,FALSE), "     ")</f>
        <v xml:space="preserve">     </v>
      </c>
    </row>
    <row r="215" spans="1:4" x14ac:dyDescent="0.25">
      <c r="A215" s="12" t="s">
        <v>5680</v>
      </c>
      <c r="C215" s="10" t="str">
        <f>_xlfn.IFNA(VLOOKUP(B215,Phase2!A$4:C$1000,3,FALSE),"")</f>
        <v/>
      </c>
      <c r="D215" s="10" t="str">
        <f>_xlfn.IFNA(VLOOKUP($A215,CompChecksTrans!$A:$C,3,FALSE), "     ")</f>
        <v xml:space="preserve">     </v>
      </c>
    </row>
    <row r="216" spans="1:4" x14ac:dyDescent="0.25">
      <c r="A216" s="12" t="s">
        <v>5681</v>
      </c>
      <c r="C216" s="10" t="str">
        <f>_xlfn.IFNA(VLOOKUP(B216,Phase2!A$4:C$1000,3,FALSE),"")</f>
        <v/>
      </c>
      <c r="D216" s="10" t="str">
        <f>_xlfn.IFNA(VLOOKUP($A216,CompChecksTrans!$A:$C,3,FALSE), "     ")</f>
        <v xml:space="preserve">     </v>
      </c>
    </row>
    <row r="217" spans="1:4" x14ac:dyDescent="0.25">
      <c r="A217" s="12" t="s">
        <v>5682</v>
      </c>
      <c r="C217" s="10" t="str">
        <f>_xlfn.IFNA(VLOOKUP(B217,Phase2!A$4:C$1000,3,FALSE),"")</f>
        <v/>
      </c>
      <c r="D217" s="10" t="str">
        <f>_xlfn.IFNA(VLOOKUP($A217,CompChecksTrans!$A:$C,3,FALSE), "     ")</f>
        <v xml:space="preserve">     </v>
      </c>
    </row>
    <row r="218" spans="1:4" x14ac:dyDescent="0.25">
      <c r="A218" s="12" t="s">
        <v>5683</v>
      </c>
      <c r="C218" s="10" t="str">
        <f>_xlfn.IFNA(VLOOKUP(B218,Phase2!A$4:C$1000,3,FALSE),"")</f>
        <v/>
      </c>
      <c r="D218" s="10" t="str">
        <f>_xlfn.IFNA(VLOOKUP($A218,CompChecksTrans!$A:$C,3,FALSE), "     ")</f>
        <v xml:space="preserve">     </v>
      </c>
    </row>
    <row r="219" spans="1:4" x14ac:dyDescent="0.25">
      <c r="A219" s="12" t="s">
        <v>5684</v>
      </c>
      <c r="C219" s="10" t="str">
        <f>_xlfn.IFNA(VLOOKUP(B219,Phase2!A$4:C$1000,3,FALSE),"")</f>
        <v/>
      </c>
      <c r="D219" s="10" t="str">
        <f>_xlfn.IFNA(VLOOKUP($A219,CompChecksTrans!$A:$C,3,FALSE), "     ")</f>
        <v xml:space="preserve">     </v>
      </c>
    </row>
    <row r="220" spans="1:4" x14ac:dyDescent="0.25">
      <c r="A220" s="12" t="s">
        <v>5685</v>
      </c>
      <c r="C220" s="10" t="str">
        <f>_xlfn.IFNA(VLOOKUP(B220,Phase2!A$4:C$1000,3,FALSE),"")</f>
        <v/>
      </c>
      <c r="D220" s="10" t="str">
        <f>_xlfn.IFNA(VLOOKUP($A220,CompChecksTrans!$A:$C,3,FALSE), "     ")</f>
        <v xml:space="preserve">     </v>
      </c>
    </row>
    <row r="221" spans="1:4" x14ac:dyDescent="0.25">
      <c r="A221" s="12" t="s">
        <v>5686</v>
      </c>
      <c r="C221" s="10" t="str">
        <f>_xlfn.IFNA(VLOOKUP(B221,Phase2!A$4:C$1000,3,FALSE),"")</f>
        <v/>
      </c>
      <c r="D221" s="10" t="str">
        <f>_xlfn.IFNA(VLOOKUP($A221,CompChecksTrans!$A:$C,3,FALSE), "     ")</f>
        <v xml:space="preserve">     </v>
      </c>
    </row>
    <row r="222" spans="1:4" x14ac:dyDescent="0.25">
      <c r="A222" s="12" t="s">
        <v>5687</v>
      </c>
      <c r="C222" s="10" t="str">
        <f>_xlfn.IFNA(VLOOKUP(B222,Phase2!A$4:C$1000,3,FALSE),"")</f>
        <v/>
      </c>
      <c r="D222" s="10" t="str">
        <f>_xlfn.IFNA(VLOOKUP($A222,CompChecksTrans!$A:$C,3,FALSE), "     ")</f>
        <v xml:space="preserve">     </v>
      </c>
    </row>
    <row r="223" spans="1:4" x14ac:dyDescent="0.25">
      <c r="A223" s="12" t="s">
        <v>5688</v>
      </c>
      <c r="C223" s="10" t="str">
        <f>_xlfn.IFNA(VLOOKUP(B223,Phase2!A$4:C$1000,3,FALSE),"")</f>
        <v/>
      </c>
      <c r="D223" s="10" t="str">
        <f>_xlfn.IFNA(VLOOKUP($A223,CompChecksTrans!$A:$C,3,FALSE), "     ")</f>
        <v xml:space="preserve">     </v>
      </c>
    </row>
    <row r="224" spans="1:4" x14ac:dyDescent="0.25">
      <c r="A224" s="12" t="s">
        <v>5689</v>
      </c>
      <c r="C224" s="10" t="str">
        <f>_xlfn.IFNA(VLOOKUP(B224,Phase2!A$4:C$1000,3,FALSE),"")</f>
        <v/>
      </c>
      <c r="D224" s="10" t="str">
        <f>_xlfn.IFNA(VLOOKUP($A224,CompChecksTrans!$A:$C,3,FALSE), "     ")</f>
        <v xml:space="preserve">     </v>
      </c>
    </row>
    <row r="225" spans="1:4" x14ac:dyDescent="0.25">
      <c r="A225" s="12" t="s">
        <v>5690</v>
      </c>
      <c r="C225" s="10" t="str">
        <f>_xlfn.IFNA(VLOOKUP(B225,Phase2!A$4:C$1000,3,FALSE),"")</f>
        <v/>
      </c>
      <c r="D225" s="10" t="str">
        <f>_xlfn.IFNA(VLOOKUP($A225,CompChecksTrans!$A:$C,3,FALSE), "     ")</f>
        <v xml:space="preserve">     </v>
      </c>
    </row>
    <row r="226" spans="1:4" x14ac:dyDescent="0.25">
      <c r="A226" s="12" t="s">
        <v>5691</v>
      </c>
      <c r="C226" s="10" t="str">
        <f>_xlfn.IFNA(VLOOKUP(B226,Phase2!A$4:C$1000,3,FALSE),"")</f>
        <v/>
      </c>
      <c r="D226" s="10" t="str">
        <f>_xlfn.IFNA(VLOOKUP($A226,CompChecksTrans!$A:$C,3,FALSE), "     ")</f>
        <v xml:space="preserve">     </v>
      </c>
    </row>
    <row r="227" spans="1:4" x14ac:dyDescent="0.25">
      <c r="A227" s="12" t="s">
        <v>5692</v>
      </c>
      <c r="C227" s="10" t="str">
        <f>_xlfn.IFNA(VLOOKUP(B227,Phase2!A$4:C$1000,3,FALSE),"")</f>
        <v/>
      </c>
      <c r="D227" s="10" t="str">
        <f>_xlfn.IFNA(VLOOKUP($A227,CompChecksTrans!$A:$C,3,FALSE), "     ")</f>
        <v xml:space="preserve">     </v>
      </c>
    </row>
    <row r="228" spans="1:4" x14ac:dyDescent="0.25">
      <c r="A228" s="12" t="s">
        <v>5693</v>
      </c>
      <c r="C228" s="10" t="str">
        <f>_xlfn.IFNA(VLOOKUP(B228,Phase2!A$4:C$1000,3,FALSE),"")</f>
        <v/>
      </c>
      <c r="D228" s="10" t="str">
        <f>_xlfn.IFNA(VLOOKUP($A228,CompChecksTrans!$A:$C,3,FALSE), "     ")</f>
        <v xml:space="preserve">     </v>
      </c>
    </row>
    <row r="229" spans="1:4" x14ac:dyDescent="0.25">
      <c r="A229" s="12" t="s">
        <v>5694</v>
      </c>
      <c r="C229" s="10" t="str">
        <f>_xlfn.IFNA(VLOOKUP(B229,Phase2!A$4:C$1000,3,FALSE),"")</f>
        <v/>
      </c>
      <c r="D229" s="10" t="str">
        <f>_xlfn.IFNA(VLOOKUP($A229,CompChecksTrans!$A:$C,3,FALSE), "     ")</f>
        <v xml:space="preserve">     </v>
      </c>
    </row>
    <row r="230" spans="1:4" x14ac:dyDescent="0.25">
      <c r="A230" s="12" t="s">
        <v>5695</v>
      </c>
      <c r="C230" s="10" t="str">
        <f>_xlfn.IFNA(VLOOKUP(B230,Phase2!A$4:C$1000,3,FALSE),"")</f>
        <v/>
      </c>
      <c r="D230" s="10" t="str">
        <f>_xlfn.IFNA(VLOOKUP($A230,CompChecksTrans!$A:$C,3,FALSE), "     ")</f>
        <v xml:space="preserve">     </v>
      </c>
    </row>
    <row r="231" spans="1:4" x14ac:dyDescent="0.25">
      <c r="A231" s="12" t="s">
        <v>5696</v>
      </c>
      <c r="C231" s="10" t="str">
        <f>_xlfn.IFNA(VLOOKUP(B231,Phase2!A$4:C$1000,3,FALSE),"")</f>
        <v/>
      </c>
      <c r="D231" s="10" t="str">
        <f>_xlfn.IFNA(VLOOKUP($A231,CompChecksTrans!$A:$C,3,FALSE), "     ")</f>
        <v xml:space="preserve">     </v>
      </c>
    </row>
    <row r="232" spans="1:4" x14ac:dyDescent="0.25">
      <c r="A232" s="12" t="s">
        <v>5697</v>
      </c>
      <c r="C232" s="10" t="str">
        <f>_xlfn.IFNA(VLOOKUP(B232,Phase2!A$4:C$1000,3,FALSE),"")</f>
        <v/>
      </c>
      <c r="D232" s="10" t="str">
        <f>_xlfn.IFNA(VLOOKUP($A232,CompChecksTrans!$A:$C,3,FALSE), "     ")</f>
        <v xml:space="preserve">     </v>
      </c>
    </row>
    <row r="233" spans="1:4" x14ac:dyDescent="0.25">
      <c r="A233" s="12" t="s">
        <v>5698</v>
      </c>
      <c r="C233" s="10" t="str">
        <f>_xlfn.IFNA(VLOOKUP(B233,Phase2!A$4:C$1000,3,FALSE),"")</f>
        <v/>
      </c>
      <c r="D233" s="10" t="str">
        <f>_xlfn.IFNA(VLOOKUP($A233,CompChecksTrans!$A:$C,3,FALSE), "     ")</f>
        <v xml:space="preserve">     </v>
      </c>
    </row>
    <row r="234" spans="1:4" x14ac:dyDescent="0.25">
      <c r="A234" s="12" t="s">
        <v>5699</v>
      </c>
      <c r="C234" s="10" t="str">
        <f>_xlfn.IFNA(VLOOKUP(B234,Phase2!A$4:C$1000,3,FALSE),"")</f>
        <v/>
      </c>
      <c r="D234" s="10" t="str">
        <f>_xlfn.IFNA(VLOOKUP($A234,CompChecksTrans!$A:$C,3,FALSE), "     ")</f>
        <v xml:space="preserve">     </v>
      </c>
    </row>
    <row r="235" spans="1:4" x14ac:dyDescent="0.25">
      <c r="A235" s="12" t="s">
        <v>5700</v>
      </c>
      <c r="C235" s="10" t="str">
        <f>_xlfn.IFNA(VLOOKUP(B235,Phase2!A$4:C$1000,3,FALSE),"")</f>
        <v/>
      </c>
      <c r="D235" s="10" t="str">
        <f>_xlfn.IFNA(VLOOKUP($A235,CompChecksTrans!$A:$C,3,FALSE), "     ")</f>
        <v xml:space="preserve">     </v>
      </c>
    </row>
    <row r="236" spans="1:4" x14ac:dyDescent="0.25">
      <c r="A236" s="12" t="s">
        <v>5701</v>
      </c>
      <c r="C236" s="10" t="str">
        <f>_xlfn.IFNA(VLOOKUP(B236,Phase2!A$4:C$1000,3,FALSE),"")</f>
        <v/>
      </c>
      <c r="D236" s="10" t="str">
        <f>_xlfn.IFNA(VLOOKUP($A236,CompChecksTrans!$A:$C,3,FALSE), "     ")</f>
        <v xml:space="preserve">     </v>
      </c>
    </row>
    <row r="237" spans="1:4" x14ac:dyDescent="0.25">
      <c r="A237" s="12" t="s">
        <v>5702</v>
      </c>
      <c r="C237" s="10" t="str">
        <f>_xlfn.IFNA(VLOOKUP(B237,Phase2!A$4:C$1000,3,FALSE),"")</f>
        <v/>
      </c>
      <c r="D237" s="10" t="str">
        <f>_xlfn.IFNA(VLOOKUP($A237,CompChecksTrans!$A:$C,3,FALSE), "     ")</f>
        <v xml:space="preserve">     </v>
      </c>
    </row>
    <row r="238" spans="1:4" x14ac:dyDescent="0.25">
      <c r="A238" s="12" t="s">
        <v>5703</v>
      </c>
      <c r="C238" s="10" t="str">
        <f>_xlfn.IFNA(VLOOKUP(B238,Phase2!A$4:C$1000,3,FALSE),"")</f>
        <v/>
      </c>
      <c r="D238" s="10" t="str">
        <f>_xlfn.IFNA(VLOOKUP($A238,CompChecksTrans!$A:$C,3,FALSE), "     ")</f>
        <v xml:space="preserve">     </v>
      </c>
    </row>
    <row r="239" spans="1:4" x14ac:dyDescent="0.25">
      <c r="A239" s="12" t="s">
        <v>5704</v>
      </c>
      <c r="C239" s="10" t="str">
        <f>_xlfn.IFNA(VLOOKUP(B239,Phase2!A$4:C$1000,3,FALSE),"")</f>
        <v/>
      </c>
      <c r="D239" s="10" t="str">
        <f>_xlfn.IFNA(VLOOKUP($A239,CompChecksTrans!$A:$C,3,FALSE), "     ")</f>
        <v xml:space="preserve">     </v>
      </c>
    </row>
    <row r="240" spans="1:4" x14ac:dyDescent="0.25">
      <c r="A240" s="12" t="s">
        <v>5705</v>
      </c>
      <c r="C240" s="10" t="str">
        <f>_xlfn.IFNA(VLOOKUP(B240,Phase2!A$4:C$1000,3,FALSE),"")</f>
        <v/>
      </c>
      <c r="D240" s="10" t="str">
        <f>_xlfn.IFNA(VLOOKUP($A240,CompChecksTrans!$A:$C,3,FALSE), "     ")</f>
        <v xml:space="preserve">     </v>
      </c>
    </row>
    <row r="241" spans="1:4" x14ac:dyDescent="0.25">
      <c r="A241" s="12" t="s">
        <v>5706</v>
      </c>
      <c r="C241" s="10" t="str">
        <f>_xlfn.IFNA(VLOOKUP(B241,Phase2!A$4:C$1000,3,FALSE),"")</f>
        <v/>
      </c>
      <c r="D241" s="10" t="str">
        <f>_xlfn.IFNA(VLOOKUP($A241,CompChecksTrans!$A:$C,3,FALSE), "     ")</f>
        <v xml:space="preserve">     </v>
      </c>
    </row>
    <row r="242" spans="1:4" x14ac:dyDescent="0.25">
      <c r="A242" s="12" t="s">
        <v>5707</v>
      </c>
      <c r="C242" s="10" t="str">
        <f>_xlfn.IFNA(VLOOKUP(B242,Phase2!A$4:C$1000,3,FALSE),"")</f>
        <v/>
      </c>
      <c r="D242" s="10" t="str">
        <f>_xlfn.IFNA(VLOOKUP($A242,CompChecksTrans!$A:$C,3,FALSE), "     ")</f>
        <v xml:space="preserve">     </v>
      </c>
    </row>
    <row r="243" spans="1:4" x14ac:dyDescent="0.25">
      <c r="A243" s="12" t="s">
        <v>5708</v>
      </c>
      <c r="C243" s="10" t="str">
        <f>_xlfn.IFNA(VLOOKUP(B243,Phase2!A$4:C$1000,3,FALSE),"")</f>
        <v/>
      </c>
      <c r="D243" s="10" t="str">
        <f>_xlfn.IFNA(VLOOKUP($A243,CompChecksTrans!$A:$C,3,FALSE), "     ")</f>
        <v xml:space="preserve">     </v>
      </c>
    </row>
    <row r="244" spans="1:4" x14ac:dyDescent="0.25">
      <c r="A244" s="12" t="s">
        <v>5709</v>
      </c>
      <c r="C244" s="10" t="str">
        <f>_xlfn.IFNA(VLOOKUP(B244,Phase2!A$4:C$1000,3,FALSE),"")</f>
        <v/>
      </c>
      <c r="D244" s="10" t="str">
        <f>_xlfn.IFNA(VLOOKUP($A244,CompChecksTrans!$A:$C,3,FALSE), "     ")</f>
        <v xml:space="preserve">     </v>
      </c>
    </row>
    <row r="245" spans="1:4" x14ac:dyDescent="0.25">
      <c r="A245" s="12" t="s">
        <v>5710</v>
      </c>
      <c r="C245" s="10" t="str">
        <f>_xlfn.IFNA(VLOOKUP(B245,Phase2!A$4:C$1000,3,FALSE),"")</f>
        <v/>
      </c>
      <c r="D245" s="10" t="str">
        <f>_xlfn.IFNA(VLOOKUP($A245,CompChecksTrans!$A:$C,3,FALSE), "     ")</f>
        <v xml:space="preserve">     </v>
      </c>
    </row>
    <row r="246" spans="1:4" x14ac:dyDescent="0.25">
      <c r="A246" s="12" t="s">
        <v>5711</v>
      </c>
      <c r="C246" s="10" t="str">
        <f>_xlfn.IFNA(VLOOKUP(B246,Phase2!A$4:C$1000,3,FALSE),"")</f>
        <v/>
      </c>
      <c r="D246" s="10" t="str">
        <f>_xlfn.IFNA(VLOOKUP($A246,CompChecksTrans!$A:$C,3,FALSE), "     ")</f>
        <v xml:space="preserve">     </v>
      </c>
    </row>
    <row r="247" spans="1:4" x14ac:dyDescent="0.25">
      <c r="A247" s="12" t="s">
        <v>5712</v>
      </c>
      <c r="C247" s="10" t="str">
        <f>_xlfn.IFNA(VLOOKUP(B247,Phase2!A$4:C$1000,3,FALSE),"")</f>
        <v/>
      </c>
      <c r="D247" s="10" t="str">
        <f>_xlfn.IFNA(VLOOKUP($A247,CompChecksTrans!$A:$C,3,FALSE), "     ")</f>
        <v xml:space="preserve">     </v>
      </c>
    </row>
    <row r="248" spans="1:4" x14ac:dyDescent="0.25">
      <c r="A248" s="12" t="s">
        <v>5713</v>
      </c>
      <c r="C248" s="10" t="str">
        <f>_xlfn.IFNA(VLOOKUP(B248,Phase2!A$4:C$1000,3,FALSE),"")</f>
        <v/>
      </c>
      <c r="D248" s="10" t="str">
        <f>_xlfn.IFNA(VLOOKUP($A248,CompChecksTrans!$A:$C,3,FALSE), "     ")</f>
        <v xml:space="preserve">     </v>
      </c>
    </row>
    <row r="249" spans="1:4" x14ac:dyDescent="0.25">
      <c r="A249" s="12" t="s">
        <v>5714</v>
      </c>
      <c r="C249" s="10" t="str">
        <f>_xlfn.IFNA(VLOOKUP(B249,Phase2!A$4:C$1000,3,FALSE),"")</f>
        <v/>
      </c>
      <c r="D249" s="10" t="str">
        <f>_xlfn.IFNA(VLOOKUP($A249,CompChecksTrans!$A:$C,3,FALSE), "     ")</f>
        <v xml:space="preserve">     </v>
      </c>
    </row>
    <row r="250" spans="1:4" x14ac:dyDescent="0.25">
      <c r="A250" s="12" t="s">
        <v>5715</v>
      </c>
      <c r="C250" s="10" t="str">
        <f>_xlfn.IFNA(VLOOKUP(B250,Phase2!A$4:C$1000,3,FALSE),"")</f>
        <v/>
      </c>
      <c r="D250" s="10" t="str">
        <f>_xlfn.IFNA(VLOOKUP($A250,CompChecksTrans!$A:$C,3,FALSE), "     ")</f>
        <v xml:space="preserve">     </v>
      </c>
    </row>
    <row r="251" spans="1:4" x14ac:dyDescent="0.25">
      <c r="A251" s="12" t="s">
        <v>5716</v>
      </c>
      <c r="C251" s="10" t="str">
        <f>_xlfn.IFNA(VLOOKUP(B251,Phase2!A$4:C$1000,3,FALSE),"")</f>
        <v/>
      </c>
      <c r="D251" s="10" t="str">
        <f>_xlfn.IFNA(VLOOKUP($A251,CompChecksTrans!$A:$C,3,FALSE), "     ")</f>
        <v xml:space="preserve">     </v>
      </c>
    </row>
    <row r="252" spans="1:4" x14ac:dyDescent="0.25">
      <c r="A252" s="12" t="s">
        <v>5717</v>
      </c>
      <c r="C252" s="10" t="str">
        <f>_xlfn.IFNA(VLOOKUP(B252,Phase2!A$4:C$1000,3,FALSE),"")</f>
        <v/>
      </c>
      <c r="D252" s="10" t="str">
        <f>_xlfn.IFNA(VLOOKUP($A252,CompChecksTrans!$A:$C,3,FALSE), "     ")</f>
        <v xml:space="preserve">     </v>
      </c>
    </row>
    <row r="253" spans="1:4" x14ac:dyDescent="0.25">
      <c r="A253" s="12" t="s">
        <v>5718</v>
      </c>
      <c r="C253" s="10" t="str">
        <f>_xlfn.IFNA(VLOOKUP(B253,Phase2!A$4:C$1000,3,FALSE),"")</f>
        <v/>
      </c>
      <c r="D253" s="10" t="str">
        <f>_xlfn.IFNA(VLOOKUP($A253,CompChecksTrans!$A:$C,3,FALSE), "     ")</f>
        <v xml:space="preserve">     </v>
      </c>
    </row>
    <row r="254" spans="1:4" x14ac:dyDescent="0.25">
      <c r="A254" s="12" t="s">
        <v>5719</v>
      </c>
      <c r="C254" s="10" t="str">
        <f>_xlfn.IFNA(VLOOKUP(B254,Phase2!A$4:C$1000,3,FALSE),"")</f>
        <v/>
      </c>
      <c r="D254" s="10" t="str">
        <f>_xlfn.IFNA(VLOOKUP($A254,CompChecksTrans!$A:$C,3,FALSE), "     ")</f>
        <v xml:space="preserve">     </v>
      </c>
    </row>
    <row r="255" spans="1:4" x14ac:dyDescent="0.25">
      <c r="A255" s="12" t="s">
        <v>5720</v>
      </c>
      <c r="C255" s="10" t="str">
        <f>_xlfn.IFNA(VLOOKUP(B255,Phase2!A$4:C$1000,3,FALSE),"")</f>
        <v/>
      </c>
      <c r="D255" s="10" t="str">
        <f>_xlfn.IFNA(VLOOKUP($A255,CompChecksTrans!$A:$C,3,FALSE), "     ")</f>
        <v xml:space="preserve">     </v>
      </c>
    </row>
    <row r="256" spans="1:4" x14ac:dyDescent="0.25">
      <c r="A256" s="12" t="s">
        <v>5721</v>
      </c>
      <c r="C256" s="10" t="str">
        <f>_xlfn.IFNA(VLOOKUP(B256,Phase2!A$4:C$1000,3,FALSE),"")</f>
        <v/>
      </c>
      <c r="D256" s="10" t="str">
        <f>_xlfn.IFNA(VLOOKUP($A256,CompChecksTrans!$A:$C,3,FALSE), "     ")</f>
        <v xml:space="preserve">     </v>
      </c>
    </row>
    <row r="257" spans="1:4" x14ac:dyDescent="0.25">
      <c r="A257" s="12" t="s">
        <v>5722</v>
      </c>
      <c r="C257" s="10" t="str">
        <f>_xlfn.IFNA(VLOOKUP(B257,Phase2!A$4:C$1000,3,FALSE),"")</f>
        <v/>
      </c>
      <c r="D257" s="10" t="str">
        <f>_xlfn.IFNA(VLOOKUP($A257,CompChecksTrans!$A:$C,3,FALSE), "     ")</f>
        <v xml:space="preserve">     </v>
      </c>
    </row>
    <row r="258" spans="1:4" x14ac:dyDescent="0.25">
      <c r="A258" s="12" t="s">
        <v>5723</v>
      </c>
      <c r="C258" s="10" t="str">
        <f>_xlfn.IFNA(VLOOKUP(B258,Phase2!A$4:C$1000,3,FALSE),"")</f>
        <v/>
      </c>
      <c r="D258" s="10" t="str">
        <f>_xlfn.IFNA(VLOOKUP($A258,CompChecksTrans!$A:$C,3,FALSE), "     ")</f>
        <v xml:space="preserve">     </v>
      </c>
    </row>
    <row r="259" spans="1:4" x14ac:dyDescent="0.25">
      <c r="A259" s="12" t="s">
        <v>5724</v>
      </c>
      <c r="C259" s="10" t="str">
        <f>_xlfn.IFNA(VLOOKUP(B259,Phase2!A$4:C$1000,3,FALSE),"")</f>
        <v/>
      </c>
      <c r="D259" s="10" t="str">
        <f>_xlfn.IFNA(VLOOKUP($A259,CompChecksTrans!$A:$C,3,FALSE), "     ")</f>
        <v xml:space="preserve">     </v>
      </c>
    </row>
    <row r="260" spans="1:4" x14ac:dyDescent="0.25">
      <c r="A260" s="12" t="s">
        <v>5725</v>
      </c>
      <c r="C260" s="10" t="str">
        <f>_xlfn.IFNA(VLOOKUP(B260,Phase2!A$4:C$1000,3,FALSE),"")</f>
        <v/>
      </c>
      <c r="D260" s="10" t="str">
        <f>_xlfn.IFNA(VLOOKUP($A260,CompChecksTrans!$A:$C,3,FALSE), "     ")</f>
        <v xml:space="preserve">     </v>
      </c>
    </row>
    <row r="261" spans="1:4" x14ac:dyDescent="0.25">
      <c r="A261" s="12" t="s">
        <v>5726</v>
      </c>
      <c r="C261" s="10" t="str">
        <f>_xlfn.IFNA(VLOOKUP(B261,Phase2!A$4:C$1000,3,FALSE),"")</f>
        <v/>
      </c>
      <c r="D261" s="10" t="str">
        <f>_xlfn.IFNA(VLOOKUP($A261,CompChecksTrans!$A:$C,3,FALSE), "     ")</f>
        <v xml:space="preserve">     </v>
      </c>
    </row>
    <row r="262" spans="1:4" x14ac:dyDescent="0.25">
      <c r="A262" s="12" t="s">
        <v>5727</v>
      </c>
      <c r="C262" s="10" t="str">
        <f>_xlfn.IFNA(VLOOKUP(B262,Phase2!A$4:C$1000,3,FALSE),"")</f>
        <v/>
      </c>
      <c r="D262" s="10" t="str">
        <f>_xlfn.IFNA(VLOOKUP($A262,CompChecksTrans!$A:$C,3,FALSE), "     ")</f>
        <v xml:space="preserve">     </v>
      </c>
    </row>
    <row r="263" spans="1:4" x14ac:dyDescent="0.25">
      <c r="A263" s="12" t="s">
        <v>5728</v>
      </c>
      <c r="C263" s="10" t="str">
        <f>_xlfn.IFNA(VLOOKUP(B263,Phase2!A$4:C$1000,3,FALSE),"")</f>
        <v/>
      </c>
      <c r="D263" s="10" t="str">
        <f>_xlfn.IFNA(VLOOKUP($A263,CompChecksTrans!$A:$C,3,FALSE), "     ")</f>
        <v xml:space="preserve">     </v>
      </c>
    </row>
    <row r="264" spans="1:4" x14ac:dyDescent="0.25">
      <c r="A264" s="12" t="s">
        <v>5729</v>
      </c>
      <c r="C264" s="10" t="str">
        <f>_xlfn.IFNA(VLOOKUP(B264,Phase2!A$4:C$1000,3,FALSE),"")</f>
        <v/>
      </c>
      <c r="D264" s="10" t="str">
        <f>_xlfn.IFNA(VLOOKUP($A264,CompChecksTrans!$A:$C,3,FALSE), "     ")</f>
        <v xml:space="preserve">     </v>
      </c>
    </row>
    <row r="265" spans="1:4" x14ac:dyDescent="0.25">
      <c r="A265" s="12" t="s">
        <v>5730</v>
      </c>
      <c r="C265" s="10" t="str">
        <f>_xlfn.IFNA(VLOOKUP(B265,Phase2!A$4:C$1000,3,FALSE),"")</f>
        <v/>
      </c>
      <c r="D265" s="10" t="str">
        <f>_xlfn.IFNA(VLOOKUP($A265,CompChecksTrans!$A:$C,3,FALSE), "     ")</f>
        <v xml:space="preserve">     </v>
      </c>
    </row>
    <row r="266" spans="1:4" x14ac:dyDescent="0.25">
      <c r="A266" s="12" t="s">
        <v>5731</v>
      </c>
      <c r="C266" s="10" t="str">
        <f>_xlfn.IFNA(VLOOKUP(B266,Phase2!A$4:C$1000,3,FALSE),"")</f>
        <v/>
      </c>
      <c r="D266" s="10" t="str">
        <f>_xlfn.IFNA(VLOOKUP($A266,CompChecksTrans!$A:$C,3,FALSE), "     ")</f>
        <v xml:space="preserve">     </v>
      </c>
    </row>
    <row r="267" spans="1:4" x14ac:dyDescent="0.25">
      <c r="A267" s="12" t="s">
        <v>5732</v>
      </c>
      <c r="C267" s="10" t="str">
        <f>_xlfn.IFNA(VLOOKUP(B267,Phase2!A$4:C$1000,3,FALSE),"")</f>
        <v/>
      </c>
      <c r="D267" s="10" t="str">
        <f>_xlfn.IFNA(VLOOKUP($A267,CompChecksTrans!$A:$C,3,FALSE), "     ")</f>
        <v xml:space="preserve">     </v>
      </c>
    </row>
    <row r="268" spans="1:4" x14ac:dyDescent="0.25">
      <c r="A268" s="12" t="s">
        <v>5733</v>
      </c>
      <c r="C268" s="10" t="str">
        <f>_xlfn.IFNA(VLOOKUP(B268,Phase2!A$4:C$1000,3,FALSE),"")</f>
        <v/>
      </c>
      <c r="D268" s="10" t="str">
        <f>_xlfn.IFNA(VLOOKUP($A268,CompChecksTrans!$A:$C,3,FALSE), "     ")</f>
        <v xml:space="preserve">     </v>
      </c>
    </row>
    <row r="269" spans="1:4" x14ac:dyDescent="0.25">
      <c r="A269" s="12" t="s">
        <v>5734</v>
      </c>
      <c r="C269" s="10" t="str">
        <f>_xlfn.IFNA(VLOOKUP(B269,Phase2!A$4:C$1000,3,FALSE),"")</f>
        <v/>
      </c>
      <c r="D269" s="10" t="str">
        <f>_xlfn.IFNA(VLOOKUP($A269,CompChecksTrans!$A:$C,3,FALSE), "     ")</f>
        <v xml:space="preserve">     </v>
      </c>
    </row>
    <row r="270" spans="1:4" x14ac:dyDescent="0.25">
      <c r="A270" s="12" t="s">
        <v>5735</v>
      </c>
      <c r="C270" s="10" t="str">
        <f>_xlfn.IFNA(VLOOKUP(B270,Phase2!A$4:C$1000,3,FALSE),"")</f>
        <v/>
      </c>
      <c r="D270" s="10" t="str">
        <f>_xlfn.IFNA(VLOOKUP($A270,CompChecksTrans!$A:$C,3,FALSE), "     ")</f>
        <v xml:space="preserve">     </v>
      </c>
    </row>
    <row r="271" spans="1:4" x14ac:dyDescent="0.25">
      <c r="A271" s="12" t="s">
        <v>5736</v>
      </c>
      <c r="C271" s="10" t="str">
        <f>_xlfn.IFNA(VLOOKUP(B271,Phase2!A$4:C$1000,3,FALSE),"")</f>
        <v/>
      </c>
      <c r="D271" s="10" t="str">
        <f>_xlfn.IFNA(VLOOKUP($A271,CompChecksTrans!$A:$C,3,FALSE), "     ")</f>
        <v xml:space="preserve">     </v>
      </c>
    </row>
    <row r="272" spans="1:4" x14ac:dyDescent="0.25">
      <c r="A272" s="12" t="s">
        <v>5737</v>
      </c>
      <c r="C272" s="10" t="str">
        <f>_xlfn.IFNA(VLOOKUP(B272,Phase2!A$4:C$1000,3,FALSE),"")</f>
        <v/>
      </c>
      <c r="D272" s="10" t="str">
        <f>_xlfn.IFNA(VLOOKUP($A272,CompChecksTrans!$A:$C,3,FALSE), "     ")</f>
        <v xml:space="preserve">     </v>
      </c>
    </row>
    <row r="273" spans="1:4" x14ac:dyDescent="0.25">
      <c r="A273" s="12" t="s">
        <v>5738</v>
      </c>
      <c r="C273" s="10" t="str">
        <f>_xlfn.IFNA(VLOOKUP(B273,Phase2!A$4:C$1000,3,FALSE),"")</f>
        <v/>
      </c>
      <c r="D273" s="10" t="str">
        <f>_xlfn.IFNA(VLOOKUP($A273,CompChecksTrans!$A:$C,3,FALSE), "     ")</f>
        <v xml:space="preserve">     </v>
      </c>
    </row>
    <row r="274" spans="1:4" x14ac:dyDescent="0.25">
      <c r="A274" s="12" t="s">
        <v>5739</v>
      </c>
      <c r="C274" s="10" t="str">
        <f>_xlfn.IFNA(VLOOKUP(B274,Phase2!A$4:C$1000,3,FALSE),"")</f>
        <v/>
      </c>
      <c r="D274" s="10" t="str">
        <f>_xlfn.IFNA(VLOOKUP($A274,CompChecksTrans!$A:$C,3,FALSE), "     ")</f>
        <v xml:space="preserve">     </v>
      </c>
    </row>
    <row r="275" spans="1:4" x14ac:dyDescent="0.25">
      <c r="A275" s="12" t="s">
        <v>5740</v>
      </c>
      <c r="C275" s="10" t="str">
        <f>_xlfn.IFNA(VLOOKUP(B275,Phase2!A$4:C$1000,3,FALSE),"")</f>
        <v/>
      </c>
      <c r="D275" s="10" t="str">
        <f>_xlfn.IFNA(VLOOKUP($A275,CompChecksTrans!$A:$C,3,FALSE), "     ")</f>
        <v xml:space="preserve">     </v>
      </c>
    </row>
    <row r="276" spans="1:4" x14ac:dyDescent="0.25">
      <c r="A276" s="12" t="s">
        <v>5741</v>
      </c>
      <c r="C276" s="10" t="str">
        <f>_xlfn.IFNA(VLOOKUP(B276,Phase2!A$4:C$1000,3,FALSE),"")</f>
        <v/>
      </c>
      <c r="D276" s="10" t="str">
        <f>_xlfn.IFNA(VLOOKUP($A276,CompChecksTrans!$A:$C,3,FALSE), "     ")</f>
        <v xml:space="preserve">     </v>
      </c>
    </row>
    <row r="277" spans="1:4" x14ac:dyDescent="0.25">
      <c r="A277" s="12" t="s">
        <v>5742</v>
      </c>
      <c r="C277" s="10" t="str">
        <f>_xlfn.IFNA(VLOOKUP(B277,Phase2!A$4:C$1000,3,FALSE),"")</f>
        <v/>
      </c>
      <c r="D277" s="10" t="str">
        <f>_xlfn.IFNA(VLOOKUP($A277,CompChecksTrans!$A:$C,3,FALSE), "     ")</f>
        <v xml:space="preserve">     </v>
      </c>
    </row>
    <row r="278" spans="1:4" x14ac:dyDescent="0.25">
      <c r="A278" s="12" t="s">
        <v>5743</v>
      </c>
      <c r="C278" s="10" t="str">
        <f>_xlfn.IFNA(VLOOKUP(B278,Phase2!A$4:C$1000,3,FALSE),"")</f>
        <v/>
      </c>
      <c r="D278" s="10" t="str">
        <f>_xlfn.IFNA(VLOOKUP($A278,CompChecksTrans!$A:$C,3,FALSE), "     ")</f>
        <v xml:space="preserve">     </v>
      </c>
    </row>
    <row r="279" spans="1:4" x14ac:dyDescent="0.25">
      <c r="A279" s="12" t="s">
        <v>5744</v>
      </c>
      <c r="C279" s="10" t="str">
        <f>_xlfn.IFNA(VLOOKUP(B279,Phase2!A$4:C$1000,3,FALSE),"")</f>
        <v/>
      </c>
      <c r="D279" s="10" t="str">
        <f>_xlfn.IFNA(VLOOKUP($A279,CompChecksTrans!$A:$C,3,FALSE), "     ")</f>
        <v xml:space="preserve">     </v>
      </c>
    </row>
    <row r="280" spans="1:4" x14ac:dyDescent="0.25">
      <c r="A280" s="12" t="s">
        <v>5745</v>
      </c>
      <c r="C280" s="10" t="str">
        <f>_xlfn.IFNA(VLOOKUP(B280,Phase2!A$4:C$1000,3,FALSE),"")</f>
        <v/>
      </c>
      <c r="D280" s="10" t="str">
        <f>_xlfn.IFNA(VLOOKUP($A280,CompChecksTrans!$A:$C,3,FALSE), "     ")</f>
        <v xml:space="preserve">     </v>
      </c>
    </row>
    <row r="281" spans="1:4" x14ac:dyDescent="0.25">
      <c r="A281" s="12" t="s">
        <v>5746</v>
      </c>
      <c r="C281" s="10" t="str">
        <f>_xlfn.IFNA(VLOOKUP(B281,Phase2!A$4:C$1000,3,FALSE),"")</f>
        <v/>
      </c>
      <c r="D281" s="10" t="str">
        <f>_xlfn.IFNA(VLOOKUP($A281,CompChecksTrans!$A:$C,3,FALSE), "     ")</f>
        <v xml:space="preserve">     </v>
      </c>
    </row>
    <row r="282" spans="1:4" x14ac:dyDescent="0.25">
      <c r="A282" s="12" t="s">
        <v>5747</v>
      </c>
      <c r="C282" s="10" t="str">
        <f>_xlfn.IFNA(VLOOKUP(B282,Phase2!A$4:C$1000,3,FALSE),"")</f>
        <v/>
      </c>
      <c r="D282" s="10" t="str">
        <f>_xlfn.IFNA(VLOOKUP($A282,CompChecksTrans!$A:$C,3,FALSE), "     ")</f>
        <v xml:space="preserve">     </v>
      </c>
    </row>
    <row r="283" spans="1:4" x14ac:dyDescent="0.25">
      <c r="A283" s="12" t="s">
        <v>5748</v>
      </c>
      <c r="C283" s="10" t="str">
        <f>_xlfn.IFNA(VLOOKUP(B283,Phase2!A$4:C$1000,3,FALSE),"")</f>
        <v/>
      </c>
      <c r="D283" s="10" t="str">
        <f>_xlfn.IFNA(VLOOKUP($A283,CompChecksTrans!$A:$C,3,FALSE), "     ")</f>
        <v xml:space="preserve">     </v>
      </c>
    </row>
    <row r="284" spans="1:4" x14ac:dyDescent="0.25">
      <c r="A284" s="12" t="s">
        <v>5749</v>
      </c>
      <c r="C284" s="10" t="str">
        <f>_xlfn.IFNA(VLOOKUP(B284,Phase2!A$4:C$1000,3,FALSE),"")</f>
        <v/>
      </c>
      <c r="D284" s="10" t="str">
        <f>_xlfn.IFNA(VLOOKUP($A284,CompChecksTrans!$A:$C,3,FALSE), "     ")</f>
        <v xml:space="preserve">     </v>
      </c>
    </row>
    <row r="285" spans="1:4" x14ac:dyDescent="0.25">
      <c r="A285" s="12" t="s">
        <v>5750</v>
      </c>
      <c r="C285" s="10" t="str">
        <f>_xlfn.IFNA(VLOOKUP(B285,Phase2!A$4:C$1000,3,FALSE),"")</f>
        <v/>
      </c>
      <c r="D285" s="10" t="str">
        <f>_xlfn.IFNA(VLOOKUP($A285,CompChecksTrans!$A:$C,3,FALSE), "     ")</f>
        <v xml:space="preserve">     </v>
      </c>
    </row>
    <row r="286" spans="1:4" x14ac:dyDescent="0.25">
      <c r="A286" s="12" t="s">
        <v>5751</v>
      </c>
      <c r="C286" s="10" t="str">
        <f>_xlfn.IFNA(VLOOKUP(B286,Phase2!A$4:C$1000,3,FALSE),"")</f>
        <v/>
      </c>
      <c r="D286" s="10" t="str">
        <f>_xlfn.IFNA(VLOOKUP($A286,CompChecksTrans!$A:$C,3,FALSE), "     ")</f>
        <v xml:space="preserve">     </v>
      </c>
    </row>
    <row r="287" spans="1:4" x14ac:dyDescent="0.25">
      <c r="A287" s="12" t="s">
        <v>5752</v>
      </c>
      <c r="C287" s="10" t="str">
        <f>_xlfn.IFNA(VLOOKUP(B287,Phase2!A$4:C$1000,3,FALSE),"")</f>
        <v/>
      </c>
      <c r="D287" s="10" t="str">
        <f>_xlfn.IFNA(VLOOKUP($A287,CompChecksTrans!$A:$C,3,FALSE), "     ")</f>
        <v xml:space="preserve">     </v>
      </c>
    </row>
    <row r="288" spans="1:4" x14ac:dyDescent="0.25">
      <c r="A288" s="12" t="s">
        <v>5753</v>
      </c>
      <c r="C288" s="10" t="str">
        <f>_xlfn.IFNA(VLOOKUP(B288,Phase2!A$4:C$1000,3,FALSE),"")</f>
        <v/>
      </c>
      <c r="D288" s="10" t="str">
        <f>_xlfn.IFNA(VLOOKUP($A288,CompChecksTrans!$A:$C,3,FALSE), "     ")</f>
        <v xml:space="preserve">     </v>
      </c>
    </row>
    <row r="289" spans="1:4" x14ac:dyDescent="0.25">
      <c r="A289" s="12" t="s">
        <v>5754</v>
      </c>
      <c r="C289" s="10" t="str">
        <f>_xlfn.IFNA(VLOOKUP(B289,Phase2!A$4:C$1000,3,FALSE),"")</f>
        <v/>
      </c>
      <c r="D289" s="10" t="str">
        <f>_xlfn.IFNA(VLOOKUP($A289,CompChecksTrans!$A:$C,3,FALSE), "     ")</f>
        <v xml:space="preserve">     </v>
      </c>
    </row>
    <row r="290" spans="1:4" x14ac:dyDescent="0.25">
      <c r="A290" s="12" t="s">
        <v>5755</v>
      </c>
      <c r="C290" s="10" t="str">
        <f>_xlfn.IFNA(VLOOKUP(B290,Phase2!A$4:C$1000,3,FALSE),"")</f>
        <v/>
      </c>
      <c r="D290" s="10" t="str">
        <f>_xlfn.IFNA(VLOOKUP($A290,CompChecksTrans!$A:$C,3,FALSE), "     ")</f>
        <v xml:space="preserve">     </v>
      </c>
    </row>
    <row r="291" spans="1:4" x14ac:dyDescent="0.25">
      <c r="A291" s="12" t="s">
        <v>5756</v>
      </c>
      <c r="C291" s="10" t="str">
        <f>_xlfn.IFNA(VLOOKUP(B291,Phase2!A$4:C$1000,3,FALSE),"")</f>
        <v/>
      </c>
      <c r="D291" s="10" t="str">
        <f>_xlfn.IFNA(VLOOKUP($A291,CompChecksTrans!$A:$C,3,FALSE), "     ")</f>
        <v xml:space="preserve">     </v>
      </c>
    </row>
    <row r="292" spans="1:4" x14ac:dyDescent="0.25">
      <c r="A292" s="12" t="s">
        <v>5757</v>
      </c>
      <c r="C292" s="10" t="str">
        <f>_xlfn.IFNA(VLOOKUP(B292,Phase2!A$4:C$1000,3,FALSE),"")</f>
        <v/>
      </c>
      <c r="D292" s="10" t="str">
        <f>_xlfn.IFNA(VLOOKUP($A292,CompChecksTrans!$A:$C,3,FALSE), "     ")</f>
        <v xml:space="preserve">     </v>
      </c>
    </row>
    <row r="293" spans="1:4" x14ac:dyDescent="0.25">
      <c r="A293" s="12" t="s">
        <v>5758</v>
      </c>
      <c r="C293" s="10" t="str">
        <f>_xlfn.IFNA(VLOOKUP(B293,Phase2!A$4:C$1000,3,FALSE),"")</f>
        <v/>
      </c>
      <c r="D293" s="10" t="str">
        <f>_xlfn.IFNA(VLOOKUP($A293,CompChecksTrans!$A:$C,3,FALSE), "     ")</f>
        <v xml:space="preserve">     </v>
      </c>
    </row>
    <row r="294" spans="1:4" x14ac:dyDescent="0.25">
      <c r="A294" s="12" t="s">
        <v>5759</v>
      </c>
      <c r="C294" s="10" t="str">
        <f>_xlfn.IFNA(VLOOKUP(B294,Phase2!A$4:C$1000,3,FALSE),"")</f>
        <v/>
      </c>
      <c r="D294" s="10" t="str">
        <f>_xlfn.IFNA(VLOOKUP($A294,CompChecksTrans!$A:$C,3,FALSE), "     ")</f>
        <v xml:space="preserve">     </v>
      </c>
    </row>
    <row r="295" spans="1:4" x14ac:dyDescent="0.25">
      <c r="A295" s="12" t="s">
        <v>5760</v>
      </c>
      <c r="C295" s="10" t="str">
        <f>_xlfn.IFNA(VLOOKUP(B295,Phase2!A$4:C$1000,3,FALSE),"")</f>
        <v/>
      </c>
      <c r="D295" s="10" t="str">
        <f>_xlfn.IFNA(VLOOKUP($A295,CompChecksTrans!$A:$C,3,FALSE), "     ")</f>
        <v xml:space="preserve">     </v>
      </c>
    </row>
    <row r="296" spans="1:4" x14ac:dyDescent="0.25">
      <c r="A296" s="12" t="s">
        <v>5761</v>
      </c>
      <c r="C296" s="10" t="str">
        <f>_xlfn.IFNA(VLOOKUP(B296,Phase2!A$4:C$1000,3,FALSE),"")</f>
        <v/>
      </c>
      <c r="D296" s="10" t="str">
        <f>_xlfn.IFNA(VLOOKUP($A296,CompChecksTrans!$A:$C,3,FALSE), "     ")</f>
        <v xml:space="preserve">     </v>
      </c>
    </row>
    <row r="297" spans="1:4" x14ac:dyDescent="0.25">
      <c r="A297" s="12" t="s">
        <v>5762</v>
      </c>
      <c r="C297" s="10" t="str">
        <f>_xlfn.IFNA(VLOOKUP(B297,Phase2!A$4:C$1000,3,FALSE),"")</f>
        <v/>
      </c>
      <c r="D297" s="10" t="str">
        <f>_xlfn.IFNA(VLOOKUP($A297,CompChecksTrans!$A:$C,3,FALSE), "     ")</f>
        <v xml:space="preserve">     </v>
      </c>
    </row>
    <row r="298" spans="1:4" x14ac:dyDescent="0.25">
      <c r="A298" s="12" t="s">
        <v>5763</v>
      </c>
      <c r="C298" s="10" t="str">
        <f>_xlfn.IFNA(VLOOKUP(B298,Phase2!A$4:C$1000,3,FALSE),"")</f>
        <v/>
      </c>
      <c r="D298" s="10" t="str">
        <f>_xlfn.IFNA(VLOOKUP($A298,CompChecksTrans!$A:$C,3,FALSE), "     ")</f>
        <v xml:space="preserve">     </v>
      </c>
    </row>
    <row r="299" spans="1:4" x14ac:dyDescent="0.25">
      <c r="A299" s="12" t="s">
        <v>5764</v>
      </c>
      <c r="C299" s="10" t="str">
        <f>_xlfn.IFNA(VLOOKUP(B299,Phase2!A$4:C$1000,3,FALSE),"")</f>
        <v/>
      </c>
      <c r="D299" s="10" t="str">
        <f>_xlfn.IFNA(VLOOKUP($A299,CompChecksTrans!$A:$C,3,FALSE), "     ")</f>
        <v xml:space="preserve">     </v>
      </c>
    </row>
    <row r="300" spans="1:4" x14ac:dyDescent="0.25">
      <c r="A300" s="12" t="s">
        <v>5765</v>
      </c>
      <c r="C300" s="10" t="str">
        <f>_xlfn.IFNA(VLOOKUP(B300,Phase2!A$4:C$1000,3,FALSE),"")</f>
        <v/>
      </c>
      <c r="D300" s="10" t="str">
        <f>_xlfn.IFNA(VLOOKUP($A300,CompChecksTrans!$A:$C,3,FALSE), "     ")</f>
        <v xml:space="preserve">     </v>
      </c>
    </row>
    <row r="301" spans="1:4" x14ac:dyDescent="0.25">
      <c r="A301" s="12" t="s">
        <v>5766</v>
      </c>
      <c r="C301" s="10" t="str">
        <f>_xlfn.IFNA(VLOOKUP(B301,Phase2!A$4:C$1000,3,FALSE),"")</f>
        <v/>
      </c>
      <c r="D301" s="10" t="str">
        <f>_xlfn.IFNA(VLOOKUP($A301,CompChecksTrans!$A:$C,3,FALSE), "     ")</f>
        <v xml:space="preserve">     </v>
      </c>
    </row>
    <row r="302" spans="1:4" x14ac:dyDescent="0.25">
      <c r="A302" s="12" t="s">
        <v>5767</v>
      </c>
      <c r="C302" s="10" t="str">
        <f>_xlfn.IFNA(VLOOKUP(B302,Phase2!A$4:C$1000,3,FALSE),"")</f>
        <v/>
      </c>
      <c r="D302" s="10" t="str">
        <f>_xlfn.IFNA(VLOOKUP($A302,CompChecksTrans!$A:$C,3,FALSE), "     ")</f>
        <v xml:space="preserve">     </v>
      </c>
    </row>
    <row r="303" spans="1:4" x14ac:dyDescent="0.25">
      <c r="A303" s="12" t="s">
        <v>5768</v>
      </c>
      <c r="C303" s="10" t="str">
        <f>_xlfn.IFNA(VLOOKUP(B303,Phase2!A$4:C$1000,3,FALSE),"")</f>
        <v/>
      </c>
      <c r="D303" s="10" t="str">
        <f>_xlfn.IFNA(VLOOKUP($A303,CompChecksTrans!$A:$C,3,FALSE), "     ")</f>
        <v xml:space="preserve">     </v>
      </c>
    </row>
    <row r="304" spans="1:4" x14ac:dyDescent="0.25">
      <c r="A304" s="12" t="s">
        <v>5769</v>
      </c>
      <c r="C304" s="10" t="str">
        <f>_xlfn.IFNA(VLOOKUP(B304,Phase2!A$4:C$1000,3,FALSE),"")</f>
        <v/>
      </c>
      <c r="D304" s="10" t="str">
        <f>_xlfn.IFNA(VLOOKUP($A304,CompChecksTrans!$A:$C,3,FALSE), "     ")</f>
        <v xml:space="preserve">     </v>
      </c>
    </row>
    <row r="305" spans="1:4" x14ac:dyDescent="0.25">
      <c r="A305" s="12" t="s">
        <v>5770</v>
      </c>
      <c r="C305" s="10" t="str">
        <f>_xlfn.IFNA(VLOOKUP(B305,Phase2!A$4:C$1000,3,FALSE),"")</f>
        <v/>
      </c>
      <c r="D305" s="10" t="str">
        <f>_xlfn.IFNA(VLOOKUP($A305,CompChecksTrans!$A:$C,3,FALSE), "     ")</f>
        <v xml:space="preserve">     </v>
      </c>
    </row>
    <row r="306" spans="1:4" x14ac:dyDescent="0.25">
      <c r="A306" s="12" t="s">
        <v>5771</v>
      </c>
      <c r="C306" s="10" t="str">
        <f>_xlfn.IFNA(VLOOKUP(B306,Phase2!A$4:C$1000,3,FALSE),"")</f>
        <v/>
      </c>
      <c r="D306" s="10" t="str">
        <f>_xlfn.IFNA(VLOOKUP($A306,CompChecksTrans!$A:$C,3,FALSE), "     ")</f>
        <v xml:space="preserve">     </v>
      </c>
    </row>
    <row r="307" spans="1:4" x14ac:dyDescent="0.25">
      <c r="A307" s="12" t="s">
        <v>5772</v>
      </c>
      <c r="C307" s="10" t="str">
        <f>_xlfn.IFNA(VLOOKUP(B307,Phase2!A$4:C$1000,3,FALSE),"")</f>
        <v/>
      </c>
      <c r="D307" s="10" t="str">
        <f>_xlfn.IFNA(VLOOKUP($A307,CompChecksTrans!$A:$C,3,FALSE), "     ")</f>
        <v xml:space="preserve">     </v>
      </c>
    </row>
    <row r="308" spans="1:4" x14ac:dyDescent="0.25">
      <c r="A308" s="12" t="s">
        <v>5773</v>
      </c>
      <c r="C308" s="10" t="str">
        <f>_xlfn.IFNA(VLOOKUP(B308,Phase2!A$4:C$1000,3,FALSE),"")</f>
        <v/>
      </c>
      <c r="D308" s="10" t="str">
        <f>_xlfn.IFNA(VLOOKUP($A308,CompChecksTrans!$A:$C,3,FALSE), "     ")</f>
        <v xml:space="preserve">     </v>
      </c>
    </row>
    <row r="309" spans="1:4" x14ac:dyDescent="0.25">
      <c r="A309" s="12" t="s">
        <v>5774</v>
      </c>
      <c r="C309" s="10" t="str">
        <f>_xlfn.IFNA(VLOOKUP(B309,Phase2!A$4:C$1000,3,FALSE),"")</f>
        <v/>
      </c>
      <c r="D309" s="10" t="str">
        <f>_xlfn.IFNA(VLOOKUP($A309,CompChecksTrans!$A:$C,3,FALSE), "     ")</f>
        <v xml:space="preserve">     </v>
      </c>
    </row>
    <row r="310" spans="1:4" x14ac:dyDescent="0.25">
      <c r="A310" s="12" t="s">
        <v>5775</v>
      </c>
      <c r="C310" s="10" t="str">
        <f>_xlfn.IFNA(VLOOKUP(B310,Phase2!A$4:C$1000,3,FALSE),"")</f>
        <v/>
      </c>
      <c r="D310" s="10" t="str">
        <f>_xlfn.IFNA(VLOOKUP($A310,CompChecksTrans!$A:$C,3,FALSE), "     ")</f>
        <v xml:space="preserve">     </v>
      </c>
    </row>
    <row r="311" spans="1:4" x14ac:dyDescent="0.25">
      <c r="A311" s="12" t="s">
        <v>5776</v>
      </c>
      <c r="C311" s="10" t="str">
        <f>_xlfn.IFNA(VLOOKUP(B311,Phase2!A$4:C$1000,3,FALSE),"")</f>
        <v/>
      </c>
      <c r="D311" s="10" t="str">
        <f>_xlfn.IFNA(VLOOKUP($A311,CompChecksTrans!$A:$C,3,FALSE), "     ")</f>
        <v xml:space="preserve">     </v>
      </c>
    </row>
    <row r="312" spans="1:4" x14ac:dyDescent="0.25">
      <c r="A312" s="12" t="s">
        <v>5777</v>
      </c>
      <c r="C312" s="10" t="str">
        <f>_xlfn.IFNA(VLOOKUP(B312,Phase2!A$4:C$1000,3,FALSE),"")</f>
        <v/>
      </c>
      <c r="D312" s="10" t="str">
        <f>_xlfn.IFNA(VLOOKUP($A312,CompChecksTrans!$A:$C,3,FALSE), "     ")</f>
        <v xml:space="preserve">     </v>
      </c>
    </row>
    <row r="313" spans="1:4" x14ac:dyDescent="0.25">
      <c r="A313" s="12" t="s">
        <v>5778</v>
      </c>
      <c r="C313" s="10" t="str">
        <f>_xlfn.IFNA(VLOOKUP(B313,Phase2!A$4:C$1000,3,FALSE),"")</f>
        <v/>
      </c>
      <c r="D313" s="10" t="str">
        <f>_xlfn.IFNA(VLOOKUP($A313,CompChecksTrans!$A:$C,3,FALSE), "     ")</f>
        <v xml:space="preserve">     </v>
      </c>
    </row>
    <row r="314" spans="1:4" x14ac:dyDescent="0.25">
      <c r="A314" s="12" t="s">
        <v>5779</v>
      </c>
      <c r="C314" s="10" t="str">
        <f>_xlfn.IFNA(VLOOKUP(B314,Phase2!A$4:C$1000,3,FALSE),"")</f>
        <v/>
      </c>
      <c r="D314" s="10" t="str">
        <f>_xlfn.IFNA(VLOOKUP($A314,CompChecksTrans!$A:$C,3,FALSE), "     ")</f>
        <v xml:space="preserve">     </v>
      </c>
    </row>
    <row r="315" spans="1:4" x14ac:dyDescent="0.25">
      <c r="A315" s="12" t="s">
        <v>5780</v>
      </c>
      <c r="C315" s="10" t="str">
        <f>_xlfn.IFNA(VLOOKUP(B315,Phase2!A$4:C$1000,3,FALSE),"")</f>
        <v/>
      </c>
      <c r="D315" s="10" t="str">
        <f>_xlfn.IFNA(VLOOKUP($A315,CompChecksTrans!$A:$C,3,FALSE), "     ")</f>
        <v xml:space="preserve">     </v>
      </c>
    </row>
    <row r="316" spans="1:4" x14ac:dyDescent="0.25">
      <c r="A316" s="12" t="s">
        <v>5781</v>
      </c>
      <c r="C316" s="10" t="str">
        <f>_xlfn.IFNA(VLOOKUP(B316,Phase2!A$4:C$1000,3,FALSE),"")</f>
        <v/>
      </c>
      <c r="D316" s="10" t="str">
        <f>_xlfn.IFNA(VLOOKUP($A316,CompChecksTrans!$A:$C,3,FALSE), "     ")</f>
        <v xml:space="preserve">     </v>
      </c>
    </row>
    <row r="317" spans="1:4" x14ac:dyDescent="0.25">
      <c r="A317" s="12" t="s">
        <v>5782</v>
      </c>
      <c r="C317" s="10" t="str">
        <f>_xlfn.IFNA(VLOOKUP(B317,Phase2!A$4:C$1000,3,FALSE),"")</f>
        <v/>
      </c>
      <c r="D317" s="10" t="str">
        <f>_xlfn.IFNA(VLOOKUP($A317,CompChecksTrans!$A:$C,3,FALSE), "     ")</f>
        <v xml:space="preserve">     </v>
      </c>
    </row>
    <row r="318" spans="1:4" x14ac:dyDescent="0.25">
      <c r="A318" s="12" t="s">
        <v>5783</v>
      </c>
      <c r="C318" s="10" t="str">
        <f>_xlfn.IFNA(VLOOKUP(B318,Phase2!A$4:C$1000,3,FALSE),"")</f>
        <v/>
      </c>
      <c r="D318" s="10" t="str">
        <f>_xlfn.IFNA(VLOOKUP($A318,CompChecksTrans!$A:$C,3,FALSE), "     ")</f>
        <v xml:space="preserve">     </v>
      </c>
    </row>
    <row r="319" spans="1:4" x14ac:dyDescent="0.25">
      <c r="A319" s="12" t="s">
        <v>5784</v>
      </c>
      <c r="C319" s="10" t="str">
        <f>_xlfn.IFNA(VLOOKUP(B319,Phase2!A$4:C$1000,3,FALSE),"")</f>
        <v/>
      </c>
      <c r="D319" s="10" t="str">
        <f>_xlfn.IFNA(VLOOKUP($A319,CompChecksTrans!$A:$C,3,FALSE), "     ")</f>
        <v xml:space="preserve">     </v>
      </c>
    </row>
    <row r="320" spans="1:4" x14ac:dyDescent="0.25">
      <c r="A320" s="12" t="s">
        <v>5785</v>
      </c>
      <c r="C320" s="10" t="str">
        <f>_xlfn.IFNA(VLOOKUP(B320,Phase2!A$4:C$1000,3,FALSE),"")</f>
        <v/>
      </c>
      <c r="D320" s="10" t="str">
        <f>_xlfn.IFNA(VLOOKUP($A320,CompChecksTrans!$A:$C,3,FALSE), "     ")</f>
        <v xml:space="preserve">     </v>
      </c>
    </row>
    <row r="321" spans="1:4" x14ac:dyDescent="0.25">
      <c r="A321" s="12" t="s">
        <v>5786</v>
      </c>
      <c r="C321" s="10" t="str">
        <f>_xlfn.IFNA(VLOOKUP(B321,Phase2!A$4:C$1000,3,FALSE),"")</f>
        <v/>
      </c>
      <c r="D321" s="10" t="str">
        <f>_xlfn.IFNA(VLOOKUP($A321,CompChecksTrans!$A:$C,3,FALSE), "     ")</f>
        <v xml:space="preserve">     </v>
      </c>
    </row>
    <row r="322" spans="1:4" x14ac:dyDescent="0.25">
      <c r="A322" s="12" t="s">
        <v>5787</v>
      </c>
      <c r="C322" s="10" t="str">
        <f>_xlfn.IFNA(VLOOKUP(B322,Phase2!A$4:C$1000,3,FALSE),"")</f>
        <v/>
      </c>
      <c r="D322" s="10" t="str">
        <f>_xlfn.IFNA(VLOOKUP($A322,CompChecksTrans!$A:$C,3,FALSE), "     ")</f>
        <v xml:space="preserve">     </v>
      </c>
    </row>
    <row r="323" spans="1:4" x14ac:dyDescent="0.25">
      <c r="A323" s="12" t="s">
        <v>5788</v>
      </c>
      <c r="C323" s="10" t="str">
        <f>_xlfn.IFNA(VLOOKUP(B323,Phase2!A$4:C$1000,3,FALSE),"")</f>
        <v/>
      </c>
      <c r="D323" s="10" t="str">
        <f>_xlfn.IFNA(VLOOKUP($A323,CompChecksTrans!$A:$C,3,FALSE), "     ")</f>
        <v xml:space="preserve">     </v>
      </c>
    </row>
    <row r="324" spans="1:4" x14ac:dyDescent="0.25">
      <c r="A324" s="12" t="s">
        <v>5789</v>
      </c>
      <c r="C324" s="10" t="str">
        <f>_xlfn.IFNA(VLOOKUP(B324,Phase2!A$4:C$1000,3,FALSE),"")</f>
        <v/>
      </c>
      <c r="D324" s="10" t="str">
        <f>_xlfn.IFNA(VLOOKUP($A324,CompChecksTrans!$A:$C,3,FALSE), "     ")</f>
        <v xml:space="preserve">     </v>
      </c>
    </row>
    <row r="325" spans="1:4" x14ac:dyDescent="0.25">
      <c r="A325" s="12" t="s">
        <v>5790</v>
      </c>
      <c r="C325" s="10" t="str">
        <f>_xlfn.IFNA(VLOOKUP(B325,Phase2!A$4:C$1000,3,FALSE),"")</f>
        <v/>
      </c>
      <c r="D325" s="10" t="str">
        <f>_xlfn.IFNA(VLOOKUP($A325,CompChecksTrans!$A:$C,3,FALSE), "     ")</f>
        <v xml:space="preserve">     </v>
      </c>
    </row>
    <row r="326" spans="1:4" x14ac:dyDescent="0.25">
      <c r="A326" s="12" t="s">
        <v>5791</v>
      </c>
      <c r="C326" s="10" t="str">
        <f>_xlfn.IFNA(VLOOKUP(B326,Phase2!A$4:C$1000,3,FALSE),"")</f>
        <v/>
      </c>
      <c r="D326" s="10" t="str">
        <f>_xlfn.IFNA(VLOOKUP($A326,CompChecksTrans!$A:$C,3,FALSE), "     ")</f>
        <v xml:space="preserve">     </v>
      </c>
    </row>
    <row r="327" spans="1:4" x14ac:dyDescent="0.25">
      <c r="A327" s="12" t="s">
        <v>5792</v>
      </c>
      <c r="C327" s="10" t="str">
        <f>_xlfn.IFNA(VLOOKUP(B327,Phase2!A$4:C$1000,3,FALSE),"")</f>
        <v/>
      </c>
      <c r="D327" s="10" t="str">
        <f>_xlfn.IFNA(VLOOKUP($A327,CompChecksTrans!$A:$C,3,FALSE), "     ")</f>
        <v xml:space="preserve">     </v>
      </c>
    </row>
    <row r="328" spans="1:4" x14ac:dyDescent="0.25">
      <c r="A328" s="12" t="s">
        <v>5793</v>
      </c>
      <c r="C328" s="10" t="str">
        <f>_xlfn.IFNA(VLOOKUP(B328,Phase2!A$4:C$1000,3,FALSE),"")</f>
        <v/>
      </c>
      <c r="D328" s="10" t="str">
        <f>_xlfn.IFNA(VLOOKUP($A328,CompChecksTrans!$A:$C,3,FALSE), "     ")</f>
        <v xml:space="preserve">     </v>
      </c>
    </row>
    <row r="329" spans="1:4" x14ac:dyDescent="0.25">
      <c r="A329" s="12" t="s">
        <v>5794</v>
      </c>
      <c r="C329" s="10" t="str">
        <f>_xlfn.IFNA(VLOOKUP(B329,Phase2!A$4:C$1000,3,FALSE),"")</f>
        <v/>
      </c>
      <c r="D329" s="10" t="str">
        <f>_xlfn.IFNA(VLOOKUP($A329,CompChecksTrans!$A:$C,3,FALSE), "     ")</f>
        <v xml:space="preserve">     </v>
      </c>
    </row>
    <row r="330" spans="1:4" x14ac:dyDescent="0.25">
      <c r="A330" s="12" t="s">
        <v>5795</v>
      </c>
      <c r="C330" s="10" t="str">
        <f>_xlfn.IFNA(VLOOKUP(B330,Phase2!A$4:C$1000,3,FALSE),"")</f>
        <v/>
      </c>
      <c r="D330" s="10" t="str">
        <f>_xlfn.IFNA(VLOOKUP($A330,CompChecksTrans!$A:$C,3,FALSE), "     ")</f>
        <v xml:space="preserve">     </v>
      </c>
    </row>
    <row r="331" spans="1:4" x14ac:dyDescent="0.25">
      <c r="A331" s="12" t="s">
        <v>5796</v>
      </c>
      <c r="C331" s="10" t="str">
        <f>_xlfn.IFNA(VLOOKUP(B331,Phase2!A$4:C$1000,3,FALSE),"")</f>
        <v/>
      </c>
      <c r="D331" s="10" t="str">
        <f>_xlfn.IFNA(VLOOKUP($A331,CompChecksTrans!$A:$C,3,FALSE), "     ")</f>
        <v xml:space="preserve">     </v>
      </c>
    </row>
    <row r="332" spans="1:4" x14ac:dyDescent="0.25">
      <c r="A332" s="12" t="s">
        <v>5797</v>
      </c>
      <c r="C332" s="10" t="str">
        <f>_xlfn.IFNA(VLOOKUP(B332,Phase2!A$4:C$1000,3,FALSE),"")</f>
        <v/>
      </c>
      <c r="D332" s="10" t="str">
        <f>_xlfn.IFNA(VLOOKUP($A332,CompChecksTrans!$A:$C,3,FALSE), "     ")</f>
        <v xml:space="preserve">     </v>
      </c>
    </row>
    <row r="333" spans="1:4" x14ac:dyDescent="0.25">
      <c r="A333" s="12" t="s">
        <v>5798</v>
      </c>
      <c r="C333" s="10" t="str">
        <f>_xlfn.IFNA(VLOOKUP(B333,Phase2!A$4:C$1000,3,FALSE),"")</f>
        <v/>
      </c>
      <c r="D333" s="10" t="str">
        <f>_xlfn.IFNA(VLOOKUP($A333,CompChecksTrans!$A:$C,3,FALSE), "     ")</f>
        <v xml:space="preserve">     </v>
      </c>
    </row>
    <row r="334" spans="1:4" x14ac:dyDescent="0.25">
      <c r="A334" s="12" t="s">
        <v>5799</v>
      </c>
      <c r="C334" s="10" t="str">
        <f>_xlfn.IFNA(VLOOKUP(B334,Phase2!A$4:C$1000,3,FALSE),"")</f>
        <v/>
      </c>
      <c r="D334" s="10" t="str">
        <f>_xlfn.IFNA(VLOOKUP($A334,CompChecksTrans!$A:$C,3,FALSE), "     ")</f>
        <v xml:space="preserve">     </v>
      </c>
    </row>
    <row r="335" spans="1:4" x14ac:dyDescent="0.25">
      <c r="A335" s="12" t="s">
        <v>5800</v>
      </c>
      <c r="C335" s="10" t="str">
        <f>_xlfn.IFNA(VLOOKUP(B335,Phase2!A$4:C$1000,3,FALSE),"")</f>
        <v/>
      </c>
      <c r="D335" s="10" t="str">
        <f>_xlfn.IFNA(VLOOKUP($A335,CompChecksTrans!$A:$C,3,FALSE), "     ")</f>
        <v xml:space="preserve">     </v>
      </c>
    </row>
    <row r="336" spans="1:4" x14ac:dyDescent="0.25">
      <c r="A336" s="12" t="s">
        <v>5801</v>
      </c>
      <c r="C336" s="10" t="str">
        <f>_xlfn.IFNA(VLOOKUP(B336,Phase2!A$4:C$1000,3,FALSE),"")</f>
        <v/>
      </c>
      <c r="D336" s="10" t="str">
        <f>_xlfn.IFNA(VLOOKUP($A336,CompChecksTrans!$A:$C,3,FALSE), "     ")</f>
        <v xml:space="preserve">     </v>
      </c>
    </row>
    <row r="337" spans="1:4" x14ac:dyDescent="0.25">
      <c r="A337" s="12" t="s">
        <v>5802</v>
      </c>
      <c r="C337" s="10" t="str">
        <f>_xlfn.IFNA(VLOOKUP(B337,Phase2!A$4:C$1000,3,FALSE),"")</f>
        <v/>
      </c>
      <c r="D337" s="10" t="str">
        <f>_xlfn.IFNA(VLOOKUP($A337,CompChecksTrans!$A:$C,3,FALSE), "     ")</f>
        <v xml:space="preserve">     </v>
      </c>
    </row>
    <row r="338" spans="1:4" x14ac:dyDescent="0.25">
      <c r="A338" s="12" t="s">
        <v>5803</v>
      </c>
      <c r="C338" s="10" t="str">
        <f>_xlfn.IFNA(VLOOKUP(B338,Phase2!A$4:C$1000,3,FALSE),"")</f>
        <v/>
      </c>
      <c r="D338" s="10" t="str">
        <f>_xlfn.IFNA(VLOOKUP($A338,CompChecksTrans!$A:$C,3,FALSE), "     ")</f>
        <v xml:space="preserve">     </v>
      </c>
    </row>
    <row r="339" spans="1:4" x14ac:dyDescent="0.25">
      <c r="A339" s="12" t="s">
        <v>5804</v>
      </c>
      <c r="C339" s="10" t="str">
        <f>_xlfn.IFNA(VLOOKUP(B339,Phase2!A$4:C$1000,3,FALSE),"")</f>
        <v/>
      </c>
      <c r="D339" s="10" t="str">
        <f>_xlfn.IFNA(VLOOKUP($A339,CompChecksTrans!$A:$C,3,FALSE), "     ")</f>
        <v xml:space="preserve">     </v>
      </c>
    </row>
    <row r="340" spans="1:4" x14ac:dyDescent="0.25">
      <c r="A340" s="12" t="s">
        <v>5805</v>
      </c>
      <c r="C340" s="10" t="str">
        <f>_xlfn.IFNA(VLOOKUP(B340,Phase2!A$4:C$1000,3,FALSE),"")</f>
        <v/>
      </c>
      <c r="D340" s="10" t="str">
        <f>_xlfn.IFNA(VLOOKUP($A340,CompChecksTrans!$A:$C,3,FALSE), "     ")</f>
        <v xml:space="preserve">     </v>
      </c>
    </row>
    <row r="341" spans="1:4" x14ac:dyDescent="0.25">
      <c r="A341" s="12" t="s">
        <v>5806</v>
      </c>
      <c r="C341" s="10" t="str">
        <f>_xlfn.IFNA(VLOOKUP(B341,Phase2!A$4:C$1000,3,FALSE),"")</f>
        <v/>
      </c>
      <c r="D341" s="10" t="str">
        <f>_xlfn.IFNA(VLOOKUP($A341,CompChecksTrans!$A:$C,3,FALSE), "     ")</f>
        <v xml:space="preserve">     </v>
      </c>
    </row>
    <row r="342" spans="1:4" x14ac:dyDescent="0.25">
      <c r="A342" s="12" t="s">
        <v>5807</v>
      </c>
      <c r="C342" s="10" t="str">
        <f>_xlfn.IFNA(VLOOKUP(B342,Phase2!A$4:C$1000,3,FALSE),"")</f>
        <v/>
      </c>
      <c r="D342" s="10" t="str">
        <f>_xlfn.IFNA(VLOOKUP($A342,CompChecksTrans!$A:$C,3,FALSE), "     ")</f>
        <v xml:space="preserve">     </v>
      </c>
    </row>
    <row r="343" spans="1:4" x14ac:dyDescent="0.25">
      <c r="A343" s="12" t="s">
        <v>5808</v>
      </c>
      <c r="C343" s="10" t="str">
        <f>_xlfn.IFNA(VLOOKUP(B343,Phase2!A$4:C$1000,3,FALSE),"")</f>
        <v/>
      </c>
      <c r="D343" s="10" t="str">
        <f>_xlfn.IFNA(VLOOKUP($A343,CompChecksTrans!$A:$C,3,FALSE), "     ")</f>
        <v xml:space="preserve">     </v>
      </c>
    </row>
    <row r="344" spans="1:4" x14ac:dyDescent="0.25">
      <c r="A344" s="12" t="s">
        <v>5809</v>
      </c>
      <c r="C344" s="10" t="str">
        <f>_xlfn.IFNA(VLOOKUP(B344,Phase2!A$4:C$1000,3,FALSE),"")</f>
        <v/>
      </c>
      <c r="D344" s="10" t="str">
        <f>_xlfn.IFNA(VLOOKUP($A344,CompChecksTrans!$A:$C,3,FALSE), "     ")</f>
        <v xml:space="preserve">     </v>
      </c>
    </row>
    <row r="345" spans="1:4" x14ac:dyDescent="0.25">
      <c r="A345" s="12" t="s">
        <v>5810</v>
      </c>
      <c r="C345" s="10" t="str">
        <f>_xlfn.IFNA(VLOOKUP(B345,Phase2!A$4:C$1000,3,FALSE),"")</f>
        <v/>
      </c>
      <c r="D345" s="10" t="str">
        <f>_xlfn.IFNA(VLOOKUP($A345,CompChecksTrans!$A:$C,3,FALSE), "     ")</f>
        <v xml:space="preserve">     </v>
      </c>
    </row>
    <row r="346" spans="1:4" x14ac:dyDescent="0.25">
      <c r="A346" s="12" t="s">
        <v>5811</v>
      </c>
      <c r="C346" s="10" t="str">
        <f>_xlfn.IFNA(VLOOKUP(B346,Phase2!A$4:C$1000,3,FALSE),"")</f>
        <v/>
      </c>
      <c r="D346" s="10" t="str">
        <f>_xlfn.IFNA(VLOOKUP($A346,CompChecksTrans!$A:$C,3,FALSE), "     ")</f>
        <v xml:space="preserve">     </v>
      </c>
    </row>
    <row r="347" spans="1:4" x14ac:dyDescent="0.25">
      <c r="A347" s="12" t="s">
        <v>5812</v>
      </c>
      <c r="C347" s="10" t="str">
        <f>_xlfn.IFNA(VLOOKUP(B347,Phase2!A$4:C$1000,3,FALSE),"")</f>
        <v/>
      </c>
      <c r="D347" s="10" t="str">
        <f>_xlfn.IFNA(VLOOKUP($A347,CompChecksTrans!$A:$C,3,FALSE), "     ")</f>
        <v xml:space="preserve">     </v>
      </c>
    </row>
    <row r="348" spans="1:4" x14ac:dyDescent="0.25">
      <c r="A348" s="12" t="s">
        <v>5813</v>
      </c>
      <c r="C348" s="10" t="str">
        <f>_xlfn.IFNA(VLOOKUP(B348,Phase2!A$4:C$1000,3,FALSE),"")</f>
        <v/>
      </c>
      <c r="D348" s="10" t="str">
        <f>_xlfn.IFNA(VLOOKUP($A348,CompChecksTrans!$A:$C,3,FALSE), "     ")</f>
        <v xml:space="preserve">     </v>
      </c>
    </row>
    <row r="349" spans="1:4" x14ac:dyDescent="0.25">
      <c r="A349" s="12" t="s">
        <v>5814</v>
      </c>
      <c r="C349" s="10" t="str">
        <f>_xlfn.IFNA(VLOOKUP(B349,Phase2!A$4:C$1000,3,FALSE),"")</f>
        <v/>
      </c>
      <c r="D349" s="10" t="str">
        <f>_xlfn.IFNA(VLOOKUP($A349,CompChecksTrans!$A:$C,3,FALSE), "     ")</f>
        <v xml:space="preserve">     </v>
      </c>
    </row>
    <row r="350" spans="1:4" x14ac:dyDescent="0.25">
      <c r="A350" s="12" t="s">
        <v>5815</v>
      </c>
      <c r="C350" s="10" t="str">
        <f>_xlfn.IFNA(VLOOKUP(B350,Phase2!A$4:C$1000,3,FALSE),"")</f>
        <v/>
      </c>
      <c r="D350" s="10" t="str">
        <f>_xlfn.IFNA(VLOOKUP($A350,CompChecksTrans!$A:$C,3,FALSE), "     ")</f>
        <v xml:space="preserve">     </v>
      </c>
    </row>
    <row r="351" spans="1:4" x14ac:dyDescent="0.25">
      <c r="A351" s="12" t="s">
        <v>5816</v>
      </c>
      <c r="C351" s="10" t="str">
        <f>_xlfn.IFNA(VLOOKUP(B351,Phase2!A$4:C$1000,3,FALSE),"")</f>
        <v/>
      </c>
      <c r="D351" s="10" t="str">
        <f>_xlfn.IFNA(VLOOKUP($A351,CompChecksTrans!$A:$C,3,FALSE), "     ")</f>
        <v xml:space="preserve">     </v>
      </c>
    </row>
    <row r="352" spans="1:4" x14ac:dyDescent="0.25">
      <c r="A352" s="12" t="s">
        <v>5817</v>
      </c>
      <c r="C352" s="10" t="str">
        <f>_xlfn.IFNA(VLOOKUP(B352,Phase2!A$4:C$1000,3,FALSE),"")</f>
        <v/>
      </c>
      <c r="D352" s="10" t="str">
        <f>_xlfn.IFNA(VLOOKUP($A352,CompChecksTrans!$A:$C,3,FALSE), "     ")</f>
        <v xml:space="preserve">     </v>
      </c>
    </row>
    <row r="353" spans="1:4" x14ac:dyDescent="0.25">
      <c r="A353" s="12" t="s">
        <v>5818</v>
      </c>
      <c r="C353" s="10" t="str">
        <f>_xlfn.IFNA(VLOOKUP(B353,Phase2!A$4:C$1000,3,FALSE),"")</f>
        <v/>
      </c>
      <c r="D353" s="10" t="str">
        <f>_xlfn.IFNA(VLOOKUP($A353,CompChecksTrans!$A:$C,3,FALSE), "     ")</f>
        <v xml:space="preserve">     </v>
      </c>
    </row>
    <row r="354" spans="1:4" x14ac:dyDescent="0.25">
      <c r="A354" s="12" t="s">
        <v>5819</v>
      </c>
      <c r="C354" s="10" t="str">
        <f>_xlfn.IFNA(VLOOKUP(B354,Phase2!A$4:C$1000,3,FALSE),"")</f>
        <v/>
      </c>
      <c r="D354" s="10" t="str">
        <f>_xlfn.IFNA(VLOOKUP($A354,CompChecksTrans!$A:$C,3,FALSE), "     ")</f>
        <v xml:space="preserve">     </v>
      </c>
    </row>
    <row r="355" spans="1:4" x14ac:dyDescent="0.25">
      <c r="A355" s="12" t="s">
        <v>5820</v>
      </c>
      <c r="C355" s="10" t="str">
        <f>_xlfn.IFNA(VLOOKUP(B355,Phase2!A$4:C$1000,3,FALSE),"")</f>
        <v/>
      </c>
      <c r="D355" s="10" t="str">
        <f>_xlfn.IFNA(VLOOKUP($A355,CompChecksTrans!$A:$C,3,FALSE), "     ")</f>
        <v xml:space="preserve">     </v>
      </c>
    </row>
    <row r="356" spans="1:4" x14ac:dyDescent="0.25">
      <c r="A356" s="12" t="s">
        <v>5821</v>
      </c>
      <c r="C356" s="10" t="str">
        <f>_xlfn.IFNA(VLOOKUP(B356,Phase2!A$4:C$1000,3,FALSE),"")</f>
        <v/>
      </c>
      <c r="D356" s="10" t="str">
        <f>_xlfn.IFNA(VLOOKUP($A356,CompChecksTrans!$A:$C,3,FALSE), "     ")</f>
        <v xml:space="preserve">     </v>
      </c>
    </row>
    <row r="357" spans="1:4" x14ac:dyDescent="0.25">
      <c r="A357" s="12" t="s">
        <v>5822</v>
      </c>
      <c r="C357" s="10" t="str">
        <f>_xlfn.IFNA(VLOOKUP(B357,Phase2!A$4:C$1000,3,FALSE),"")</f>
        <v/>
      </c>
      <c r="D357" s="10" t="str">
        <f>_xlfn.IFNA(VLOOKUP($A357,CompChecksTrans!$A:$C,3,FALSE), "     ")</f>
        <v xml:space="preserve">     </v>
      </c>
    </row>
    <row r="358" spans="1:4" x14ac:dyDescent="0.25">
      <c r="A358" s="12" t="s">
        <v>5823</v>
      </c>
      <c r="C358" s="10" t="str">
        <f>_xlfn.IFNA(VLOOKUP(B358,Phase2!A$4:C$1000,3,FALSE),"")</f>
        <v/>
      </c>
      <c r="D358" s="10" t="str">
        <f>_xlfn.IFNA(VLOOKUP($A358,CompChecksTrans!$A:$C,3,FALSE), "     ")</f>
        <v xml:space="preserve">     </v>
      </c>
    </row>
    <row r="359" spans="1:4" x14ac:dyDescent="0.25">
      <c r="A359" s="12" t="s">
        <v>5824</v>
      </c>
      <c r="C359" s="10" t="str">
        <f>_xlfn.IFNA(VLOOKUP(B359,Phase2!A$4:C$1000,3,FALSE),"")</f>
        <v/>
      </c>
      <c r="D359" s="10" t="str">
        <f>_xlfn.IFNA(VLOOKUP($A359,CompChecksTrans!$A:$C,3,FALSE), "     ")</f>
        <v xml:space="preserve">     </v>
      </c>
    </row>
    <row r="360" spans="1:4" x14ac:dyDescent="0.25">
      <c r="A360" s="12" t="s">
        <v>5825</v>
      </c>
      <c r="C360" s="10" t="str">
        <f>_xlfn.IFNA(VLOOKUP(B360,Phase2!A$4:C$1000,3,FALSE),"")</f>
        <v/>
      </c>
      <c r="D360" s="10" t="str">
        <f>_xlfn.IFNA(VLOOKUP($A360,CompChecksTrans!$A:$C,3,FALSE), "     ")</f>
        <v xml:space="preserve">     </v>
      </c>
    </row>
    <row r="361" spans="1:4" x14ac:dyDescent="0.25">
      <c r="A361" s="12" t="s">
        <v>5826</v>
      </c>
      <c r="C361" s="10" t="str">
        <f>_xlfn.IFNA(VLOOKUP(B361,Phase2!A$4:C$1000,3,FALSE),"")</f>
        <v/>
      </c>
      <c r="D361" s="10" t="str">
        <f>_xlfn.IFNA(VLOOKUP($A361,CompChecksTrans!$A:$C,3,FALSE), "     ")</f>
        <v xml:space="preserve">     </v>
      </c>
    </row>
    <row r="362" spans="1:4" x14ac:dyDescent="0.25">
      <c r="A362" s="12" t="s">
        <v>5827</v>
      </c>
      <c r="C362" s="10" t="str">
        <f>_xlfn.IFNA(VLOOKUP(B362,Phase2!A$4:C$1000,3,FALSE),"")</f>
        <v/>
      </c>
      <c r="D362" s="10" t="str">
        <f>_xlfn.IFNA(VLOOKUP($A362,CompChecksTrans!$A:$C,3,FALSE), "     ")</f>
        <v xml:space="preserve">     </v>
      </c>
    </row>
    <row r="363" spans="1:4" x14ac:dyDescent="0.25">
      <c r="A363" s="12" t="s">
        <v>5828</v>
      </c>
      <c r="C363" s="10" t="str">
        <f>_xlfn.IFNA(VLOOKUP(B363,Phase2!A$4:C$1000,3,FALSE),"")</f>
        <v/>
      </c>
      <c r="D363" s="10" t="str">
        <f>_xlfn.IFNA(VLOOKUP($A363,CompChecksTrans!$A:$C,3,FALSE), "     ")</f>
        <v xml:space="preserve">     </v>
      </c>
    </row>
    <row r="364" spans="1:4" x14ac:dyDescent="0.25">
      <c r="A364" s="12" t="s">
        <v>5829</v>
      </c>
      <c r="C364" s="10" t="str">
        <f>_xlfn.IFNA(VLOOKUP(B364,Phase2!A$4:C$1000,3,FALSE),"")</f>
        <v/>
      </c>
      <c r="D364" s="10" t="str">
        <f>_xlfn.IFNA(VLOOKUP($A364,CompChecksTrans!$A:$C,3,FALSE), "     ")</f>
        <v xml:space="preserve">     </v>
      </c>
    </row>
    <row r="365" spans="1:4" x14ac:dyDescent="0.25">
      <c r="A365" s="12" t="s">
        <v>5830</v>
      </c>
      <c r="C365" s="10" t="str">
        <f>_xlfn.IFNA(VLOOKUP(B365,Phase2!A$4:C$1000,3,FALSE),"")</f>
        <v/>
      </c>
      <c r="D365" s="10" t="str">
        <f>_xlfn.IFNA(VLOOKUP($A365,CompChecksTrans!$A:$C,3,FALSE), "     ")</f>
        <v xml:space="preserve">     </v>
      </c>
    </row>
    <row r="366" spans="1:4" x14ac:dyDescent="0.25">
      <c r="A366" s="12" t="s">
        <v>5831</v>
      </c>
      <c r="C366" s="10" t="str">
        <f>_xlfn.IFNA(VLOOKUP(B366,Phase2!A$4:C$1000,3,FALSE),"")</f>
        <v/>
      </c>
      <c r="D366" s="10" t="str">
        <f>_xlfn.IFNA(VLOOKUP($A366,CompChecksTrans!$A:$C,3,FALSE), "     ")</f>
        <v xml:space="preserve">     </v>
      </c>
    </row>
    <row r="367" spans="1:4" x14ac:dyDescent="0.25">
      <c r="A367" s="12" t="s">
        <v>5832</v>
      </c>
      <c r="C367" s="10" t="str">
        <f>_xlfn.IFNA(VLOOKUP(B367,Phase2!A$4:C$1000,3,FALSE),"")</f>
        <v/>
      </c>
      <c r="D367" s="10" t="str">
        <f>_xlfn.IFNA(VLOOKUP($A367,CompChecksTrans!$A:$C,3,FALSE), "     ")</f>
        <v xml:space="preserve">     </v>
      </c>
    </row>
    <row r="368" spans="1:4" x14ac:dyDescent="0.25">
      <c r="A368" s="12" t="s">
        <v>5833</v>
      </c>
      <c r="C368" s="10" t="str">
        <f>_xlfn.IFNA(VLOOKUP(B368,Phase2!A$4:C$1000,3,FALSE),"")</f>
        <v/>
      </c>
      <c r="D368" s="10" t="str">
        <f>_xlfn.IFNA(VLOOKUP($A368,CompChecksTrans!$A:$C,3,FALSE), "     ")</f>
        <v xml:space="preserve">     </v>
      </c>
    </row>
    <row r="369" spans="1:4" x14ac:dyDescent="0.25">
      <c r="A369" s="12" t="s">
        <v>5834</v>
      </c>
      <c r="C369" s="10" t="str">
        <f>_xlfn.IFNA(VLOOKUP(B369,Phase2!A$4:C$1000,3,FALSE),"")</f>
        <v/>
      </c>
      <c r="D369" s="10" t="str">
        <f>_xlfn.IFNA(VLOOKUP($A369,CompChecksTrans!$A:$C,3,FALSE), "     ")</f>
        <v xml:space="preserve">     </v>
      </c>
    </row>
    <row r="370" spans="1:4" x14ac:dyDescent="0.25">
      <c r="A370" s="12" t="s">
        <v>5835</v>
      </c>
      <c r="C370" s="10" t="str">
        <f>_xlfn.IFNA(VLOOKUP(B370,Phase2!A$4:C$1000,3,FALSE),"")</f>
        <v/>
      </c>
      <c r="D370" s="10" t="str">
        <f>_xlfn.IFNA(VLOOKUP($A370,CompChecksTrans!$A:$C,3,FALSE), "     ")</f>
        <v xml:space="preserve">     </v>
      </c>
    </row>
    <row r="371" spans="1:4" x14ac:dyDescent="0.25">
      <c r="A371" s="12" t="s">
        <v>5836</v>
      </c>
      <c r="C371" s="10" t="str">
        <f>_xlfn.IFNA(VLOOKUP(B371,Phase2!A$4:C$1000,3,FALSE),"")</f>
        <v/>
      </c>
      <c r="D371" s="10" t="str">
        <f>_xlfn.IFNA(VLOOKUP($A371,CompChecksTrans!$A:$C,3,FALSE), "     ")</f>
        <v xml:space="preserve">     </v>
      </c>
    </row>
    <row r="372" spans="1:4" x14ac:dyDescent="0.25">
      <c r="A372" s="12" t="s">
        <v>5837</v>
      </c>
      <c r="C372" s="10" t="str">
        <f>_xlfn.IFNA(VLOOKUP(B372,Phase2!A$4:C$1000,3,FALSE),"")</f>
        <v/>
      </c>
      <c r="D372" s="10" t="str">
        <f>_xlfn.IFNA(VLOOKUP($A372,CompChecksTrans!$A:$C,3,FALSE), "     ")</f>
        <v xml:space="preserve">     </v>
      </c>
    </row>
    <row r="373" spans="1:4" x14ac:dyDescent="0.25">
      <c r="A373" s="12" t="s">
        <v>5838</v>
      </c>
      <c r="C373" s="10" t="str">
        <f>_xlfn.IFNA(VLOOKUP(B373,Phase2!A$4:C$1000,3,FALSE),"")</f>
        <v/>
      </c>
      <c r="D373" s="10" t="str">
        <f>_xlfn.IFNA(VLOOKUP($A373,CompChecksTrans!$A:$C,3,FALSE), "     ")</f>
        <v xml:space="preserve">     </v>
      </c>
    </row>
    <row r="374" spans="1:4" x14ac:dyDescent="0.25">
      <c r="A374" s="12" t="s">
        <v>5839</v>
      </c>
      <c r="C374" s="10" t="str">
        <f>_xlfn.IFNA(VLOOKUP(B374,Phase2!A$4:C$1000,3,FALSE),"")</f>
        <v/>
      </c>
      <c r="D374" s="10" t="str">
        <f>_xlfn.IFNA(VLOOKUP($A374,CompChecksTrans!$A:$C,3,FALSE), "     ")</f>
        <v xml:space="preserve">     </v>
      </c>
    </row>
    <row r="375" spans="1:4" x14ac:dyDescent="0.25">
      <c r="A375" s="12" t="s">
        <v>5840</v>
      </c>
      <c r="C375" s="10" t="str">
        <f>_xlfn.IFNA(VLOOKUP(B375,Phase2!A$4:C$1000,3,FALSE),"")</f>
        <v/>
      </c>
      <c r="D375" s="10" t="str">
        <f>_xlfn.IFNA(VLOOKUP($A375,CompChecksTrans!$A:$C,3,FALSE), "     ")</f>
        <v xml:space="preserve">     </v>
      </c>
    </row>
    <row r="376" spans="1:4" x14ac:dyDescent="0.25">
      <c r="A376" s="12" t="s">
        <v>5841</v>
      </c>
      <c r="C376" s="10" t="str">
        <f>_xlfn.IFNA(VLOOKUP(B376,Phase2!A$4:C$1000,3,FALSE),"")</f>
        <v/>
      </c>
      <c r="D376" s="10" t="str">
        <f>_xlfn.IFNA(VLOOKUP($A376,CompChecksTrans!$A:$C,3,FALSE), "     ")</f>
        <v xml:space="preserve">     </v>
      </c>
    </row>
    <row r="377" spans="1:4" x14ac:dyDescent="0.25">
      <c r="A377" s="12" t="s">
        <v>5842</v>
      </c>
      <c r="C377" s="10" t="str">
        <f>_xlfn.IFNA(VLOOKUP(B377,Phase2!A$4:C$1000,3,FALSE),"")</f>
        <v/>
      </c>
      <c r="D377" s="10" t="str">
        <f>_xlfn.IFNA(VLOOKUP($A377,CompChecksTrans!$A:$C,3,FALSE), "     ")</f>
        <v xml:space="preserve">     </v>
      </c>
    </row>
    <row r="378" spans="1:4" x14ac:dyDescent="0.25">
      <c r="A378" s="12" t="s">
        <v>5843</v>
      </c>
      <c r="C378" s="10" t="str">
        <f>_xlfn.IFNA(VLOOKUP(B378,Phase2!A$4:C$1000,3,FALSE),"")</f>
        <v/>
      </c>
      <c r="D378" s="10" t="str">
        <f>_xlfn.IFNA(VLOOKUP($A378,CompChecksTrans!$A:$C,3,FALSE), "     ")</f>
        <v xml:space="preserve">     </v>
      </c>
    </row>
    <row r="379" spans="1:4" x14ac:dyDescent="0.25">
      <c r="A379" s="12" t="s">
        <v>5844</v>
      </c>
      <c r="C379" s="10" t="str">
        <f>_xlfn.IFNA(VLOOKUP(B379,Phase2!A$4:C$1000,3,FALSE),"")</f>
        <v/>
      </c>
      <c r="D379" s="10" t="str">
        <f>_xlfn.IFNA(VLOOKUP($A379,CompChecksTrans!$A:$C,3,FALSE), "     ")</f>
        <v xml:space="preserve">     </v>
      </c>
    </row>
    <row r="380" spans="1:4" x14ac:dyDescent="0.25">
      <c r="A380" s="12" t="s">
        <v>5845</v>
      </c>
      <c r="C380" s="10" t="str">
        <f>_xlfn.IFNA(VLOOKUP(B380,Phase2!A$4:C$1000,3,FALSE),"")</f>
        <v/>
      </c>
      <c r="D380" s="10" t="str">
        <f>_xlfn.IFNA(VLOOKUP($A380,CompChecksTrans!$A:$C,3,FALSE), "     ")</f>
        <v xml:space="preserve">     </v>
      </c>
    </row>
    <row r="381" spans="1:4" x14ac:dyDescent="0.25">
      <c r="A381" s="12" t="s">
        <v>5846</v>
      </c>
      <c r="C381" s="10" t="str">
        <f>_xlfn.IFNA(VLOOKUP(B381,Phase2!A$4:C$1000,3,FALSE),"")</f>
        <v/>
      </c>
      <c r="D381" s="10" t="str">
        <f>_xlfn.IFNA(VLOOKUP($A381,CompChecksTrans!$A:$C,3,FALSE), "     ")</f>
        <v xml:space="preserve">     </v>
      </c>
    </row>
    <row r="382" spans="1:4" x14ac:dyDescent="0.25">
      <c r="A382" s="12" t="s">
        <v>5847</v>
      </c>
      <c r="C382" s="10" t="str">
        <f>_xlfn.IFNA(VLOOKUP(B382,Phase2!A$4:C$1000,3,FALSE),"")</f>
        <v/>
      </c>
      <c r="D382" s="10" t="str">
        <f>_xlfn.IFNA(VLOOKUP($A382,CompChecksTrans!$A:$C,3,FALSE), "     ")</f>
        <v xml:space="preserve">     </v>
      </c>
    </row>
    <row r="383" spans="1:4" x14ac:dyDescent="0.25">
      <c r="A383" s="12" t="s">
        <v>5848</v>
      </c>
      <c r="C383" s="10" t="str">
        <f>_xlfn.IFNA(VLOOKUP(B383,Phase2!A$4:C$1000,3,FALSE),"")</f>
        <v/>
      </c>
      <c r="D383" s="10" t="str">
        <f>_xlfn.IFNA(VLOOKUP($A383,CompChecksTrans!$A:$C,3,FALSE), "     ")</f>
        <v xml:space="preserve">     </v>
      </c>
    </row>
    <row r="384" spans="1:4" x14ac:dyDescent="0.25">
      <c r="A384" s="12" t="s">
        <v>5849</v>
      </c>
      <c r="C384" s="10" t="str">
        <f>_xlfn.IFNA(VLOOKUP(B384,Phase2!A$4:C$1000,3,FALSE),"")</f>
        <v/>
      </c>
      <c r="D384" s="10" t="str">
        <f>_xlfn.IFNA(VLOOKUP($A384,CompChecksTrans!$A:$C,3,FALSE), "     ")</f>
        <v xml:space="preserve">     </v>
      </c>
    </row>
    <row r="385" spans="1:4" x14ac:dyDescent="0.25">
      <c r="A385" s="12" t="s">
        <v>5850</v>
      </c>
      <c r="C385" s="10" t="str">
        <f>_xlfn.IFNA(VLOOKUP(B385,Phase2!A$4:C$1000,3,FALSE),"")</f>
        <v/>
      </c>
      <c r="D385" s="10" t="str">
        <f>_xlfn.IFNA(VLOOKUP($A385,CompChecksTrans!$A:$C,3,FALSE), "     ")</f>
        <v xml:space="preserve">     </v>
      </c>
    </row>
    <row r="386" spans="1:4" x14ac:dyDescent="0.25">
      <c r="A386" s="12" t="s">
        <v>5851</v>
      </c>
      <c r="C386" s="10" t="str">
        <f>_xlfn.IFNA(VLOOKUP(B386,Phase2!A$4:C$1000,3,FALSE),"")</f>
        <v/>
      </c>
      <c r="D386" s="10" t="str">
        <f>_xlfn.IFNA(VLOOKUP($A386,CompChecksTrans!$A:$C,3,FALSE), "     ")</f>
        <v xml:space="preserve">     </v>
      </c>
    </row>
    <row r="387" spans="1:4" x14ac:dyDescent="0.25">
      <c r="A387" s="12" t="s">
        <v>5852</v>
      </c>
      <c r="C387" s="10" t="str">
        <f>_xlfn.IFNA(VLOOKUP(B387,Phase2!A$4:C$1000,3,FALSE),"")</f>
        <v/>
      </c>
      <c r="D387" s="10" t="str">
        <f>_xlfn.IFNA(VLOOKUP($A387,CompChecksTrans!$A:$C,3,FALSE), "     ")</f>
        <v xml:space="preserve">     </v>
      </c>
    </row>
    <row r="388" spans="1:4" x14ac:dyDescent="0.25">
      <c r="A388" s="12" t="s">
        <v>5853</v>
      </c>
      <c r="C388" s="10" t="str">
        <f>_xlfn.IFNA(VLOOKUP(B388,Phase2!A$4:C$1000,3,FALSE),"")</f>
        <v/>
      </c>
      <c r="D388" s="10" t="str">
        <f>_xlfn.IFNA(VLOOKUP($A388,CompChecksTrans!$A:$C,3,FALSE), "     ")</f>
        <v xml:space="preserve">     </v>
      </c>
    </row>
    <row r="389" spans="1:4" x14ac:dyDescent="0.25">
      <c r="A389" s="12" t="s">
        <v>5854</v>
      </c>
      <c r="C389" s="10" t="str">
        <f>_xlfn.IFNA(VLOOKUP(B389,Phase2!A$4:C$1000,3,FALSE),"")</f>
        <v/>
      </c>
      <c r="D389" s="10" t="str">
        <f>_xlfn.IFNA(VLOOKUP($A389,CompChecksTrans!$A:$C,3,FALSE), "     ")</f>
        <v xml:space="preserve">     </v>
      </c>
    </row>
    <row r="390" spans="1:4" x14ac:dyDescent="0.25">
      <c r="A390" s="12" t="s">
        <v>5855</v>
      </c>
      <c r="C390" s="10" t="str">
        <f>_xlfn.IFNA(VLOOKUP(B390,Phase2!A$4:C$1000,3,FALSE),"")</f>
        <v/>
      </c>
      <c r="D390" s="10" t="str">
        <f>_xlfn.IFNA(VLOOKUP($A390,CompChecksTrans!$A:$C,3,FALSE), "     ")</f>
        <v xml:space="preserve">     </v>
      </c>
    </row>
    <row r="391" spans="1:4" x14ac:dyDescent="0.25">
      <c r="A391" s="12" t="s">
        <v>5856</v>
      </c>
      <c r="C391" s="10" t="str">
        <f>_xlfn.IFNA(VLOOKUP(B391,Phase2!A$4:C$1000,3,FALSE),"")</f>
        <v/>
      </c>
      <c r="D391" s="10" t="str">
        <f>_xlfn.IFNA(VLOOKUP($A391,CompChecksTrans!$A:$C,3,FALSE), "     ")</f>
        <v xml:space="preserve">     </v>
      </c>
    </row>
    <row r="392" spans="1:4" x14ac:dyDescent="0.25">
      <c r="A392" s="12" t="s">
        <v>5857</v>
      </c>
      <c r="C392" s="10" t="str">
        <f>_xlfn.IFNA(VLOOKUP(B392,Phase2!A$4:C$1000,3,FALSE),"")</f>
        <v/>
      </c>
      <c r="D392" s="10" t="str">
        <f>_xlfn.IFNA(VLOOKUP($A392,CompChecksTrans!$A:$C,3,FALSE), "     ")</f>
        <v xml:space="preserve">     </v>
      </c>
    </row>
    <row r="393" spans="1:4" x14ac:dyDescent="0.25">
      <c r="A393" s="12" t="s">
        <v>5858</v>
      </c>
      <c r="C393" s="10" t="str">
        <f>_xlfn.IFNA(VLOOKUP(B393,Phase2!A$4:C$1000,3,FALSE),"")</f>
        <v/>
      </c>
      <c r="D393" s="10" t="str">
        <f>_xlfn.IFNA(VLOOKUP($A393,CompChecksTrans!$A:$C,3,FALSE), "     ")</f>
        <v xml:space="preserve">     </v>
      </c>
    </row>
    <row r="394" spans="1:4" x14ac:dyDescent="0.25">
      <c r="A394" s="12" t="s">
        <v>5859</v>
      </c>
      <c r="C394" s="10" t="str">
        <f>_xlfn.IFNA(VLOOKUP(B394,Phase2!A$4:C$1000,3,FALSE),"")</f>
        <v/>
      </c>
      <c r="D394" s="10" t="str">
        <f>_xlfn.IFNA(VLOOKUP($A394,CompChecksTrans!$A:$C,3,FALSE), "     ")</f>
        <v xml:space="preserve">     </v>
      </c>
    </row>
    <row r="395" spans="1:4" x14ac:dyDescent="0.25">
      <c r="A395" s="12" t="s">
        <v>5860</v>
      </c>
      <c r="C395" s="10" t="str">
        <f>_xlfn.IFNA(VLOOKUP(B395,Phase2!A$4:C$1000,3,FALSE),"")</f>
        <v/>
      </c>
      <c r="D395" s="10" t="str">
        <f>_xlfn.IFNA(VLOOKUP($A395,CompChecksTrans!$A:$C,3,FALSE), "     ")</f>
        <v xml:space="preserve">     </v>
      </c>
    </row>
    <row r="396" spans="1:4" x14ac:dyDescent="0.25">
      <c r="A396" s="12" t="s">
        <v>5861</v>
      </c>
      <c r="C396" s="10" t="str">
        <f>_xlfn.IFNA(VLOOKUP(B396,Phase2!A$4:C$1000,3,FALSE),"")</f>
        <v/>
      </c>
      <c r="D396" s="10" t="str">
        <f>_xlfn.IFNA(VLOOKUP($A396,CompChecksTrans!$A:$C,3,FALSE), "     ")</f>
        <v xml:space="preserve">     </v>
      </c>
    </row>
    <row r="397" spans="1:4" x14ac:dyDescent="0.25">
      <c r="A397" s="12" t="s">
        <v>5862</v>
      </c>
      <c r="C397" s="10" t="str">
        <f>_xlfn.IFNA(VLOOKUP(B397,Phase2!A$4:C$1000,3,FALSE),"")</f>
        <v/>
      </c>
      <c r="D397" s="10" t="str">
        <f>_xlfn.IFNA(VLOOKUP($A397,CompChecksTrans!$A:$C,3,FALSE), "     ")</f>
        <v xml:space="preserve">     </v>
      </c>
    </row>
    <row r="398" spans="1:4" x14ac:dyDescent="0.25">
      <c r="A398" s="12" t="s">
        <v>5863</v>
      </c>
      <c r="C398" s="10" t="str">
        <f>_xlfn.IFNA(VLOOKUP(B398,Phase2!A$4:C$1000,3,FALSE),"")</f>
        <v/>
      </c>
      <c r="D398" s="10" t="str">
        <f>_xlfn.IFNA(VLOOKUP($A398,CompChecksTrans!$A:$C,3,FALSE), "     ")</f>
        <v xml:space="preserve">     </v>
      </c>
    </row>
    <row r="399" spans="1:4" x14ac:dyDescent="0.25">
      <c r="A399" s="12" t="s">
        <v>5864</v>
      </c>
      <c r="C399" s="10" t="str">
        <f>_xlfn.IFNA(VLOOKUP(B399,Phase2!A$4:C$1000,3,FALSE),"")</f>
        <v/>
      </c>
      <c r="D399" s="10" t="str">
        <f>_xlfn.IFNA(VLOOKUP($A399,CompChecksTrans!$A:$C,3,FALSE), "     ")</f>
        <v xml:space="preserve">     </v>
      </c>
    </row>
    <row r="400" spans="1:4" x14ac:dyDescent="0.25">
      <c r="A400" s="12" t="s">
        <v>5865</v>
      </c>
      <c r="C400" s="10" t="str">
        <f>_xlfn.IFNA(VLOOKUP(B400,Phase2!A$4:C$1000,3,FALSE),"")</f>
        <v/>
      </c>
      <c r="D400" s="10" t="str">
        <f>_xlfn.IFNA(VLOOKUP($A400,CompChecksTrans!$A:$C,3,FALSE), "     ")</f>
        <v xml:space="preserve">     </v>
      </c>
    </row>
    <row r="401" spans="1:4" x14ac:dyDescent="0.25">
      <c r="A401" s="12" t="s">
        <v>5866</v>
      </c>
      <c r="C401" s="10" t="str">
        <f>_xlfn.IFNA(VLOOKUP(B401,Phase2!A$4:C$1000,3,FALSE),"")</f>
        <v/>
      </c>
      <c r="D401" s="10" t="str">
        <f>_xlfn.IFNA(VLOOKUP($A401,CompChecksTrans!$A:$C,3,FALSE), "     ")</f>
        <v xml:space="preserve">     </v>
      </c>
    </row>
    <row r="402" spans="1:4" x14ac:dyDescent="0.25">
      <c r="A402" s="12" t="s">
        <v>5867</v>
      </c>
      <c r="C402" s="10" t="str">
        <f>_xlfn.IFNA(VLOOKUP(B402,Phase2!A$4:C$1000,3,FALSE),"")</f>
        <v/>
      </c>
      <c r="D402" s="10" t="str">
        <f>_xlfn.IFNA(VLOOKUP($A402,CompChecksTrans!$A:$C,3,FALSE), "     ")</f>
        <v xml:space="preserve">     </v>
      </c>
    </row>
    <row r="403" spans="1:4" x14ac:dyDescent="0.25">
      <c r="A403" s="12" t="s">
        <v>5868</v>
      </c>
      <c r="C403" s="10" t="str">
        <f>_xlfn.IFNA(VLOOKUP(B403,Phase2!A$4:C$1000,3,FALSE),"")</f>
        <v/>
      </c>
      <c r="D403" s="10" t="str">
        <f>_xlfn.IFNA(VLOOKUP($A403,CompChecksTrans!$A:$C,3,FALSE), "     ")</f>
        <v xml:space="preserve">     </v>
      </c>
    </row>
    <row r="404" spans="1:4" x14ac:dyDescent="0.25">
      <c r="A404" s="12" t="s">
        <v>5869</v>
      </c>
      <c r="C404" s="10" t="str">
        <f>_xlfn.IFNA(VLOOKUP(B404,Phase2!A$4:C$1000,3,FALSE),"")</f>
        <v/>
      </c>
      <c r="D404" s="10" t="str">
        <f>_xlfn.IFNA(VLOOKUP($A404,CompChecksTrans!$A:$C,3,FALSE), "     ")</f>
        <v xml:space="preserve">     </v>
      </c>
    </row>
    <row r="405" spans="1:4" x14ac:dyDescent="0.25">
      <c r="A405" s="12" t="s">
        <v>5870</v>
      </c>
      <c r="C405" s="10" t="str">
        <f>_xlfn.IFNA(VLOOKUP(B405,Phase2!A$4:C$1000,3,FALSE),"")</f>
        <v/>
      </c>
      <c r="D405" s="10" t="str">
        <f>_xlfn.IFNA(VLOOKUP($A405,CompChecksTrans!$A:$C,3,FALSE), "     ")</f>
        <v xml:space="preserve">     </v>
      </c>
    </row>
    <row r="406" spans="1:4" x14ac:dyDescent="0.25">
      <c r="A406" s="12" t="s">
        <v>5871</v>
      </c>
      <c r="C406" s="10" t="str">
        <f>_xlfn.IFNA(VLOOKUP(B406,Phase2!A$4:C$1000,3,FALSE),"")</f>
        <v/>
      </c>
      <c r="D406" s="10" t="str">
        <f>_xlfn.IFNA(VLOOKUP($A406,CompChecksTrans!$A:$C,3,FALSE), "     ")</f>
        <v xml:space="preserve">     </v>
      </c>
    </row>
    <row r="407" spans="1:4" x14ac:dyDescent="0.25">
      <c r="A407" s="12" t="s">
        <v>5872</v>
      </c>
      <c r="C407" s="10" t="str">
        <f>_xlfn.IFNA(VLOOKUP(B407,Phase2!A$4:C$1000,3,FALSE),"")</f>
        <v/>
      </c>
      <c r="D407" s="10" t="str">
        <f>_xlfn.IFNA(VLOOKUP($A407,CompChecksTrans!$A:$C,3,FALSE), "     ")</f>
        <v xml:space="preserve">     </v>
      </c>
    </row>
    <row r="408" spans="1:4" x14ac:dyDescent="0.25">
      <c r="A408" s="12" t="s">
        <v>5873</v>
      </c>
      <c r="C408" s="10" t="str">
        <f>_xlfn.IFNA(VLOOKUP(B408,Phase2!A$4:C$1000,3,FALSE),"")</f>
        <v/>
      </c>
      <c r="D408" s="10" t="str">
        <f>_xlfn.IFNA(VLOOKUP($A408,CompChecksTrans!$A:$C,3,FALSE), "     ")</f>
        <v xml:space="preserve">     </v>
      </c>
    </row>
    <row r="409" spans="1:4" x14ac:dyDescent="0.25">
      <c r="A409" s="12" t="s">
        <v>5874</v>
      </c>
      <c r="C409" s="10" t="str">
        <f>_xlfn.IFNA(VLOOKUP(B409,Phase2!A$4:C$1000,3,FALSE),"")</f>
        <v/>
      </c>
      <c r="D409" s="10" t="str">
        <f>_xlfn.IFNA(VLOOKUP($A409,CompChecksTrans!$A:$C,3,FALSE), "     ")</f>
        <v xml:space="preserve">     </v>
      </c>
    </row>
    <row r="410" spans="1:4" x14ac:dyDescent="0.25">
      <c r="A410" s="12" t="s">
        <v>5875</v>
      </c>
      <c r="C410" s="10" t="str">
        <f>_xlfn.IFNA(VLOOKUP(B410,Phase2!A$4:C$1000,3,FALSE),"")</f>
        <v/>
      </c>
      <c r="D410" s="10" t="str">
        <f>_xlfn.IFNA(VLOOKUP($A410,CompChecksTrans!$A:$C,3,FALSE), "     ")</f>
        <v xml:space="preserve">     </v>
      </c>
    </row>
    <row r="411" spans="1:4" x14ac:dyDescent="0.25">
      <c r="A411" s="12" t="s">
        <v>5876</v>
      </c>
      <c r="C411" s="10" t="str">
        <f>_xlfn.IFNA(VLOOKUP(B411,Phase2!A$4:C$1000,3,FALSE),"")</f>
        <v/>
      </c>
      <c r="D411" s="10" t="str">
        <f>_xlfn.IFNA(VLOOKUP($A411,CompChecksTrans!$A:$C,3,FALSE), "     ")</f>
        <v xml:space="preserve">     </v>
      </c>
    </row>
    <row r="412" spans="1:4" x14ac:dyDescent="0.25">
      <c r="A412" s="12" t="s">
        <v>5877</v>
      </c>
      <c r="C412" s="10" t="str">
        <f>_xlfn.IFNA(VLOOKUP(B412,Phase2!A$4:C$1000,3,FALSE),"")</f>
        <v/>
      </c>
      <c r="D412" s="10" t="str">
        <f>_xlfn.IFNA(VLOOKUP($A412,CompChecksTrans!$A:$C,3,FALSE), "     ")</f>
        <v xml:space="preserve">     </v>
      </c>
    </row>
    <row r="413" spans="1:4" x14ac:dyDescent="0.25">
      <c r="A413" s="12" t="s">
        <v>5878</v>
      </c>
      <c r="C413" s="10" t="str">
        <f>_xlfn.IFNA(VLOOKUP(B413,Phase2!A$4:C$1000,3,FALSE),"")</f>
        <v/>
      </c>
      <c r="D413" s="10" t="str">
        <f>_xlfn.IFNA(VLOOKUP($A413,CompChecksTrans!$A:$C,3,FALSE), "     ")</f>
        <v xml:space="preserve">     </v>
      </c>
    </row>
    <row r="414" spans="1:4" x14ac:dyDescent="0.25">
      <c r="A414" s="12" t="s">
        <v>5879</v>
      </c>
      <c r="C414" s="10" t="str">
        <f>_xlfn.IFNA(VLOOKUP(B414,Phase2!A$4:C$1000,3,FALSE),"")</f>
        <v/>
      </c>
      <c r="D414" s="10" t="str">
        <f>_xlfn.IFNA(VLOOKUP($A414,CompChecksTrans!$A:$C,3,FALSE), "     ")</f>
        <v xml:space="preserve">     </v>
      </c>
    </row>
    <row r="415" spans="1:4" x14ac:dyDescent="0.25">
      <c r="A415" s="12" t="s">
        <v>5880</v>
      </c>
      <c r="C415" s="10" t="str">
        <f>_xlfn.IFNA(VLOOKUP(B415,Phase2!A$4:C$1000,3,FALSE),"")</f>
        <v/>
      </c>
      <c r="D415" s="10" t="str">
        <f>_xlfn.IFNA(VLOOKUP($A415,CompChecksTrans!$A:$C,3,FALSE), "     ")</f>
        <v xml:space="preserve">     </v>
      </c>
    </row>
    <row r="416" spans="1:4" x14ac:dyDescent="0.25">
      <c r="A416" s="12" t="s">
        <v>5881</v>
      </c>
      <c r="C416" s="10" t="str">
        <f>_xlfn.IFNA(VLOOKUP(B416,Phase2!A$4:C$1000,3,FALSE),"")</f>
        <v/>
      </c>
      <c r="D416" s="10" t="str">
        <f>_xlfn.IFNA(VLOOKUP($A416,CompChecksTrans!$A:$C,3,FALSE), "     ")</f>
        <v xml:space="preserve">     </v>
      </c>
    </row>
    <row r="417" spans="1:4" x14ac:dyDescent="0.25">
      <c r="A417" s="12" t="s">
        <v>5882</v>
      </c>
      <c r="C417" s="10" t="str">
        <f>_xlfn.IFNA(VLOOKUP(B417,Phase2!A$4:C$1000,3,FALSE),"")</f>
        <v/>
      </c>
      <c r="D417" s="10" t="str">
        <f>_xlfn.IFNA(VLOOKUP($A417,CompChecksTrans!$A:$C,3,FALSE), "     ")</f>
        <v xml:space="preserve">     </v>
      </c>
    </row>
    <row r="418" spans="1:4" x14ac:dyDescent="0.25">
      <c r="A418" s="12" t="s">
        <v>5883</v>
      </c>
      <c r="C418" s="10" t="str">
        <f>_xlfn.IFNA(VLOOKUP(B418,Phase2!A$4:C$1000,3,FALSE),"")</f>
        <v/>
      </c>
      <c r="D418" s="10" t="str">
        <f>_xlfn.IFNA(VLOOKUP($A418,CompChecksTrans!$A:$C,3,FALSE), "     ")</f>
        <v xml:space="preserve">     </v>
      </c>
    </row>
    <row r="419" spans="1:4" x14ac:dyDescent="0.25">
      <c r="A419" s="12" t="s">
        <v>5884</v>
      </c>
      <c r="C419" s="10" t="str">
        <f>_xlfn.IFNA(VLOOKUP(B419,Phase2!A$4:C$1000,3,FALSE),"")</f>
        <v/>
      </c>
      <c r="D419" s="10" t="str">
        <f>_xlfn.IFNA(VLOOKUP($A419,CompChecksTrans!$A:$C,3,FALSE), "     ")</f>
        <v xml:space="preserve">     </v>
      </c>
    </row>
    <row r="420" spans="1:4" x14ac:dyDescent="0.25">
      <c r="A420" s="12" t="s">
        <v>5885</v>
      </c>
      <c r="C420" s="10" t="str">
        <f>_xlfn.IFNA(VLOOKUP(B420,Phase2!A$4:C$1000,3,FALSE),"")</f>
        <v/>
      </c>
      <c r="D420" s="10" t="str">
        <f>_xlfn.IFNA(VLOOKUP($A420,CompChecksTrans!$A:$C,3,FALSE), "     ")</f>
        <v xml:space="preserve">     </v>
      </c>
    </row>
    <row r="421" spans="1:4" x14ac:dyDescent="0.25">
      <c r="A421" s="12" t="s">
        <v>5886</v>
      </c>
      <c r="C421" s="10" t="str">
        <f>_xlfn.IFNA(VLOOKUP(B421,Phase2!A$4:C$1000,3,FALSE),"")</f>
        <v/>
      </c>
      <c r="D421" s="10" t="str">
        <f>_xlfn.IFNA(VLOOKUP($A421,CompChecksTrans!$A:$C,3,FALSE), "     ")</f>
        <v xml:space="preserve">     </v>
      </c>
    </row>
    <row r="422" spans="1:4" x14ac:dyDescent="0.25">
      <c r="A422" s="12" t="s">
        <v>5887</v>
      </c>
      <c r="C422" s="10" t="str">
        <f>_xlfn.IFNA(VLOOKUP(B422,Phase2!A$4:C$1000,3,FALSE),"")</f>
        <v/>
      </c>
      <c r="D422" s="10" t="str">
        <f>_xlfn.IFNA(VLOOKUP($A422,CompChecksTrans!$A:$C,3,FALSE), "     ")</f>
        <v xml:space="preserve">     </v>
      </c>
    </row>
    <row r="423" spans="1:4" x14ac:dyDescent="0.25">
      <c r="A423" s="12" t="s">
        <v>5888</v>
      </c>
      <c r="C423" s="10" t="str">
        <f>_xlfn.IFNA(VLOOKUP(B423,Phase2!A$4:C$1000,3,FALSE),"")</f>
        <v/>
      </c>
      <c r="D423" s="10" t="str">
        <f>_xlfn.IFNA(VLOOKUP($A423,CompChecksTrans!$A:$C,3,FALSE), "     ")</f>
        <v xml:space="preserve">     </v>
      </c>
    </row>
    <row r="424" spans="1:4" x14ac:dyDescent="0.25">
      <c r="A424" s="12" t="s">
        <v>5889</v>
      </c>
      <c r="C424" s="10" t="str">
        <f>_xlfn.IFNA(VLOOKUP(B424,Phase2!A$4:C$1000,3,FALSE),"")</f>
        <v/>
      </c>
      <c r="D424" s="10" t="str">
        <f>_xlfn.IFNA(VLOOKUP($A424,CompChecksTrans!$A:$C,3,FALSE), "     ")</f>
        <v xml:space="preserve">     </v>
      </c>
    </row>
    <row r="425" spans="1:4" x14ac:dyDescent="0.25">
      <c r="A425" s="12" t="s">
        <v>5890</v>
      </c>
      <c r="C425" s="10" t="str">
        <f>_xlfn.IFNA(VLOOKUP(B425,Phase2!A$4:C$1000,3,FALSE),"")</f>
        <v/>
      </c>
      <c r="D425" s="10" t="str">
        <f>_xlfn.IFNA(VLOOKUP($A425,CompChecksTrans!$A:$C,3,FALSE), "     ")</f>
        <v xml:space="preserve">     </v>
      </c>
    </row>
    <row r="426" spans="1:4" x14ac:dyDescent="0.25">
      <c r="A426" s="12" t="s">
        <v>5891</v>
      </c>
      <c r="C426" s="10" t="str">
        <f>_xlfn.IFNA(VLOOKUP(B426,Phase2!A$4:C$1000,3,FALSE),"")</f>
        <v/>
      </c>
      <c r="D426" s="10" t="str">
        <f>_xlfn.IFNA(VLOOKUP($A426,CompChecksTrans!$A:$C,3,FALSE), "     ")</f>
        <v xml:space="preserve">     </v>
      </c>
    </row>
    <row r="427" spans="1:4" x14ac:dyDescent="0.25">
      <c r="A427" s="12" t="s">
        <v>5892</v>
      </c>
      <c r="C427" s="10" t="str">
        <f>_xlfn.IFNA(VLOOKUP(B427,Phase2!A$4:C$1000,3,FALSE),"")</f>
        <v/>
      </c>
      <c r="D427" s="10" t="str">
        <f>_xlfn.IFNA(VLOOKUP($A427,CompChecksTrans!$A:$C,3,FALSE), "     ")</f>
        <v xml:space="preserve">     </v>
      </c>
    </row>
    <row r="428" spans="1:4" x14ac:dyDescent="0.25">
      <c r="A428" s="12" t="s">
        <v>5893</v>
      </c>
      <c r="C428" s="10" t="str">
        <f>_xlfn.IFNA(VLOOKUP(B428,Phase2!A$4:C$1000,3,FALSE),"")</f>
        <v/>
      </c>
      <c r="D428" s="10" t="str">
        <f>_xlfn.IFNA(VLOOKUP($A428,CompChecksTrans!$A:$C,3,FALSE), "     ")</f>
        <v xml:space="preserve">     </v>
      </c>
    </row>
    <row r="429" spans="1:4" x14ac:dyDescent="0.25">
      <c r="A429" s="12" t="s">
        <v>5894</v>
      </c>
      <c r="C429" s="10" t="str">
        <f>_xlfn.IFNA(VLOOKUP(B429,Phase2!A$4:C$1000,3,FALSE),"")</f>
        <v/>
      </c>
      <c r="D429" s="10" t="str">
        <f>_xlfn.IFNA(VLOOKUP($A429,CompChecksTrans!$A:$C,3,FALSE), "     ")</f>
        <v xml:space="preserve">     </v>
      </c>
    </row>
    <row r="430" spans="1:4" x14ac:dyDescent="0.25">
      <c r="A430" s="12" t="s">
        <v>5895</v>
      </c>
      <c r="C430" s="10" t="str">
        <f>_xlfn.IFNA(VLOOKUP(B430,Phase2!A$4:C$1000,3,FALSE),"")</f>
        <v/>
      </c>
      <c r="D430" s="10" t="str">
        <f>_xlfn.IFNA(VLOOKUP($A430,CompChecksTrans!$A:$C,3,FALSE), "     ")</f>
        <v xml:space="preserve">     </v>
      </c>
    </row>
    <row r="431" spans="1:4" x14ac:dyDescent="0.25">
      <c r="A431" s="12" t="s">
        <v>5896</v>
      </c>
      <c r="C431" s="10" t="str">
        <f>_xlfn.IFNA(VLOOKUP(B431,Phase2!A$4:C$1000,3,FALSE),"")</f>
        <v/>
      </c>
      <c r="D431" s="10" t="str">
        <f>_xlfn.IFNA(VLOOKUP($A431,CompChecksTrans!$A:$C,3,FALSE), "     ")</f>
        <v xml:space="preserve">     </v>
      </c>
    </row>
    <row r="432" spans="1:4" x14ac:dyDescent="0.25">
      <c r="A432" s="12" t="s">
        <v>5897</v>
      </c>
      <c r="C432" s="10" t="str">
        <f>_xlfn.IFNA(VLOOKUP(B432,Phase2!A$4:C$1000,3,FALSE),"")</f>
        <v/>
      </c>
      <c r="D432" s="10" t="str">
        <f>_xlfn.IFNA(VLOOKUP($A432,CompChecksTrans!$A:$C,3,FALSE), "     ")</f>
        <v xml:space="preserve">     </v>
      </c>
    </row>
    <row r="433" spans="1:4" x14ac:dyDescent="0.25">
      <c r="A433" s="12" t="s">
        <v>5898</v>
      </c>
      <c r="C433" s="10" t="str">
        <f>_xlfn.IFNA(VLOOKUP(B433,Phase2!A$4:C$1000,3,FALSE),"")</f>
        <v/>
      </c>
      <c r="D433" s="10" t="str">
        <f>_xlfn.IFNA(VLOOKUP($A433,CompChecksTrans!$A:$C,3,FALSE), "     ")</f>
        <v xml:space="preserve">     </v>
      </c>
    </row>
    <row r="434" spans="1:4" x14ac:dyDescent="0.25">
      <c r="A434" s="12" t="s">
        <v>5899</v>
      </c>
      <c r="C434" s="10" t="str">
        <f>_xlfn.IFNA(VLOOKUP(B434,Phase2!A$4:C$1000,3,FALSE),"")</f>
        <v/>
      </c>
      <c r="D434" s="10" t="str">
        <f>_xlfn.IFNA(VLOOKUP($A434,CompChecksTrans!$A:$C,3,FALSE), "     ")</f>
        <v xml:space="preserve">     </v>
      </c>
    </row>
    <row r="435" spans="1:4" x14ac:dyDescent="0.25">
      <c r="A435" s="12" t="s">
        <v>5900</v>
      </c>
      <c r="C435" s="10" t="str">
        <f>_xlfn.IFNA(VLOOKUP(B435,Phase2!A$4:C$1000,3,FALSE),"")</f>
        <v/>
      </c>
      <c r="D435" s="10" t="str">
        <f>_xlfn.IFNA(VLOOKUP($A435,CompChecksTrans!$A:$C,3,FALSE), "     ")</f>
        <v xml:space="preserve">     </v>
      </c>
    </row>
    <row r="436" spans="1:4" x14ac:dyDescent="0.25">
      <c r="A436" s="12" t="s">
        <v>5901</v>
      </c>
      <c r="C436" s="10" t="str">
        <f>_xlfn.IFNA(VLOOKUP(B436,Phase2!A$4:C$1000,3,FALSE),"")</f>
        <v/>
      </c>
      <c r="D436" s="10" t="str">
        <f>_xlfn.IFNA(VLOOKUP($A436,CompChecksTrans!$A:$C,3,FALSE), "     ")</f>
        <v xml:space="preserve">     </v>
      </c>
    </row>
    <row r="437" spans="1:4" x14ac:dyDescent="0.25">
      <c r="A437" s="12" t="s">
        <v>5902</v>
      </c>
      <c r="C437" s="10" t="str">
        <f>_xlfn.IFNA(VLOOKUP(B437,Phase2!A$4:C$1000,3,FALSE),"")</f>
        <v/>
      </c>
      <c r="D437" s="10" t="str">
        <f>_xlfn.IFNA(VLOOKUP($A437,CompChecksTrans!$A:$C,3,FALSE), "     ")</f>
        <v xml:space="preserve">     </v>
      </c>
    </row>
    <row r="438" spans="1:4" x14ac:dyDescent="0.25">
      <c r="A438" s="12" t="s">
        <v>5903</v>
      </c>
      <c r="C438" s="10" t="str">
        <f>_xlfn.IFNA(VLOOKUP(B438,Phase2!A$4:C$1000,3,FALSE),"")</f>
        <v/>
      </c>
      <c r="D438" s="10" t="str">
        <f>_xlfn.IFNA(VLOOKUP($A438,CompChecksTrans!$A:$C,3,FALSE), "     ")</f>
        <v xml:space="preserve">     </v>
      </c>
    </row>
    <row r="439" spans="1:4" x14ac:dyDescent="0.25">
      <c r="A439" s="12" t="s">
        <v>5904</v>
      </c>
      <c r="C439" s="10" t="str">
        <f>_xlfn.IFNA(VLOOKUP(B439,Phase2!A$4:C$1000,3,FALSE),"")</f>
        <v/>
      </c>
      <c r="D439" s="10" t="str">
        <f>_xlfn.IFNA(VLOOKUP($A439,CompChecksTrans!$A:$C,3,FALSE), "     ")</f>
        <v xml:space="preserve">     </v>
      </c>
    </row>
    <row r="440" spans="1:4" x14ac:dyDescent="0.25">
      <c r="A440" s="12" t="s">
        <v>5905</v>
      </c>
      <c r="C440" s="10" t="str">
        <f>_xlfn.IFNA(VLOOKUP(B440,Phase2!A$4:C$1000,3,FALSE),"")</f>
        <v/>
      </c>
      <c r="D440" s="10" t="str">
        <f>_xlfn.IFNA(VLOOKUP($A440,CompChecksTrans!$A:$C,3,FALSE), "     ")</f>
        <v xml:space="preserve">     </v>
      </c>
    </row>
    <row r="441" spans="1:4" x14ac:dyDescent="0.25">
      <c r="A441" s="12" t="s">
        <v>5906</v>
      </c>
      <c r="C441" s="10" t="str">
        <f>_xlfn.IFNA(VLOOKUP(B441,Phase2!A$4:C$1000,3,FALSE),"")</f>
        <v/>
      </c>
      <c r="D441" s="10" t="str">
        <f>_xlfn.IFNA(VLOOKUP($A441,CompChecksTrans!$A:$C,3,FALSE), "     ")</f>
        <v xml:space="preserve">     </v>
      </c>
    </row>
    <row r="442" spans="1:4" x14ac:dyDescent="0.25">
      <c r="A442" s="12" t="s">
        <v>5907</v>
      </c>
      <c r="C442" s="10" t="str">
        <f>_xlfn.IFNA(VLOOKUP(B442,Phase2!A$4:C$1000,3,FALSE),"")</f>
        <v/>
      </c>
      <c r="D442" s="10" t="str">
        <f>_xlfn.IFNA(VLOOKUP($A442,CompChecksTrans!$A:$C,3,FALSE), "     ")</f>
        <v xml:space="preserve">     </v>
      </c>
    </row>
    <row r="443" spans="1:4" x14ac:dyDescent="0.25">
      <c r="A443" s="12" t="s">
        <v>5908</v>
      </c>
      <c r="C443" s="10" t="str">
        <f>_xlfn.IFNA(VLOOKUP(B443,Phase2!A$4:C$1000,3,FALSE),"")</f>
        <v/>
      </c>
      <c r="D443" s="10" t="str">
        <f>_xlfn.IFNA(VLOOKUP($A443,CompChecksTrans!$A:$C,3,FALSE), "     ")</f>
        <v xml:space="preserve">     </v>
      </c>
    </row>
    <row r="444" spans="1:4" x14ac:dyDescent="0.25">
      <c r="A444" s="12" t="s">
        <v>5909</v>
      </c>
      <c r="C444" s="10" t="str">
        <f>_xlfn.IFNA(VLOOKUP(B444,Phase2!A$4:C$1000,3,FALSE),"")</f>
        <v/>
      </c>
      <c r="D444" s="10" t="str">
        <f>_xlfn.IFNA(VLOOKUP($A444,CompChecksTrans!$A:$C,3,FALSE), "     ")</f>
        <v xml:space="preserve">     </v>
      </c>
    </row>
    <row r="445" spans="1:4" x14ac:dyDescent="0.25">
      <c r="A445" s="12" t="s">
        <v>5910</v>
      </c>
      <c r="C445" s="10" t="str">
        <f>_xlfn.IFNA(VLOOKUP(B445,Phase2!A$4:C$1000,3,FALSE),"")</f>
        <v/>
      </c>
      <c r="D445" s="10" t="str">
        <f>_xlfn.IFNA(VLOOKUP($A445,CompChecksTrans!$A:$C,3,FALSE), "     ")</f>
        <v xml:space="preserve">     </v>
      </c>
    </row>
    <row r="446" spans="1:4" x14ac:dyDescent="0.25">
      <c r="A446" s="12" t="s">
        <v>5911</v>
      </c>
      <c r="C446" s="10" t="str">
        <f>_xlfn.IFNA(VLOOKUP(B446,Phase2!A$4:C$1000,3,FALSE),"")</f>
        <v/>
      </c>
      <c r="D446" s="10" t="str">
        <f>_xlfn.IFNA(VLOOKUP($A446,CompChecksTrans!$A:$C,3,FALSE), "     ")</f>
        <v xml:space="preserve">     </v>
      </c>
    </row>
    <row r="447" spans="1:4" x14ac:dyDescent="0.25">
      <c r="A447" s="12" t="s">
        <v>5912</v>
      </c>
      <c r="C447" s="10" t="str">
        <f>_xlfn.IFNA(VLOOKUP(B447,Phase2!A$4:C$1000,3,FALSE),"")</f>
        <v/>
      </c>
      <c r="D447" s="10" t="str">
        <f>_xlfn.IFNA(VLOOKUP($A447,CompChecksTrans!$A:$C,3,FALSE), "     ")</f>
        <v xml:space="preserve">     </v>
      </c>
    </row>
    <row r="448" spans="1:4" x14ac:dyDescent="0.25">
      <c r="A448" s="12" t="s">
        <v>5913</v>
      </c>
      <c r="C448" s="10" t="str">
        <f>_xlfn.IFNA(VLOOKUP(B448,Phase2!A$4:C$1000,3,FALSE),"")</f>
        <v/>
      </c>
      <c r="D448" s="10" t="str">
        <f>_xlfn.IFNA(VLOOKUP($A448,CompChecksTrans!$A:$C,3,FALSE), "     ")</f>
        <v xml:space="preserve">     </v>
      </c>
    </row>
    <row r="449" spans="1:4" x14ac:dyDescent="0.25">
      <c r="A449" s="12" t="s">
        <v>5914</v>
      </c>
      <c r="C449" s="10" t="str">
        <f>_xlfn.IFNA(VLOOKUP(B449,Phase2!A$4:C$1000,3,FALSE),"")</f>
        <v/>
      </c>
      <c r="D449" s="10" t="str">
        <f>_xlfn.IFNA(VLOOKUP($A449,CompChecksTrans!$A:$C,3,FALSE), "     ")</f>
        <v xml:space="preserve">     </v>
      </c>
    </row>
    <row r="450" spans="1:4" x14ac:dyDescent="0.25">
      <c r="A450" s="12" t="s">
        <v>5915</v>
      </c>
      <c r="C450" s="10" t="str">
        <f>_xlfn.IFNA(VLOOKUP(B450,Phase2!A$4:C$1000,3,FALSE),"")</f>
        <v/>
      </c>
      <c r="D450" s="10" t="str">
        <f>_xlfn.IFNA(VLOOKUP($A450,CompChecksTrans!$A:$C,3,FALSE), "     ")</f>
        <v xml:space="preserve">     </v>
      </c>
    </row>
    <row r="451" spans="1:4" x14ac:dyDescent="0.25">
      <c r="A451" s="12" t="s">
        <v>5916</v>
      </c>
      <c r="C451" s="10" t="str">
        <f>_xlfn.IFNA(VLOOKUP(B451,Phase2!A$4:C$1000,3,FALSE),"")</f>
        <v/>
      </c>
      <c r="D451" s="10" t="str">
        <f>_xlfn.IFNA(VLOOKUP($A451,CompChecksTrans!$A:$C,3,FALSE), "     ")</f>
        <v xml:space="preserve">     </v>
      </c>
    </row>
    <row r="452" spans="1:4" x14ac:dyDescent="0.25">
      <c r="A452" s="12" t="s">
        <v>5917</v>
      </c>
      <c r="C452" s="10" t="str">
        <f>_xlfn.IFNA(VLOOKUP(B452,Phase2!A$4:C$1000,3,FALSE),"")</f>
        <v/>
      </c>
      <c r="D452" s="10" t="str">
        <f>_xlfn.IFNA(VLOOKUP($A452,CompChecksTrans!$A:$C,3,FALSE), "     ")</f>
        <v xml:space="preserve">     </v>
      </c>
    </row>
    <row r="453" spans="1:4" x14ac:dyDescent="0.25">
      <c r="A453" s="12" t="s">
        <v>5918</v>
      </c>
      <c r="C453" s="10" t="str">
        <f>_xlfn.IFNA(VLOOKUP(B453,Phase2!A$4:C$1000,3,FALSE),"")</f>
        <v/>
      </c>
      <c r="D453" s="10" t="str">
        <f>_xlfn.IFNA(VLOOKUP($A453,CompChecksTrans!$A:$C,3,FALSE), "     ")</f>
        <v xml:space="preserve">     </v>
      </c>
    </row>
    <row r="454" spans="1:4" x14ac:dyDescent="0.25">
      <c r="A454" s="12" t="s">
        <v>5919</v>
      </c>
      <c r="C454" s="10" t="str">
        <f>_xlfn.IFNA(VLOOKUP(B454,Phase2!A$4:C$1000,3,FALSE),"")</f>
        <v/>
      </c>
      <c r="D454" s="10" t="str">
        <f>_xlfn.IFNA(VLOOKUP($A454,CompChecksTrans!$A:$C,3,FALSE), "     ")</f>
        <v xml:space="preserve">     </v>
      </c>
    </row>
    <row r="455" spans="1:4" x14ac:dyDescent="0.25">
      <c r="A455" s="12" t="s">
        <v>5920</v>
      </c>
      <c r="C455" s="10" t="str">
        <f>_xlfn.IFNA(VLOOKUP(B455,Phase2!A$4:C$1000,3,FALSE),"")</f>
        <v/>
      </c>
      <c r="D455" s="10" t="str">
        <f>_xlfn.IFNA(VLOOKUP($A455,CompChecksTrans!$A:$C,3,FALSE), "     ")</f>
        <v xml:space="preserve">     </v>
      </c>
    </row>
    <row r="456" spans="1:4" x14ac:dyDescent="0.25">
      <c r="A456" s="12" t="s">
        <v>5921</v>
      </c>
      <c r="C456" s="10" t="str">
        <f>_xlfn.IFNA(VLOOKUP(B456,Phase2!A$4:C$1000,3,FALSE),"")</f>
        <v/>
      </c>
      <c r="D456" s="10" t="str">
        <f>_xlfn.IFNA(VLOOKUP($A456,CompChecksTrans!$A:$C,3,FALSE), "     ")</f>
        <v xml:space="preserve">     </v>
      </c>
    </row>
    <row r="457" spans="1:4" x14ac:dyDescent="0.25">
      <c r="A457" s="12" t="s">
        <v>5922</v>
      </c>
      <c r="C457" s="10" t="str">
        <f>_xlfn.IFNA(VLOOKUP(B457,Phase2!A$4:C$1000,3,FALSE),"")</f>
        <v/>
      </c>
      <c r="D457" s="10" t="str">
        <f>_xlfn.IFNA(VLOOKUP($A457,CompChecksTrans!$A:$C,3,FALSE), "     ")</f>
        <v xml:space="preserve">     </v>
      </c>
    </row>
    <row r="458" spans="1:4" x14ac:dyDescent="0.25">
      <c r="A458" s="12" t="s">
        <v>5923</v>
      </c>
      <c r="C458" s="10" t="str">
        <f>_xlfn.IFNA(VLOOKUP(B458,Phase2!A$4:C$1000,3,FALSE),"")</f>
        <v/>
      </c>
      <c r="D458" s="10" t="str">
        <f>_xlfn.IFNA(VLOOKUP($A458,CompChecksTrans!$A:$C,3,FALSE), "     ")</f>
        <v xml:space="preserve">     </v>
      </c>
    </row>
    <row r="459" spans="1:4" x14ac:dyDescent="0.25">
      <c r="A459" s="12" t="s">
        <v>5924</v>
      </c>
      <c r="C459" s="10" t="str">
        <f>_xlfn.IFNA(VLOOKUP(B459,Phase2!A$4:C$1000,3,FALSE),"")</f>
        <v/>
      </c>
      <c r="D459" s="10" t="str">
        <f>_xlfn.IFNA(VLOOKUP($A459,CompChecksTrans!$A:$C,3,FALSE), "     ")</f>
        <v xml:space="preserve">     </v>
      </c>
    </row>
    <row r="460" spans="1:4" x14ac:dyDescent="0.25">
      <c r="A460" s="12" t="s">
        <v>5925</v>
      </c>
      <c r="C460" s="10" t="str">
        <f>_xlfn.IFNA(VLOOKUP(B460,Phase2!A$4:C$1000,3,FALSE),"")</f>
        <v/>
      </c>
      <c r="D460" s="10" t="str">
        <f>_xlfn.IFNA(VLOOKUP($A460,CompChecksTrans!$A:$C,3,FALSE), "     ")</f>
        <v xml:space="preserve">     </v>
      </c>
    </row>
    <row r="461" spans="1:4" x14ac:dyDescent="0.25">
      <c r="A461" s="12" t="s">
        <v>5926</v>
      </c>
      <c r="C461" s="10" t="str">
        <f>_xlfn.IFNA(VLOOKUP(B461,Phase2!A$4:C$1000,3,FALSE),"")</f>
        <v/>
      </c>
      <c r="D461" s="10" t="str">
        <f>_xlfn.IFNA(VLOOKUP($A461,CompChecksTrans!$A:$C,3,FALSE), "     ")</f>
        <v xml:space="preserve">     </v>
      </c>
    </row>
    <row r="462" spans="1:4" x14ac:dyDescent="0.25">
      <c r="A462" s="12" t="s">
        <v>5927</v>
      </c>
      <c r="C462" s="10" t="str">
        <f>_xlfn.IFNA(VLOOKUP(B462,Phase2!A$4:C$1000,3,FALSE),"")</f>
        <v/>
      </c>
      <c r="D462" s="10" t="str">
        <f>_xlfn.IFNA(VLOOKUP($A462,CompChecksTrans!$A:$C,3,FALSE), "     ")</f>
        <v xml:space="preserve">     </v>
      </c>
    </row>
    <row r="463" spans="1:4" x14ac:dyDescent="0.25">
      <c r="A463" s="12" t="s">
        <v>5928</v>
      </c>
      <c r="C463" s="10" t="str">
        <f>_xlfn.IFNA(VLOOKUP(B463,Phase2!A$4:C$1000,3,FALSE),"")</f>
        <v/>
      </c>
      <c r="D463" s="10" t="str">
        <f>_xlfn.IFNA(VLOOKUP($A463,CompChecksTrans!$A:$C,3,FALSE), "     ")</f>
        <v xml:space="preserve">     </v>
      </c>
    </row>
    <row r="464" spans="1:4" x14ac:dyDescent="0.25">
      <c r="A464" s="12" t="s">
        <v>5929</v>
      </c>
      <c r="C464" s="10" t="str">
        <f>_xlfn.IFNA(VLOOKUP(B464,Phase2!A$4:C$1000,3,FALSE),"")</f>
        <v/>
      </c>
      <c r="D464" s="10" t="str">
        <f>_xlfn.IFNA(VLOOKUP($A464,CompChecksTrans!$A:$C,3,FALSE), "     ")</f>
        <v xml:space="preserve">     </v>
      </c>
    </row>
    <row r="465" spans="1:4" x14ac:dyDescent="0.25">
      <c r="A465" s="12" t="s">
        <v>5930</v>
      </c>
      <c r="C465" s="10" t="str">
        <f>_xlfn.IFNA(VLOOKUP(B465,Phase2!A$4:C$1000,3,FALSE),"")</f>
        <v/>
      </c>
      <c r="D465" s="10" t="str">
        <f>_xlfn.IFNA(VLOOKUP($A465,CompChecksTrans!$A:$C,3,FALSE), "     ")</f>
        <v xml:space="preserve">     </v>
      </c>
    </row>
    <row r="466" spans="1:4" x14ac:dyDescent="0.25">
      <c r="A466" s="12" t="s">
        <v>5931</v>
      </c>
      <c r="C466" s="10" t="str">
        <f>_xlfn.IFNA(VLOOKUP(B466,Phase2!A$4:C$1000,3,FALSE),"")</f>
        <v/>
      </c>
      <c r="D466" s="10" t="str">
        <f>_xlfn.IFNA(VLOOKUP($A466,CompChecksTrans!$A:$C,3,FALSE), "     ")</f>
        <v xml:space="preserve">     </v>
      </c>
    </row>
    <row r="467" spans="1:4" x14ac:dyDescent="0.25">
      <c r="A467" s="12" t="s">
        <v>5932</v>
      </c>
      <c r="C467" s="10" t="str">
        <f>_xlfn.IFNA(VLOOKUP(B467,Phase2!A$4:C$1000,3,FALSE),"")</f>
        <v/>
      </c>
      <c r="D467" s="10" t="str">
        <f>_xlfn.IFNA(VLOOKUP($A467,CompChecksTrans!$A:$C,3,FALSE), "     ")</f>
        <v xml:space="preserve">     </v>
      </c>
    </row>
    <row r="468" spans="1:4" x14ac:dyDescent="0.25">
      <c r="A468" s="12" t="s">
        <v>5933</v>
      </c>
      <c r="C468" s="10" t="str">
        <f>_xlfn.IFNA(VLOOKUP(B468,Phase2!A$4:C$1000,3,FALSE),"")</f>
        <v/>
      </c>
      <c r="D468" s="10" t="str">
        <f>_xlfn.IFNA(VLOOKUP($A468,CompChecksTrans!$A:$C,3,FALSE), "     ")</f>
        <v xml:space="preserve">     </v>
      </c>
    </row>
    <row r="469" spans="1:4" x14ac:dyDescent="0.25">
      <c r="A469" s="12" t="s">
        <v>5934</v>
      </c>
      <c r="C469" s="10" t="str">
        <f>_xlfn.IFNA(VLOOKUP(B469,Phase2!A$4:C$1000,3,FALSE),"")</f>
        <v/>
      </c>
      <c r="D469" s="10" t="str">
        <f>_xlfn.IFNA(VLOOKUP($A469,CompChecksTrans!$A:$C,3,FALSE), "     ")</f>
        <v xml:space="preserve">     </v>
      </c>
    </row>
    <row r="470" spans="1:4" x14ac:dyDescent="0.25">
      <c r="A470" s="12" t="s">
        <v>5935</v>
      </c>
      <c r="C470" s="10" t="str">
        <f>_xlfn.IFNA(VLOOKUP(B470,Phase2!A$4:C$1000,3,FALSE),"")</f>
        <v/>
      </c>
      <c r="D470" s="10" t="str">
        <f>_xlfn.IFNA(VLOOKUP($A470,CompChecksTrans!$A:$C,3,FALSE), "     ")</f>
        <v xml:space="preserve">     </v>
      </c>
    </row>
    <row r="471" spans="1:4" x14ac:dyDescent="0.25">
      <c r="A471" s="12" t="s">
        <v>5936</v>
      </c>
      <c r="C471" s="10" t="str">
        <f>_xlfn.IFNA(VLOOKUP(B471,Phase2!A$4:C$1000,3,FALSE),"")</f>
        <v/>
      </c>
      <c r="D471" s="10" t="str">
        <f>_xlfn.IFNA(VLOOKUP($A471,CompChecksTrans!$A:$C,3,FALSE), "     ")</f>
        <v xml:space="preserve">     </v>
      </c>
    </row>
    <row r="472" spans="1:4" x14ac:dyDescent="0.25">
      <c r="A472" s="12" t="s">
        <v>5937</v>
      </c>
      <c r="C472" s="10" t="str">
        <f>_xlfn.IFNA(VLOOKUP(B472,Phase2!A$4:C$1000,3,FALSE),"")</f>
        <v/>
      </c>
      <c r="D472" s="10" t="str">
        <f>_xlfn.IFNA(VLOOKUP($A472,CompChecksTrans!$A:$C,3,FALSE), "     ")</f>
        <v xml:space="preserve">     </v>
      </c>
    </row>
    <row r="473" spans="1:4" x14ac:dyDescent="0.25">
      <c r="A473" s="12" t="s">
        <v>5938</v>
      </c>
      <c r="C473" s="10" t="str">
        <f>_xlfn.IFNA(VLOOKUP(B473,Phase2!A$4:C$1000,3,FALSE),"")</f>
        <v/>
      </c>
      <c r="D473" s="10" t="str">
        <f>_xlfn.IFNA(VLOOKUP($A473,CompChecksTrans!$A:$C,3,FALSE), "     ")</f>
        <v xml:space="preserve">     </v>
      </c>
    </row>
    <row r="474" spans="1:4" x14ac:dyDescent="0.25">
      <c r="A474" s="12" t="s">
        <v>5939</v>
      </c>
      <c r="C474" s="10" t="str">
        <f>_xlfn.IFNA(VLOOKUP(B474,Phase2!A$4:C$1000,3,FALSE),"")</f>
        <v/>
      </c>
      <c r="D474" s="10" t="str">
        <f>_xlfn.IFNA(VLOOKUP($A474,CompChecksTrans!$A:$C,3,FALSE), "     ")</f>
        <v xml:space="preserve">     </v>
      </c>
    </row>
    <row r="475" spans="1:4" x14ac:dyDescent="0.25">
      <c r="A475" s="12" t="s">
        <v>5940</v>
      </c>
      <c r="C475" s="10" t="str">
        <f>_xlfn.IFNA(VLOOKUP(B475,Phase2!A$4:C$1000,3,FALSE),"")</f>
        <v/>
      </c>
      <c r="D475" s="10" t="str">
        <f>_xlfn.IFNA(VLOOKUP($A475,CompChecksTrans!$A:$C,3,FALSE), "     ")</f>
        <v xml:space="preserve">     </v>
      </c>
    </row>
    <row r="476" spans="1:4" x14ac:dyDescent="0.25">
      <c r="A476" s="12" t="s">
        <v>5941</v>
      </c>
      <c r="C476" s="10" t="str">
        <f>_xlfn.IFNA(VLOOKUP(B476,Phase2!A$4:C$1000,3,FALSE),"")</f>
        <v/>
      </c>
      <c r="D476" s="10" t="str">
        <f>_xlfn.IFNA(VLOOKUP($A476,CompChecksTrans!$A:$C,3,FALSE), "     ")</f>
        <v xml:space="preserve">     </v>
      </c>
    </row>
    <row r="477" spans="1:4" x14ac:dyDescent="0.25">
      <c r="A477" s="12" t="s">
        <v>5942</v>
      </c>
      <c r="C477" s="10" t="str">
        <f>_xlfn.IFNA(VLOOKUP(B477,Phase2!A$4:C$1000,3,FALSE),"")</f>
        <v/>
      </c>
      <c r="D477" s="10" t="str">
        <f>_xlfn.IFNA(VLOOKUP($A477,CompChecksTrans!$A:$C,3,FALSE), "     ")</f>
        <v xml:space="preserve">     </v>
      </c>
    </row>
    <row r="478" spans="1:4" x14ac:dyDescent="0.25">
      <c r="A478" s="12" t="s">
        <v>5943</v>
      </c>
      <c r="C478" s="10" t="str">
        <f>_xlfn.IFNA(VLOOKUP(B478,Phase2!A$4:C$1000,3,FALSE),"")</f>
        <v/>
      </c>
      <c r="D478" s="10" t="str">
        <f>_xlfn.IFNA(VLOOKUP($A478,CompChecksTrans!$A:$C,3,FALSE), "     ")</f>
        <v xml:space="preserve">     </v>
      </c>
    </row>
    <row r="479" spans="1:4" x14ac:dyDescent="0.25">
      <c r="A479" s="12" t="s">
        <v>5944</v>
      </c>
      <c r="C479" s="10" t="str">
        <f>_xlfn.IFNA(VLOOKUP(B479,Phase2!A$4:C$1000,3,FALSE),"")</f>
        <v/>
      </c>
      <c r="D479" s="10" t="str">
        <f>_xlfn.IFNA(VLOOKUP($A479,CompChecksTrans!$A:$C,3,FALSE), "     ")</f>
        <v xml:space="preserve">     </v>
      </c>
    </row>
    <row r="480" spans="1:4" x14ac:dyDescent="0.25">
      <c r="A480" s="12" t="s">
        <v>5945</v>
      </c>
      <c r="C480" s="10" t="str">
        <f>_xlfn.IFNA(VLOOKUP(B480,Phase2!A$4:C$1000,3,FALSE),"")</f>
        <v/>
      </c>
      <c r="D480" s="10" t="str">
        <f>_xlfn.IFNA(VLOOKUP($A480,CompChecksTrans!$A:$C,3,FALSE), "     ")</f>
        <v xml:space="preserve">     </v>
      </c>
    </row>
    <row r="481" spans="1:4" x14ac:dyDescent="0.25">
      <c r="A481" s="12" t="s">
        <v>5946</v>
      </c>
      <c r="C481" s="10" t="str">
        <f>_xlfn.IFNA(VLOOKUP(B481,Phase2!A$4:C$1000,3,FALSE),"")</f>
        <v/>
      </c>
      <c r="D481" s="10" t="str">
        <f>_xlfn.IFNA(VLOOKUP($A481,CompChecksTrans!$A:$C,3,FALSE), "     ")</f>
        <v xml:space="preserve">     </v>
      </c>
    </row>
    <row r="482" spans="1:4" x14ac:dyDescent="0.25">
      <c r="A482" s="12" t="s">
        <v>5947</v>
      </c>
      <c r="C482" s="10" t="str">
        <f>_xlfn.IFNA(VLOOKUP(B482,Phase2!A$4:C$1000,3,FALSE),"")</f>
        <v/>
      </c>
      <c r="D482" s="10" t="str">
        <f>_xlfn.IFNA(VLOOKUP($A482,CompChecksTrans!$A:$C,3,FALSE), "     ")</f>
        <v xml:space="preserve">     </v>
      </c>
    </row>
    <row r="483" spans="1:4" x14ac:dyDescent="0.25">
      <c r="A483" s="12" t="s">
        <v>5948</v>
      </c>
      <c r="C483" s="10" t="str">
        <f>_xlfn.IFNA(VLOOKUP(B483,Phase2!A$4:C$1000,3,FALSE),"")</f>
        <v/>
      </c>
      <c r="D483" s="10" t="str">
        <f>_xlfn.IFNA(VLOOKUP($A483,CompChecksTrans!$A:$C,3,FALSE), "     ")</f>
        <v xml:space="preserve">     </v>
      </c>
    </row>
    <row r="484" spans="1:4" x14ac:dyDescent="0.25">
      <c r="A484" s="12" t="s">
        <v>5949</v>
      </c>
      <c r="C484" s="10" t="str">
        <f>_xlfn.IFNA(VLOOKUP(B484,Phase2!A$4:C$1000,3,FALSE),"")</f>
        <v/>
      </c>
      <c r="D484" s="10" t="str">
        <f>_xlfn.IFNA(VLOOKUP($A484,CompChecksTrans!$A:$C,3,FALSE), "     ")</f>
        <v xml:space="preserve">     </v>
      </c>
    </row>
    <row r="485" spans="1:4" x14ac:dyDescent="0.25">
      <c r="A485" s="12" t="s">
        <v>5950</v>
      </c>
      <c r="C485" s="10" t="str">
        <f>_xlfn.IFNA(VLOOKUP(B485,Phase2!A$4:C$1000,3,FALSE),"")</f>
        <v/>
      </c>
      <c r="D485" s="10" t="str">
        <f>_xlfn.IFNA(VLOOKUP($A485,CompChecksTrans!$A:$C,3,FALSE), "     ")</f>
        <v xml:space="preserve">     </v>
      </c>
    </row>
    <row r="486" spans="1:4" x14ac:dyDescent="0.25">
      <c r="A486" s="12" t="s">
        <v>5951</v>
      </c>
      <c r="C486" s="10" t="str">
        <f>_xlfn.IFNA(VLOOKUP(B486,Phase2!A$4:C$1000,3,FALSE),"")</f>
        <v/>
      </c>
      <c r="D486" s="10" t="str">
        <f>_xlfn.IFNA(VLOOKUP($A486,CompChecksTrans!$A:$C,3,FALSE), "     ")</f>
        <v xml:space="preserve">     </v>
      </c>
    </row>
    <row r="487" spans="1:4" x14ac:dyDescent="0.25">
      <c r="A487" s="12" t="s">
        <v>5952</v>
      </c>
      <c r="C487" s="10" t="str">
        <f>_xlfn.IFNA(VLOOKUP(B487,Phase2!A$4:C$1000,3,FALSE),"")</f>
        <v/>
      </c>
      <c r="D487" s="10" t="str">
        <f>_xlfn.IFNA(VLOOKUP($A487,CompChecksTrans!$A:$C,3,FALSE), "     ")</f>
        <v xml:space="preserve">     </v>
      </c>
    </row>
    <row r="488" spans="1:4" x14ac:dyDescent="0.25">
      <c r="A488" s="12" t="s">
        <v>5953</v>
      </c>
      <c r="C488" s="10" t="str">
        <f>_xlfn.IFNA(VLOOKUP(B488,Phase2!A$4:C$1000,3,FALSE),"")</f>
        <v/>
      </c>
      <c r="D488" s="10" t="str">
        <f>_xlfn.IFNA(VLOOKUP($A488,CompChecksTrans!$A:$C,3,FALSE), "     ")</f>
        <v xml:space="preserve">     </v>
      </c>
    </row>
    <row r="489" spans="1:4" x14ac:dyDescent="0.25">
      <c r="A489" s="12" t="s">
        <v>5954</v>
      </c>
      <c r="C489" s="10" t="str">
        <f>_xlfn.IFNA(VLOOKUP(B489,Phase2!A$4:C$1000,3,FALSE),"")</f>
        <v/>
      </c>
      <c r="D489" s="10" t="str">
        <f>_xlfn.IFNA(VLOOKUP($A489,CompChecksTrans!$A:$C,3,FALSE), "     ")</f>
        <v xml:space="preserve">     </v>
      </c>
    </row>
    <row r="490" spans="1:4" x14ac:dyDescent="0.25">
      <c r="A490" s="12" t="s">
        <v>5955</v>
      </c>
      <c r="C490" s="10" t="str">
        <f>_xlfn.IFNA(VLOOKUP(B490,Phase2!A$4:C$1000,3,FALSE),"")</f>
        <v/>
      </c>
      <c r="D490" s="10" t="str">
        <f>_xlfn.IFNA(VLOOKUP($A490,CompChecksTrans!$A:$C,3,FALSE), "     ")</f>
        <v xml:space="preserve">     </v>
      </c>
    </row>
    <row r="491" spans="1:4" x14ac:dyDescent="0.25">
      <c r="A491" s="12" t="s">
        <v>5956</v>
      </c>
      <c r="C491" s="10" t="str">
        <f>_xlfn.IFNA(VLOOKUP(B491,Phase2!A$4:C$1000,3,FALSE),"")</f>
        <v/>
      </c>
      <c r="D491" s="10" t="str">
        <f>_xlfn.IFNA(VLOOKUP($A491,CompChecksTrans!$A:$C,3,FALSE), "     ")</f>
        <v xml:space="preserve">     </v>
      </c>
    </row>
    <row r="492" spans="1:4" x14ac:dyDescent="0.25">
      <c r="A492" s="12" t="s">
        <v>5957</v>
      </c>
      <c r="C492" s="10" t="str">
        <f>_xlfn.IFNA(VLOOKUP(B492,Phase2!A$4:C$1000,3,FALSE),"")</f>
        <v/>
      </c>
      <c r="D492" s="10" t="str">
        <f>_xlfn.IFNA(VLOOKUP($A492,CompChecksTrans!$A:$C,3,FALSE), "     ")</f>
        <v xml:space="preserve">     </v>
      </c>
    </row>
    <row r="493" spans="1:4" x14ac:dyDescent="0.25">
      <c r="A493" s="12" t="s">
        <v>5958</v>
      </c>
      <c r="C493" s="10" t="str">
        <f>_xlfn.IFNA(VLOOKUP(B493,Phase2!A$4:C$1000,3,FALSE),"")</f>
        <v/>
      </c>
      <c r="D493" s="10" t="str">
        <f>_xlfn.IFNA(VLOOKUP($A493,CompChecksTrans!$A:$C,3,FALSE), "     ")</f>
        <v xml:space="preserve">     </v>
      </c>
    </row>
    <row r="494" spans="1:4" x14ac:dyDescent="0.25">
      <c r="A494" s="12" t="s">
        <v>5959</v>
      </c>
      <c r="C494" s="10" t="str">
        <f>_xlfn.IFNA(VLOOKUP(B494,Phase2!A$4:C$1000,3,FALSE),"")</f>
        <v/>
      </c>
      <c r="D494" s="10" t="str">
        <f>_xlfn.IFNA(VLOOKUP($A494,CompChecksTrans!$A:$C,3,FALSE), "     ")</f>
        <v xml:space="preserve">     </v>
      </c>
    </row>
    <row r="495" spans="1:4" x14ac:dyDescent="0.25">
      <c r="A495" s="12" t="s">
        <v>5960</v>
      </c>
      <c r="C495" s="10" t="str">
        <f>_xlfn.IFNA(VLOOKUP(B495,Phase2!A$4:C$1000,3,FALSE),"")</f>
        <v/>
      </c>
      <c r="D495" s="10" t="str">
        <f>_xlfn.IFNA(VLOOKUP($A495,CompChecksTrans!$A:$C,3,FALSE), "     ")</f>
        <v xml:space="preserve">     </v>
      </c>
    </row>
    <row r="496" spans="1:4" x14ac:dyDescent="0.25">
      <c r="A496" s="12" t="s">
        <v>5961</v>
      </c>
      <c r="C496" s="10" t="str">
        <f>_xlfn.IFNA(VLOOKUP(B496,Phase2!A$4:C$1000,3,FALSE),"")</f>
        <v/>
      </c>
      <c r="D496" s="10" t="str">
        <f>_xlfn.IFNA(VLOOKUP($A496,CompChecksTrans!$A:$C,3,FALSE), "     ")</f>
        <v xml:space="preserve">     </v>
      </c>
    </row>
    <row r="497" spans="1:4" x14ac:dyDescent="0.25">
      <c r="A497" s="12" t="s">
        <v>5962</v>
      </c>
      <c r="C497" s="10" t="str">
        <f>_xlfn.IFNA(VLOOKUP(B497,Phase2!A$4:C$1000,3,FALSE),"")</f>
        <v/>
      </c>
      <c r="D497" s="10" t="str">
        <f>_xlfn.IFNA(VLOOKUP($A497,CompChecksTrans!$A:$C,3,FALSE), "     ")</f>
        <v xml:space="preserve">     </v>
      </c>
    </row>
    <row r="498" spans="1:4" x14ac:dyDescent="0.25">
      <c r="A498" s="12" t="s">
        <v>5963</v>
      </c>
      <c r="C498" s="10" t="str">
        <f>_xlfn.IFNA(VLOOKUP(B498,Phase2!A$4:C$1000,3,FALSE),"")</f>
        <v/>
      </c>
      <c r="D498" s="10" t="str">
        <f>_xlfn.IFNA(VLOOKUP($A498,CompChecksTrans!$A:$C,3,FALSE), "     ")</f>
        <v xml:space="preserve">     </v>
      </c>
    </row>
    <row r="499" spans="1:4" x14ac:dyDescent="0.25">
      <c r="A499" s="12" t="s">
        <v>5964</v>
      </c>
      <c r="C499" s="10" t="str">
        <f>_xlfn.IFNA(VLOOKUP(B499,Phase2!A$4:C$1000,3,FALSE),"")</f>
        <v/>
      </c>
      <c r="D499" s="10" t="str">
        <f>_xlfn.IFNA(VLOOKUP($A499,CompChecksTrans!$A:$C,3,FALSE), "     ")</f>
        <v xml:space="preserve">     </v>
      </c>
    </row>
    <row r="500" spans="1:4" x14ac:dyDescent="0.25">
      <c r="A500" s="12" t="s">
        <v>5965</v>
      </c>
      <c r="C500" s="10" t="str">
        <f>_xlfn.IFNA(VLOOKUP(B500,Phase2!A$4:C$1000,3,FALSE),"")</f>
        <v/>
      </c>
      <c r="D500" s="10" t="str">
        <f>_xlfn.IFNA(VLOOKUP($A500,CompChecksTrans!$A:$C,3,FALSE), "     ")</f>
        <v xml:space="preserve">     </v>
      </c>
    </row>
    <row r="501" spans="1:4" x14ac:dyDescent="0.25">
      <c r="A501" s="12" t="s">
        <v>5966</v>
      </c>
      <c r="C501" s="10" t="str">
        <f>_xlfn.IFNA(VLOOKUP(B501,Phase2!A$4:C$1000,3,FALSE),"")</f>
        <v/>
      </c>
      <c r="D501" s="10" t="str">
        <f>_xlfn.IFNA(VLOOKUP($A501,CompChecksTrans!$A:$C,3,FALSE), "     ")</f>
        <v xml:space="preserve">     </v>
      </c>
    </row>
    <row r="502" spans="1:4" x14ac:dyDescent="0.25">
      <c r="A502" s="12" t="s">
        <v>5967</v>
      </c>
      <c r="C502" s="10" t="str">
        <f>_xlfn.IFNA(VLOOKUP(B502,Phase2!A$4:C$1000,3,FALSE),"")</f>
        <v/>
      </c>
      <c r="D502" s="10" t="str">
        <f>_xlfn.IFNA(VLOOKUP($A502,CompChecksTrans!$A:$C,3,FALSE), "     ")</f>
        <v xml:space="preserve">     </v>
      </c>
    </row>
    <row r="503" spans="1:4" x14ac:dyDescent="0.25">
      <c r="A503" s="12" t="s">
        <v>5968</v>
      </c>
      <c r="C503" s="10" t="str">
        <f>_xlfn.IFNA(VLOOKUP(B503,Phase2!A$4:C$1000,3,FALSE),"")</f>
        <v/>
      </c>
      <c r="D503" s="10" t="str">
        <f>_xlfn.IFNA(VLOOKUP($A503,CompChecksTrans!$A:$C,3,FALSE), "     ")</f>
        <v xml:space="preserve">     </v>
      </c>
    </row>
    <row r="504" spans="1:4" x14ac:dyDescent="0.25">
      <c r="A504" s="12" t="s">
        <v>5969</v>
      </c>
      <c r="C504" s="10" t="str">
        <f>_xlfn.IFNA(VLOOKUP(B504,Phase2!A$4:C$1000,3,FALSE),"")</f>
        <v/>
      </c>
      <c r="D504" s="10" t="str">
        <f>_xlfn.IFNA(VLOOKUP($A504,CompChecksTrans!$A:$C,3,FALSE), "     ")</f>
        <v xml:space="preserve">     </v>
      </c>
    </row>
    <row r="505" spans="1:4" x14ac:dyDescent="0.25">
      <c r="A505" s="12" t="s">
        <v>5970</v>
      </c>
      <c r="C505" s="10" t="str">
        <f>_xlfn.IFNA(VLOOKUP(B505,Phase2!A$4:C$1000,3,FALSE),"")</f>
        <v/>
      </c>
      <c r="D505" s="10" t="str">
        <f>_xlfn.IFNA(VLOOKUP($A505,CompChecksTrans!$A:$C,3,FALSE), "     ")</f>
        <v xml:space="preserve">     </v>
      </c>
    </row>
    <row r="506" spans="1:4" x14ac:dyDescent="0.25">
      <c r="A506" s="12" t="s">
        <v>5971</v>
      </c>
      <c r="C506" s="10" t="str">
        <f>_xlfn.IFNA(VLOOKUP(B506,Phase2!A$4:C$1000,3,FALSE),"")</f>
        <v/>
      </c>
      <c r="D506" s="10" t="str">
        <f>_xlfn.IFNA(VLOOKUP($A506,CompChecksTrans!$A:$C,3,FALSE), "     ")</f>
        <v xml:space="preserve">     </v>
      </c>
    </row>
    <row r="507" spans="1:4" x14ac:dyDescent="0.25">
      <c r="A507" s="12" t="s">
        <v>5972</v>
      </c>
      <c r="C507" s="10" t="str">
        <f>_xlfn.IFNA(VLOOKUP(B507,Phase2!A$4:C$1000,3,FALSE),"")</f>
        <v/>
      </c>
      <c r="D507" s="10" t="str">
        <f>_xlfn.IFNA(VLOOKUP($A507,CompChecksTrans!$A:$C,3,FALSE), "     ")</f>
        <v xml:space="preserve">     </v>
      </c>
    </row>
    <row r="508" spans="1:4" x14ac:dyDescent="0.25">
      <c r="A508" s="12" t="s">
        <v>5973</v>
      </c>
      <c r="C508" s="10" t="str">
        <f>_xlfn.IFNA(VLOOKUP(B508,Phase2!A$4:C$1000,3,FALSE),"")</f>
        <v/>
      </c>
      <c r="D508" s="10" t="str">
        <f>_xlfn.IFNA(VLOOKUP($A508,CompChecksTrans!$A:$C,3,FALSE), "     ")</f>
        <v xml:space="preserve">     </v>
      </c>
    </row>
    <row r="509" spans="1:4" x14ac:dyDescent="0.25">
      <c r="A509" s="12" t="s">
        <v>5974</v>
      </c>
      <c r="C509" s="10" t="str">
        <f>_xlfn.IFNA(VLOOKUP(B509,Phase2!A$4:C$1000,3,FALSE),"")</f>
        <v/>
      </c>
      <c r="D509" s="10" t="str">
        <f>_xlfn.IFNA(VLOOKUP($A509,CompChecksTrans!$A:$C,3,FALSE), "     ")</f>
        <v xml:space="preserve">     </v>
      </c>
    </row>
    <row r="510" spans="1:4" x14ac:dyDescent="0.25">
      <c r="A510" s="12" t="s">
        <v>5975</v>
      </c>
      <c r="C510" s="10" t="str">
        <f>_xlfn.IFNA(VLOOKUP(B510,Phase2!A$4:C$1000,3,FALSE),"")</f>
        <v/>
      </c>
      <c r="D510" s="10" t="str">
        <f>_xlfn.IFNA(VLOOKUP($A510,CompChecksTrans!$A:$C,3,FALSE), "     ")</f>
        <v xml:space="preserve">     </v>
      </c>
    </row>
    <row r="511" spans="1:4" x14ac:dyDescent="0.25">
      <c r="A511" s="12" t="s">
        <v>5976</v>
      </c>
      <c r="C511" s="10" t="str">
        <f>_xlfn.IFNA(VLOOKUP(B511,Phase2!A$4:C$1000,3,FALSE),"")</f>
        <v/>
      </c>
      <c r="D511" s="10" t="str">
        <f>_xlfn.IFNA(VLOOKUP($A511,CompChecksTrans!$A:$C,3,FALSE), "     ")</f>
        <v xml:space="preserve">     </v>
      </c>
    </row>
    <row r="512" spans="1:4" x14ac:dyDescent="0.25">
      <c r="A512" s="12" t="s">
        <v>5977</v>
      </c>
      <c r="C512" s="10" t="str">
        <f>_xlfn.IFNA(VLOOKUP(B512,Phase2!A$4:C$1000,3,FALSE),"")</f>
        <v/>
      </c>
      <c r="D512" s="10" t="str">
        <f>_xlfn.IFNA(VLOOKUP($A512,CompChecksTrans!$A:$C,3,FALSE), "     ")</f>
        <v xml:space="preserve">     </v>
      </c>
    </row>
    <row r="513" spans="1:4" x14ac:dyDescent="0.25">
      <c r="A513" s="12" t="s">
        <v>5978</v>
      </c>
      <c r="C513" s="10" t="str">
        <f>_xlfn.IFNA(VLOOKUP(B513,Phase2!A$4:C$1000,3,FALSE),"")</f>
        <v/>
      </c>
      <c r="D513" s="10" t="str">
        <f>_xlfn.IFNA(VLOOKUP($A513,CompChecksTrans!$A:$C,3,FALSE), "     ")</f>
        <v xml:space="preserve">     </v>
      </c>
    </row>
    <row r="514" spans="1:4" x14ac:dyDescent="0.25">
      <c r="A514" s="12" t="s">
        <v>5979</v>
      </c>
      <c r="C514" s="10" t="str">
        <f>_xlfn.IFNA(VLOOKUP(B514,Phase2!A$4:C$1000,3,FALSE),"")</f>
        <v/>
      </c>
      <c r="D514" s="10" t="str">
        <f>_xlfn.IFNA(VLOOKUP($A514,CompChecksTrans!$A:$C,3,FALSE), "     ")</f>
        <v xml:space="preserve">     </v>
      </c>
    </row>
    <row r="515" spans="1:4" x14ac:dyDescent="0.25">
      <c r="A515" s="12" t="s">
        <v>5980</v>
      </c>
      <c r="C515" s="10" t="str">
        <f>_xlfn.IFNA(VLOOKUP(B515,Phase2!A$4:C$1000,3,FALSE),"")</f>
        <v/>
      </c>
      <c r="D515" s="10" t="str">
        <f>_xlfn.IFNA(VLOOKUP($A515,CompChecksTrans!$A:$C,3,FALSE), "     ")</f>
        <v xml:space="preserve">     </v>
      </c>
    </row>
    <row r="516" spans="1:4" x14ac:dyDescent="0.25">
      <c r="A516" s="12" t="s">
        <v>5981</v>
      </c>
      <c r="C516" s="10" t="str">
        <f>_xlfn.IFNA(VLOOKUP(B516,Phase2!A$4:C$1000,3,FALSE),"")</f>
        <v/>
      </c>
      <c r="D516" s="10" t="str">
        <f>_xlfn.IFNA(VLOOKUP($A516,CompChecksTrans!$A:$C,3,FALSE), "     ")</f>
        <v xml:space="preserve">     </v>
      </c>
    </row>
    <row r="517" spans="1:4" x14ac:dyDescent="0.25">
      <c r="A517" s="12" t="s">
        <v>5982</v>
      </c>
      <c r="C517" s="10" t="str">
        <f>_xlfn.IFNA(VLOOKUP(B517,Phase2!A$4:C$1000,3,FALSE),"")</f>
        <v/>
      </c>
      <c r="D517" s="10" t="str">
        <f>_xlfn.IFNA(VLOOKUP($A517,CompChecksTrans!$A:$C,3,FALSE), "     ")</f>
        <v xml:space="preserve">     </v>
      </c>
    </row>
    <row r="518" spans="1:4" x14ac:dyDescent="0.25">
      <c r="A518" s="12" t="s">
        <v>5983</v>
      </c>
      <c r="C518" s="10" t="str">
        <f>_xlfn.IFNA(VLOOKUP(B518,Phase2!A$4:C$1000,3,FALSE),"")</f>
        <v/>
      </c>
      <c r="D518" s="10" t="str">
        <f>_xlfn.IFNA(VLOOKUP($A518,CompChecksTrans!$A:$C,3,FALSE), "     ")</f>
        <v xml:space="preserve">     </v>
      </c>
    </row>
    <row r="519" spans="1:4" x14ac:dyDescent="0.25">
      <c r="A519" s="12" t="s">
        <v>5984</v>
      </c>
      <c r="C519" s="10" t="str">
        <f>_xlfn.IFNA(VLOOKUP(B519,Phase2!A$4:C$1000,3,FALSE),"")</f>
        <v/>
      </c>
      <c r="D519" s="10" t="str">
        <f>_xlfn.IFNA(VLOOKUP($A519,CompChecksTrans!$A:$C,3,FALSE), "     ")</f>
        <v xml:space="preserve">     </v>
      </c>
    </row>
    <row r="520" spans="1:4" x14ac:dyDescent="0.25">
      <c r="A520" s="12" t="s">
        <v>5985</v>
      </c>
      <c r="C520" s="10" t="str">
        <f>_xlfn.IFNA(VLOOKUP(B520,Phase2!A$4:C$1000,3,FALSE),"")</f>
        <v/>
      </c>
      <c r="D520" s="10" t="str">
        <f>_xlfn.IFNA(VLOOKUP($A520,CompChecksTrans!$A:$C,3,FALSE), "     ")</f>
        <v xml:space="preserve">     </v>
      </c>
    </row>
    <row r="521" spans="1:4" x14ac:dyDescent="0.25">
      <c r="A521" s="12" t="s">
        <v>5986</v>
      </c>
      <c r="C521" s="10" t="str">
        <f>_xlfn.IFNA(VLOOKUP(B521,Phase2!A$4:C$1000,3,FALSE),"")</f>
        <v/>
      </c>
      <c r="D521" s="10" t="str">
        <f>_xlfn.IFNA(VLOOKUP($A521,CompChecksTrans!$A:$C,3,FALSE), "     ")</f>
        <v xml:space="preserve">     </v>
      </c>
    </row>
    <row r="522" spans="1:4" x14ac:dyDescent="0.25">
      <c r="A522" s="12" t="s">
        <v>5987</v>
      </c>
      <c r="C522" s="10" t="str">
        <f>_xlfn.IFNA(VLOOKUP(B522,Phase2!A$4:C$1000,3,FALSE),"")</f>
        <v/>
      </c>
      <c r="D522" s="10" t="str">
        <f>_xlfn.IFNA(VLOOKUP($A522,CompChecksTrans!$A:$C,3,FALSE), "     ")</f>
        <v xml:space="preserve">     </v>
      </c>
    </row>
    <row r="523" spans="1:4" x14ac:dyDescent="0.25">
      <c r="A523" s="12" t="s">
        <v>5988</v>
      </c>
      <c r="C523" s="10" t="str">
        <f>_xlfn.IFNA(VLOOKUP(B523,Phase2!A$4:C$1000,3,FALSE),"")</f>
        <v/>
      </c>
      <c r="D523" s="10" t="str">
        <f>_xlfn.IFNA(VLOOKUP($A523,CompChecksTrans!$A:$C,3,FALSE), "     ")</f>
        <v xml:space="preserve">     </v>
      </c>
    </row>
    <row r="524" spans="1:4" x14ac:dyDescent="0.25">
      <c r="A524" s="12" t="s">
        <v>5989</v>
      </c>
      <c r="C524" s="10" t="str">
        <f>_xlfn.IFNA(VLOOKUP(B524,Phase2!A$4:C$1000,3,FALSE),"")</f>
        <v/>
      </c>
      <c r="D524" s="10" t="str">
        <f>_xlfn.IFNA(VLOOKUP($A524,CompChecksTrans!$A:$C,3,FALSE), "     ")</f>
        <v xml:space="preserve">     </v>
      </c>
    </row>
    <row r="525" spans="1:4" x14ac:dyDescent="0.25">
      <c r="A525" s="12" t="s">
        <v>5990</v>
      </c>
      <c r="C525" s="10" t="str">
        <f>_xlfn.IFNA(VLOOKUP(B525,Phase2!A$4:C$1000,3,FALSE),"")</f>
        <v/>
      </c>
      <c r="D525" s="10" t="str">
        <f>_xlfn.IFNA(VLOOKUP($A525,CompChecksTrans!$A:$C,3,FALSE), "     ")</f>
        <v xml:space="preserve">     </v>
      </c>
    </row>
    <row r="526" spans="1:4" x14ac:dyDescent="0.25">
      <c r="A526" s="12" t="s">
        <v>5991</v>
      </c>
      <c r="C526" s="10" t="str">
        <f>_xlfn.IFNA(VLOOKUP(B526,Phase2!A$4:C$1000,3,FALSE),"")</f>
        <v/>
      </c>
      <c r="D526" s="10" t="str">
        <f>_xlfn.IFNA(VLOOKUP($A526,CompChecksTrans!$A:$C,3,FALSE), "     ")</f>
        <v xml:space="preserve">     </v>
      </c>
    </row>
    <row r="527" spans="1:4" x14ac:dyDescent="0.25">
      <c r="A527" s="12" t="s">
        <v>5992</v>
      </c>
      <c r="C527" s="10" t="str">
        <f>_xlfn.IFNA(VLOOKUP(B527,Phase2!A$4:C$1000,3,FALSE),"")</f>
        <v/>
      </c>
      <c r="D527" s="10" t="str">
        <f>_xlfn.IFNA(VLOOKUP($A527,CompChecksTrans!$A:$C,3,FALSE), "     ")</f>
        <v xml:space="preserve">     </v>
      </c>
    </row>
    <row r="528" spans="1:4" x14ac:dyDescent="0.25">
      <c r="A528" s="12" t="s">
        <v>5993</v>
      </c>
      <c r="C528" s="10" t="str">
        <f>_xlfn.IFNA(VLOOKUP(B528,Phase2!A$4:C$1000,3,FALSE),"")</f>
        <v/>
      </c>
      <c r="D528" s="10" t="str">
        <f>_xlfn.IFNA(VLOOKUP($A528,CompChecksTrans!$A:$C,3,FALSE), "     ")</f>
        <v xml:space="preserve">     </v>
      </c>
    </row>
    <row r="529" spans="1:4" x14ac:dyDescent="0.25">
      <c r="A529" s="12" t="s">
        <v>5994</v>
      </c>
      <c r="C529" s="10" t="str">
        <f>_xlfn.IFNA(VLOOKUP(B529,Phase2!A$4:C$1000,3,FALSE),"")</f>
        <v/>
      </c>
      <c r="D529" s="10" t="str">
        <f>_xlfn.IFNA(VLOOKUP($A529,CompChecksTrans!$A:$C,3,FALSE), "     ")</f>
        <v xml:space="preserve">     </v>
      </c>
    </row>
    <row r="530" spans="1:4" x14ac:dyDescent="0.25">
      <c r="A530" s="12" t="s">
        <v>5995</v>
      </c>
      <c r="C530" s="10" t="str">
        <f>_xlfn.IFNA(VLOOKUP(B530,Phase2!A$4:C$1000,3,FALSE),"")</f>
        <v/>
      </c>
      <c r="D530" s="10" t="str">
        <f>_xlfn.IFNA(VLOOKUP($A530,CompChecksTrans!$A:$C,3,FALSE), "     ")</f>
        <v xml:space="preserve">     </v>
      </c>
    </row>
    <row r="531" spans="1:4" x14ac:dyDescent="0.25">
      <c r="A531" s="12" t="s">
        <v>5996</v>
      </c>
      <c r="C531" s="10" t="str">
        <f>_xlfn.IFNA(VLOOKUP(B531,Phase2!A$4:C$1000,3,FALSE),"")</f>
        <v/>
      </c>
      <c r="D531" s="10" t="str">
        <f>_xlfn.IFNA(VLOOKUP($A531,CompChecksTrans!$A:$C,3,FALSE), "     ")</f>
        <v xml:space="preserve">     </v>
      </c>
    </row>
    <row r="532" spans="1:4" x14ac:dyDescent="0.25">
      <c r="A532" s="12" t="s">
        <v>5997</v>
      </c>
      <c r="C532" s="10" t="str">
        <f>_xlfn.IFNA(VLOOKUP(B532,Phase2!A$4:C$1000,3,FALSE),"")</f>
        <v/>
      </c>
      <c r="D532" s="10" t="str">
        <f>_xlfn.IFNA(VLOOKUP($A532,CompChecksTrans!$A:$C,3,FALSE), "     ")</f>
        <v xml:space="preserve">     </v>
      </c>
    </row>
    <row r="533" spans="1:4" x14ac:dyDescent="0.25">
      <c r="A533" s="12" t="s">
        <v>5998</v>
      </c>
      <c r="C533" s="10" t="str">
        <f>_xlfn.IFNA(VLOOKUP(B533,Phase2!A$4:C$1000,3,FALSE),"")</f>
        <v/>
      </c>
      <c r="D533" s="10" t="str">
        <f>_xlfn.IFNA(VLOOKUP($A533,CompChecksTrans!$A:$C,3,FALSE), "     ")</f>
        <v xml:space="preserve">     </v>
      </c>
    </row>
    <row r="534" spans="1:4" x14ac:dyDescent="0.25">
      <c r="A534" s="12" t="s">
        <v>5999</v>
      </c>
      <c r="C534" s="10" t="str">
        <f>_xlfn.IFNA(VLOOKUP(B534,Phase2!A$4:C$1000,3,FALSE),"")</f>
        <v/>
      </c>
      <c r="D534" s="10" t="str">
        <f>_xlfn.IFNA(VLOOKUP($A534,CompChecksTrans!$A:$C,3,FALSE), "     ")</f>
        <v xml:space="preserve">     </v>
      </c>
    </row>
    <row r="535" spans="1:4" x14ac:dyDescent="0.25">
      <c r="A535" s="12" t="s">
        <v>6000</v>
      </c>
      <c r="C535" s="10" t="str">
        <f>_xlfn.IFNA(VLOOKUP(B535,Phase2!A$4:C$1000,3,FALSE),"")</f>
        <v/>
      </c>
      <c r="D535" s="10" t="str">
        <f>_xlfn.IFNA(VLOOKUP($A535,CompChecksTrans!$A:$C,3,FALSE), "     ")</f>
        <v xml:space="preserve">     </v>
      </c>
    </row>
    <row r="536" spans="1:4" x14ac:dyDescent="0.25">
      <c r="A536" s="12" t="s">
        <v>6001</v>
      </c>
      <c r="C536" s="10" t="str">
        <f>_xlfn.IFNA(VLOOKUP(B536,Phase2!A$4:C$1000,3,FALSE),"")</f>
        <v/>
      </c>
      <c r="D536" s="10" t="str">
        <f>_xlfn.IFNA(VLOOKUP($A536,CompChecksTrans!$A:$C,3,FALSE), "     ")</f>
        <v xml:space="preserve">     </v>
      </c>
    </row>
    <row r="537" spans="1:4" x14ac:dyDescent="0.25">
      <c r="A537" s="12" t="s">
        <v>6002</v>
      </c>
      <c r="C537" s="10" t="str">
        <f>_xlfn.IFNA(VLOOKUP(B537,Phase2!A$4:C$1000,3,FALSE),"")</f>
        <v/>
      </c>
      <c r="D537" s="10" t="str">
        <f>_xlfn.IFNA(VLOOKUP($A537,CompChecksTrans!$A:$C,3,FALSE), "     ")</f>
        <v xml:space="preserve">     </v>
      </c>
    </row>
    <row r="538" spans="1:4" x14ac:dyDescent="0.25">
      <c r="A538" s="12" t="s">
        <v>6003</v>
      </c>
      <c r="C538" s="10" t="str">
        <f>_xlfn.IFNA(VLOOKUP(B538,Phase2!A$4:C$1000,3,FALSE),"")</f>
        <v/>
      </c>
      <c r="D538" s="10" t="str">
        <f>_xlfn.IFNA(VLOOKUP($A538,CompChecksTrans!$A:$C,3,FALSE), "     ")</f>
        <v xml:space="preserve">     </v>
      </c>
    </row>
    <row r="539" spans="1:4" x14ac:dyDescent="0.25">
      <c r="A539" s="12" t="s">
        <v>6004</v>
      </c>
      <c r="C539" s="10" t="str">
        <f>_xlfn.IFNA(VLOOKUP(B539,Phase2!A$4:C$1000,3,FALSE),"")</f>
        <v/>
      </c>
      <c r="D539" s="10" t="str">
        <f>_xlfn.IFNA(VLOOKUP($A539,CompChecksTrans!$A:$C,3,FALSE), "     ")</f>
        <v xml:space="preserve">     </v>
      </c>
    </row>
    <row r="540" spans="1:4" x14ac:dyDescent="0.25">
      <c r="A540" s="12" t="s">
        <v>6005</v>
      </c>
      <c r="C540" s="10" t="str">
        <f>_xlfn.IFNA(VLOOKUP(B540,Phase2!A$4:C$1000,3,FALSE),"")</f>
        <v/>
      </c>
      <c r="D540" s="10" t="str">
        <f>_xlfn.IFNA(VLOOKUP($A540,CompChecksTrans!$A:$C,3,FALSE), "     ")</f>
        <v xml:space="preserve">     </v>
      </c>
    </row>
    <row r="541" spans="1:4" x14ac:dyDescent="0.25">
      <c r="A541" s="12" t="s">
        <v>6006</v>
      </c>
      <c r="C541" s="10" t="str">
        <f>_xlfn.IFNA(VLOOKUP(B541,Phase2!A$4:C$1000,3,FALSE),"")</f>
        <v/>
      </c>
      <c r="D541" s="10" t="str">
        <f>_xlfn.IFNA(VLOOKUP($A541,CompChecksTrans!$A:$C,3,FALSE), "     ")</f>
        <v xml:space="preserve">     </v>
      </c>
    </row>
    <row r="542" spans="1:4" x14ac:dyDescent="0.25">
      <c r="A542" s="12" t="s">
        <v>6007</v>
      </c>
      <c r="C542" s="10" t="str">
        <f>_xlfn.IFNA(VLOOKUP(B542,Phase2!A$4:C$1000,3,FALSE),"")</f>
        <v/>
      </c>
      <c r="D542" s="10" t="str">
        <f>_xlfn.IFNA(VLOOKUP($A542,CompChecksTrans!$A:$C,3,FALSE), "     ")</f>
        <v xml:space="preserve">     </v>
      </c>
    </row>
    <row r="543" spans="1:4" x14ac:dyDescent="0.25">
      <c r="A543" s="12" t="s">
        <v>6008</v>
      </c>
      <c r="C543" s="10" t="str">
        <f>_xlfn.IFNA(VLOOKUP(B543,Phase2!A$4:C$1000,3,FALSE),"")</f>
        <v/>
      </c>
      <c r="D543" s="10" t="str">
        <f>_xlfn.IFNA(VLOOKUP($A543,CompChecksTrans!$A:$C,3,FALSE), "     ")</f>
        <v xml:space="preserve">     </v>
      </c>
    </row>
    <row r="544" spans="1:4" x14ac:dyDescent="0.25">
      <c r="A544" s="12" t="s">
        <v>6009</v>
      </c>
      <c r="C544" s="10" t="str">
        <f>_xlfn.IFNA(VLOOKUP(B544,Phase2!A$4:C$1000,3,FALSE),"")</f>
        <v/>
      </c>
      <c r="D544" s="10" t="str">
        <f>_xlfn.IFNA(VLOOKUP($A544,CompChecksTrans!$A:$C,3,FALSE), "     ")</f>
        <v xml:space="preserve">     </v>
      </c>
    </row>
    <row r="545" spans="1:4" x14ac:dyDescent="0.25">
      <c r="A545" s="12" t="s">
        <v>6010</v>
      </c>
      <c r="C545" s="10" t="str">
        <f>_xlfn.IFNA(VLOOKUP(B545,Phase2!A$4:C$1000,3,FALSE),"")</f>
        <v/>
      </c>
      <c r="D545" s="10" t="str">
        <f>_xlfn.IFNA(VLOOKUP($A545,CompChecksTrans!$A:$C,3,FALSE), "     ")</f>
        <v xml:space="preserve">     </v>
      </c>
    </row>
    <row r="546" spans="1:4" x14ac:dyDescent="0.25">
      <c r="A546" s="12" t="s">
        <v>6011</v>
      </c>
      <c r="C546" s="10" t="str">
        <f>_xlfn.IFNA(VLOOKUP(B546,Phase2!A$4:C$1000,3,FALSE),"")</f>
        <v/>
      </c>
      <c r="D546" s="10" t="str">
        <f>_xlfn.IFNA(VLOOKUP($A546,CompChecksTrans!$A:$C,3,FALSE), "     ")</f>
        <v xml:space="preserve">     </v>
      </c>
    </row>
    <row r="547" spans="1:4" x14ac:dyDescent="0.25">
      <c r="A547" s="12" t="s">
        <v>6012</v>
      </c>
      <c r="C547" s="10" t="str">
        <f>_xlfn.IFNA(VLOOKUP(B547,Phase2!A$4:C$1000,3,FALSE),"")</f>
        <v/>
      </c>
      <c r="D547" s="10" t="str">
        <f>_xlfn.IFNA(VLOOKUP($A547,CompChecksTrans!$A:$C,3,FALSE), "     ")</f>
        <v xml:space="preserve">     </v>
      </c>
    </row>
    <row r="548" spans="1:4" x14ac:dyDescent="0.25">
      <c r="A548" s="12" t="s">
        <v>6013</v>
      </c>
      <c r="C548" s="10" t="str">
        <f>_xlfn.IFNA(VLOOKUP(B548,Phase2!A$4:C$1000,3,FALSE),"")</f>
        <v/>
      </c>
      <c r="D548" s="10" t="str">
        <f>_xlfn.IFNA(VLOOKUP($A548,CompChecksTrans!$A:$C,3,FALSE), "     ")</f>
        <v xml:space="preserve">     </v>
      </c>
    </row>
    <row r="549" spans="1:4" x14ac:dyDescent="0.25">
      <c r="A549" s="12" t="s">
        <v>6014</v>
      </c>
      <c r="C549" s="10" t="str">
        <f>_xlfn.IFNA(VLOOKUP(B549,Phase2!A$4:C$1000,3,FALSE),"")</f>
        <v/>
      </c>
      <c r="D549" s="10" t="str">
        <f>_xlfn.IFNA(VLOOKUP($A549,CompChecksTrans!$A:$C,3,FALSE), "     ")</f>
        <v xml:space="preserve">     </v>
      </c>
    </row>
    <row r="550" spans="1:4" x14ac:dyDescent="0.25">
      <c r="A550" s="12" t="s">
        <v>6015</v>
      </c>
      <c r="C550" s="10" t="str">
        <f>_xlfn.IFNA(VLOOKUP(B550,Phase2!A$4:C$1000,3,FALSE),"")</f>
        <v/>
      </c>
      <c r="D550" s="10" t="str">
        <f>_xlfn.IFNA(VLOOKUP($A550,CompChecksTrans!$A:$C,3,FALSE), "     ")</f>
        <v xml:space="preserve">     </v>
      </c>
    </row>
    <row r="551" spans="1:4" x14ac:dyDescent="0.25">
      <c r="A551" s="12" t="s">
        <v>6016</v>
      </c>
      <c r="C551" s="10" t="str">
        <f>_xlfn.IFNA(VLOOKUP(B551,Phase2!A$4:C$1000,3,FALSE),"")</f>
        <v/>
      </c>
      <c r="D551" s="10" t="str">
        <f>_xlfn.IFNA(VLOOKUP($A551,CompChecksTrans!$A:$C,3,FALSE), "     ")</f>
        <v xml:space="preserve">     </v>
      </c>
    </row>
    <row r="552" spans="1:4" x14ac:dyDescent="0.25">
      <c r="A552" s="12" t="s">
        <v>6017</v>
      </c>
      <c r="C552" s="10" t="str">
        <f>_xlfn.IFNA(VLOOKUP(B552,Phase2!A$4:C$1000,3,FALSE),"")</f>
        <v/>
      </c>
      <c r="D552" s="10" t="str">
        <f>_xlfn.IFNA(VLOOKUP($A552,CompChecksTrans!$A:$C,3,FALSE), "     ")</f>
        <v xml:space="preserve">     </v>
      </c>
    </row>
    <row r="553" spans="1:4" x14ac:dyDescent="0.25">
      <c r="A553" s="12" t="s">
        <v>6018</v>
      </c>
      <c r="C553" s="10" t="str">
        <f>_xlfn.IFNA(VLOOKUP(B553,Phase2!A$4:C$1000,3,FALSE),"")</f>
        <v/>
      </c>
      <c r="D553" s="10" t="str">
        <f>_xlfn.IFNA(VLOOKUP($A553,CompChecksTrans!$A:$C,3,FALSE), "     ")</f>
        <v xml:space="preserve">     </v>
      </c>
    </row>
    <row r="554" spans="1:4" x14ac:dyDescent="0.25">
      <c r="A554" s="12" t="s">
        <v>6019</v>
      </c>
      <c r="C554" s="10" t="str">
        <f>_xlfn.IFNA(VLOOKUP(B554,Phase2!A$4:C$1000,3,FALSE),"")</f>
        <v/>
      </c>
      <c r="D554" s="10" t="str">
        <f>_xlfn.IFNA(VLOOKUP($A554,CompChecksTrans!$A:$C,3,FALSE), "     ")</f>
        <v xml:space="preserve">     </v>
      </c>
    </row>
    <row r="555" spans="1:4" x14ac:dyDescent="0.25">
      <c r="A555" s="12" t="s">
        <v>6020</v>
      </c>
      <c r="C555" s="10" t="str">
        <f>_xlfn.IFNA(VLOOKUP(B555,Phase2!A$4:C$1000,3,FALSE),"")</f>
        <v/>
      </c>
      <c r="D555" s="10" t="str">
        <f>_xlfn.IFNA(VLOOKUP($A555,CompChecksTrans!$A:$C,3,FALSE), "     ")</f>
        <v xml:space="preserve">     </v>
      </c>
    </row>
    <row r="556" spans="1:4" x14ac:dyDescent="0.25">
      <c r="A556" s="12" t="s">
        <v>6021</v>
      </c>
      <c r="C556" s="10" t="str">
        <f>_xlfn.IFNA(VLOOKUP(B556,Phase2!A$4:C$1000,3,FALSE),"")</f>
        <v/>
      </c>
      <c r="D556" s="10" t="str">
        <f>_xlfn.IFNA(VLOOKUP($A556,CompChecksTrans!$A:$C,3,FALSE), "     ")</f>
        <v xml:space="preserve">     </v>
      </c>
    </row>
    <row r="557" spans="1:4" x14ac:dyDescent="0.25">
      <c r="A557" s="12" t="s">
        <v>6022</v>
      </c>
      <c r="C557" s="10" t="str">
        <f>_xlfn.IFNA(VLOOKUP(B557,Phase2!A$4:C$1000,3,FALSE),"")</f>
        <v/>
      </c>
      <c r="D557" s="10" t="str">
        <f>_xlfn.IFNA(VLOOKUP($A557,CompChecksTrans!$A:$C,3,FALSE), "     ")</f>
        <v xml:space="preserve">     </v>
      </c>
    </row>
    <row r="558" spans="1:4" x14ac:dyDescent="0.25">
      <c r="A558" s="12" t="s">
        <v>6023</v>
      </c>
      <c r="C558" s="10" t="str">
        <f>_xlfn.IFNA(VLOOKUP(B558,Phase2!A$4:C$1000,3,FALSE),"")</f>
        <v/>
      </c>
      <c r="D558" s="10" t="str">
        <f>_xlfn.IFNA(VLOOKUP($A558,CompChecksTrans!$A:$C,3,FALSE), "     ")</f>
        <v xml:space="preserve">     </v>
      </c>
    </row>
    <row r="559" spans="1:4" x14ac:dyDescent="0.25">
      <c r="A559" s="12" t="s">
        <v>6024</v>
      </c>
      <c r="C559" s="10" t="str">
        <f>_xlfn.IFNA(VLOOKUP(B559,Phase2!A$4:C$1000,3,FALSE),"")</f>
        <v/>
      </c>
      <c r="D559" s="10" t="str">
        <f>_xlfn.IFNA(VLOOKUP($A559,CompChecksTrans!$A:$C,3,FALSE), "     ")</f>
        <v xml:space="preserve">     </v>
      </c>
    </row>
    <row r="560" spans="1:4" x14ac:dyDescent="0.25">
      <c r="A560" s="12" t="s">
        <v>6025</v>
      </c>
      <c r="C560" s="10" t="str">
        <f>_xlfn.IFNA(VLOOKUP(B560,Phase2!A$4:C$1000,3,FALSE),"")</f>
        <v/>
      </c>
      <c r="D560" s="10" t="str">
        <f>_xlfn.IFNA(VLOOKUP($A560,CompChecksTrans!$A:$C,3,FALSE), "     ")</f>
        <v xml:space="preserve">     </v>
      </c>
    </row>
    <row r="561" spans="1:4" x14ac:dyDescent="0.25">
      <c r="A561" s="12" t="s">
        <v>6026</v>
      </c>
      <c r="C561" s="10" t="str">
        <f>_xlfn.IFNA(VLOOKUP(B561,Phase2!A$4:C$1000,3,FALSE),"")</f>
        <v/>
      </c>
      <c r="D561" s="10" t="str">
        <f>_xlfn.IFNA(VLOOKUP($A561,CompChecksTrans!$A:$C,3,FALSE), "     ")</f>
        <v xml:space="preserve">     </v>
      </c>
    </row>
    <row r="562" spans="1:4" x14ac:dyDescent="0.25">
      <c r="A562" s="12" t="s">
        <v>6027</v>
      </c>
      <c r="C562" s="10" t="str">
        <f>_xlfn.IFNA(VLOOKUP(B562,Phase2!A$4:C$1000,3,FALSE),"")</f>
        <v/>
      </c>
      <c r="D562" s="10" t="str">
        <f>_xlfn.IFNA(VLOOKUP($A562,CompChecksTrans!$A:$C,3,FALSE), "     ")</f>
        <v xml:space="preserve">     </v>
      </c>
    </row>
    <row r="563" spans="1:4" x14ac:dyDescent="0.25">
      <c r="A563" s="12" t="s">
        <v>6028</v>
      </c>
      <c r="C563" s="10" t="str">
        <f>_xlfn.IFNA(VLOOKUP(B563,Phase2!A$4:C$1000,3,FALSE),"")</f>
        <v/>
      </c>
      <c r="D563" s="10" t="str">
        <f>_xlfn.IFNA(VLOOKUP($A563,CompChecksTrans!$A:$C,3,FALSE), "     ")</f>
        <v xml:space="preserve">     </v>
      </c>
    </row>
    <row r="564" spans="1:4" x14ac:dyDescent="0.25">
      <c r="A564" s="12" t="s">
        <v>6029</v>
      </c>
      <c r="C564" s="10" t="str">
        <f>_xlfn.IFNA(VLOOKUP(B564,Phase2!A$4:C$1000,3,FALSE),"")</f>
        <v/>
      </c>
      <c r="D564" s="10" t="str">
        <f>_xlfn.IFNA(VLOOKUP($A564,CompChecksTrans!$A:$C,3,FALSE), "     ")</f>
        <v xml:space="preserve">     </v>
      </c>
    </row>
    <row r="565" spans="1:4" x14ac:dyDescent="0.25">
      <c r="A565" s="12" t="s">
        <v>6030</v>
      </c>
      <c r="C565" s="10" t="str">
        <f>_xlfn.IFNA(VLOOKUP(B565,Phase2!A$4:C$1000,3,FALSE),"")</f>
        <v/>
      </c>
      <c r="D565" s="10" t="str">
        <f>_xlfn.IFNA(VLOOKUP($A565,CompChecksTrans!$A:$C,3,FALSE), "     ")</f>
        <v xml:space="preserve">     </v>
      </c>
    </row>
    <row r="566" spans="1:4" x14ac:dyDescent="0.25">
      <c r="A566" s="12" t="s">
        <v>6031</v>
      </c>
      <c r="C566" s="10" t="str">
        <f>_xlfn.IFNA(VLOOKUP(B566,Phase2!A$4:C$1000,3,FALSE),"")</f>
        <v/>
      </c>
      <c r="D566" s="10" t="str">
        <f>_xlfn.IFNA(VLOOKUP($A566,CompChecksTrans!$A:$C,3,FALSE), "     ")</f>
        <v xml:space="preserve">     </v>
      </c>
    </row>
    <row r="567" spans="1:4" x14ac:dyDescent="0.25">
      <c r="A567" s="12" t="s">
        <v>6032</v>
      </c>
      <c r="C567" s="10" t="str">
        <f>_xlfn.IFNA(VLOOKUP(B567,Phase2!A$4:C$1000,3,FALSE),"")</f>
        <v/>
      </c>
      <c r="D567" s="10" t="str">
        <f>_xlfn.IFNA(VLOOKUP($A567,CompChecksTrans!$A:$C,3,FALSE), "     ")</f>
        <v xml:space="preserve">     </v>
      </c>
    </row>
    <row r="568" spans="1:4" x14ac:dyDescent="0.25">
      <c r="A568" s="12" t="s">
        <v>6033</v>
      </c>
      <c r="C568" s="10" t="str">
        <f>_xlfn.IFNA(VLOOKUP(B568,Phase2!A$4:C$1000,3,FALSE),"")</f>
        <v/>
      </c>
      <c r="D568" s="10" t="str">
        <f>_xlfn.IFNA(VLOOKUP($A568,CompChecksTrans!$A:$C,3,FALSE), "     ")</f>
        <v xml:space="preserve">     </v>
      </c>
    </row>
    <row r="569" spans="1:4" x14ac:dyDescent="0.25">
      <c r="A569" s="12" t="s">
        <v>6034</v>
      </c>
      <c r="C569" s="10" t="str">
        <f>_xlfn.IFNA(VLOOKUP(B569,Phase2!A$4:C$1000,3,FALSE),"")</f>
        <v/>
      </c>
      <c r="D569" s="10" t="str">
        <f>_xlfn.IFNA(VLOOKUP($A569,CompChecksTrans!$A:$C,3,FALSE), "     ")</f>
        <v xml:space="preserve">     </v>
      </c>
    </row>
    <row r="570" spans="1:4" x14ac:dyDescent="0.25">
      <c r="A570" s="12" t="s">
        <v>6035</v>
      </c>
      <c r="C570" s="10" t="str">
        <f>_xlfn.IFNA(VLOOKUP(B570,Phase2!A$4:C$1000,3,FALSE),"")</f>
        <v/>
      </c>
      <c r="D570" s="10" t="str">
        <f>_xlfn.IFNA(VLOOKUP($A570,CompChecksTrans!$A:$C,3,FALSE), "     ")</f>
        <v xml:space="preserve">     </v>
      </c>
    </row>
    <row r="571" spans="1:4" x14ac:dyDescent="0.25">
      <c r="A571" s="12" t="s">
        <v>6036</v>
      </c>
      <c r="C571" s="10" t="str">
        <f>_xlfn.IFNA(VLOOKUP(B571,Phase2!A$4:C$1000,3,FALSE),"")</f>
        <v/>
      </c>
      <c r="D571" s="10" t="str">
        <f>_xlfn.IFNA(VLOOKUP($A571,CompChecksTrans!$A:$C,3,FALSE), "     ")</f>
        <v xml:space="preserve">     </v>
      </c>
    </row>
    <row r="572" spans="1:4" x14ac:dyDescent="0.25">
      <c r="A572" s="12" t="s">
        <v>6037</v>
      </c>
      <c r="C572" s="10" t="str">
        <f>_xlfn.IFNA(VLOOKUP(B572,Phase2!A$4:C$1000,3,FALSE),"")</f>
        <v/>
      </c>
      <c r="D572" s="10" t="str">
        <f>_xlfn.IFNA(VLOOKUP($A572,CompChecksTrans!$A:$C,3,FALSE), "     ")</f>
        <v xml:space="preserve">     </v>
      </c>
    </row>
    <row r="573" spans="1:4" x14ac:dyDescent="0.25">
      <c r="A573" s="12" t="s">
        <v>6038</v>
      </c>
      <c r="C573" s="10" t="str">
        <f>_xlfn.IFNA(VLOOKUP(B573,Phase2!A$4:C$1000,3,FALSE),"")</f>
        <v/>
      </c>
      <c r="D573" s="10" t="str">
        <f>_xlfn.IFNA(VLOOKUP($A573,CompChecksTrans!$A:$C,3,FALSE), "     ")</f>
        <v xml:space="preserve">     </v>
      </c>
    </row>
    <row r="574" spans="1:4" x14ac:dyDescent="0.25">
      <c r="A574" s="12" t="s">
        <v>6039</v>
      </c>
      <c r="C574" s="10" t="str">
        <f>_xlfn.IFNA(VLOOKUP(B574,Phase2!A$4:C$1000,3,FALSE),"")</f>
        <v/>
      </c>
      <c r="D574" s="10" t="str">
        <f>_xlfn.IFNA(VLOOKUP($A574,CompChecksTrans!$A:$C,3,FALSE), "     ")</f>
        <v xml:space="preserve">     </v>
      </c>
    </row>
    <row r="575" spans="1:4" x14ac:dyDescent="0.25">
      <c r="A575" s="12" t="s">
        <v>6040</v>
      </c>
      <c r="C575" s="10" t="str">
        <f>_xlfn.IFNA(VLOOKUP(B575,Phase2!A$4:C$1000,3,FALSE),"")</f>
        <v/>
      </c>
      <c r="D575" s="10" t="str">
        <f>_xlfn.IFNA(VLOOKUP($A575,CompChecksTrans!$A:$C,3,FALSE), "     ")</f>
        <v xml:space="preserve">     </v>
      </c>
    </row>
    <row r="576" spans="1:4" x14ac:dyDescent="0.25">
      <c r="A576" s="12" t="s">
        <v>6041</v>
      </c>
      <c r="C576" s="10" t="str">
        <f>_xlfn.IFNA(VLOOKUP(B576,Phase2!A$4:C$1000,3,FALSE),"")</f>
        <v/>
      </c>
      <c r="D576" s="10" t="str">
        <f>_xlfn.IFNA(VLOOKUP($A576,CompChecksTrans!$A:$C,3,FALSE), "     ")</f>
        <v xml:space="preserve">     </v>
      </c>
    </row>
    <row r="577" spans="1:4" x14ac:dyDescent="0.25">
      <c r="A577" s="12" t="s">
        <v>6042</v>
      </c>
      <c r="C577" s="10" t="str">
        <f>_xlfn.IFNA(VLOOKUP(B577,Phase2!A$4:C$1000,3,FALSE),"")</f>
        <v/>
      </c>
      <c r="D577" s="10" t="str">
        <f>_xlfn.IFNA(VLOOKUP($A577,CompChecksTrans!$A:$C,3,FALSE), "     ")</f>
        <v xml:space="preserve">     </v>
      </c>
    </row>
    <row r="578" spans="1:4" x14ac:dyDescent="0.25">
      <c r="A578" s="12" t="s">
        <v>6043</v>
      </c>
      <c r="C578" s="10" t="str">
        <f>_xlfn.IFNA(VLOOKUP(B578,Phase2!A$4:C$1000,3,FALSE),"")</f>
        <v/>
      </c>
      <c r="D578" s="10" t="str">
        <f>_xlfn.IFNA(VLOOKUP($A578,CompChecksTrans!$A:$C,3,FALSE), "     ")</f>
        <v xml:space="preserve">     </v>
      </c>
    </row>
    <row r="579" spans="1:4" x14ac:dyDescent="0.25">
      <c r="A579" s="12" t="s">
        <v>6044</v>
      </c>
      <c r="C579" s="10" t="str">
        <f>_xlfn.IFNA(VLOOKUP(B579,Phase2!A$4:C$1000,3,FALSE),"")</f>
        <v/>
      </c>
      <c r="D579" s="10" t="str">
        <f>_xlfn.IFNA(VLOOKUP($A579,CompChecksTrans!$A:$C,3,FALSE), "     ")</f>
        <v xml:space="preserve">     </v>
      </c>
    </row>
    <row r="580" spans="1:4" x14ac:dyDescent="0.25">
      <c r="A580" s="12" t="s">
        <v>6045</v>
      </c>
      <c r="C580" s="10" t="str">
        <f>_xlfn.IFNA(VLOOKUP(B580,Phase2!A$4:C$1000,3,FALSE),"")</f>
        <v/>
      </c>
      <c r="D580" s="10" t="str">
        <f>_xlfn.IFNA(VLOOKUP($A580,CompChecksTrans!$A:$C,3,FALSE), "     ")</f>
        <v xml:space="preserve">     </v>
      </c>
    </row>
    <row r="581" spans="1:4" x14ac:dyDescent="0.25">
      <c r="A581" s="12" t="s">
        <v>6046</v>
      </c>
      <c r="C581" s="10" t="str">
        <f>_xlfn.IFNA(VLOOKUP(B581,Phase2!A$4:C$1000,3,FALSE),"")</f>
        <v/>
      </c>
      <c r="D581" s="10" t="str">
        <f>_xlfn.IFNA(VLOOKUP($A581,CompChecksTrans!$A:$C,3,FALSE), "     ")</f>
        <v xml:space="preserve">     </v>
      </c>
    </row>
    <row r="582" spans="1:4" x14ac:dyDescent="0.25">
      <c r="A582" s="12" t="s">
        <v>6047</v>
      </c>
      <c r="C582" s="10" t="str">
        <f>_xlfn.IFNA(VLOOKUP(B582,Phase2!A$4:C$1000,3,FALSE),"")</f>
        <v/>
      </c>
      <c r="D582" s="10" t="str">
        <f>_xlfn.IFNA(VLOOKUP($A582,CompChecksTrans!$A:$C,3,FALSE), "     ")</f>
        <v xml:space="preserve">     </v>
      </c>
    </row>
    <row r="583" spans="1:4" x14ac:dyDescent="0.25">
      <c r="A583" s="12" t="s">
        <v>6048</v>
      </c>
      <c r="C583" s="10" t="str">
        <f>_xlfn.IFNA(VLOOKUP(B583,Phase2!A$4:C$1000,3,FALSE),"")</f>
        <v/>
      </c>
      <c r="D583" s="10" t="str">
        <f>_xlfn.IFNA(VLOOKUP($A583,CompChecksTrans!$A:$C,3,FALSE), "     ")</f>
        <v xml:space="preserve">     </v>
      </c>
    </row>
    <row r="584" spans="1:4" x14ac:dyDescent="0.25">
      <c r="A584" s="12" t="s">
        <v>6049</v>
      </c>
      <c r="C584" s="10" t="str">
        <f>_xlfn.IFNA(VLOOKUP(B584,Phase2!A$4:C$1000,3,FALSE),"")</f>
        <v/>
      </c>
      <c r="D584" s="10" t="str">
        <f>_xlfn.IFNA(VLOOKUP($A584,CompChecksTrans!$A:$C,3,FALSE), "     ")</f>
        <v xml:space="preserve">     </v>
      </c>
    </row>
    <row r="585" spans="1:4" x14ac:dyDescent="0.25">
      <c r="A585" s="12" t="s">
        <v>6050</v>
      </c>
      <c r="C585" s="10" t="str">
        <f>_xlfn.IFNA(VLOOKUP(B585,Phase2!A$4:C$1000,3,FALSE),"")</f>
        <v/>
      </c>
      <c r="D585" s="10" t="str">
        <f>_xlfn.IFNA(VLOOKUP($A585,CompChecksTrans!$A:$C,3,FALSE), "     ")</f>
        <v xml:space="preserve">     </v>
      </c>
    </row>
    <row r="586" spans="1:4" x14ac:dyDescent="0.25">
      <c r="A586" s="12" t="s">
        <v>6051</v>
      </c>
      <c r="C586" s="10" t="str">
        <f>_xlfn.IFNA(VLOOKUP(B586,Phase2!A$4:C$1000,3,FALSE),"")</f>
        <v/>
      </c>
      <c r="D586" s="10" t="str">
        <f>_xlfn.IFNA(VLOOKUP($A586,CompChecksTrans!$A:$C,3,FALSE), "     ")</f>
        <v xml:space="preserve">     </v>
      </c>
    </row>
    <row r="587" spans="1:4" x14ac:dyDescent="0.25">
      <c r="A587" s="12" t="s">
        <v>6052</v>
      </c>
      <c r="C587" s="10" t="str">
        <f>_xlfn.IFNA(VLOOKUP(B587,Phase2!A$4:C$1000,3,FALSE),"")</f>
        <v/>
      </c>
      <c r="D587" s="10" t="str">
        <f>_xlfn.IFNA(VLOOKUP($A587,CompChecksTrans!$A:$C,3,FALSE), "     ")</f>
        <v xml:space="preserve">     </v>
      </c>
    </row>
    <row r="588" spans="1:4" x14ac:dyDescent="0.25">
      <c r="A588" s="12" t="s">
        <v>6053</v>
      </c>
      <c r="C588" s="10" t="str">
        <f>_xlfn.IFNA(VLOOKUP(B588,Phase2!A$4:C$1000,3,FALSE),"")</f>
        <v/>
      </c>
      <c r="D588" s="10" t="str">
        <f>_xlfn.IFNA(VLOOKUP($A588,CompChecksTrans!$A:$C,3,FALSE), "     ")</f>
        <v xml:space="preserve">     </v>
      </c>
    </row>
    <row r="589" spans="1:4" x14ac:dyDescent="0.25">
      <c r="A589" s="12" t="s">
        <v>6054</v>
      </c>
      <c r="C589" s="10" t="str">
        <f>_xlfn.IFNA(VLOOKUP(B589,Phase2!A$4:C$1000,3,FALSE),"")</f>
        <v/>
      </c>
      <c r="D589" s="10" t="str">
        <f>_xlfn.IFNA(VLOOKUP($A589,CompChecksTrans!$A:$C,3,FALSE), "     ")</f>
        <v xml:space="preserve">     </v>
      </c>
    </row>
    <row r="590" spans="1:4" x14ac:dyDescent="0.25">
      <c r="A590" s="12" t="s">
        <v>6055</v>
      </c>
      <c r="C590" s="10" t="str">
        <f>_xlfn.IFNA(VLOOKUP(B590,Phase2!A$4:C$1000,3,FALSE),"")</f>
        <v/>
      </c>
      <c r="D590" s="10" t="str">
        <f>_xlfn.IFNA(VLOOKUP($A590,CompChecksTrans!$A:$C,3,FALSE), "     ")</f>
        <v xml:space="preserve">     </v>
      </c>
    </row>
    <row r="591" spans="1:4" x14ac:dyDescent="0.25">
      <c r="A591" s="12" t="s">
        <v>6056</v>
      </c>
      <c r="C591" s="10" t="str">
        <f>_xlfn.IFNA(VLOOKUP(B591,Phase2!A$4:C$1000,3,FALSE),"")</f>
        <v/>
      </c>
      <c r="D591" s="10" t="str">
        <f>_xlfn.IFNA(VLOOKUP($A591,CompChecksTrans!$A:$C,3,FALSE), "     ")</f>
        <v xml:space="preserve">     </v>
      </c>
    </row>
    <row r="592" spans="1:4" x14ac:dyDescent="0.25">
      <c r="A592" s="12" t="s">
        <v>6057</v>
      </c>
      <c r="C592" s="10" t="str">
        <f>_xlfn.IFNA(VLOOKUP(B592,Phase2!A$4:C$1000,3,FALSE),"")</f>
        <v/>
      </c>
      <c r="D592" s="10" t="str">
        <f>_xlfn.IFNA(VLOOKUP($A592,CompChecksTrans!$A:$C,3,FALSE), "     ")</f>
        <v xml:space="preserve">     </v>
      </c>
    </row>
    <row r="593" spans="1:4" x14ac:dyDescent="0.25">
      <c r="A593" s="12" t="s">
        <v>6058</v>
      </c>
      <c r="C593" s="10" t="str">
        <f>_xlfn.IFNA(VLOOKUP(B593,Phase2!A$4:C$1000,3,FALSE),"")</f>
        <v/>
      </c>
      <c r="D593" s="10" t="str">
        <f>_xlfn.IFNA(VLOOKUP($A593,CompChecksTrans!$A:$C,3,FALSE), "     ")</f>
        <v xml:space="preserve">     </v>
      </c>
    </row>
    <row r="594" spans="1:4" x14ac:dyDescent="0.25">
      <c r="A594" s="12" t="s">
        <v>6059</v>
      </c>
      <c r="C594" s="10" t="str">
        <f>_xlfn.IFNA(VLOOKUP(B594,Phase2!A$4:C$1000,3,FALSE),"")</f>
        <v/>
      </c>
      <c r="D594" s="10" t="str">
        <f>_xlfn.IFNA(VLOOKUP($A594,CompChecksTrans!$A:$C,3,FALSE), "     ")</f>
        <v xml:space="preserve">     </v>
      </c>
    </row>
    <row r="595" spans="1:4" x14ac:dyDescent="0.25">
      <c r="A595" s="12" t="s">
        <v>6060</v>
      </c>
      <c r="C595" s="10" t="str">
        <f>_xlfn.IFNA(VLOOKUP(B595,Phase2!A$4:C$1000,3,FALSE),"")</f>
        <v/>
      </c>
      <c r="D595" s="10" t="str">
        <f>_xlfn.IFNA(VLOOKUP($A595,CompChecksTrans!$A:$C,3,FALSE), "     ")</f>
        <v xml:space="preserve">     </v>
      </c>
    </row>
    <row r="596" spans="1:4" x14ac:dyDescent="0.25">
      <c r="A596" s="12" t="s">
        <v>6061</v>
      </c>
      <c r="C596" s="10" t="str">
        <f>_xlfn.IFNA(VLOOKUP(B596,Phase2!A$4:C$1000,3,FALSE),"")</f>
        <v/>
      </c>
      <c r="D596" s="10" t="str">
        <f>_xlfn.IFNA(VLOOKUP($A596,CompChecksTrans!$A:$C,3,FALSE), "     ")</f>
        <v xml:space="preserve">     </v>
      </c>
    </row>
    <row r="597" spans="1:4" x14ac:dyDescent="0.25">
      <c r="A597" s="12" t="s">
        <v>6062</v>
      </c>
      <c r="C597" s="10" t="str">
        <f>_xlfn.IFNA(VLOOKUP(B597,Phase2!A$4:C$1000,3,FALSE),"")</f>
        <v/>
      </c>
      <c r="D597" s="10" t="str">
        <f>_xlfn.IFNA(VLOOKUP($A597,CompChecksTrans!$A:$C,3,FALSE), "     ")</f>
        <v xml:space="preserve">     </v>
      </c>
    </row>
    <row r="598" spans="1:4" x14ac:dyDescent="0.25">
      <c r="A598" s="12" t="s">
        <v>6063</v>
      </c>
      <c r="C598" s="10" t="str">
        <f>_xlfn.IFNA(VLOOKUP(B598,Phase2!A$4:C$1000,3,FALSE),"")</f>
        <v/>
      </c>
      <c r="D598" s="10" t="str">
        <f>_xlfn.IFNA(VLOOKUP($A598,CompChecksTrans!$A:$C,3,FALSE), "     ")</f>
        <v xml:space="preserve">     </v>
      </c>
    </row>
    <row r="599" spans="1:4" x14ac:dyDescent="0.25">
      <c r="A599" s="12" t="s">
        <v>6064</v>
      </c>
      <c r="C599" s="10" t="str">
        <f>_xlfn.IFNA(VLOOKUP(B599,Phase2!A$4:C$1000,3,FALSE),"")</f>
        <v/>
      </c>
      <c r="D599" s="10" t="str">
        <f>_xlfn.IFNA(VLOOKUP($A599,CompChecksTrans!$A:$C,3,FALSE), "     ")</f>
        <v xml:space="preserve">     </v>
      </c>
    </row>
    <row r="600" spans="1:4" x14ac:dyDescent="0.25">
      <c r="A600" s="12" t="s">
        <v>6065</v>
      </c>
      <c r="C600" s="10" t="str">
        <f>_xlfn.IFNA(VLOOKUP(B600,Phase2!A$4:C$1000,3,FALSE),"")</f>
        <v/>
      </c>
      <c r="D600" s="10" t="str">
        <f>_xlfn.IFNA(VLOOKUP($A600,CompChecksTrans!$A:$C,3,FALSE), "     ")</f>
        <v xml:space="preserve">     </v>
      </c>
    </row>
    <row r="601" spans="1:4" x14ac:dyDescent="0.25">
      <c r="A601" s="12" t="s">
        <v>6066</v>
      </c>
      <c r="C601" s="10" t="str">
        <f>_xlfn.IFNA(VLOOKUP(B601,Phase2!A$4:C$1000,3,FALSE),"")</f>
        <v/>
      </c>
      <c r="D601" s="10" t="str">
        <f>_xlfn.IFNA(VLOOKUP($A601,CompChecksTrans!$A:$C,3,FALSE), "     ")</f>
        <v xml:space="preserve">     </v>
      </c>
    </row>
    <row r="602" spans="1:4" x14ac:dyDescent="0.25">
      <c r="A602" s="12" t="s">
        <v>6067</v>
      </c>
      <c r="C602" s="10" t="str">
        <f>_xlfn.IFNA(VLOOKUP(B602,Phase2!A$4:C$1000,3,FALSE),"")</f>
        <v/>
      </c>
      <c r="D602" s="10" t="str">
        <f>_xlfn.IFNA(VLOOKUP($A602,CompChecksTrans!$A:$C,3,FALSE), "     ")</f>
        <v xml:space="preserve">     </v>
      </c>
    </row>
    <row r="603" spans="1:4" x14ac:dyDescent="0.25">
      <c r="A603" s="12" t="s">
        <v>6068</v>
      </c>
      <c r="C603" s="10" t="str">
        <f>_xlfn.IFNA(VLOOKUP(B603,Phase2!A$4:C$1000,3,FALSE),"")</f>
        <v/>
      </c>
      <c r="D603" s="10" t="str">
        <f>_xlfn.IFNA(VLOOKUP($A603,CompChecksTrans!$A:$C,3,FALSE), "     ")</f>
        <v xml:space="preserve">     </v>
      </c>
    </row>
    <row r="604" spans="1:4" x14ac:dyDescent="0.25">
      <c r="A604" s="12" t="s">
        <v>6069</v>
      </c>
      <c r="C604" s="10" t="str">
        <f>_xlfn.IFNA(VLOOKUP(B604,Phase2!A$4:C$1000,3,FALSE),"")</f>
        <v/>
      </c>
      <c r="D604" s="10" t="str">
        <f>_xlfn.IFNA(VLOOKUP($A604,CompChecksTrans!$A:$C,3,FALSE), "     ")</f>
        <v xml:space="preserve">     </v>
      </c>
    </row>
    <row r="605" spans="1:4" x14ac:dyDescent="0.25">
      <c r="A605" s="12" t="s">
        <v>6070</v>
      </c>
      <c r="C605" s="10" t="str">
        <f>_xlfn.IFNA(VLOOKUP(B605,Phase2!A$4:C$1000,3,FALSE),"")</f>
        <v/>
      </c>
      <c r="D605" s="10" t="str">
        <f>_xlfn.IFNA(VLOOKUP($A605,CompChecksTrans!$A:$C,3,FALSE), "     ")</f>
        <v xml:space="preserve">     </v>
      </c>
    </row>
    <row r="606" spans="1:4" x14ac:dyDescent="0.25">
      <c r="A606" s="12" t="s">
        <v>6071</v>
      </c>
      <c r="C606" s="10" t="str">
        <f>_xlfn.IFNA(VLOOKUP(B606,Phase2!A$4:C$1000,3,FALSE),"")</f>
        <v/>
      </c>
      <c r="D606" s="10" t="str">
        <f>_xlfn.IFNA(VLOOKUP($A606,CompChecksTrans!$A:$C,3,FALSE), "     ")</f>
        <v xml:space="preserve">     </v>
      </c>
    </row>
    <row r="607" spans="1:4" x14ac:dyDescent="0.25">
      <c r="A607" s="12" t="s">
        <v>6072</v>
      </c>
      <c r="C607" s="10" t="str">
        <f>_xlfn.IFNA(VLOOKUP(B607,Phase2!A$4:C$1000,3,FALSE),"")</f>
        <v/>
      </c>
      <c r="D607" s="10" t="str">
        <f>_xlfn.IFNA(VLOOKUP($A607,CompChecksTrans!$A:$C,3,FALSE), "     ")</f>
        <v xml:space="preserve">     </v>
      </c>
    </row>
    <row r="608" spans="1:4" x14ac:dyDescent="0.25">
      <c r="A608" s="12" t="s">
        <v>6073</v>
      </c>
      <c r="C608" s="10" t="str">
        <f>_xlfn.IFNA(VLOOKUP(B608,Phase2!A$4:C$1000,3,FALSE),"")</f>
        <v/>
      </c>
      <c r="D608" s="10" t="str">
        <f>_xlfn.IFNA(VLOOKUP($A608,CompChecksTrans!$A:$C,3,FALSE), "     ")</f>
        <v xml:space="preserve">     </v>
      </c>
    </row>
    <row r="609" spans="1:4" x14ac:dyDescent="0.25">
      <c r="A609" s="12" t="s">
        <v>6074</v>
      </c>
      <c r="C609" s="10" t="str">
        <f>_xlfn.IFNA(VLOOKUP(B609,Phase2!A$4:C$1000,3,FALSE),"")</f>
        <v/>
      </c>
      <c r="D609" s="10" t="str">
        <f>_xlfn.IFNA(VLOOKUP($A609,CompChecksTrans!$A:$C,3,FALSE), "     ")</f>
        <v xml:space="preserve">     </v>
      </c>
    </row>
    <row r="610" spans="1:4" x14ac:dyDescent="0.25">
      <c r="A610" s="12" t="s">
        <v>6075</v>
      </c>
      <c r="C610" s="10" t="str">
        <f>_xlfn.IFNA(VLOOKUP(B610,Phase2!A$4:C$1000,3,FALSE),"")</f>
        <v/>
      </c>
      <c r="D610" s="10" t="str">
        <f>_xlfn.IFNA(VLOOKUP($A610,CompChecksTrans!$A:$C,3,FALSE), "     ")</f>
        <v xml:space="preserve">     </v>
      </c>
    </row>
    <row r="611" spans="1:4" x14ac:dyDescent="0.25">
      <c r="A611" s="12" t="s">
        <v>6076</v>
      </c>
      <c r="C611" s="10" t="str">
        <f>_xlfn.IFNA(VLOOKUP(B611,Phase2!A$4:C$1000,3,FALSE),"")</f>
        <v/>
      </c>
      <c r="D611" s="10" t="str">
        <f>_xlfn.IFNA(VLOOKUP($A611,CompChecksTrans!$A:$C,3,FALSE), "     ")</f>
        <v xml:space="preserve">     </v>
      </c>
    </row>
    <row r="612" spans="1:4" x14ac:dyDescent="0.25">
      <c r="A612" s="12" t="s">
        <v>6077</v>
      </c>
      <c r="C612" s="10" t="str">
        <f>_xlfn.IFNA(VLOOKUP(B612,Phase2!A$4:C$1000,3,FALSE),"")</f>
        <v/>
      </c>
      <c r="D612" s="10" t="str">
        <f>_xlfn.IFNA(VLOOKUP($A612,CompChecksTrans!$A:$C,3,FALSE), "     ")</f>
        <v xml:space="preserve">     </v>
      </c>
    </row>
    <row r="613" spans="1:4" x14ac:dyDescent="0.25">
      <c r="A613" s="12" t="s">
        <v>6078</v>
      </c>
      <c r="C613" s="10" t="str">
        <f>_xlfn.IFNA(VLOOKUP(B613,Phase2!A$4:C$1000,3,FALSE),"")</f>
        <v/>
      </c>
      <c r="D613" s="10" t="str">
        <f>_xlfn.IFNA(VLOOKUP($A613,CompChecksTrans!$A:$C,3,FALSE), "     ")</f>
        <v xml:space="preserve">     </v>
      </c>
    </row>
    <row r="614" spans="1:4" x14ac:dyDescent="0.25">
      <c r="A614" s="12" t="s">
        <v>6079</v>
      </c>
      <c r="C614" s="10" t="str">
        <f>_xlfn.IFNA(VLOOKUP(B614,Phase2!A$4:C$1000,3,FALSE),"")</f>
        <v/>
      </c>
      <c r="D614" s="10" t="str">
        <f>_xlfn.IFNA(VLOOKUP($A614,CompChecksTrans!$A:$C,3,FALSE), "     ")</f>
        <v xml:space="preserve">     </v>
      </c>
    </row>
    <row r="615" spans="1:4" x14ac:dyDescent="0.25">
      <c r="A615" s="12" t="s">
        <v>6080</v>
      </c>
      <c r="C615" s="10" t="str">
        <f>_xlfn.IFNA(VLOOKUP(B615,Phase2!A$4:C$1000,3,FALSE),"")</f>
        <v/>
      </c>
      <c r="D615" s="10" t="str">
        <f>_xlfn.IFNA(VLOOKUP($A615,CompChecksTrans!$A:$C,3,FALSE), "     ")</f>
        <v xml:space="preserve">     </v>
      </c>
    </row>
    <row r="616" spans="1:4" x14ac:dyDescent="0.25">
      <c r="A616" s="12" t="s">
        <v>6081</v>
      </c>
      <c r="C616" s="10" t="str">
        <f>_xlfn.IFNA(VLOOKUP(B616,Phase2!A$4:C$1000,3,FALSE),"")</f>
        <v/>
      </c>
      <c r="D616" s="10" t="str">
        <f>_xlfn.IFNA(VLOOKUP($A616,CompChecksTrans!$A:$C,3,FALSE), "     ")</f>
        <v xml:space="preserve">     </v>
      </c>
    </row>
    <row r="617" spans="1:4" x14ac:dyDescent="0.25">
      <c r="A617" s="12" t="s">
        <v>6082</v>
      </c>
      <c r="C617" s="10" t="str">
        <f>_xlfn.IFNA(VLOOKUP(B617,Phase2!A$4:C$1000,3,FALSE),"")</f>
        <v/>
      </c>
      <c r="D617" s="10" t="str">
        <f>_xlfn.IFNA(VLOOKUP($A617,CompChecksTrans!$A:$C,3,FALSE), "     ")</f>
        <v xml:space="preserve">     </v>
      </c>
    </row>
    <row r="618" spans="1:4" x14ac:dyDescent="0.25">
      <c r="A618" s="12" t="s">
        <v>6083</v>
      </c>
      <c r="C618" s="10" t="str">
        <f>_xlfn.IFNA(VLOOKUP(B618,Phase2!A$4:C$1000,3,FALSE),"")</f>
        <v/>
      </c>
      <c r="D618" s="10" t="str">
        <f>_xlfn.IFNA(VLOOKUP($A618,CompChecksTrans!$A:$C,3,FALSE), "     ")</f>
        <v xml:space="preserve">     </v>
      </c>
    </row>
    <row r="619" spans="1:4" x14ac:dyDescent="0.25">
      <c r="A619" s="12" t="s">
        <v>6084</v>
      </c>
      <c r="C619" s="10" t="str">
        <f>_xlfn.IFNA(VLOOKUP(B619,Phase2!A$4:C$1000,3,FALSE),"")</f>
        <v/>
      </c>
      <c r="D619" s="10" t="str">
        <f>_xlfn.IFNA(VLOOKUP($A619,CompChecksTrans!$A:$C,3,FALSE), "     ")</f>
        <v xml:space="preserve">     </v>
      </c>
    </row>
    <row r="620" spans="1:4" x14ac:dyDescent="0.25">
      <c r="A620" s="12" t="s">
        <v>6085</v>
      </c>
      <c r="C620" s="10" t="str">
        <f>_xlfn.IFNA(VLOOKUP(B620,Phase2!A$4:C$1000,3,FALSE),"")</f>
        <v/>
      </c>
      <c r="D620" s="10" t="str">
        <f>_xlfn.IFNA(VLOOKUP($A620,CompChecksTrans!$A:$C,3,FALSE), "     ")</f>
        <v xml:space="preserve">     </v>
      </c>
    </row>
    <row r="621" spans="1:4" x14ac:dyDescent="0.25">
      <c r="A621" s="12" t="s">
        <v>6086</v>
      </c>
      <c r="C621" s="10" t="str">
        <f>_xlfn.IFNA(VLOOKUP(B621,Phase2!A$4:C$1000,3,FALSE),"")</f>
        <v/>
      </c>
      <c r="D621" s="10" t="str">
        <f>_xlfn.IFNA(VLOOKUP($A621,CompChecksTrans!$A:$C,3,FALSE), "     ")</f>
        <v xml:space="preserve">     </v>
      </c>
    </row>
    <row r="622" spans="1:4" x14ac:dyDescent="0.25">
      <c r="A622" s="12" t="s">
        <v>6087</v>
      </c>
      <c r="C622" s="10" t="str">
        <f>_xlfn.IFNA(VLOOKUP(B622,Phase2!A$4:C$1000,3,FALSE),"")</f>
        <v/>
      </c>
      <c r="D622" s="10" t="str">
        <f>_xlfn.IFNA(VLOOKUP($A622,CompChecksTrans!$A:$C,3,FALSE), "     ")</f>
        <v xml:space="preserve">     </v>
      </c>
    </row>
    <row r="623" spans="1:4" x14ac:dyDescent="0.25">
      <c r="A623" s="12" t="s">
        <v>6088</v>
      </c>
      <c r="C623" s="10" t="str">
        <f>_xlfn.IFNA(VLOOKUP(B623,Phase2!A$4:C$1000,3,FALSE),"")</f>
        <v/>
      </c>
      <c r="D623" s="10" t="str">
        <f>_xlfn.IFNA(VLOOKUP($A623,CompChecksTrans!$A:$C,3,FALSE), "     ")</f>
        <v xml:space="preserve">     </v>
      </c>
    </row>
    <row r="624" spans="1:4" x14ac:dyDescent="0.25">
      <c r="A624" s="12" t="s">
        <v>6089</v>
      </c>
      <c r="C624" s="10" t="str">
        <f>_xlfn.IFNA(VLOOKUP(B624,Phase2!A$4:C$1000,3,FALSE),"")</f>
        <v/>
      </c>
      <c r="D624" s="10" t="str">
        <f>_xlfn.IFNA(VLOOKUP($A624,CompChecksTrans!$A:$C,3,FALSE), "     ")</f>
        <v xml:space="preserve">     </v>
      </c>
    </row>
    <row r="625" spans="1:4" x14ac:dyDescent="0.25">
      <c r="A625" s="12" t="s">
        <v>6090</v>
      </c>
      <c r="C625" s="10" t="str">
        <f>_xlfn.IFNA(VLOOKUP(B625,Phase2!A$4:C$1000,3,FALSE),"")</f>
        <v/>
      </c>
      <c r="D625" s="10" t="str">
        <f>_xlfn.IFNA(VLOOKUP($A625,CompChecksTrans!$A:$C,3,FALSE), "     ")</f>
        <v xml:space="preserve">     </v>
      </c>
    </row>
    <row r="626" spans="1:4" x14ac:dyDescent="0.25">
      <c r="A626" s="12" t="s">
        <v>6091</v>
      </c>
      <c r="C626" s="10" t="str">
        <f>_xlfn.IFNA(VLOOKUP(B626,Phase2!A$4:C$1000,3,FALSE),"")</f>
        <v/>
      </c>
      <c r="D626" s="10" t="str">
        <f>_xlfn.IFNA(VLOOKUP($A626,CompChecksTrans!$A:$C,3,FALSE), "     ")</f>
        <v xml:space="preserve">     </v>
      </c>
    </row>
    <row r="627" spans="1:4" x14ac:dyDescent="0.25">
      <c r="A627" s="12" t="s">
        <v>6092</v>
      </c>
      <c r="C627" s="10" t="str">
        <f>_xlfn.IFNA(VLOOKUP(B627,Phase2!A$4:C$1000,3,FALSE),"")</f>
        <v/>
      </c>
      <c r="D627" s="10" t="str">
        <f>_xlfn.IFNA(VLOOKUP($A627,CompChecksTrans!$A:$C,3,FALSE), "     ")</f>
        <v xml:space="preserve">     </v>
      </c>
    </row>
    <row r="628" spans="1:4" x14ac:dyDescent="0.25">
      <c r="A628" s="12" t="s">
        <v>6093</v>
      </c>
      <c r="C628" s="10" t="str">
        <f>_xlfn.IFNA(VLOOKUP(B628,Phase2!A$4:C$1000,3,FALSE),"")</f>
        <v/>
      </c>
      <c r="D628" s="10" t="str">
        <f>_xlfn.IFNA(VLOOKUP($A628,CompChecksTrans!$A:$C,3,FALSE), "     ")</f>
        <v xml:space="preserve">     </v>
      </c>
    </row>
    <row r="629" spans="1:4" x14ac:dyDescent="0.25">
      <c r="A629" s="12" t="s">
        <v>6094</v>
      </c>
      <c r="C629" s="10" t="str">
        <f>_xlfn.IFNA(VLOOKUP(B629,Phase2!A$4:C$1000,3,FALSE),"")</f>
        <v/>
      </c>
      <c r="D629" s="10" t="str">
        <f>_xlfn.IFNA(VLOOKUP($A629,CompChecksTrans!$A:$C,3,FALSE), "     ")</f>
        <v xml:space="preserve">     </v>
      </c>
    </row>
    <row r="630" spans="1:4" x14ac:dyDescent="0.25">
      <c r="A630" s="12" t="s">
        <v>6095</v>
      </c>
      <c r="C630" s="10" t="str">
        <f>_xlfn.IFNA(VLOOKUP(B630,Phase2!A$4:C$1000,3,FALSE),"")</f>
        <v/>
      </c>
      <c r="D630" s="10" t="str">
        <f>_xlfn.IFNA(VLOOKUP($A630,CompChecksTrans!$A:$C,3,FALSE), "     ")</f>
        <v xml:space="preserve">     </v>
      </c>
    </row>
    <row r="631" spans="1:4" x14ac:dyDescent="0.25">
      <c r="A631" s="12" t="s">
        <v>6096</v>
      </c>
      <c r="C631" s="10" t="str">
        <f>_xlfn.IFNA(VLOOKUP(B631,Phase2!A$4:C$1000,3,FALSE),"")</f>
        <v/>
      </c>
      <c r="D631" s="10" t="str">
        <f>_xlfn.IFNA(VLOOKUP($A631,CompChecksTrans!$A:$C,3,FALSE), "     ")</f>
        <v xml:space="preserve">     </v>
      </c>
    </row>
    <row r="632" spans="1:4" x14ac:dyDescent="0.25">
      <c r="A632" s="12" t="s">
        <v>6097</v>
      </c>
      <c r="C632" s="10" t="str">
        <f>_xlfn.IFNA(VLOOKUP(B632,Phase2!A$4:C$1000,3,FALSE),"")</f>
        <v/>
      </c>
      <c r="D632" s="10" t="str">
        <f>_xlfn.IFNA(VLOOKUP($A632,CompChecksTrans!$A:$C,3,FALSE), "     ")</f>
        <v xml:space="preserve">     </v>
      </c>
    </row>
    <row r="633" spans="1:4" x14ac:dyDescent="0.25">
      <c r="A633" s="12" t="s">
        <v>6098</v>
      </c>
      <c r="C633" s="10" t="str">
        <f>_xlfn.IFNA(VLOOKUP(B633,Phase2!A$4:C$1000,3,FALSE),"")</f>
        <v/>
      </c>
      <c r="D633" s="10" t="str">
        <f>_xlfn.IFNA(VLOOKUP($A633,CompChecksTrans!$A:$C,3,FALSE), "     ")</f>
        <v xml:space="preserve">     </v>
      </c>
    </row>
    <row r="634" spans="1:4" x14ac:dyDescent="0.25">
      <c r="A634" s="12" t="s">
        <v>6099</v>
      </c>
      <c r="C634" s="10" t="str">
        <f>_xlfn.IFNA(VLOOKUP(B634,Phase2!A$4:C$1000,3,FALSE),"")</f>
        <v/>
      </c>
      <c r="D634" s="10" t="str">
        <f>_xlfn.IFNA(VLOOKUP($A634,CompChecksTrans!$A:$C,3,FALSE), "     ")</f>
        <v xml:space="preserve">     </v>
      </c>
    </row>
    <row r="635" spans="1:4" x14ac:dyDescent="0.25">
      <c r="A635" s="12" t="s">
        <v>6100</v>
      </c>
      <c r="C635" s="10" t="str">
        <f>_xlfn.IFNA(VLOOKUP(B635,Phase2!A$4:C$1000,3,FALSE),"")</f>
        <v/>
      </c>
      <c r="D635" s="10" t="str">
        <f>_xlfn.IFNA(VLOOKUP($A635,CompChecksTrans!$A:$C,3,FALSE), "     ")</f>
        <v xml:space="preserve">     </v>
      </c>
    </row>
    <row r="636" spans="1:4" x14ac:dyDescent="0.25">
      <c r="A636" s="12" t="s">
        <v>6101</v>
      </c>
      <c r="C636" s="10" t="str">
        <f>_xlfn.IFNA(VLOOKUP(B636,Phase2!A$4:C$1000,3,FALSE),"")</f>
        <v/>
      </c>
      <c r="D636" s="10" t="str">
        <f>_xlfn.IFNA(VLOOKUP($A636,CompChecksTrans!$A:$C,3,FALSE), "     ")</f>
        <v xml:space="preserve">     </v>
      </c>
    </row>
    <row r="637" spans="1:4" x14ac:dyDescent="0.25">
      <c r="A637" s="12" t="s">
        <v>6102</v>
      </c>
      <c r="C637" s="10" t="str">
        <f>_xlfn.IFNA(VLOOKUP(B637,Phase2!A$4:C$1000,3,FALSE),"")</f>
        <v/>
      </c>
      <c r="D637" s="10" t="str">
        <f>_xlfn.IFNA(VLOOKUP($A637,CompChecksTrans!$A:$C,3,FALSE), "     ")</f>
        <v xml:space="preserve">     </v>
      </c>
    </row>
    <row r="638" spans="1:4" x14ac:dyDescent="0.25">
      <c r="A638" s="12" t="s">
        <v>6103</v>
      </c>
      <c r="C638" s="10" t="str">
        <f>_xlfn.IFNA(VLOOKUP(B638,Phase2!A$4:C$1000,3,FALSE),"")</f>
        <v/>
      </c>
      <c r="D638" s="10" t="str">
        <f>_xlfn.IFNA(VLOOKUP($A638,CompChecksTrans!$A:$C,3,FALSE), "     ")</f>
        <v xml:space="preserve">     </v>
      </c>
    </row>
    <row r="639" spans="1:4" x14ac:dyDescent="0.25">
      <c r="A639" s="12" t="s">
        <v>6104</v>
      </c>
      <c r="C639" s="10" t="str">
        <f>_xlfn.IFNA(VLOOKUP(B639,Phase2!A$4:C$1000,3,FALSE),"")</f>
        <v/>
      </c>
      <c r="D639" s="10" t="str">
        <f>_xlfn.IFNA(VLOOKUP($A639,CompChecksTrans!$A:$C,3,FALSE), "     ")</f>
        <v xml:space="preserve">     </v>
      </c>
    </row>
    <row r="640" spans="1:4" x14ac:dyDescent="0.25">
      <c r="A640" s="12" t="s">
        <v>6105</v>
      </c>
      <c r="C640" s="10" t="str">
        <f>_xlfn.IFNA(VLOOKUP(B640,Phase2!A$4:C$1000,3,FALSE),"")</f>
        <v/>
      </c>
      <c r="D640" s="10" t="str">
        <f>_xlfn.IFNA(VLOOKUP($A640,CompChecksTrans!$A:$C,3,FALSE), "     ")</f>
        <v xml:space="preserve">     </v>
      </c>
    </row>
    <row r="641" spans="1:4" x14ac:dyDescent="0.25">
      <c r="A641" s="12" t="s">
        <v>6106</v>
      </c>
      <c r="C641" s="10" t="str">
        <f>_xlfn.IFNA(VLOOKUP(B641,Phase2!A$4:C$1000,3,FALSE),"")</f>
        <v/>
      </c>
      <c r="D641" s="10" t="str">
        <f>_xlfn.IFNA(VLOOKUP($A641,CompChecksTrans!$A:$C,3,FALSE), "     ")</f>
        <v xml:space="preserve">     </v>
      </c>
    </row>
    <row r="642" spans="1:4" x14ac:dyDescent="0.25">
      <c r="A642" s="12" t="s">
        <v>6107</v>
      </c>
      <c r="C642" s="10" t="str">
        <f>_xlfn.IFNA(VLOOKUP(B642,Phase2!A$4:C$1000,3,FALSE),"")</f>
        <v/>
      </c>
      <c r="D642" s="10" t="str">
        <f>_xlfn.IFNA(VLOOKUP($A642,CompChecksTrans!$A:$C,3,FALSE), "     ")</f>
        <v xml:space="preserve">     </v>
      </c>
    </row>
    <row r="643" spans="1:4" x14ac:dyDescent="0.25">
      <c r="A643" s="12" t="s">
        <v>6108</v>
      </c>
      <c r="C643" s="10" t="str">
        <f>_xlfn.IFNA(VLOOKUP(B643,Phase2!A$4:C$1000,3,FALSE),"")</f>
        <v/>
      </c>
      <c r="D643" s="10" t="str">
        <f>_xlfn.IFNA(VLOOKUP($A643,CompChecksTrans!$A:$C,3,FALSE), "     ")</f>
        <v xml:space="preserve">     </v>
      </c>
    </row>
    <row r="644" spans="1:4" x14ac:dyDescent="0.25">
      <c r="A644" s="12" t="s">
        <v>6109</v>
      </c>
      <c r="C644" s="10" t="str">
        <f>_xlfn.IFNA(VLOOKUP(B644,Phase2!A$4:C$1000,3,FALSE),"")</f>
        <v/>
      </c>
      <c r="D644" s="10" t="str">
        <f>_xlfn.IFNA(VLOOKUP($A644,CompChecksTrans!$A:$C,3,FALSE), "     ")</f>
        <v xml:space="preserve">     </v>
      </c>
    </row>
    <row r="645" spans="1:4" x14ac:dyDescent="0.25">
      <c r="A645" s="12" t="s">
        <v>6110</v>
      </c>
      <c r="C645" s="10" t="str">
        <f>_xlfn.IFNA(VLOOKUP(B645,Phase2!A$4:C$1000,3,FALSE),"")</f>
        <v/>
      </c>
      <c r="D645" s="10" t="str">
        <f>_xlfn.IFNA(VLOOKUP($A645,CompChecksTrans!$A:$C,3,FALSE), "     ")</f>
        <v xml:space="preserve">     </v>
      </c>
    </row>
    <row r="646" spans="1:4" x14ac:dyDescent="0.25">
      <c r="A646" s="12" t="s">
        <v>6111</v>
      </c>
      <c r="C646" s="10" t="str">
        <f>_xlfn.IFNA(VLOOKUP(B646,Phase2!A$4:C$1000,3,FALSE),"")</f>
        <v/>
      </c>
      <c r="D646" s="10" t="str">
        <f>_xlfn.IFNA(VLOOKUP($A646,CompChecksTrans!$A:$C,3,FALSE), "     ")</f>
        <v xml:space="preserve">     </v>
      </c>
    </row>
    <row r="647" spans="1:4" x14ac:dyDescent="0.25">
      <c r="A647" s="12" t="s">
        <v>6112</v>
      </c>
      <c r="C647" s="10" t="str">
        <f>_xlfn.IFNA(VLOOKUP(B647,Phase2!A$4:C$1000,3,FALSE),"")</f>
        <v/>
      </c>
      <c r="D647" s="10" t="str">
        <f>_xlfn.IFNA(VLOOKUP($A647,CompChecksTrans!$A:$C,3,FALSE), "     ")</f>
        <v xml:space="preserve">     </v>
      </c>
    </row>
    <row r="648" spans="1:4" x14ac:dyDescent="0.25">
      <c r="A648" s="12" t="s">
        <v>6113</v>
      </c>
      <c r="C648" s="10" t="str">
        <f>_xlfn.IFNA(VLOOKUP(B648,Phase2!A$4:C$1000,3,FALSE),"")</f>
        <v/>
      </c>
      <c r="D648" s="10" t="str">
        <f>_xlfn.IFNA(VLOOKUP($A648,CompChecksTrans!$A:$C,3,FALSE), "     ")</f>
        <v xml:space="preserve">     </v>
      </c>
    </row>
    <row r="649" spans="1:4" x14ac:dyDescent="0.25">
      <c r="A649" s="12" t="s">
        <v>6114</v>
      </c>
      <c r="C649" s="10" t="str">
        <f>_xlfn.IFNA(VLOOKUP(B649,Phase2!A$4:C$1000,3,FALSE),"")</f>
        <v/>
      </c>
      <c r="D649" s="10" t="str">
        <f>_xlfn.IFNA(VLOOKUP($A649,CompChecksTrans!$A:$C,3,FALSE), "     ")</f>
        <v xml:space="preserve">     </v>
      </c>
    </row>
    <row r="650" spans="1:4" x14ac:dyDescent="0.25">
      <c r="A650" s="12" t="s">
        <v>6115</v>
      </c>
      <c r="C650" s="10" t="str">
        <f>_xlfn.IFNA(VLOOKUP(B650,Phase2!A$4:C$1000,3,FALSE),"")</f>
        <v/>
      </c>
      <c r="D650" s="10" t="str">
        <f>_xlfn.IFNA(VLOOKUP($A650,CompChecksTrans!$A:$C,3,FALSE), "     ")</f>
        <v xml:space="preserve">     </v>
      </c>
    </row>
    <row r="651" spans="1:4" x14ac:dyDescent="0.25">
      <c r="A651" s="12" t="s">
        <v>6116</v>
      </c>
      <c r="C651" s="10" t="str">
        <f>_xlfn.IFNA(VLOOKUP(B651,Phase2!A$4:C$1000,3,FALSE),"")</f>
        <v/>
      </c>
      <c r="D651" s="10" t="str">
        <f>_xlfn.IFNA(VLOOKUP($A651,CompChecksTrans!$A:$C,3,FALSE), "     ")</f>
        <v xml:space="preserve">     </v>
      </c>
    </row>
    <row r="652" spans="1:4" x14ac:dyDescent="0.25">
      <c r="A652" s="12" t="s">
        <v>6117</v>
      </c>
      <c r="C652" s="10" t="str">
        <f>_xlfn.IFNA(VLOOKUP(B652,Phase2!A$4:C$1000,3,FALSE),"")</f>
        <v/>
      </c>
      <c r="D652" s="10" t="str">
        <f>_xlfn.IFNA(VLOOKUP($A652,CompChecksTrans!$A:$C,3,FALSE), "     ")</f>
        <v xml:space="preserve">     </v>
      </c>
    </row>
    <row r="653" spans="1:4" x14ac:dyDescent="0.25">
      <c r="A653" s="12" t="s">
        <v>6118</v>
      </c>
      <c r="C653" s="10" t="str">
        <f>_xlfn.IFNA(VLOOKUP(B653,Phase2!A$4:C$1000,3,FALSE),"")</f>
        <v/>
      </c>
      <c r="D653" s="10" t="str">
        <f>_xlfn.IFNA(VLOOKUP($A653,CompChecksTrans!$A:$C,3,FALSE), "     ")</f>
        <v xml:space="preserve">     </v>
      </c>
    </row>
    <row r="654" spans="1:4" x14ac:dyDescent="0.25">
      <c r="A654" s="12" t="s">
        <v>6119</v>
      </c>
      <c r="C654" s="10" t="str">
        <f>_xlfn.IFNA(VLOOKUP(B654,Phase2!A$4:C$1000,3,FALSE),"")</f>
        <v/>
      </c>
      <c r="D654" s="10" t="str">
        <f>_xlfn.IFNA(VLOOKUP($A654,CompChecksTrans!$A:$C,3,FALSE), "     ")</f>
        <v xml:space="preserve">     </v>
      </c>
    </row>
    <row r="655" spans="1:4" x14ac:dyDescent="0.25">
      <c r="A655" s="12" t="s">
        <v>6120</v>
      </c>
      <c r="C655" s="10" t="str">
        <f>_xlfn.IFNA(VLOOKUP(B655,Phase2!A$4:C$1000,3,FALSE),"")</f>
        <v/>
      </c>
      <c r="D655" s="10" t="str">
        <f>_xlfn.IFNA(VLOOKUP($A655,CompChecksTrans!$A:$C,3,FALSE), "     ")</f>
        <v xml:space="preserve">     </v>
      </c>
    </row>
    <row r="656" spans="1:4" x14ac:dyDescent="0.25">
      <c r="A656" s="12" t="s">
        <v>6121</v>
      </c>
      <c r="C656" s="10" t="str">
        <f>_xlfn.IFNA(VLOOKUP(B656,Phase2!A$4:C$1000,3,FALSE),"")</f>
        <v/>
      </c>
      <c r="D656" s="10" t="str">
        <f>_xlfn.IFNA(VLOOKUP($A656,CompChecksTrans!$A:$C,3,FALSE), "     ")</f>
        <v xml:space="preserve">     </v>
      </c>
    </row>
    <row r="657" spans="1:4" x14ac:dyDescent="0.25">
      <c r="A657" s="12" t="s">
        <v>6122</v>
      </c>
      <c r="C657" s="10" t="str">
        <f>_xlfn.IFNA(VLOOKUP(B657,Phase2!A$4:C$1000,3,FALSE),"")</f>
        <v/>
      </c>
      <c r="D657" s="10" t="str">
        <f>_xlfn.IFNA(VLOOKUP($A657,CompChecksTrans!$A:$C,3,FALSE), "     ")</f>
        <v xml:space="preserve">     </v>
      </c>
    </row>
    <row r="658" spans="1:4" x14ac:dyDescent="0.25">
      <c r="A658" s="12" t="s">
        <v>6123</v>
      </c>
      <c r="C658" s="10" t="str">
        <f>_xlfn.IFNA(VLOOKUP(B658,Phase2!A$4:C$1000,3,FALSE),"")</f>
        <v/>
      </c>
      <c r="D658" s="10" t="str">
        <f>_xlfn.IFNA(VLOOKUP($A658,CompChecksTrans!$A:$C,3,FALSE), "     ")</f>
        <v xml:space="preserve">     </v>
      </c>
    </row>
    <row r="659" spans="1:4" x14ac:dyDescent="0.25">
      <c r="A659" s="12" t="s">
        <v>6124</v>
      </c>
      <c r="C659" s="10" t="str">
        <f>_xlfn.IFNA(VLOOKUP(B659,Phase2!A$4:C$1000,3,FALSE),"")</f>
        <v/>
      </c>
      <c r="D659" s="10" t="str">
        <f>_xlfn.IFNA(VLOOKUP($A659,CompChecksTrans!$A:$C,3,FALSE), "     ")</f>
        <v xml:space="preserve">     </v>
      </c>
    </row>
    <row r="660" spans="1:4" x14ac:dyDescent="0.25">
      <c r="A660" s="12" t="s">
        <v>6125</v>
      </c>
      <c r="C660" s="10" t="str">
        <f>_xlfn.IFNA(VLOOKUP(B660,Phase2!A$4:C$1000,3,FALSE),"")</f>
        <v/>
      </c>
      <c r="D660" s="10" t="str">
        <f>_xlfn.IFNA(VLOOKUP($A660,CompChecksTrans!$A:$C,3,FALSE), "     ")</f>
        <v xml:space="preserve">     </v>
      </c>
    </row>
    <row r="661" spans="1:4" x14ac:dyDescent="0.25">
      <c r="A661" s="12" t="s">
        <v>6126</v>
      </c>
      <c r="C661" s="10" t="str">
        <f>_xlfn.IFNA(VLOOKUP(B661,Phase2!A$4:C$1000,3,FALSE),"")</f>
        <v/>
      </c>
      <c r="D661" s="10" t="str">
        <f>_xlfn.IFNA(VLOOKUP($A661,CompChecksTrans!$A:$C,3,FALSE), "     ")</f>
        <v xml:space="preserve">     </v>
      </c>
    </row>
    <row r="662" spans="1:4" x14ac:dyDescent="0.25">
      <c r="A662" s="12" t="s">
        <v>6127</v>
      </c>
      <c r="C662" s="10" t="str">
        <f>_xlfn.IFNA(VLOOKUP(B662,Phase2!A$4:C$1000,3,FALSE),"")</f>
        <v/>
      </c>
      <c r="D662" s="10" t="str">
        <f>_xlfn.IFNA(VLOOKUP($A662,CompChecksTrans!$A:$C,3,FALSE), "     ")</f>
        <v xml:space="preserve">     </v>
      </c>
    </row>
    <row r="663" spans="1:4" x14ac:dyDescent="0.25">
      <c r="A663" s="12" t="s">
        <v>6128</v>
      </c>
      <c r="C663" s="10" t="str">
        <f>_xlfn.IFNA(VLOOKUP(B663,Phase2!A$4:C$1000,3,FALSE),"")</f>
        <v/>
      </c>
      <c r="D663" s="10" t="str">
        <f>_xlfn.IFNA(VLOOKUP($A663,CompChecksTrans!$A:$C,3,FALSE), "     ")</f>
        <v xml:space="preserve">     </v>
      </c>
    </row>
    <row r="664" spans="1:4" x14ac:dyDescent="0.25">
      <c r="A664" s="12" t="s">
        <v>6129</v>
      </c>
      <c r="C664" s="10" t="str">
        <f>_xlfn.IFNA(VLOOKUP(B664,Phase2!A$4:C$1000,3,FALSE),"")</f>
        <v/>
      </c>
      <c r="D664" s="10" t="str">
        <f>_xlfn.IFNA(VLOOKUP($A664,CompChecksTrans!$A:$C,3,FALSE), "     ")</f>
        <v xml:space="preserve">     </v>
      </c>
    </row>
    <row r="665" spans="1:4" x14ac:dyDescent="0.25">
      <c r="A665" s="12" t="s">
        <v>6130</v>
      </c>
      <c r="C665" s="10" t="str">
        <f>_xlfn.IFNA(VLOOKUP(B665,Phase2!A$4:C$1000,3,FALSE),"")</f>
        <v/>
      </c>
      <c r="D665" s="10" t="str">
        <f>_xlfn.IFNA(VLOOKUP($A665,CompChecksTrans!$A:$C,3,FALSE), "     ")</f>
        <v xml:space="preserve">     </v>
      </c>
    </row>
    <row r="666" spans="1:4" x14ac:dyDescent="0.25">
      <c r="A666" s="12" t="s">
        <v>6131</v>
      </c>
      <c r="C666" s="10" t="str">
        <f>_xlfn.IFNA(VLOOKUP(B666,Phase2!A$4:C$1000,3,FALSE),"")</f>
        <v/>
      </c>
      <c r="D666" s="10" t="str">
        <f>_xlfn.IFNA(VLOOKUP($A666,CompChecksTrans!$A:$C,3,FALSE), "     ")</f>
        <v xml:space="preserve">     </v>
      </c>
    </row>
    <row r="667" spans="1:4" x14ac:dyDescent="0.25">
      <c r="A667" s="12" t="s">
        <v>6132</v>
      </c>
      <c r="C667" s="10" t="str">
        <f>_xlfn.IFNA(VLOOKUP(B667,Phase2!A$4:C$1000,3,FALSE),"")</f>
        <v/>
      </c>
      <c r="D667" s="10" t="str">
        <f>_xlfn.IFNA(VLOOKUP($A667,CompChecksTrans!$A:$C,3,FALSE), "     ")</f>
        <v xml:space="preserve">     </v>
      </c>
    </row>
    <row r="668" spans="1:4" x14ac:dyDescent="0.25">
      <c r="A668" s="12" t="s">
        <v>6133</v>
      </c>
      <c r="C668" s="10" t="str">
        <f>_xlfn.IFNA(VLOOKUP(B668,Phase2!A$4:C$1000,3,FALSE),"")</f>
        <v/>
      </c>
      <c r="D668" s="10" t="str">
        <f>_xlfn.IFNA(VLOOKUP($A668,CompChecksTrans!$A:$C,3,FALSE), "     ")</f>
        <v xml:space="preserve">     </v>
      </c>
    </row>
    <row r="669" spans="1:4" x14ac:dyDescent="0.25">
      <c r="A669" s="12" t="s">
        <v>6134</v>
      </c>
      <c r="C669" s="10" t="str">
        <f>_xlfn.IFNA(VLOOKUP(B669,Phase2!A$4:C$1000,3,FALSE),"")</f>
        <v/>
      </c>
      <c r="D669" s="10" t="str">
        <f>_xlfn.IFNA(VLOOKUP($A669,CompChecksTrans!$A:$C,3,FALSE), "     ")</f>
        <v xml:space="preserve">     </v>
      </c>
    </row>
    <row r="670" spans="1:4" x14ac:dyDescent="0.25">
      <c r="A670" s="12" t="s">
        <v>6135</v>
      </c>
      <c r="C670" s="10" t="str">
        <f>_xlfn.IFNA(VLOOKUP(B670,Phase2!A$4:C$1000,3,FALSE),"")</f>
        <v/>
      </c>
      <c r="D670" s="10" t="str">
        <f>_xlfn.IFNA(VLOOKUP($A670,CompChecksTrans!$A:$C,3,FALSE), "     ")</f>
        <v xml:space="preserve">     </v>
      </c>
    </row>
    <row r="671" spans="1:4" x14ac:dyDescent="0.25">
      <c r="A671" s="12" t="s">
        <v>6136</v>
      </c>
      <c r="C671" s="10" t="str">
        <f>_xlfn.IFNA(VLOOKUP(B671,Phase2!A$4:C$1000,3,FALSE),"")</f>
        <v/>
      </c>
      <c r="D671" s="10" t="str">
        <f>_xlfn.IFNA(VLOOKUP($A671,CompChecksTrans!$A:$C,3,FALSE), "     ")</f>
        <v xml:space="preserve">     </v>
      </c>
    </row>
    <row r="672" spans="1:4" x14ac:dyDescent="0.25">
      <c r="A672" s="12" t="s">
        <v>6137</v>
      </c>
      <c r="C672" s="10" t="str">
        <f>_xlfn.IFNA(VLOOKUP(B672,Phase2!A$4:C$1000,3,FALSE),"")</f>
        <v/>
      </c>
      <c r="D672" s="10" t="str">
        <f>_xlfn.IFNA(VLOOKUP($A672,CompChecksTrans!$A:$C,3,FALSE), "     ")</f>
        <v xml:space="preserve">     </v>
      </c>
    </row>
    <row r="673" spans="1:4" x14ac:dyDescent="0.25">
      <c r="A673" s="12" t="s">
        <v>6138</v>
      </c>
      <c r="C673" s="10" t="str">
        <f>_xlfn.IFNA(VLOOKUP(B673,Phase2!A$4:C$1000,3,FALSE),"")</f>
        <v/>
      </c>
      <c r="D673" s="10" t="str">
        <f>_xlfn.IFNA(VLOOKUP($A673,CompChecksTrans!$A:$C,3,FALSE), "     ")</f>
        <v xml:space="preserve">     </v>
      </c>
    </row>
    <row r="674" spans="1:4" x14ac:dyDescent="0.25">
      <c r="A674" s="12" t="s">
        <v>6139</v>
      </c>
      <c r="C674" s="10" t="str">
        <f>_xlfn.IFNA(VLOOKUP(B674,Phase2!A$4:C$1000,3,FALSE),"")</f>
        <v/>
      </c>
      <c r="D674" s="10" t="str">
        <f>_xlfn.IFNA(VLOOKUP($A674,CompChecksTrans!$A:$C,3,FALSE), "     ")</f>
        <v xml:space="preserve">     </v>
      </c>
    </row>
    <row r="675" spans="1:4" x14ac:dyDescent="0.25">
      <c r="A675" s="12" t="s">
        <v>6140</v>
      </c>
      <c r="C675" s="10" t="str">
        <f>_xlfn.IFNA(VLOOKUP(B675,Phase2!A$4:C$1000,3,FALSE),"")</f>
        <v/>
      </c>
      <c r="D675" s="10" t="str">
        <f>_xlfn.IFNA(VLOOKUP($A675,CompChecksTrans!$A:$C,3,FALSE), "     ")</f>
        <v xml:space="preserve">     </v>
      </c>
    </row>
    <row r="676" spans="1:4" x14ac:dyDescent="0.25">
      <c r="A676" s="12" t="s">
        <v>6141</v>
      </c>
      <c r="C676" s="10" t="str">
        <f>_xlfn.IFNA(VLOOKUP(B676,Phase2!A$4:C$1000,3,FALSE),"")</f>
        <v/>
      </c>
      <c r="D676" s="10" t="str">
        <f>_xlfn.IFNA(VLOOKUP($A676,CompChecksTrans!$A:$C,3,FALSE), "     ")</f>
        <v xml:space="preserve">     </v>
      </c>
    </row>
    <row r="677" spans="1:4" x14ac:dyDescent="0.25">
      <c r="A677" s="12" t="s">
        <v>6142</v>
      </c>
      <c r="C677" s="10" t="str">
        <f>_xlfn.IFNA(VLOOKUP(B677,Phase2!A$4:C$1000,3,FALSE),"")</f>
        <v/>
      </c>
      <c r="D677" s="10" t="str">
        <f>_xlfn.IFNA(VLOOKUP($A677,CompChecksTrans!$A:$C,3,FALSE), "     ")</f>
        <v xml:space="preserve">     </v>
      </c>
    </row>
    <row r="678" spans="1:4" x14ac:dyDescent="0.25">
      <c r="A678" s="12" t="s">
        <v>6143</v>
      </c>
      <c r="C678" s="10" t="str">
        <f>_xlfn.IFNA(VLOOKUP(B678,Phase2!A$4:C$1000,3,FALSE),"")</f>
        <v/>
      </c>
      <c r="D678" s="10" t="str">
        <f>_xlfn.IFNA(VLOOKUP($A678,CompChecksTrans!$A:$C,3,FALSE), "     ")</f>
        <v xml:space="preserve">     </v>
      </c>
    </row>
    <row r="679" spans="1:4" x14ac:dyDescent="0.25">
      <c r="A679" s="12" t="s">
        <v>6144</v>
      </c>
      <c r="C679" s="10" t="str">
        <f>_xlfn.IFNA(VLOOKUP(B679,Phase2!A$4:C$1000,3,FALSE),"")</f>
        <v/>
      </c>
      <c r="D679" s="10" t="str">
        <f>_xlfn.IFNA(VLOOKUP($A679,CompChecksTrans!$A:$C,3,FALSE), "     ")</f>
        <v xml:space="preserve">     </v>
      </c>
    </row>
    <row r="680" spans="1:4" x14ac:dyDescent="0.25">
      <c r="A680" s="12" t="s">
        <v>6145</v>
      </c>
      <c r="C680" s="10" t="str">
        <f>_xlfn.IFNA(VLOOKUP(B680,Phase2!A$4:C$1000,3,FALSE),"")</f>
        <v/>
      </c>
      <c r="D680" s="10" t="str">
        <f>_xlfn.IFNA(VLOOKUP($A680,CompChecksTrans!$A:$C,3,FALSE), "     ")</f>
        <v xml:space="preserve">     </v>
      </c>
    </row>
    <row r="681" spans="1:4" x14ac:dyDescent="0.25">
      <c r="A681" s="12" t="s">
        <v>6146</v>
      </c>
      <c r="C681" s="10" t="str">
        <f>_xlfn.IFNA(VLOOKUP(B681,Phase2!A$4:C$1000,3,FALSE),"")</f>
        <v/>
      </c>
      <c r="D681" s="10" t="str">
        <f>_xlfn.IFNA(VLOOKUP($A681,CompChecksTrans!$A:$C,3,FALSE), "     ")</f>
        <v xml:space="preserve">     </v>
      </c>
    </row>
    <row r="682" spans="1:4" x14ac:dyDescent="0.25">
      <c r="A682" s="12" t="s">
        <v>6147</v>
      </c>
      <c r="C682" s="10" t="str">
        <f>_xlfn.IFNA(VLOOKUP(B682,Phase2!A$4:C$1000,3,FALSE),"")</f>
        <v/>
      </c>
      <c r="D682" s="10" t="str">
        <f>_xlfn.IFNA(VLOOKUP($A682,CompChecksTrans!$A:$C,3,FALSE), "     ")</f>
        <v xml:space="preserve">     </v>
      </c>
    </row>
    <row r="683" spans="1:4" x14ac:dyDescent="0.25">
      <c r="A683" s="12" t="s">
        <v>6148</v>
      </c>
      <c r="C683" s="10" t="str">
        <f>_xlfn.IFNA(VLOOKUP(B683,Phase2!A$4:C$1000,3,FALSE),"")</f>
        <v/>
      </c>
      <c r="D683" s="10" t="str">
        <f>_xlfn.IFNA(VLOOKUP($A683,CompChecksTrans!$A:$C,3,FALSE), "     ")</f>
        <v xml:space="preserve">     </v>
      </c>
    </row>
    <row r="684" spans="1:4" x14ac:dyDescent="0.25">
      <c r="A684" s="12" t="s">
        <v>6149</v>
      </c>
      <c r="C684" s="10" t="str">
        <f>_xlfn.IFNA(VLOOKUP(B684,Phase2!A$4:C$1000,3,FALSE),"")</f>
        <v/>
      </c>
      <c r="D684" s="10" t="str">
        <f>_xlfn.IFNA(VLOOKUP($A684,CompChecksTrans!$A:$C,3,FALSE), "     ")</f>
        <v xml:space="preserve">     </v>
      </c>
    </row>
    <row r="685" spans="1:4" x14ac:dyDescent="0.25">
      <c r="A685" s="12" t="s">
        <v>6150</v>
      </c>
      <c r="C685" s="10" t="str">
        <f>_xlfn.IFNA(VLOOKUP(B685,Phase2!A$4:C$1000,3,FALSE),"")</f>
        <v/>
      </c>
      <c r="D685" s="10" t="str">
        <f>_xlfn.IFNA(VLOOKUP($A685,CompChecksTrans!$A:$C,3,FALSE), "     ")</f>
        <v xml:space="preserve">     </v>
      </c>
    </row>
    <row r="686" spans="1:4" x14ac:dyDescent="0.25">
      <c r="A686" s="12" t="s">
        <v>6151</v>
      </c>
      <c r="C686" s="10" t="str">
        <f>_xlfn.IFNA(VLOOKUP(B686,Phase2!A$4:C$1000,3,FALSE),"")</f>
        <v/>
      </c>
      <c r="D686" s="10" t="str">
        <f>_xlfn.IFNA(VLOOKUP($A686,CompChecksTrans!$A:$C,3,FALSE), "     ")</f>
        <v xml:space="preserve">     </v>
      </c>
    </row>
    <row r="687" spans="1:4" x14ac:dyDescent="0.25">
      <c r="A687" s="12" t="s">
        <v>6152</v>
      </c>
      <c r="C687" s="10" t="str">
        <f>_xlfn.IFNA(VLOOKUP(B687,Phase2!A$4:C$1000,3,FALSE),"")</f>
        <v/>
      </c>
      <c r="D687" s="10" t="str">
        <f>_xlfn.IFNA(VLOOKUP($A687,CompChecksTrans!$A:$C,3,FALSE), "     ")</f>
        <v xml:space="preserve">     </v>
      </c>
    </row>
    <row r="688" spans="1:4" x14ac:dyDescent="0.25">
      <c r="A688" s="12" t="s">
        <v>6153</v>
      </c>
      <c r="C688" s="10" t="str">
        <f>_xlfn.IFNA(VLOOKUP(B688,Phase2!A$4:C$1000,3,FALSE),"")</f>
        <v/>
      </c>
      <c r="D688" s="10" t="str">
        <f>_xlfn.IFNA(VLOOKUP($A688,CompChecksTrans!$A:$C,3,FALSE), "     ")</f>
        <v xml:space="preserve">     </v>
      </c>
    </row>
    <row r="689" spans="1:4" x14ac:dyDescent="0.25">
      <c r="A689" s="12" t="s">
        <v>6154</v>
      </c>
      <c r="C689" s="10" t="str">
        <f>_xlfn.IFNA(VLOOKUP(B689,Phase2!A$4:C$1000,3,FALSE),"")</f>
        <v/>
      </c>
      <c r="D689" s="10" t="str">
        <f>_xlfn.IFNA(VLOOKUP($A689,CompChecksTrans!$A:$C,3,FALSE), "     ")</f>
        <v xml:space="preserve">     </v>
      </c>
    </row>
    <row r="690" spans="1:4" x14ac:dyDescent="0.25">
      <c r="A690" s="12" t="s">
        <v>6155</v>
      </c>
      <c r="C690" s="10" t="str">
        <f>_xlfn.IFNA(VLOOKUP(B690,Phase2!A$4:C$1000,3,FALSE),"")</f>
        <v/>
      </c>
      <c r="D690" s="10" t="str">
        <f>_xlfn.IFNA(VLOOKUP($A690,CompChecksTrans!$A:$C,3,FALSE), "     ")</f>
        <v xml:space="preserve">     </v>
      </c>
    </row>
    <row r="691" spans="1:4" x14ac:dyDescent="0.25">
      <c r="A691" s="12" t="s">
        <v>6156</v>
      </c>
      <c r="C691" s="10" t="str">
        <f>_xlfn.IFNA(VLOOKUP(B691,Phase2!A$4:C$1000,3,FALSE),"")</f>
        <v/>
      </c>
      <c r="D691" s="10" t="str">
        <f>_xlfn.IFNA(VLOOKUP($A691,CompChecksTrans!$A:$C,3,FALSE), "     ")</f>
        <v xml:space="preserve">     </v>
      </c>
    </row>
    <row r="692" spans="1:4" x14ac:dyDescent="0.25">
      <c r="A692" s="12" t="s">
        <v>6157</v>
      </c>
      <c r="C692" s="10" t="str">
        <f>_xlfn.IFNA(VLOOKUP(B692,Phase2!A$4:C$1000,3,FALSE),"")</f>
        <v/>
      </c>
      <c r="D692" s="10" t="str">
        <f>_xlfn.IFNA(VLOOKUP($A692,CompChecksTrans!$A:$C,3,FALSE), "     ")</f>
        <v xml:space="preserve">     </v>
      </c>
    </row>
    <row r="693" spans="1:4" x14ac:dyDescent="0.25">
      <c r="A693" s="12" t="s">
        <v>6158</v>
      </c>
      <c r="C693" s="10" t="str">
        <f>_xlfn.IFNA(VLOOKUP(B693,Phase2!A$4:C$1000,3,FALSE),"")</f>
        <v/>
      </c>
      <c r="D693" s="10" t="str">
        <f>_xlfn.IFNA(VLOOKUP($A693,CompChecksTrans!$A:$C,3,FALSE), "     ")</f>
        <v xml:space="preserve">     </v>
      </c>
    </row>
    <row r="694" spans="1:4" x14ac:dyDescent="0.25">
      <c r="A694" s="12" t="s">
        <v>6159</v>
      </c>
      <c r="C694" s="10" t="str">
        <f>_xlfn.IFNA(VLOOKUP(B694,Phase2!A$4:C$1000,3,FALSE),"")</f>
        <v/>
      </c>
      <c r="D694" s="10" t="str">
        <f>_xlfn.IFNA(VLOOKUP($A694,CompChecksTrans!$A:$C,3,FALSE), "     ")</f>
        <v xml:space="preserve">     </v>
      </c>
    </row>
    <row r="695" spans="1:4" x14ac:dyDescent="0.25">
      <c r="A695" s="12" t="s">
        <v>6160</v>
      </c>
      <c r="C695" s="10" t="str">
        <f>_xlfn.IFNA(VLOOKUP(B695,Phase2!A$4:C$1000,3,FALSE),"")</f>
        <v/>
      </c>
      <c r="D695" s="10" t="str">
        <f>_xlfn.IFNA(VLOOKUP($A695,CompChecksTrans!$A:$C,3,FALSE), "     ")</f>
        <v xml:space="preserve">     </v>
      </c>
    </row>
    <row r="696" spans="1:4" x14ac:dyDescent="0.25">
      <c r="A696" s="12" t="s">
        <v>6161</v>
      </c>
      <c r="C696" s="10" t="str">
        <f>_xlfn.IFNA(VLOOKUP(B696,Phase2!A$4:C$1000,3,FALSE),"")</f>
        <v/>
      </c>
      <c r="D696" s="10" t="str">
        <f>_xlfn.IFNA(VLOOKUP($A696,CompChecksTrans!$A:$C,3,FALSE), "     ")</f>
        <v xml:space="preserve">     </v>
      </c>
    </row>
    <row r="697" spans="1:4" x14ac:dyDescent="0.25">
      <c r="A697" s="12" t="s">
        <v>6162</v>
      </c>
      <c r="C697" s="10" t="str">
        <f>_xlfn.IFNA(VLOOKUP(B697,Phase2!A$4:C$1000,3,FALSE),"")</f>
        <v/>
      </c>
      <c r="D697" s="10" t="str">
        <f>_xlfn.IFNA(VLOOKUP($A697,CompChecksTrans!$A:$C,3,FALSE), "     ")</f>
        <v xml:space="preserve">     </v>
      </c>
    </row>
    <row r="698" spans="1:4" x14ac:dyDescent="0.25">
      <c r="A698" s="12" t="s">
        <v>6163</v>
      </c>
      <c r="C698" s="10" t="str">
        <f>_xlfn.IFNA(VLOOKUP(B698,Phase2!A$4:C$1000,3,FALSE),"")</f>
        <v/>
      </c>
      <c r="D698" s="10" t="str">
        <f>_xlfn.IFNA(VLOOKUP($A698,CompChecksTrans!$A:$C,3,FALSE), "     ")</f>
        <v xml:space="preserve">     </v>
      </c>
    </row>
    <row r="699" spans="1:4" x14ac:dyDescent="0.25">
      <c r="A699" s="12" t="s">
        <v>6164</v>
      </c>
      <c r="C699" s="10" t="str">
        <f>_xlfn.IFNA(VLOOKUP(B699,Phase2!A$4:C$1000,3,FALSE),"")</f>
        <v/>
      </c>
      <c r="D699" s="10" t="str">
        <f>_xlfn.IFNA(VLOOKUP($A699,CompChecksTrans!$A:$C,3,FALSE), "     ")</f>
        <v xml:space="preserve">     </v>
      </c>
    </row>
    <row r="700" spans="1:4" x14ac:dyDescent="0.25">
      <c r="A700" s="12" t="s">
        <v>6165</v>
      </c>
      <c r="C700" s="10" t="str">
        <f>_xlfn.IFNA(VLOOKUP(B700,Phase2!A$4:C$1000,3,FALSE),"")</f>
        <v/>
      </c>
      <c r="D700" s="10" t="str">
        <f>_xlfn.IFNA(VLOOKUP($A700,CompChecksTrans!$A:$C,3,FALSE), "     ")</f>
        <v xml:space="preserve">     </v>
      </c>
    </row>
    <row r="701" spans="1:4" x14ac:dyDescent="0.25">
      <c r="A701" s="12" t="s">
        <v>6166</v>
      </c>
      <c r="C701" s="10" t="str">
        <f>_xlfn.IFNA(VLOOKUP(B701,Phase2!A$4:C$1000,3,FALSE),"")</f>
        <v/>
      </c>
      <c r="D701" s="10" t="str">
        <f>_xlfn.IFNA(VLOOKUP($A701,CompChecksTrans!$A:$C,3,FALSE), "     ")</f>
        <v xml:space="preserve">     </v>
      </c>
    </row>
    <row r="702" spans="1:4" x14ac:dyDescent="0.25">
      <c r="A702" s="12" t="s">
        <v>6167</v>
      </c>
      <c r="C702" s="10" t="str">
        <f>_xlfn.IFNA(VLOOKUP(B702,Phase2!A$4:C$1000,3,FALSE),"")</f>
        <v/>
      </c>
      <c r="D702" s="10" t="str">
        <f>_xlfn.IFNA(VLOOKUP($A702,CompChecksTrans!$A:$C,3,FALSE), "     ")</f>
        <v xml:space="preserve">     </v>
      </c>
    </row>
    <row r="703" spans="1:4" x14ac:dyDescent="0.25">
      <c r="A703" s="12" t="s">
        <v>6168</v>
      </c>
      <c r="C703" s="10" t="str">
        <f>_xlfn.IFNA(VLOOKUP(B703,Phase2!A$4:C$1000,3,FALSE),"")</f>
        <v/>
      </c>
      <c r="D703" s="10" t="str">
        <f>_xlfn.IFNA(VLOOKUP($A703,CompChecksTrans!$A:$C,3,FALSE), "     ")</f>
        <v xml:space="preserve">     </v>
      </c>
    </row>
    <row r="704" spans="1:4" x14ac:dyDescent="0.25">
      <c r="A704" s="12" t="s">
        <v>6169</v>
      </c>
      <c r="C704" s="10" t="str">
        <f>_xlfn.IFNA(VLOOKUP(B704,Phase2!A$4:C$1000,3,FALSE),"")</f>
        <v/>
      </c>
      <c r="D704" s="10" t="str">
        <f>_xlfn.IFNA(VLOOKUP($A704,CompChecksTrans!$A:$C,3,FALSE), "     ")</f>
        <v xml:space="preserve">     </v>
      </c>
    </row>
    <row r="705" spans="1:4" x14ac:dyDescent="0.25">
      <c r="A705" s="12" t="s">
        <v>6170</v>
      </c>
      <c r="C705" s="10" t="str">
        <f>_xlfn.IFNA(VLOOKUP(B705,Phase2!A$4:C$1000,3,FALSE),"")</f>
        <v/>
      </c>
      <c r="D705" s="10" t="str">
        <f>_xlfn.IFNA(VLOOKUP($A705,CompChecksTrans!$A:$C,3,FALSE), "     ")</f>
        <v xml:space="preserve">     </v>
      </c>
    </row>
    <row r="706" spans="1:4" x14ac:dyDescent="0.25">
      <c r="A706" s="12" t="s">
        <v>6171</v>
      </c>
      <c r="C706" s="10" t="str">
        <f>_xlfn.IFNA(VLOOKUP(B706,Phase2!A$4:C$1000,3,FALSE),"")</f>
        <v/>
      </c>
      <c r="D706" s="10" t="str">
        <f>_xlfn.IFNA(VLOOKUP($A706,CompChecksTrans!$A:$C,3,FALSE), "     ")</f>
        <v xml:space="preserve">     </v>
      </c>
    </row>
    <row r="707" spans="1:4" x14ac:dyDescent="0.25">
      <c r="A707" s="12" t="s">
        <v>6172</v>
      </c>
      <c r="C707" s="10" t="str">
        <f>_xlfn.IFNA(VLOOKUP(B707,Phase2!A$4:C$1000,3,FALSE),"")</f>
        <v/>
      </c>
      <c r="D707" s="10" t="str">
        <f>_xlfn.IFNA(VLOOKUP($A707,CompChecksTrans!$A:$C,3,FALSE), "     ")</f>
        <v xml:space="preserve">     </v>
      </c>
    </row>
    <row r="708" spans="1:4" x14ac:dyDescent="0.25">
      <c r="A708" s="12" t="s">
        <v>6173</v>
      </c>
      <c r="C708" s="10" t="str">
        <f>_xlfn.IFNA(VLOOKUP(B708,Phase2!A$4:C$1000,3,FALSE),"")</f>
        <v/>
      </c>
      <c r="D708" s="10" t="str">
        <f>_xlfn.IFNA(VLOOKUP($A708,CompChecksTrans!$A:$C,3,FALSE), "     ")</f>
        <v xml:space="preserve">     </v>
      </c>
    </row>
    <row r="709" spans="1:4" x14ac:dyDescent="0.25">
      <c r="A709" s="12" t="s">
        <v>6174</v>
      </c>
      <c r="C709" s="10" t="str">
        <f>_xlfn.IFNA(VLOOKUP(B709,Phase2!A$4:C$1000,3,FALSE),"")</f>
        <v/>
      </c>
      <c r="D709" s="10" t="str">
        <f>_xlfn.IFNA(VLOOKUP($A709,CompChecksTrans!$A:$C,3,FALSE), "     ")</f>
        <v xml:space="preserve">     </v>
      </c>
    </row>
    <row r="710" spans="1:4" x14ac:dyDescent="0.25">
      <c r="A710" s="12" t="s">
        <v>6175</v>
      </c>
      <c r="C710" s="10" t="str">
        <f>_xlfn.IFNA(VLOOKUP(B710,Phase2!A$4:C$1000,3,FALSE),"")</f>
        <v/>
      </c>
      <c r="D710" s="10" t="str">
        <f>_xlfn.IFNA(VLOOKUP($A710,CompChecksTrans!$A:$C,3,FALSE), "     ")</f>
        <v xml:space="preserve">     </v>
      </c>
    </row>
    <row r="711" spans="1:4" x14ac:dyDescent="0.25">
      <c r="A711" s="12" t="s">
        <v>6176</v>
      </c>
      <c r="C711" s="10" t="str">
        <f>_xlfn.IFNA(VLOOKUP(B711,Phase2!A$4:C$1000,3,FALSE),"")</f>
        <v/>
      </c>
      <c r="D711" s="10" t="str">
        <f>_xlfn.IFNA(VLOOKUP($A711,CompChecksTrans!$A:$C,3,FALSE), "     ")</f>
        <v xml:space="preserve">     </v>
      </c>
    </row>
    <row r="712" spans="1:4" x14ac:dyDescent="0.25">
      <c r="A712" s="12" t="s">
        <v>6177</v>
      </c>
      <c r="C712" s="10" t="str">
        <f>_xlfn.IFNA(VLOOKUP(B712,Phase2!A$4:C$1000,3,FALSE),"")</f>
        <v/>
      </c>
      <c r="D712" s="10" t="str">
        <f>_xlfn.IFNA(VLOOKUP($A712,CompChecksTrans!$A:$C,3,FALSE), "     ")</f>
        <v xml:space="preserve">     </v>
      </c>
    </row>
    <row r="713" spans="1:4" x14ac:dyDescent="0.25">
      <c r="A713" s="12" t="s">
        <v>6178</v>
      </c>
      <c r="C713" s="10" t="str">
        <f>_xlfn.IFNA(VLOOKUP(B713,Phase2!A$4:C$1000,3,FALSE),"")</f>
        <v/>
      </c>
      <c r="D713" s="10" t="str">
        <f>_xlfn.IFNA(VLOOKUP($A713,CompChecksTrans!$A:$C,3,FALSE), "     ")</f>
        <v xml:space="preserve">     </v>
      </c>
    </row>
    <row r="714" spans="1:4" x14ac:dyDescent="0.25">
      <c r="A714" s="12" t="s">
        <v>6179</v>
      </c>
      <c r="C714" s="10" t="str">
        <f>_xlfn.IFNA(VLOOKUP(B714,Phase2!A$4:C$1000,3,FALSE),"")</f>
        <v/>
      </c>
      <c r="D714" s="10" t="str">
        <f>_xlfn.IFNA(VLOOKUP($A714,CompChecksTrans!$A:$C,3,FALSE), "     ")</f>
        <v xml:space="preserve">     </v>
      </c>
    </row>
    <row r="715" spans="1:4" x14ac:dyDescent="0.25">
      <c r="A715" s="12" t="s">
        <v>6180</v>
      </c>
      <c r="C715" s="10" t="str">
        <f>_xlfn.IFNA(VLOOKUP(B715,Phase2!A$4:C$1000,3,FALSE),"")</f>
        <v/>
      </c>
      <c r="D715" s="10" t="str">
        <f>_xlfn.IFNA(VLOOKUP($A715,CompChecksTrans!$A:$C,3,FALSE), "     ")</f>
        <v xml:space="preserve">     </v>
      </c>
    </row>
    <row r="716" spans="1:4" x14ac:dyDescent="0.25">
      <c r="A716" s="12" t="s">
        <v>6181</v>
      </c>
      <c r="C716" s="10" t="str">
        <f>_xlfn.IFNA(VLOOKUP(B716,Phase2!A$4:C$1000,3,FALSE),"")</f>
        <v/>
      </c>
      <c r="D716" s="10" t="str">
        <f>_xlfn.IFNA(VLOOKUP($A716,CompChecksTrans!$A:$C,3,FALSE), "     ")</f>
        <v xml:space="preserve">     </v>
      </c>
    </row>
    <row r="717" spans="1:4" x14ac:dyDescent="0.25">
      <c r="A717" s="12" t="s">
        <v>6182</v>
      </c>
      <c r="C717" s="10" t="str">
        <f>_xlfn.IFNA(VLOOKUP(B717,Phase2!A$4:C$1000,3,FALSE),"")</f>
        <v/>
      </c>
      <c r="D717" s="10" t="str">
        <f>_xlfn.IFNA(VLOOKUP($A717,CompChecksTrans!$A:$C,3,FALSE), "     ")</f>
        <v xml:space="preserve">     </v>
      </c>
    </row>
    <row r="718" spans="1:4" x14ac:dyDescent="0.25">
      <c r="A718" s="12" t="s">
        <v>6183</v>
      </c>
      <c r="C718" s="10" t="str">
        <f>_xlfn.IFNA(VLOOKUP(B718,Phase2!A$4:C$1000,3,FALSE),"")</f>
        <v/>
      </c>
      <c r="D718" s="10" t="str">
        <f>_xlfn.IFNA(VLOOKUP($A718,CompChecksTrans!$A:$C,3,FALSE), "     ")</f>
        <v xml:space="preserve">     </v>
      </c>
    </row>
    <row r="719" spans="1:4" x14ac:dyDescent="0.25">
      <c r="A719" s="12" t="s">
        <v>6184</v>
      </c>
      <c r="C719" s="10" t="str">
        <f>_xlfn.IFNA(VLOOKUP(B719,Phase2!A$4:C$1000,3,FALSE),"")</f>
        <v/>
      </c>
      <c r="D719" s="10" t="str">
        <f>_xlfn.IFNA(VLOOKUP($A719,CompChecksTrans!$A:$C,3,FALSE), "     ")</f>
        <v xml:space="preserve">     </v>
      </c>
    </row>
    <row r="720" spans="1:4" x14ac:dyDescent="0.25">
      <c r="A720" s="12" t="s">
        <v>6185</v>
      </c>
      <c r="C720" s="10" t="str">
        <f>_xlfn.IFNA(VLOOKUP(B720,Phase2!A$4:C$1000,3,FALSE),"")</f>
        <v/>
      </c>
      <c r="D720" s="10" t="str">
        <f>_xlfn.IFNA(VLOOKUP($A720,CompChecksTrans!$A:$C,3,FALSE), "     ")</f>
        <v xml:space="preserve">     </v>
      </c>
    </row>
    <row r="721" spans="1:4" x14ac:dyDescent="0.25">
      <c r="A721" s="12" t="s">
        <v>6186</v>
      </c>
      <c r="C721" s="10" t="str">
        <f>_xlfn.IFNA(VLOOKUP(B721,Phase2!A$4:C$1000,3,FALSE),"")</f>
        <v/>
      </c>
      <c r="D721" s="10" t="str">
        <f>_xlfn.IFNA(VLOOKUP($A721,CompChecksTrans!$A:$C,3,FALSE), "     ")</f>
        <v xml:space="preserve">     </v>
      </c>
    </row>
    <row r="722" spans="1:4" x14ac:dyDescent="0.25">
      <c r="A722" s="12" t="s">
        <v>6187</v>
      </c>
      <c r="C722" s="10" t="str">
        <f>_xlfn.IFNA(VLOOKUP(B722,Phase2!A$4:C$1000,3,FALSE),"")</f>
        <v/>
      </c>
      <c r="D722" s="10" t="str">
        <f>_xlfn.IFNA(VLOOKUP($A722,CompChecksTrans!$A:$C,3,FALSE), "     ")</f>
        <v xml:space="preserve">     </v>
      </c>
    </row>
    <row r="723" spans="1:4" x14ac:dyDescent="0.25">
      <c r="A723" s="12" t="s">
        <v>6188</v>
      </c>
      <c r="C723" s="10" t="str">
        <f>_xlfn.IFNA(VLOOKUP(B723,Phase2!A$4:C$1000,3,FALSE),"")</f>
        <v/>
      </c>
      <c r="D723" s="10" t="str">
        <f>_xlfn.IFNA(VLOOKUP($A723,CompChecksTrans!$A:$C,3,FALSE), "     ")</f>
        <v xml:space="preserve">     </v>
      </c>
    </row>
    <row r="724" spans="1:4" x14ac:dyDescent="0.25">
      <c r="A724" s="12" t="s">
        <v>6189</v>
      </c>
      <c r="C724" s="10" t="str">
        <f>_xlfn.IFNA(VLOOKUP(B724,Phase2!A$4:C$1000,3,FALSE),"")</f>
        <v/>
      </c>
      <c r="D724" s="10" t="str">
        <f>_xlfn.IFNA(VLOOKUP($A724,CompChecksTrans!$A:$C,3,FALSE), "     ")</f>
        <v xml:space="preserve">     </v>
      </c>
    </row>
    <row r="725" spans="1:4" x14ac:dyDescent="0.25">
      <c r="A725" s="12" t="s">
        <v>6190</v>
      </c>
      <c r="C725" s="10" t="str">
        <f>_xlfn.IFNA(VLOOKUP(B725,Phase2!A$4:C$1000,3,FALSE),"")</f>
        <v/>
      </c>
      <c r="D725" s="10" t="str">
        <f>_xlfn.IFNA(VLOOKUP($A725,CompChecksTrans!$A:$C,3,FALSE), "     ")</f>
        <v xml:space="preserve">     </v>
      </c>
    </row>
    <row r="726" spans="1:4" x14ac:dyDescent="0.25">
      <c r="A726" s="12" t="s">
        <v>6191</v>
      </c>
      <c r="C726" s="10" t="str">
        <f>_xlfn.IFNA(VLOOKUP(B726,Phase2!A$4:C$1000,3,FALSE),"")</f>
        <v/>
      </c>
      <c r="D726" s="10" t="str">
        <f>_xlfn.IFNA(VLOOKUP($A726,CompChecksTrans!$A:$C,3,FALSE), "     ")</f>
        <v xml:space="preserve">     </v>
      </c>
    </row>
    <row r="727" spans="1:4" x14ac:dyDescent="0.25">
      <c r="A727" s="12" t="s">
        <v>6192</v>
      </c>
      <c r="C727" s="10" t="str">
        <f>_xlfn.IFNA(VLOOKUP(B727,Phase2!A$4:C$1000,3,FALSE),"")</f>
        <v/>
      </c>
      <c r="D727" s="10" t="str">
        <f>_xlfn.IFNA(VLOOKUP($A727,CompChecksTrans!$A:$C,3,FALSE), "     ")</f>
        <v xml:space="preserve">     </v>
      </c>
    </row>
    <row r="728" spans="1:4" x14ac:dyDescent="0.25">
      <c r="A728" s="12" t="s">
        <v>6193</v>
      </c>
      <c r="C728" s="10" t="str">
        <f>_xlfn.IFNA(VLOOKUP(B728,Phase2!A$4:C$1000,3,FALSE),"")</f>
        <v/>
      </c>
      <c r="D728" s="10" t="str">
        <f>_xlfn.IFNA(VLOOKUP($A728,CompChecksTrans!$A:$C,3,FALSE), "     ")</f>
        <v xml:space="preserve">     </v>
      </c>
    </row>
    <row r="729" spans="1:4" x14ac:dyDescent="0.25">
      <c r="A729" s="12" t="s">
        <v>6194</v>
      </c>
      <c r="C729" s="10" t="str">
        <f>_xlfn.IFNA(VLOOKUP(B729,Phase2!A$4:C$1000,3,FALSE),"")</f>
        <v/>
      </c>
      <c r="D729" s="10" t="str">
        <f>_xlfn.IFNA(VLOOKUP($A729,CompChecksTrans!$A:$C,3,FALSE), "     ")</f>
        <v xml:space="preserve">     </v>
      </c>
    </row>
    <row r="730" spans="1:4" x14ac:dyDescent="0.25">
      <c r="A730" s="12" t="s">
        <v>6195</v>
      </c>
      <c r="C730" s="10" t="str">
        <f>_xlfn.IFNA(VLOOKUP(B730,Phase2!A$4:C$1000,3,FALSE),"")</f>
        <v/>
      </c>
      <c r="D730" s="10" t="str">
        <f>_xlfn.IFNA(VLOOKUP($A730,CompChecksTrans!$A:$C,3,FALSE), "     ")</f>
        <v xml:space="preserve">     </v>
      </c>
    </row>
    <row r="731" spans="1:4" x14ac:dyDescent="0.25">
      <c r="A731" s="12" t="s">
        <v>6196</v>
      </c>
      <c r="C731" s="10" t="str">
        <f>_xlfn.IFNA(VLOOKUP(B731,Phase2!A$4:C$1000,3,FALSE),"")</f>
        <v/>
      </c>
      <c r="D731" s="10" t="str">
        <f>_xlfn.IFNA(VLOOKUP($A731,CompChecksTrans!$A:$C,3,FALSE), "     ")</f>
        <v xml:space="preserve">     </v>
      </c>
    </row>
    <row r="732" spans="1:4" x14ac:dyDescent="0.25">
      <c r="A732" s="12" t="s">
        <v>6197</v>
      </c>
      <c r="C732" s="10" t="str">
        <f>_xlfn.IFNA(VLOOKUP(B732,Phase2!A$4:C$1000,3,FALSE),"")</f>
        <v/>
      </c>
      <c r="D732" s="10" t="str">
        <f>_xlfn.IFNA(VLOOKUP($A732,CompChecksTrans!$A:$C,3,FALSE), "     ")</f>
        <v xml:space="preserve">     </v>
      </c>
    </row>
    <row r="733" spans="1:4" x14ac:dyDescent="0.25">
      <c r="A733" s="12" t="s">
        <v>6198</v>
      </c>
      <c r="C733" s="10" t="str">
        <f>_xlfn.IFNA(VLOOKUP(B733,Phase2!A$4:C$1000,3,FALSE),"")</f>
        <v/>
      </c>
      <c r="D733" s="10" t="str">
        <f>_xlfn.IFNA(VLOOKUP($A733,CompChecksTrans!$A:$C,3,FALSE), "     ")</f>
        <v xml:space="preserve">     </v>
      </c>
    </row>
    <row r="734" spans="1:4" x14ac:dyDescent="0.25">
      <c r="A734" s="12" t="s">
        <v>6199</v>
      </c>
      <c r="C734" s="10" t="str">
        <f>_xlfn.IFNA(VLOOKUP(B734,Phase2!A$4:C$1000,3,FALSE),"")</f>
        <v/>
      </c>
      <c r="D734" s="10" t="str">
        <f>_xlfn.IFNA(VLOOKUP($A734,CompChecksTrans!$A:$C,3,FALSE), "     ")</f>
        <v xml:space="preserve">     </v>
      </c>
    </row>
    <row r="735" spans="1:4" x14ac:dyDescent="0.25">
      <c r="A735" s="12" t="s">
        <v>6200</v>
      </c>
      <c r="C735" s="10" t="str">
        <f>_xlfn.IFNA(VLOOKUP(B735,Phase2!A$4:C$1000,3,FALSE),"")</f>
        <v/>
      </c>
      <c r="D735" s="10" t="str">
        <f>_xlfn.IFNA(VLOOKUP($A735,CompChecksTrans!$A:$C,3,FALSE), "     ")</f>
        <v xml:space="preserve">     </v>
      </c>
    </row>
    <row r="736" spans="1:4" x14ac:dyDescent="0.25">
      <c r="A736" s="12" t="s">
        <v>6201</v>
      </c>
      <c r="C736" s="10" t="str">
        <f>_xlfn.IFNA(VLOOKUP(B736,Phase2!A$4:C$1000,3,FALSE),"")</f>
        <v/>
      </c>
      <c r="D736" s="10" t="str">
        <f>_xlfn.IFNA(VLOOKUP($A736,CompChecksTrans!$A:$C,3,FALSE), "     ")</f>
        <v xml:space="preserve">     </v>
      </c>
    </row>
    <row r="737" spans="1:4" x14ac:dyDescent="0.25">
      <c r="A737" s="12" t="s">
        <v>6202</v>
      </c>
      <c r="C737" s="10" t="str">
        <f>_xlfn.IFNA(VLOOKUP(B737,Phase2!A$4:C$1000,3,FALSE),"")</f>
        <v/>
      </c>
      <c r="D737" s="10" t="str">
        <f>_xlfn.IFNA(VLOOKUP($A737,CompChecksTrans!$A:$C,3,FALSE), "     ")</f>
        <v xml:space="preserve">     </v>
      </c>
    </row>
    <row r="738" spans="1:4" x14ac:dyDescent="0.25">
      <c r="A738" s="12" t="s">
        <v>6203</v>
      </c>
      <c r="C738" s="10" t="str">
        <f>_xlfn.IFNA(VLOOKUP(B738,Phase2!A$4:C$1000,3,FALSE),"")</f>
        <v/>
      </c>
      <c r="D738" s="10" t="str">
        <f>_xlfn.IFNA(VLOOKUP($A738,CompChecksTrans!$A:$C,3,FALSE), "     ")</f>
        <v xml:space="preserve">     </v>
      </c>
    </row>
    <row r="739" spans="1:4" x14ac:dyDescent="0.25">
      <c r="A739" s="12" t="s">
        <v>6204</v>
      </c>
      <c r="C739" s="10" t="str">
        <f>_xlfn.IFNA(VLOOKUP(B739,Phase2!A$4:C$1000,3,FALSE),"")</f>
        <v/>
      </c>
      <c r="D739" s="10" t="str">
        <f>_xlfn.IFNA(VLOOKUP($A739,CompChecksTrans!$A:$C,3,FALSE), "     ")</f>
        <v xml:space="preserve">     </v>
      </c>
    </row>
    <row r="740" spans="1:4" x14ac:dyDescent="0.25">
      <c r="A740" s="12" t="s">
        <v>6205</v>
      </c>
      <c r="C740" s="10" t="str">
        <f>_xlfn.IFNA(VLOOKUP(B740,Phase2!A$4:C$1000,3,FALSE),"")</f>
        <v/>
      </c>
      <c r="D740" s="10" t="str">
        <f>_xlfn.IFNA(VLOOKUP($A740,CompChecksTrans!$A:$C,3,FALSE), "     ")</f>
        <v xml:space="preserve">     </v>
      </c>
    </row>
    <row r="741" spans="1:4" x14ac:dyDescent="0.25">
      <c r="A741" s="12" t="s">
        <v>6206</v>
      </c>
      <c r="C741" s="10" t="str">
        <f>_xlfn.IFNA(VLOOKUP(B741,Phase2!A$4:C$1000,3,FALSE),"")</f>
        <v/>
      </c>
      <c r="D741" s="10" t="str">
        <f>_xlfn.IFNA(VLOOKUP($A741,CompChecksTrans!$A:$C,3,FALSE), "     ")</f>
        <v xml:space="preserve">     </v>
      </c>
    </row>
    <row r="742" spans="1:4" x14ac:dyDescent="0.25">
      <c r="A742" s="12" t="s">
        <v>6207</v>
      </c>
      <c r="C742" s="10" t="str">
        <f>_xlfn.IFNA(VLOOKUP(B742,Phase2!A$4:C$1000,3,FALSE),"")</f>
        <v/>
      </c>
      <c r="D742" s="10" t="str">
        <f>_xlfn.IFNA(VLOOKUP($A742,CompChecksTrans!$A:$C,3,FALSE), "     ")</f>
        <v xml:space="preserve">     </v>
      </c>
    </row>
    <row r="743" spans="1:4" x14ac:dyDescent="0.25">
      <c r="A743" s="12" t="s">
        <v>6208</v>
      </c>
      <c r="C743" s="10" t="str">
        <f>_xlfn.IFNA(VLOOKUP(B743,Phase2!A$4:C$1000,3,FALSE),"")</f>
        <v/>
      </c>
      <c r="D743" s="10" t="str">
        <f>_xlfn.IFNA(VLOOKUP($A743,CompChecksTrans!$A:$C,3,FALSE), "     ")</f>
        <v xml:space="preserve">     </v>
      </c>
    </row>
    <row r="744" spans="1:4" x14ac:dyDescent="0.25">
      <c r="A744" s="12" t="s">
        <v>6209</v>
      </c>
      <c r="C744" s="10" t="str">
        <f>_xlfn.IFNA(VLOOKUP(B744,Phase2!A$4:C$1000,3,FALSE),"")</f>
        <v/>
      </c>
      <c r="D744" s="10" t="str">
        <f>_xlfn.IFNA(VLOOKUP($A744,CompChecksTrans!$A:$C,3,FALSE), "     ")</f>
        <v xml:space="preserve">     </v>
      </c>
    </row>
    <row r="745" spans="1:4" x14ac:dyDescent="0.25">
      <c r="A745" s="12" t="s">
        <v>6210</v>
      </c>
      <c r="C745" s="10" t="str">
        <f>_xlfn.IFNA(VLOOKUP(B745,Phase2!A$4:C$1000,3,FALSE),"")</f>
        <v/>
      </c>
      <c r="D745" s="10" t="str">
        <f>_xlfn.IFNA(VLOOKUP($A745,CompChecksTrans!$A:$C,3,FALSE), "     ")</f>
        <v xml:space="preserve">     </v>
      </c>
    </row>
    <row r="746" spans="1:4" x14ac:dyDescent="0.25">
      <c r="A746" s="12" t="s">
        <v>6211</v>
      </c>
      <c r="C746" s="10" t="str">
        <f>_xlfn.IFNA(VLOOKUP(B746,Phase2!A$4:C$1000,3,FALSE),"")</f>
        <v/>
      </c>
      <c r="D746" s="10" t="str">
        <f>_xlfn.IFNA(VLOOKUP($A746,CompChecksTrans!$A:$C,3,FALSE), "     ")</f>
        <v xml:space="preserve">     </v>
      </c>
    </row>
    <row r="747" spans="1:4" x14ac:dyDescent="0.25">
      <c r="A747" s="12" t="s">
        <v>6212</v>
      </c>
      <c r="C747" s="10" t="str">
        <f>_xlfn.IFNA(VLOOKUP(B747,Phase2!A$4:C$1000,3,FALSE),"")</f>
        <v/>
      </c>
      <c r="D747" s="10" t="str">
        <f>_xlfn.IFNA(VLOOKUP($A747,CompChecksTrans!$A:$C,3,FALSE), "     ")</f>
        <v xml:space="preserve">     </v>
      </c>
    </row>
    <row r="748" spans="1:4" x14ac:dyDescent="0.25">
      <c r="A748" s="12" t="s">
        <v>6213</v>
      </c>
      <c r="C748" s="10" t="str">
        <f>_xlfn.IFNA(VLOOKUP(B748,Phase2!A$4:C$1000,3,FALSE),"")</f>
        <v/>
      </c>
      <c r="D748" s="10" t="str">
        <f>_xlfn.IFNA(VLOOKUP($A748,CompChecksTrans!$A:$C,3,FALSE), "     ")</f>
        <v xml:space="preserve">     </v>
      </c>
    </row>
    <row r="749" spans="1:4" x14ac:dyDescent="0.25">
      <c r="A749" s="12" t="s">
        <v>6214</v>
      </c>
      <c r="C749" s="10" t="str">
        <f>_xlfn.IFNA(VLOOKUP(B749,Phase2!A$4:C$1000,3,FALSE),"")</f>
        <v/>
      </c>
      <c r="D749" s="10" t="str">
        <f>_xlfn.IFNA(VLOOKUP($A749,CompChecksTrans!$A:$C,3,FALSE), "     ")</f>
        <v xml:space="preserve">     </v>
      </c>
    </row>
    <row r="750" spans="1:4" x14ac:dyDescent="0.25">
      <c r="A750" s="12" t="s">
        <v>6215</v>
      </c>
      <c r="C750" s="10" t="str">
        <f>_xlfn.IFNA(VLOOKUP(B750,Phase2!A$4:C$1000,3,FALSE),"")</f>
        <v/>
      </c>
      <c r="D750" s="10" t="str">
        <f>_xlfn.IFNA(VLOOKUP($A750,CompChecksTrans!$A:$C,3,FALSE), "     ")</f>
        <v xml:space="preserve">     </v>
      </c>
    </row>
    <row r="751" spans="1:4" x14ac:dyDescent="0.25">
      <c r="A751" s="12" t="s">
        <v>6216</v>
      </c>
      <c r="C751" s="10" t="str">
        <f>_xlfn.IFNA(VLOOKUP(B751,Phase2!A$4:C$1000,3,FALSE),"")</f>
        <v/>
      </c>
      <c r="D751" s="10" t="str">
        <f>_xlfn.IFNA(VLOOKUP($A751,CompChecksTrans!$A:$C,3,FALSE), "     ")</f>
        <v xml:space="preserve">     </v>
      </c>
    </row>
    <row r="752" spans="1:4" x14ac:dyDescent="0.25">
      <c r="A752" s="12" t="s">
        <v>6217</v>
      </c>
      <c r="C752" s="10" t="str">
        <f>_xlfn.IFNA(VLOOKUP(B752,Phase2!A$4:C$1000,3,FALSE),"")</f>
        <v/>
      </c>
      <c r="D752" s="10" t="str">
        <f>_xlfn.IFNA(VLOOKUP($A752,CompChecksTrans!$A:$C,3,FALSE), "     ")</f>
        <v xml:space="preserve">     </v>
      </c>
    </row>
    <row r="753" spans="1:4" x14ac:dyDescent="0.25">
      <c r="A753" s="12" t="s">
        <v>6218</v>
      </c>
      <c r="C753" s="10" t="str">
        <f>_xlfn.IFNA(VLOOKUP(B753,Phase2!A$4:C$1000,3,FALSE),"")</f>
        <v/>
      </c>
      <c r="D753" s="10" t="str">
        <f>_xlfn.IFNA(VLOOKUP($A753,CompChecksTrans!$A:$C,3,FALSE), "     ")</f>
        <v xml:space="preserve">     </v>
      </c>
    </row>
    <row r="754" spans="1:4" x14ac:dyDescent="0.25">
      <c r="A754" s="12" t="s">
        <v>6219</v>
      </c>
      <c r="C754" s="10" t="str">
        <f>_xlfn.IFNA(VLOOKUP(B754,Phase2!A$4:C$1000,3,FALSE),"")</f>
        <v/>
      </c>
      <c r="D754" s="10" t="str">
        <f>_xlfn.IFNA(VLOOKUP($A754,CompChecksTrans!$A:$C,3,FALSE), "     ")</f>
        <v xml:space="preserve">     </v>
      </c>
    </row>
    <row r="755" spans="1:4" x14ac:dyDescent="0.25">
      <c r="A755" s="12" t="s">
        <v>6220</v>
      </c>
      <c r="C755" s="10" t="str">
        <f>_xlfn.IFNA(VLOOKUP(B755,Phase2!A$4:C$1000,3,FALSE),"")</f>
        <v/>
      </c>
      <c r="D755" s="10" t="str">
        <f>_xlfn.IFNA(VLOOKUP($A755,CompChecksTrans!$A:$C,3,FALSE), "     ")</f>
        <v xml:space="preserve">     </v>
      </c>
    </row>
    <row r="756" spans="1:4" x14ac:dyDescent="0.25">
      <c r="A756" s="12" t="s">
        <v>6221</v>
      </c>
      <c r="C756" s="10" t="str">
        <f>_xlfn.IFNA(VLOOKUP(B756,Phase2!A$4:C$1000,3,FALSE),"")</f>
        <v/>
      </c>
      <c r="D756" s="10" t="str">
        <f>_xlfn.IFNA(VLOOKUP($A756,CompChecksTrans!$A:$C,3,FALSE), "     ")</f>
        <v xml:space="preserve">     </v>
      </c>
    </row>
    <row r="757" spans="1:4" x14ac:dyDescent="0.25">
      <c r="A757" s="12" t="s">
        <v>6222</v>
      </c>
      <c r="C757" s="10" t="str">
        <f>_xlfn.IFNA(VLOOKUP(B757,Phase2!A$4:C$1000,3,FALSE),"")</f>
        <v/>
      </c>
      <c r="D757" s="10" t="str">
        <f>_xlfn.IFNA(VLOOKUP($A757,CompChecksTrans!$A:$C,3,FALSE), "     ")</f>
        <v xml:space="preserve">     </v>
      </c>
    </row>
    <row r="758" spans="1:4" x14ac:dyDescent="0.25">
      <c r="A758" s="12" t="s">
        <v>6223</v>
      </c>
      <c r="C758" s="10" t="str">
        <f>_xlfn.IFNA(VLOOKUP(B758,Phase2!A$4:C$1000,3,FALSE),"")</f>
        <v/>
      </c>
      <c r="D758" s="10" t="str">
        <f>_xlfn.IFNA(VLOOKUP($A758,CompChecksTrans!$A:$C,3,FALSE), "     ")</f>
        <v xml:space="preserve">     </v>
      </c>
    </row>
    <row r="759" spans="1:4" x14ac:dyDescent="0.25">
      <c r="A759" s="12" t="s">
        <v>6224</v>
      </c>
      <c r="C759" s="10" t="str">
        <f>_xlfn.IFNA(VLOOKUP(B759,Phase2!A$4:C$1000,3,FALSE),"")</f>
        <v/>
      </c>
      <c r="D759" s="10" t="str">
        <f>_xlfn.IFNA(VLOOKUP($A759,CompChecksTrans!$A:$C,3,FALSE), "     ")</f>
        <v xml:space="preserve">     </v>
      </c>
    </row>
    <row r="760" spans="1:4" x14ac:dyDescent="0.25">
      <c r="A760" s="12" t="s">
        <v>6225</v>
      </c>
      <c r="C760" s="10" t="str">
        <f>_xlfn.IFNA(VLOOKUP(B760,Phase2!A$4:C$1000,3,FALSE),"")</f>
        <v/>
      </c>
      <c r="D760" s="10" t="str">
        <f>_xlfn.IFNA(VLOOKUP($A760,CompChecksTrans!$A:$C,3,FALSE), "     ")</f>
        <v xml:space="preserve">     </v>
      </c>
    </row>
    <row r="761" spans="1:4" x14ac:dyDescent="0.25">
      <c r="A761" s="12" t="s">
        <v>6226</v>
      </c>
      <c r="C761" s="10" t="str">
        <f>_xlfn.IFNA(VLOOKUP(B761,Phase2!A$4:C$1000,3,FALSE),"")</f>
        <v/>
      </c>
      <c r="D761" s="10" t="str">
        <f>_xlfn.IFNA(VLOOKUP($A761,CompChecksTrans!$A:$C,3,FALSE), "     ")</f>
        <v xml:space="preserve">     </v>
      </c>
    </row>
    <row r="762" spans="1:4" x14ac:dyDescent="0.25">
      <c r="A762" s="12" t="s">
        <v>6227</v>
      </c>
      <c r="C762" s="10" t="str">
        <f>_xlfn.IFNA(VLOOKUP(B762,Phase2!A$4:C$1000,3,FALSE),"")</f>
        <v/>
      </c>
      <c r="D762" s="10" t="str">
        <f>_xlfn.IFNA(VLOOKUP($A762,CompChecksTrans!$A:$C,3,FALSE), "     ")</f>
        <v xml:space="preserve">     </v>
      </c>
    </row>
    <row r="763" spans="1:4" x14ac:dyDescent="0.25">
      <c r="A763" s="12" t="s">
        <v>6228</v>
      </c>
      <c r="C763" s="10" t="str">
        <f>_xlfn.IFNA(VLOOKUP(B763,Phase2!A$4:C$1000,3,FALSE),"")</f>
        <v/>
      </c>
      <c r="D763" s="10" t="str">
        <f>_xlfn.IFNA(VLOOKUP($A763,CompChecksTrans!$A:$C,3,FALSE), "     ")</f>
        <v xml:space="preserve">     </v>
      </c>
    </row>
    <row r="764" spans="1:4" x14ac:dyDescent="0.25">
      <c r="A764" s="12" t="s">
        <v>6229</v>
      </c>
      <c r="C764" s="10" t="str">
        <f>_xlfn.IFNA(VLOOKUP(B764,Phase2!A$4:C$1000,3,FALSE),"")</f>
        <v/>
      </c>
      <c r="D764" s="10" t="str">
        <f>_xlfn.IFNA(VLOOKUP($A764,CompChecksTrans!$A:$C,3,FALSE), "     ")</f>
        <v xml:space="preserve">     </v>
      </c>
    </row>
    <row r="765" spans="1:4" x14ac:dyDescent="0.25">
      <c r="A765" s="12" t="s">
        <v>6230</v>
      </c>
      <c r="C765" s="10" t="str">
        <f>_xlfn.IFNA(VLOOKUP(B765,Phase2!A$4:C$1000,3,FALSE),"")</f>
        <v/>
      </c>
      <c r="D765" s="10" t="str">
        <f>_xlfn.IFNA(VLOOKUP($A765,CompChecksTrans!$A:$C,3,FALSE), "     ")</f>
        <v xml:space="preserve">     </v>
      </c>
    </row>
    <row r="766" spans="1:4" x14ac:dyDescent="0.25">
      <c r="A766" s="12" t="s">
        <v>6231</v>
      </c>
      <c r="C766" s="10" t="str">
        <f>_xlfn.IFNA(VLOOKUP(B766,Phase2!A$4:C$1000,3,FALSE),"")</f>
        <v/>
      </c>
      <c r="D766" s="10" t="str">
        <f>_xlfn.IFNA(VLOOKUP($A766,CompChecksTrans!$A:$C,3,FALSE), "     ")</f>
        <v xml:space="preserve">     </v>
      </c>
    </row>
    <row r="767" spans="1:4" x14ac:dyDescent="0.25">
      <c r="A767" s="12" t="s">
        <v>6232</v>
      </c>
      <c r="C767" s="10" t="str">
        <f>_xlfn.IFNA(VLOOKUP(B767,Phase2!A$4:C$1000,3,FALSE),"")</f>
        <v/>
      </c>
      <c r="D767" s="10" t="str">
        <f>_xlfn.IFNA(VLOOKUP($A767,CompChecksTrans!$A:$C,3,FALSE), "     ")</f>
        <v xml:space="preserve">     </v>
      </c>
    </row>
    <row r="768" spans="1:4" x14ac:dyDescent="0.25">
      <c r="A768" s="12" t="s">
        <v>6233</v>
      </c>
      <c r="C768" s="10" t="str">
        <f>_xlfn.IFNA(VLOOKUP(B768,Phase2!A$4:C$1000,3,FALSE),"")</f>
        <v/>
      </c>
      <c r="D768" s="10" t="str">
        <f>_xlfn.IFNA(VLOOKUP($A768,CompChecksTrans!$A:$C,3,FALSE), "     ")</f>
        <v xml:space="preserve">     </v>
      </c>
    </row>
    <row r="769" spans="1:4" x14ac:dyDescent="0.25">
      <c r="A769" s="12" t="s">
        <v>6234</v>
      </c>
      <c r="C769" s="10" t="str">
        <f>_xlfn.IFNA(VLOOKUP(B769,Phase2!A$4:C$1000,3,FALSE),"")</f>
        <v/>
      </c>
      <c r="D769" s="10" t="str">
        <f>_xlfn.IFNA(VLOOKUP($A769,CompChecksTrans!$A:$C,3,FALSE), "     ")</f>
        <v xml:space="preserve">     </v>
      </c>
    </row>
    <row r="770" spans="1:4" x14ac:dyDescent="0.25">
      <c r="A770" s="12" t="s">
        <v>6235</v>
      </c>
      <c r="C770" s="10" t="str">
        <f>_xlfn.IFNA(VLOOKUP(B770,Phase2!A$4:C$1000,3,FALSE),"")</f>
        <v/>
      </c>
      <c r="D770" s="10" t="str">
        <f>_xlfn.IFNA(VLOOKUP($A770,CompChecksTrans!$A:$C,3,FALSE), "     ")</f>
        <v xml:space="preserve">     </v>
      </c>
    </row>
    <row r="771" spans="1:4" x14ac:dyDescent="0.25">
      <c r="A771" s="12" t="s">
        <v>6236</v>
      </c>
      <c r="C771" s="10" t="str">
        <f>_xlfn.IFNA(VLOOKUP(B771,Phase2!A$4:C$1000,3,FALSE),"")</f>
        <v/>
      </c>
      <c r="D771" s="10" t="str">
        <f>_xlfn.IFNA(VLOOKUP($A771,CompChecksTrans!$A:$C,3,FALSE), "     ")</f>
        <v xml:space="preserve">     </v>
      </c>
    </row>
    <row r="772" spans="1:4" x14ac:dyDescent="0.25">
      <c r="A772" s="12" t="s">
        <v>6237</v>
      </c>
      <c r="C772" s="10" t="str">
        <f>_xlfn.IFNA(VLOOKUP(B772,Phase2!A$4:C$1000,3,FALSE),"")</f>
        <v/>
      </c>
      <c r="D772" s="10" t="str">
        <f>_xlfn.IFNA(VLOOKUP($A772,CompChecksTrans!$A:$C,3,FALSE), "     ")</f>
        <v xml:space="preserve">     </v>
      </c>
    </row>
    <row r="773" spans="1:4" x14ac:dyDescent="0.25">
      <c r="A773" s="12" t="s">
        <v>6238</v>
      </c>
      <c r="C773" s="10" t="str">
        <f>_xlfn.IFNA(VLOOKUP(B773,Phase2!A$4:C$1000,3,FALSE),"")</f>
        <v/>
      </c>
      <c r="D773" s="10" t="str">
        <f>_xlfn.IFNA(VLOOKUP($A773,CompChecksTrans!$A:$C,3,FALSE), "     ")</f>
        <v xml:space="preserve">     </v>
      </c>
    </row>
    <row r="774" spans="1:4" x14ac:dyDescent="0.25">
      <c r="A774" s="12" t="s">
        <v>6239</v>
      </c>
      <c r="C774" s="10" t="str">
        <f>_xlfn.IFNA(VLOOKUP(B774,Phase2!A$4:C$1000,3,FALSE),"")</f>
        <v/>
      </c>
      <c r="D774" s="10" t="str">
        <f>_xlfn.IFNA(VLOOKUP($A774,CompChecksTrans!$A:$C,3,FALSE), "     ")</f>
        <v xml:space="preserve">     </v>
      </c>
    </row>
    <row r="775" spans="1:4" x14ac:dyDescent="0.25">
      <c r="A775" s="12" t="s">
        <v>6240</v>
      </c>
      <c r="C775" s="10" t="str">
        <f>_xlfn.IFNA(VLOOKUP(B775,Phase2!A$4:C$1000,3,FALSE),"")</f>
        <v/>
      </c>
      <c r="D775" s="10" t="str">
        <f>_xlfn.IFNA(VLOOKUP($A775,CompChecksTrans!$A:$C,3,FALSE), "     ")</f>
        <v xml:space="preserve">     </v>
      </c>
    </row>
    <row r="776" spans="1:4" x14ac:dyDescent="0.25">
      <c r="A776" s="12" t="s">
        <v>6241</v>
      </c>
      <c r="C776" s="10" t="str">
        <f>_xlfn.IFNA(VLOOKUP(B776,Phase2!A$4:C$1000,3,FALSE),"")</f>
        <v/>
      </c>
      <c r="D776" s="10" t="str">
        <f>_xlfn.IFNA(VLOOKUP($A776,CompChecksTrans!$A:$C,3,FALSE), "     ")</f>
        <v xml:space="preserve">     </v>
      </c>
    </row>
    <row r="777" spans="1:4" x14ac:dyDescent="0.25">
      <c r="A777" s="12" t="s">
        <v>6242</v>
      </c>
      <c r="C777" s="10" t="str">
        <f>_xlfn.IFNA(VLOOKUP(B777,Phase2!A$4:C$1000,3,FALSE),"")</f>
        <v/>
      </c>
      <c r="D777" s="10" t="str">
        <f>_xlfn.IFNA(VLOOKUP($A777,CompChecksTrans!$A:$C,3,FALSE), "     ")</f>
        <v xml:space="preserve">     </v>
      </c>
    </row>
    <row r="778" spans="1:4" x14ac:dyDescent="0.25">
      <c r="A778" s="12" t="s">
        <v>6243</v>
      </c>
      <c r="C778" s="10" t="str">
        <f>_xlfn.IFNA(VLOOKUP(B778,Phase2!A$4:C$1000,3,FALSE),"")</f>
        <v/>
      </c>
      <c r="D778" s="10" t="str">
        <f>_xlfn.IFNA(VLOOKUP($A778,CompChecksTrans!$A:$C,3,FALSE), "     ")</f>
        <v xml:space="preserve">     </v>
      </c>
    </row>
    <row r="779" spans="1:4" x14ac:dyDescent="0.25">
      <c r="A779" s="12" t="s">
        <v>6244</v>
      </c>
      <c r="C779" s="10" t="str">
        <f>_xlfn.IFNA(VLOOKUP(B779,Phase2!A$4:C$1000,3,FALSE),"")</f>
        <v/>
      </c>
      <c r="D779" s="10" t="str">
        <f>_xlfn.IFNA(VLOOKUP($A779,CompChecksTrans!$A:$C,3,FALSE), "     ")</f>
        <v xml:space="preserve">     </v>
      </c>
    </row>
    <row r="780" spans="1:4" x14ac:dyDescent="0.25">
      <c r="A780" s="12" t="s">
        <v>6245</v>
      </c>
      <c r="C780" s="10" t="str">
        <f>_xlfn.IFNA(VLOOKUP(B780,Phase2!A$4:C$1000,3,FALSE),"")</f>
        <v/>
      </c>
      <c r="D780" s="10" t="str">
        <f>_xlfn.IFNA(VLOOKUP($A780,CompChecksTrans!$A:$C,3,FALSE), "     ")</f>
        <v xml:space="preserve">     </v>
      </c>
    </row>
    <row r="781" spans="1:4" x14ac:dyDescent="0.25">
      <c r="A781" s="12" t="s">
        <v>6246</v>
      </c>
      <c r="C781" s="10" t="str">
        <f>_xlfn.IFNA(VLOOKUP(B781,Phase2!A$4:C$1000,3,FALSE),"")</f>
        <v/>
      </c>
      <c r="D781" s="10" t="str">
        <f>_xlfn.IFNA(VLOOKUP($A781,CompChecksTrans!$A:$C,3,FALSE), "     ")</f>
        <v xml:space="preserve">     </v>
      </c>
    </row>
    <row r="782" spans="1:4" x14ac:dyDescent="0.25">
      <c r="A782" s="12" t="s">
        <v>6247</v>
      </c>
      <c r="C782" s="10" t="str">
        <f>_xlfn.IFNA(VLOOKUP(B782,Phase2!A$4:C$1000,3,FALSE),"")</f>
        <v/>
      </c>
      <c r="D782" s="10" t="str">
        <f>_xlfn.IFNA(VLOOKUP($A782,CompChecksTrans!$A:$C,3,FALSE), "     ")</f>
        <v xml:space="preserve">     </v>
      </c>
    </row>
    <row r="783" spans="1:4" x14ac:dyDescent="0.25">
      <c r="A783" s="12" t="s">
        <v>6248</v>
      </c>
      <c r="C783" s="10" t="str">
        <f>_xlfn.IFNA(VLOOKUP(B783,Phase2!A$4:C$1000,3,FALSE),"")</f>
        <v/>
      </c>
      <c r="D783" s="10" t="str">
        <f>_xlfn.IFNA(VLOOKUP($A783,CompChecksTrans!$A:$C,3,FALSE), "     ")</f>
        <v xml:space="preserve">     </v>
      </c>
    </row>
    <row r="784" spans="1:4" x14ac:dyDescent="0.25">
      <c r="A784" s="12" t="s">
        <v>6249</v>
      </c>
      <c r="C784" s="10" t="str">
        <f>_xlfn.IFNA(VLOOKUP(B784,Phase2!A$4:C$1000,3,FALSE),"")</f>
        <v/>
      </c>
      <c r="D784" s="10" t="str">
        <f>_xlfn.IFNA(VLOOKUP($A784,CompChecksTrans!$A:$C,3,FALSE), "     ")</f>
        <v xml:space="preserve">     </v>
      </c>
    </row>
    <row r="785" spans="1:4" x14ac:dyDescent="0.25">
      <c r="A785" s="12" t="s">
        <v>6250</v>
      </c>
      <c r="C785" s="10" t="str">
        <f>_xlfn.IFNA(VLOOKUP(B785,Phase2!A$4:C$1000,3,FALSE),"")</f>
        <v/>
      </c>
      <c r="D785" s="10" t="str">
        <f>_xlfn.IFNA(VLOOKUP($A785,CompChecksTrans!$A:$C,3,FALSE), "     ")</f>
        <v xml:space="preserve">     </v>
      </c>
    </row>
    <row r="786" spans="1:4" x14ac:dyDescent="0.25">
      <c r="A786" s="12" t="s">
        <v>6251</v>
      </c>
      <c r="C786" s="10" t="str">
        <f>_xlfn.IFNA(VLOOKUP(B786,Phase2!A$4:C$1000,3,FALSE),"")</f>
        <v/>
      </c>
      <c r="D786" s="10" t="str">
        <f>_xlfn.IFNA(VLOOKUP($A786,CompChecksTrans!$A:$C,3,FALSE), "     ")</f>
        <v xml:space="preserve">     </v>
      </c>
    </row>
    <row r="787" spans="1:4" x14ac:dyDescent="0.25">
      <c r="A787" s="12" t="s">
        <v>6252</v>
      </c>
      <c r="C787" s="10" t="str">
        <f>_xlfn.IFNA(VLOOKUP(B787,Phase2!A$4:C$1000,3,FALSE),"")</f>
        <v/>
      </c>
      <c r="D787" s="10" t="str">
        <f>_xlfn.IFNA(VLOOKUP($A787,CompChecksTrans!$A:$C,3,FALSE), "     ")</f>
        <v xml:space="preserve">     </v>
      </c>
    </row>
    <row r="788" spans="1:4" x14ac:dyDescent="0.25">
      <c r="A788" s="12" t="s">
        <v>6253</v>
      </c>
      <c r="C788" s="10" t="str">
        <f>_xlfn.IFNA(VLOOKUP(B788,Phase2!A$4:C$1000,3,FALSE),"")</f>
        <v/>
      </c>
      <c r="D788" s="10" t="str">
        <f>_xlfn.IFNA(VLOOKUP($A788,CompChecksTrans!$A:$C,3,FALSE), "     ")</f>
        <v xml:space="preserve">     </v>
      </c>
    </row>
    <row r="789" spans="1:4" x14ac:dyDescent="0.25">
      <c r="A789" s="12" t="s">
        <v>6254</v>
      </c>
      <c r="C789" s="10" t="str">
        <f>_xlfn.IFNA(VLOOKUP(B789,Phase2!A$4:C$1000,3,FALSE),"")</f>
        <v/>
      </c>
      <c r="D789" s="10" t="str">
        <f>_xlfn.IFNA(VLOOKUP($A789,CompChecksTrans!$A:$C,3,FALSE), "     ")</f>
        <v xml:space="preserve">     </v>
      </c>
    </row>
    <row r="790" spans="1:4" x14ac:dyDescent="0.25">
      <c r="A790" s="12" t="s">
        <v>6255</v>
      </c>
      <c r="C790" s="10" t="str">
        <f>_xlfn.IFNA(VLOOKUP(B790,Phase2!A$4:C$1000,3,FALSE),"")</f>
        <v/>
      </c>
      <c r="D790" s="10" t="str">
        <f>_xlfn.IFNA(VLOOKUP($A790,CompChecksTrans!$A:$C,3,FALSE), "     ")</f>
        <v xml:space="preserve">     </v>
      </c>
    </row>
    <row r="791" spans="1:4" x14ac:dyDescent="0.25">
      <c r="A791" s="12" t="s">
        <v>6256</v>
      </c>
      <c r="C791" s="10" t="str">
        <f>_xlfn.IFNA(VLOOKUP(B791,Phase2!A$4:C$1000,3,FALSE),"")</f>
        <v/>
      </c>
      <c r="D791" s="10" t="str">
        <f>_xlfn.IFNA(VLOOKUP($A791,CompChecksTrans!$A:$C,3,FALSE), "     ")</f>
        <v xml:space="preserve">     </v>
      </c>
    </row>
    <row r="792" spans="1:4" x14ac:dyDescent="0.25">
      <c r="A792" s="12" t="s">
        <v>6257</v>
      </c>
      <c r="C792" s="10" t="str">
        <f>_xlfn.IFNA(VLOOKUP(B792,Phase2!A$4:C$1000,3,FALSE),"")</f>
        <v/>
      </c>
      <c r="D792" s="10" t="str">
        <f>_xlfn.IFNA(VLOOKUP($A792,CompChecksTrans!$A:$C,3,FALSE), "     ")</f>
        <v xml:space="preserve">     </v>
      </c>
    </row>
    <row r="793" spans="1:4" x14ac:dyDescent="0.25">
      <c r="A793" s="12" t="s">
        <v>6258</v>
      </c>
      <c r="C793" s="10" t="str">
        <f>_xlfn.IFNA(VLOOKUP(B793,Phase2!A$4:C$1000,3,FALSE),"")</f>
        <v/>
      </c>
      <c r="D793" s="10" t="str">
        <f>_xlfn.IFNA(VLOOKUP($A793,CompChecksTrans!$A:$C,3,FALSE), "     ")</f>
        <v xml:space="preserve">     </v>
      </c>
    </row>
    <row r="794" spans="1:4" x14ac:dyDescent="0.25">
      <c r="A794" s="12" t="s">
        <v>6259</v>
      </c>
      <c r="C794" s="10" t="str">
        <f>_xlfn.IFNA(VLOOKUP(B794,Phase2!A$4:C$1000,3,FALSE),"")</f>
        <v/>
      </c>
      <c r="D794" s="10" t="str">
        <f>_xlfn.IFNA(VLOOKUP($A794,CompChecksTrans!$A:$C,3,FALSE), "     ")</f>
        <v xml:space="preserve">     </v>
      </c>
    </row>
    <row r="795" spans="1:4" x14ac:dyDescent="0.25">
      <c r="A795" s="12" t="s">
        <v>6260</v>
      </c>
      <c r="C795" s="10" t="str">
        <f>_xlfn.IFNA(VLOOKUP(B795,Phase2!A$4:C$1000,3,FALSE),"")</f>
        <v/>
      </c>
      <c r="D795" s="10" t="str">
        <f>_xlfn.IFNA(VLOOKUP($A795,CompChecksTrans!$A:$C,3,FALSE), "     ")</f>
        <v xml:space="preserve">     </v>
      </c>
    </row>
    <row r="796" spans="1:4" x14ac:dyDescent="0.25">
      <c r="A796" s="12" t="s">
        <v>6261</v>
      </c>
      <c r="C796" s="10" t="str">
        <f>_xlfn.IFNA(VLOOKUP(B796,Phase2!A$4:C$1000,3,FALSE),"")</f>
        <v/>
      </c>
      <c r="D796" s="10" t="str">
        <f>_xlfn.IFNA(VLOOKUP($A796,CompChecksTrans!$A:$C,3,FALSE), "     ")</f>
        <v xml:space="preserve">     </v>
      </c>
    </row>
    <row r="797" spans="1:4" x14ac:dyDescent="0.25">
      <c r="A797" s="12" t="s">
        <v>6262</v>
      </c>
      <c r="C797" s="10" t="str">
        <f>_xlfn.IFNA(VLOOKUP(B797,Phase2!A$4:C$1000,3,FALSE),"")</f>
        <v/>
      </c>
      <c r="D797" s="10" t="str">
        <f>_xlfn.IFNA(VLOOKUP($A797,CompChecksTrans!$A:$C,3,FALSE), "     ")</f>
        <v xml:space="preserve">     </v>
      </c>
    </row>
    <row r="798" spans="1:4" x14ac:dyDescent="0.25">
      <c r="A798" s="12" t="s">
        <v>6263</v>
      </c>
      <c r="C798" s="10" t="str">
        <f>_xlfn.IFNA(VLOOKUP(B798,Phase2!A$4:C$1000,3,FALSE),"")</f>
        <v/>
      </c>
      <c r="D798" s="10" t="str">
        <f>_xlfn.IFNA(VLOOKUP($A798,CompChecksTrans!$A:$C,3,FALSE), "     ")</f>
        <v xml:space="preserve">     </v>
      </c>
    </row>
    <row r="799" spans="1:4" x14ac:dyDescent="0.25">
      <c r="A799" s="12" t="s">
        <v>6264</v>
      </c>
      <c r="C799" s="10" t="str">
        <f>_xlfn.IFNA(VLOOKUP(B799,Phase2!A$4:C$1000,3,FALSE),"")</f>
        <v/>
      </c>
      <c r="D799" s="10" t="str">
        <f>_xlfn.IFNA(VLOOKUP($A799,CompChecksTrans!$A:$C,3,FALSE), "     ")</f>
        <v xml:space="preserve">     </v>
      </c>
    </row>
    <row r="800" spans="1:4" x14ac:dyDescent="0.25">
      <c r="A800" s="12" t="s">
        <v>6265</v>
      </c>
      <c r="C800" s="10" t="str">
        <f>_xlfn.IFNA(VLOOKUP(B800,Phase2!A$4:C$1000,3,FALSE),"")</f>
        <v/>
      </c>
      <c r="D800" s="10" t="str">
        <f>_xlfn.IFNA(VLOOKUP($A800,CompChecksTrans!$A:$C,3,FALSE), "     ")</f>
        <v xml:space="preserve">     </v>
      </c>
    </row>
    <row r="801" spans="1:4" x14ac:dyDescent="0.25">
      <c r="A801" s="12" t="s">
        <v>6266</v>
      </c>
      <c r="C801" s="10" t="str">
        <f>_xlfn.IFNA(VLOOKUP(B801,Phase2!A$4:C$1000,3,FALSE),"")</f>
        <v/>
      </c>
      <c r="D801" s="10" t="str">
        <f>_xlfn.IFNA(VLOOKUP($A801,CompChecksTrans!$A:$C,3,FALSE), "     ")</f>
        <v xml:space="preserve">     </v>
      </c>
    </row>
    <row r="802" spans="1:4" x14ac:dyDescent="0.25">
      <c r="A802" s="12" t="s">
        <v>6267</v>
      </c>
      <c r="C802" s="10" t="str">
        <f>_xlfn.IFNA(VLOOKUP(B802,Phase2!A$4:C$1000,3,FALSE),"")</f>
        <v/>
      </c>
      <c r="D802" s="10" t="str">
        <f>_xlfn.IFNA(VLOOKUP($A802,CompChecksTrans!$A:$C,3,FALSE), "     ")</f>
        <v xml:space="preserve">     </v>
      </c>
    </row>
    <row r="803" spans="1:4" x14ac:dyDescent="0.25">
      <c r="A803" s="12" t="s">
        <v>6268</v>
      </c>
      <c r="C803" s="10" t="str">
        <f>_xlfn.IFNA(VLOOKUP(B803,Phase2!A$4:C$1000,3,FALSE),"")</f>
        <v/>
      </c>
      <c r="D803" s="10" t="str">
        <f>_xlfn.IFNA(VLOOKUP($A803,CompChecksTrans!$A:$C,3,FALSE), "     ")</f>
        <v xml:space="preserve">     </v>
      </c>
    </row>
    <row r="804" spans="1:4" x14ac:dyDescent="0.25">
      <c r="A804" s="12" t="s">
        <v>6269</v>
      </c>
      <c r="C804" s="10" t="str">
        <f>_xlfn.IFNA(VLOOKUP(B804,Phase2!A$4:C$1000,3,FALSE),"")</f>
        <v/>
      </c>
      <c r="D804" s="10" t="str">
        <f>_xlfn.IFNA(VLOOKUP($A804,CompChecksTrans!$A:$C,3,FALSE), "     ")</f>
        <v xml:space="preserve">     </v>
      </c>
    </row>
    <row r="805" spans="1:4" x14ac:dyDescent="0.25">
      <c r="A805" s="12" t="s">
        <v>6270</v>
      </c>
      <c r="C805" s="10" t="str">
        <f>_xlfn.IFNA(VLOOKUP(B805,Phase2!A$4:C$1000,3,FALSE),"")</f>
        <v/>
      </c>
      <c r="D805" s="10" t="str">
        <f>_xlfn.IFNA(VLOOKUP($A805,CompChecksTrans!$A:$C,3,FALSE), "     ")</f>
        <v xml:space="preserve">     </v>
      </c>
    </row>
    <row r="806" spans="1:4" x14ac:dyDescent="0.25">
      <c r="A806" s="12" t="s">
        <v>6271</v>
      </c>
      <c r="C806" s="10" t="str">
        <f>_xlfn.IFNA(VLOOKUP(B806,Phase2!A$4:C$1000,3,FALSE),"")</f>
        <v/>
      </c>
      <c r="D806" s="10" t="str">
        <f>_xlfn.IFNA(VLOOKUP($A806,CompChecksTrans!$A:$C,3,FALSE), "     ")</f>
        <v xml:space="preserve">     </v>
      </c>
    </row>
    <row r="807" spans="1:4" x14ac:dyDescent="0.25">
      <c r="A807" s="12" t="s">
        <v>6272</v>
      </c>
      <c r="C807" s="10" t="str">
        <f>_xlfn.IFNA(VLOOKUP(B807,Phase2!A$4:C$1000,3,FALSE),"")</f>
        <v/>
      </c>
      <c r="D807" s="10" t="str">
        <f>_xlfn.IFNA(VLOOKUP($A807,CompChecksTrans!$A:$C,3,FALSE), "     ")</f>
        <v xml:space="preserve">     </v>
      </c>
    </row>
    <row r="808" spans="1:4" x14ac:dyDescent="0.25">
      <c r="A808" s="12" t="s">
        <v>6273</v>
      </c>
      <c r="C808" s="10" t="str">
        <f>_xlfn.IFNA(VLOOKUP(B808,Phase2!A$4:C$1000,3,FALSE),"")</f>
        <v/>
      </c>
      <c r="D808" s="10" t="str">
        <f>_xlfn.IFNA(VLOOKUP($A808,CompChecksTrans!$A:$C,3,FALSE), "     ")</f>
        <v xml:space="preserve">     </v>
      </c>
    </row>
    <row r="809" spans="1:4" x14ac:dyDescent="0.25">
      <c r="A809" s="12" t="s">
        <v>6274</v>
      </c>
      <c r="C809" s="10" t="str">
        <f>_xlfn.IFNA(VLOOKUP(B809,Phase2!A$4:C$1000,3,FALSE),"")</f>
        <v/>
      </c>
      <c r="D809" s="10" t="str">
        <f>_xlfn.IFNA(VLOOKUP($A809,CompChecksTrans!$A:$C,3,FALSE), "     ")</f>
        <v xml:space="preserve">     </v>
      </c>
    </row>
    <row r="810" spans="1:4" x14ac:dyDescent="0.25">
      <c r="A810" s="12" t="s">
        <v>6275</v>
      </c>
      <c r="C810" s="10" t="str">
        <f>_xlfn.IFNA(VLOOKUP(B810,Phase2!A$4:C$1000,3,FALSE),"")</f>
        <v/>
      </c>
      <c r="D810" s="10" t="str">
        <f>_xlfn.IFNA(VLOOKUP($A810,CompChecksTrans!$A:$C,3,FALSE), "     ")</f>
        <v xml:space="preserve">     </v>
      </c>
    </row>
    <row r="811" spans="1:4" x14ac:dyDescent="0.25">
      <c r="A811" s="12" t="s">
        <v>6276</v>
      </c>
      <c r="C811" s="10" t="str">
        <f>_xlfn.IFNA(VLOOKUP(B811,Phase2!A$4:C$1000,3,FALSE),"")</f>
        <v/>
      </c>
      <c r="D811" s="10" t="str">
        <f>_xlfn.IFNA(VLOOKUP($A811,CompChecksTrans!$A:$C,3,FALSE), "     ")</f>
        <v xml:space="preserve">     </v>
      </c>
    </row>
    <row r="812" spans="1:4" x14ac:dyDescent="0.25">
      <c r="A812" s="12" t="s">
        <v>6277</v>
      </c>
      <c r="C812" s="10" t="str">
        <f>_xlfn.IFNA(VLOOKUP(B812,Phase2!A$4:C$1000,3,FALSE),"")</f>
        <v/>
      </c>
      <c r="D812" s="10" t="str">
        <f>_xlfn.IFNA(VLOOKUP($A812,CompChecksTrans!$A:$C,3,FALSE), "     ")</f>
        <v xml:space="preserve">     </v>
      </c>
    </row>
    <row r="813" spans="1:4" x14ac:dyDescent="0.25">
      <c r="A813" s="12" t="s">
        <v>6278</v>
      </c>
      <c r="C813" s="10" t="str">
        <f>_xlfn.IFNA(VLOOKUP(B813,Phase2!A$4:C$1000,3,FALSE),"")</f>
        <v/>
      </c>
      <c r="D813" s="10" t="str">
        <f>_xlfn.IFNA(VLOOKUP($A813,CompChecksTrans!$A:$C,3,FALSE), "     ")</f>
        <v xml:space="preserve">     </v>
      </c>
    </row>
    <row r="814" spans="1:4" x14ac:dyDescent="0.25">
      <c r="A814" s="12" t="s">
        <v>6279</v>
      </c>
      <c r="C814" s="10" t="str">
        <f>_xlfn.IFNA(VLOOKUP(B814,Phase2!A$4:C$1000,3,FALSE),"")</f>
        <v/>
      </c>
      <c r="D814" s="10" t="str">
        <f>_xlfn.IFNA(VLOOKUP($A814,CompChecksTrans!$A:$C,3,FALSE), "     ")</f>
        <v xml:space="preserve">     </v>
      </c>
    </row>
    <row r="815" spans="1:4" x14ac:dyDescent="0.25">
      <c r="A815" s="12" t="s">
        <v>6280</v>
      </c>
      <c r="C815" s="10" t="str">
        <f>_xlfn.IFNA(VLOOKUP(B815,Phase2!A$4:C$1000,3,FALSE),"")</f>
        <v/>
      </c>
      <c r="D815" s="10" t="str">
        <f>_xlfn.IFNA(VLOOKUP($A815,CompChecksTrans!$A:$C,3,FALSE), "     ")</f>
        <v xml:space="preserve">     </v>
      </c>
    </row>
    <row r="816" spans="1:4" x14ac:dyDescent="0.25">
      <c r="A816" s="12" t="s">
        <v>6281</v>
      </c>
      <c r="C816" s="10" t="str">
        <f>_xlfn.IFNA(VLOOKUP(B816,Phase2!A$4:C$1000,3,FALSE),"")</f>
        <v/>
      </c>
      <c r="D816" s="10" t="str">
        <f>_xlfn.IFNA(VLOOKUP($A816,CompChecksTrans!$A:$C,3,FALSE), "     ")</f>
        <v xml:space="preserve">     </v>
      </c>
    </row>
    <row r="817" spans="1:4" x14ac:dyDescent="0.25">
      <c r="A817" s="12" t="s">
        <v>6282</v>
      </c>
      <c r="C817" s="10" t="str">
        <f>_xlfn.IFNA(VLOOKUP(B817,Phase2!A$4:C$1000,3,FALSE),"")</f>
        <v/>
      </c>
      <c r="D817" s="10" t="str">
        <f>_xlfn.IFNA(VLOOKUP($A817,CompChecksTrans!$A:$C,3,FALSE), "     ")</f>
        <v xml:space="preserve">     </v>
      </c>
    </row>
    <row r="818" spans="1:4" x14ac:dyDescent="0.25">
      <c r="A818" s="12" t="s">
        <v>6283</v>
      </c>
      <c r="C818" s="10" t="str">
        <f>_xlfn.IFNA(VLOOKUP(B818,Phase2!A$4:C$1000,3,FALSE),"")</f>
        <v/>
      </c>
      <c r="D818" s="10" t="str">
        <f>_xlfn.IFNA(VLOOKUP($A818,CompChecksTrans!$A:$C,3,FALSE), "     ")</f>
        <v xml:space="preserve">     </v>
      </c>
    </row>
    <row r="819" spans="1:4" x14ac:dyDescent="0.25">
      <c r="A819" s="12" t="s">
        <v>6284</v>
      </c>
      <c r="C819" s="10" t="str">
        <f>_xlfn.IFNA(VLOOKUP(B819,Phase2!A$4:C$1000,3,FALSE),"")</f>
        <v/>
      </c>
      <c r="D819" s="10" t="str">
        <f>_xlfn.IFNA(VLOOKUP($A819,CompChecksTrans!$A:$C,3,FALSE), "     ")</f>
        <v xml:space="preserve">     </v>
      </c>
    </row>
    <row r="820" spans="1:4" x14ac:dyDescent="0.25">
      <c r="A820" s="12" t="s">
        <v>6285</v>
      </c>
      <c r="C820" s="10" t="str">
        <f>_xlfn.IFNA(VLOOKUP(B820,Phase2!A$4:C$1000,3,FALSE),"")</f>
        <v/>
      </c>
      <c r="D820" s="10" t="str">
        <f>_xlfn.IFNA(VLOOKUP($A820,CompChecksTrans!$A:$C,3,FALSE), "     ")</f>
        <v xml:space="preserve">     </v>
      </c>
    </row>
    <row r="821" spans="1:4" x14ac:dyDescent="0.25">
      <c r="A821" s="12" t="s">
        <v>6286</v>
      </c>
      <c r="C821" s="10" t="str">
        <f>_xlfn.IFNA(VLOOKUP(B821,Phase2!A$4:C$1000,3,FALSE),"")</f>
        <v/>
      </c>
      <c r="D821" s="10" t="str">
        <f>_xlfn.IFNA(VLOOKUP($A821,CompChecksTrans!$A:$C,3,FALSE), "     ")</f>
        <v xml:space="preserve">     </v>
      </c>
    </row>
    <row r="822" spans="1:4" x14ac:dyDescent="0.25">
      <c r="A822" s="12" t="s">
        <v>6287</v>
      </c>
      <c r="C822" s="10" t="str">
        <f>_xlfn.IFNA(VLOOKUP(B822,Phase2!A$4:C$1000,3,FALSE),"")</f>
        <v/>
      </c>
      <c r="D822" s="10" t="str">
        <f>_xlfn.IFNA(VLOOKUP($A822,CompChecksTrans!$A:$C,3,FALSE), "     ")</f>
        <v xml:space="preserve">     </v>
      </c>
    </row>
    <row r="823" spans="1:4" x14ac:dyDescent="0.25">
      <c r="A823" s="12" t="s">
        <v>6288</v>
      </c>
      <c r="C823" s="10" t="str">
        <f>_xlfn.IFNA(VLOOKUP(B823,Phase2!A$4:C$1000,3,FALSE),"")</f>
        <v/>
      </c>
      <c r="D823" s="10" t="str">
        <f>_xlfn.IFNA(VLOOKUP($A823,CompChecksTrans!$A:$C,3,FALSE), "     ")</f>
        <v xml:space="preserve">     </v>
      </c>
    </row>
    <row r="824" spans="1:4" x14ac:dyDescent="0.25">
      <c r="A824" s="12" t="s">
        <v>6289</v>
      </c>
      <c r="C824" s="10" t="str">
        <f>_xlfn.IFNA(VLOOKUP(B824,Phase2!A$4:C$1000,3,FALSE),"")</f>
        <v/>
      </c>
      <c r="D824" s="10" t="str">
        <f>_xlfn.IFNA(VLOOKUP($A824,CompChecksTrans!$A:$C,3,FALSE), "     ")</f>
        <v xml:space="preserve">     </v>
      </c>
    </row>
    <row r="825" spans="1:4" x14ac:dyDescent="0.25">
      <c r="A825" s="12" t="s">
        <v>6290</v>
      </c>
      <c r="C825" s="10" t="str">
        <f>_xlfn.IFNA(VLOOKUP(B825,Phase2!A$4:C$1000,3,FALSE),"")</f>
        <v/>
      </c>
      <c r="D825" s="10" t="str">
        <f>_xlfn.IFNA(VLOOKUP($A825,CompChecksTrans!$A:$C,3,FALSE), "     ")</f>
        <v xml:space="preserve">     </v>
      </c>
    </row>
    <row r="826" spans="1:4" x14ac:dyDescent="0.25">
      <c r="A826" s="12" t="s">
        <v>6291</v>
      </c>
      <c r="C826" s="10" t="str">
        <f>_xlfn.IFNA(VLOOKUP(B826,Phase2!A$4:C$1000,3,FALSE),"")</f>
        <v/>
      </c>
      <c r="D826" s="10" t="str">
        <f>_xlfn.IFNA(VLOOKUP($A826,CompChecksTrans!$A:$C,3,FALSE), "     ")</f>
        <v xml:space="preserve">     </v>
      </c>
    </row>
    <row r="827" spans="1:4" x14ac:dyDescent="0.25">
      <c r="A827" s="12" t="s">
        <v>6292</v>
      </c>
      <c r="C827" s="10" t="str">
        <f>_xlfn.IFNA(VLOOKUP(B827,Phase2!A$4:C$1000,3,FALSE),"")</f>
        <v/>
      </c>
      <c r="D827" s="10" t="str">
        <f>_xlfn.IFNA(VLOOKUP($A827,CompChecksTrans!$A:$C,3,FALSE), "     ")</f>
        <v xml:space="preserve">     </v>
      </c>
    </row>
    <row r="828" spans="1:4" x14ac:dyDescent="0.25">
      <c r="A828" s="12" t="s">
        <v>6293</v>
      </c>
      <c r="C828" s="10" t="str">
        <f>_xlfn.IFNA(VLOOKUP(B828,Phase2!A$4:C$1000,3,FALSE),"")</f>
        <v/>
      </c>
      <c r="D828" s="10" t="str">
        <f>_xlfn.IFNA(VLOOKUP($A828,CompChecksTrans!$A:$C,3,FALSE), "     ")</f>
        <v xml:space="preserve">     </v>
      </c>
    </row>
    <row r="829" spans="1:4" x14ac:dyDescent="0.25">
      <c r="A829" s="12" t="s">
        <v>6294</v>
      </c>
      <c r="C829" s="10" t="str">
        <f>_xlfn.IFNA(VLOOKUP(B829,Phase2!A$4:C$1000,3,FALSE),"")</f>
        <v/>
      </c>
      <c r="D829" s="10" t="str">
        <f>_xlfn.IFNA(VLOOKUP($A829,CompChecksTrans!$A:$C,3,FALSE), "     ")</f>
        <v xml:space="preserve">     </v>
      </c>
    </row>
    <row r="830" spans="1:4" x14ac:dyDescent="0.25">
      <c r="A830" s="12" t="s">
        <v>6295</v>
      </c>
      <c r="C830" s="10" t="str">
        <f>_xlfn.IFNA(VLOOKUP(B830,Phase2!A$4:C$1000,3,FALSE),"")</f>
        <v/>
      </c>
      <c r="D830" s="10" t="str">
        <f>_xlfn.IFNA(VLOOKUP($A830,CompChecksTrans!$A:$C,3,FALSE), "     ")</f>
        <v xml:space="preserve">     </v>
      </c>
    </row>
    <row r="831" spans="1:4" x14ac:dyDescent="0.25">
      <c r="A831" s="12" t="s">
        <v>6296</v>
      </c>
      <c r="C831" s="10" t="str">
        <f>_xlfn.IFNA(VLOOKUP(B831,Phase2!A$4:C$1000,3,FALSE),"")</f>
        <v/>
      </c>
      <c r="D831" s="10" t="str">
        <f>_xlfn.IFNA(VLOOKUP($A831,CompChecksTrans!$A:$C,3,FALSE), "     ")</f>
        <v xml:space="preserve">     </v>
      </c>
    </row>
    <row r="832" spans="1:4" x14ac:dyDescent="0.25">
      <c r="A832" s="12" t="s">
        <v>6297</v>
      </c>
      <c r="C832" s="10" t="str">
        <f>_xlfn.IFNA(VLOOKUP(B832,Phase2!A$4:C$1000,3,FALSE),"")</f>
        <v/>
      </c>
      <c r="D832" s="10" t="str">
        <f>_xlfn.IFNA(VLOOKUP($A832,CompChecksTrans!$A:$C,3,FALSE), "     ")</f>
        <v xml:space="preserve">     </v>
      </c>
    </row>
    <row r="833" spans="1:4" x14ac:dyDescent="0.25">
      <c r="A833" s="12" t="s">
        <v>6298</v>
      </c>
      <c r="C833" s="10" t="str">
        <f>_xlfn.IFNA(VLOOKUP(B833,Phase2!A$4:C$1000,3,FALSE),"")</f>
        <v/>
      </c>
      <c r="D833" s="10" t="str">
        <f>_xlfn.IFNA(VLOOKUP($A833,CompChecksTrans!$A:$C,3,FALSE), "     ")</f>
        <v xml:space="preserve">     </v>
      </c>
    </row>
    <row r="834" spans="1:4" x14ac:dyDescent="0.25">
      <c r="A834" s="12" t="s">
        <v>6299</v>
      </c>
      <c r="C834" s="10" t="str">
        <f>_xlfn.IFNA(VLOOKUP(B834,Phase2!A$4:C$1000,3,FALSE),"")</f>
        <v/>
      </c>
      <c r="D834" s="10" t="str">
        <f>_xlfn.IFNA(VLOOKUP($A834,CompChecksTrans!$A:$C,3,FALSE), "     ")</f>
        <v xml:space="preserve">     </v>
      </c>
    </row>
    <row r="835" spans="1:4" x14ac:dyDescent="0.25">
      <c r="A835" s="12" t="s">
        <v>6300</v>
      </c>
      <c r="C835" s="10" t="str">
        <f>_xlfn.IFNA(VLOOKUP(B835,Phase2!A$4:C$1000,3,FALSE),"")</f>
        <v/>
      </c>
      <c r="D835" s="10" t="str">
        <f>_xlfn.IFNA(VLOOKUP($A835,CompChecksTrans!$A:$C,3,FALSE), "     ")</f>
        <v xml:space="preserve">     </v>
      </c>
    </row>
    <row r="836" spans="1:4" x14ac:dyDescent="0.25">
      <c r="A836" s="12" t="s">
        <v>6301</v>
      </c>
      <c r="C836" s="10" t="str">
        <f>_xlfn.IFNA(VLOOKUP(B836,Phase2!A$4:C$1000,3,FALSE),"")</f>
        <v/>
      </c>
      <c r="D836" s="10" t="str">
        <f>_xlfn.IFNA(VLOOKUP($A836,CompChecksTrans!$A:$C,3,FALSE), "     ")</f>
        <v xml:space="preserve">     </v>
      </c>
    </row>
    <row r="837" spans="1:4" x14ac:dyDescent="0.25">
      <c r="A837" s="12" t="s">
        <v>6302</v>
      </c>
      <c r="C837" s="10" t="str">
        <f>_xlfn.IFNA(VLOOKUP(B837,Phase2!A$4:C$1000,3,FALSE),"")</f>
        <v/>
      </c>
      <c r="D837" s="10" t="str">
        <f>_xlfn.IFNA(VLOOKUP($A837,CompChecksTrans!$A:$C,3,FALSE), "     ")</f>
        <v xml:space="preserve">     </v>
      </c>
    </row>
    <row r="838" spans="1:4" x14ac:dyDescent="0.25">
      <c r="A838" s="12" t="s">
        <v>6303</v>
      </c>
      <c r="C838" s="10" t="str">
        <f>_xlfn.IFNA(VLOOKUP(B838,Phase2!A$4:C$1000,3,FALSE),"")</f>
        <v/>
      </c>
      <c r="D838" s="10" t="str">
        <f>_xlfn.IFNA(VLOOKUP($A838,CompChecksTrans!$A:$C,3,FALSE), "     ")</f>
        <v xml:space="preserve">     </v>
      </c>
    </row>
    <row r="839" spans="1:4" x14ac:dyDescent="0.25">
      <c r="A839" s="12" t="s">
        <v>6304</v>
      </c>
      <c r="C839" s="10" t="str">
        <f>_xlfn.IFNA(VLOOKUP(B839,Phase2!A$4:C$1000,3,FALSE),"")</f>
        <v/>
      </c>
      <c r="D839" s="10" t="str">
        <f>_xlfn.IFNA(VLOOKUP($A839,CompChecksTrans!$A:$C,3,FALSE), "     ")</f>
        <v xml:space="preserve">     </v>
      </c>
    </row>
    <row r="840" spans="1:4" x14ac:dyDescent="0.25">
      <c r="A840" s="12" t="s">
        <v>6305</v>
      </c>
      <c r="C840" s="10" t="str">
        <f>_xlfn.IFNA(VLOOKUP(B840,Phase2!A$4:C$1000,3,FALSE),"")</f>
        <v/>
      </c>
      <c r="D840" s="10" t="str">
        <f>_xlfn.IFNA(VLOOKUP($A840,CompChecksTrans!$A:$C,3,FALSE), "     ")</f>
        <v xml:space="preserve">     </v>
      </c>
    </row>
    <row r="841" spans="1:4" x14ac:dyDescent="0.25">
      <c r="A841" s="12" t="s">
        <v>6306</v>
      </c>
      <c r="C841" s="10" t="str">
        <f>_xlfn.IFNA(VLOOKUP(B841,Phase2!A$4:C$1000,3,FALSE),"")</f>
        <v/>
      </c>
      <c r="D841" s="10" t="str">
        <f>_xlfn.IFNA(VLOOKUP($A841,CompChecksTrans!$A:$C,3,FALSE), "     ")</f>
        <v xml:space="preserve">     </v>
      </c>
    </row>
    <row r="842" spans="1:4" x14ac:dyDescent="0.25">
      <c r="A842" s="12" t="s">
        <v>6307</v>
      </c>
      <c r="C842" s="10" t="str">
        <f>_xlfn.IFNA(VLOOKUP(B842,Phase2!A$4:C$1000,3,FALSE),"")</f>
        <v/>
      </c>
      <c r="D842" s="10" t="str">
        <f>_xlfn.IFNA(VLOOKUP($A842,CompChecksTrans!$A:$C,3,FALSE), "     ")</f>
        <v xml:space="preserve">     </v>
      </c>
    </row>
    <row r="843" spans="1:4" x14ac:dyDescent="0.25">
      <c r="A843" s="12" t="s">
        <v>6308</v>
      </c>
      <c r="C843" s="10" t="str">
        <f>_xlfn.IFNA(VLOOKUP(B843,Phase2!A$4:C$1000,3,FALSE),"")</f>
        <v/>
      </c>
      <c r="D843" s="10" t="str">
        <f>_xlfn.IFNA(VLOOKUP($A843,CompChecksTrans!$A:$C,3,FALSE), "     ")</f>
        <v xml:space="preserve">     </v>
      </c>
    </row>
    <row r="844" spans="1:4" x14ac:dyDescent="0.25">
      <c r="A844" s="12" t="s">
        <v>6309</v>
      </c>
      <c r="C844" s="10" t="str">
        <f>_xlfn.IFNA(VLOOKUP(B844,Phase2!A$4:C$1000,3,FALSE),"")</f>
        <v/>
      </c>
      <c r="D844" s="10" t="str">
        <f>_xlfn.IFNA(VLOOKUP($A844,CompChecksTrans!$A:$C,3,FALSE), "     ")</f>
        <v xml:space="preserve">     </v>
      </c>
    </row>
    <row r="845" spans="1:4" x14ac:dyDescent="0.25">
      <c r="A845" s="12" t="s">
        <v>6310</v>
      </c>
      <c r="C845" s="10" t="str">
        <f>_xlfn.IFNA(VLOOKUP(B845,Phase2!A$4:C$1000,3,FALSE),"")</f>
        <v/>
      </c>
      <c r="D845" s="10" t="str">
        <f>_xlfn.IFNA(VLOOKUP($A845,CompChecksTrans!$A:$C,3,FALSE), "     ")</f>
        <v xml:space="preserve">     </v>
      </c>
    </row>
    <row r="846" spans="1:4" x14ac:dyDescent="0.25">
      <c r="A846" s="12" t="s">
        <v>6311</v>
      </c>
      <c r="C846" s="10" t="str">
        <f>_xlfn.IFNA(VLOOKUP(B846,Phase2!A$4:C$1000,3,FALSE),"")</f>
        <v/>
      </c>
      <c r="D846" s="10" t="str">
        <f>_xlfn.IFNA(VLOOKUP($A846,CompChecksTrans!$A:$C,3,FALSE), "     ")</f>
        <v xml:space="preserve">     </v>
      </c>
    </row>
    <row r="847" spans="1:4" x14ac:dyDescent="0.25">
      <c r="A847" s="12" t="s">
        <v>6312</v>
      </c>
      <c r="C847" s="10" t="str">
        <f>_xlfn.IFNA(VLOOKUP(B847,Phase2!A$4:C$1000,3,FALSE),"")</f>
        <v/>
      </c>
      <c r="D847" s="10" t="str">
        <f>_xlfn.IFNA(VLOOKUP($A847,CompChecksTrans!$A:$C,3,FALSE), "     ")</f>
        <v xml:space="preserve">     </v>
      </c>
    </row>
    <row r="848" spans="1:4" x14ac:dyDescent="0.25">
      <c r="A848" s="12" t="s">
        <v>6313</v>
      </c>
      <c r="C848" s="10" t="str">
        <f>_xlfn.IFNA(VLOOKUP(B848,Phase2!A$4:C$1000,3,FALSE),"")</f>
        <v/>
      </c>
      <c r="D848" s="10" t="str">
        <f>_xlfn.IFNA(VLOOKUP($A848,CompChecksTrans!$A:$C,3,FALSE), "     ")</f>
        <v xml:space="preserve">     </v>
      </c>
    </row>
    <row r="849" spans="1:4" x14ac:dyDescent="0.25">
      <c r="A849" s="12" t="s">
        <v>6314</v>
      </c>
      <c r="C849" s="10" t="str">
        <f>_xlfn.IFNA(VLOOKUP(B849,Phase2!A$4:C$1000,3,FALSE),"")</f>
        <v/>
      </c>
      <c r="D849" s="10" t="str">
        <f>_xlfn.IFNA(VLOOKUP($A849,CompChecksTrans!$A:$C,3,FALSE), "     ")</f>
        <v xml:space="preserve">     </v>
      </c>
    </row>
    <row r="850" spans="1:4" x14ac:dyDescent="0.25">
      <c r="A850" s="12" t="s">
        <v>6315</v>
      </c>
      <c r="C850" s="10" t="str">
        <f>_xlfn.IFNA(VLOOKUP(B850,Phase2!A$4:C$1000,3,FALSE),"")</f>
        <v/>
      </c>
      <c r="D850" s="10" t="str">
        <f>_xlfn.IFNA(VLOOKUP($A850,CompChecksTrans!$A:$C,3,FALSE), "     ")</f>
        <v xml:space="preserve">     </v>
      </c>
    </row>
    <row r="851" spans="1:4" x14ac:dyDescent="0.25">
      <c r="A851" s="12" t="s">
        <v>6316</v>
      </c>
      <c r="C851" s="10" t="str">
        <f>_xlfn.IFNA(VLOOKUP(B851,Phase2!A$4:C$1000,3,FALSE),"")</f>
        <v/>
      </c>
      <c r="D851" s="10" t="str">
        <f>_xlfn.IFNA(VLOOKUP($A851,CompChecksTrans!$A:$C,3,FALSE), "     ")</f>
        <v xml:space="preserve">     </v>
      </c>
    </row>
    <row r="852" spans="1:4" x14ac:dyDescent="0.25">
      <c r="A852" s="12" t="s">
        <v>6317</v>
      </c>
      <c r="C852" s="10" t="str">
        <f>_xlfn.IFNA(VLOOKUP(B852,Phase2!A$4:C$1000,3,FALSE),"")</f>
        <v/>
      </c>
      <c r="D852" s="10" t="str">
        <f>_xlfn.IFNA(VLOOKUP($A852,CompChecksTrans!$A:$C,3,FALSE), "     ")</f>
        <v xml:space="preserve">     </v>
      </c>
    </row>
    <row r="853" spans="1:4" x14ac:dyDescent="0.25">
      <c r="A853" s="12" t="s">
        <v>6318</v>
      </c>
      <c r="C853" s="10" t="str">
        <f>_xlfn.IFNA(VLOOKUP(B853,Phase2!A$4:C$1000,3,FALSE),"")</f>
        <v/>
      </c>
      <c r="D853" s="10" t="str">
        <f>_xlfn.IFNA(VLOOKUP($A853,CompChecksTrans!$A:$C,3,FALSE), "     ")</f>
        <v xml:space="preserve">     </v>
      </c>
    </row>
    <row r="854" spans="1:4" x14ac:dyDescent="0.25">
      <c r="A854" s="12" t="s">
        <v>6319</v>
      </c>
      <c r="C854" s="10" t="str">
        <f>_xlfn.IFNA(VLOOKUP(B854,Phase2!A$4:C$1000,3,FALSE),"")</f>
        <v/>
      </c>
      <c r="D854" s="10" t="str">
        <f>_xlfn.IFNA(VLOOKUP($A854,CompChecksTrans!$A:$C,3,FALSE), "     ")</f>
        <v xml:space="preserve">     </v>
      </c>
    </row>
    <row r="855" spans="1:4" x14ac:dyDescent="0.25">
      <c r="A855" s="12" t="s">
        <v>6320</v>
      </c>
      <c r="C855" s="10" t="str">
        <f>_xlfn.IFNA(VLOOKUP(B855,Phase2!A$4:C$1000,3,FALSE),"")</f>
        <v/>
      </c>
      <c r="D855" s="10" t="str">
        <f>_xlfn.IFNA(VLOOKUP($A855,CompChecksTrans!$A:$C,3,FALSE), "     ")</f>
        <v xml:space="preserve">     </v>
      </c>
    </row>
    <row r="856" spans="1:4" x14ac:dyDescent="0.25">
      <c r="A856" s="12" t="s">
        <v>6321</v>
      </c>
      <c r="C856" s="10" t="str">
        <f>_xlfn.IFNA(VLOOKUP(B856,Phase2!A$4:C$1000,3,FALSE),"")</f>
        <v/>
      </c>
      <c r="D856" s="10" t="str">
        <f>_xlfn.IFNA(VLOOKUP($A856,CompChecksTrans!$A:$C,3,FALSE), "     ")</f>
        <v xml:space="preserve">     </v>
      </c>
    </row>
    <row r="857" spans="1:4" x14ac:dyDescent="0.25">
      <c r="A857" s="12" t="s">
        <v>6322</v>
      </c>
      <c r="C857" s="10" t="str">
        <f>_xlfn.IFNA(VLOOKUP(B857,Phase2!A$4:C$1000,3,FALSE),"")</f>
        <v/>
      </c>
      <c r="D857" s="10" t="str">
        <f>_xlfn.IFNA(VLOOKUP($A857,CompChecksTrans!$A:$C,3,FALSE), "     ")</f>
        <v xml:space="preserve">     </v>
      </c>
    </row>
    <row r="858" spans="1:4" x14ac:dyDescent="0.25">
      <c r="A858" s="12" t="s">
        <v>6323</v>
      </c>
      <c r="C858" s="10" t="str">
        <f>_xlfn.IFNA(VLOOKUP(B858,Phase2!A$4:C$1000,3,FALSE),"")</f>
        <v/>
      </c>
      <c r="D858" s="10" t="str">
        <f>_xlfn.IFNA(VLOOKUP($A858,CompChecksTrans!$A:$C,3,FALSE), "     ")</f>
        <v xml:space="preserve">     </v>
      </c>
    </row>
    <row r="859" spans="1:4" x14ac:dyDescent="0.25">
      <c r="A859" s="12" t="s">
        <v>6324</v>
      </c>
      <c r="C859" s="10" t="str">
        <f>_xlfn.IFNA(VLOOKUP(B859,Phase2!A$4:C$1000,3,FALSE),"")</f>
        <v/>
      </c>
      <c r="D859" s="10" t="str">
        <f>_xlfn.IFNA(VLOOKUP($A859,CompChecksTrans!$A:$C,3,FALSE), "     ")</f>
        <v xml:space="preserve">     </v>
      </c>
    </row>
    <row r="860" spans="1:4" x14ac:dyDescent="0.25">
      <c r="A860" s="12" t="s">
        <v>6325</v>
      </c>
      <c r="C860" s="10" t="str">
        <f>_xlfn.IFNA(VLOOKUP(B860,Phase2!A$4:C$1000,3,FALSE),"")</f>
        <v/>
      </c>
      <c r="D860" s="10" t="str">
        <f>_xlfn.IFNA(VLOOKUP($A860,CompChecksTrans!$A:$C,3,FALSE), "     ")</f>
        <v xml:space="preserve">     </v>
      </c>
    </row>
    <row r="861" spans="1:4" x14ac:dyDescent="0.25">
      <c r="A861" s="12" t="s">
        <v>6326</v>
      </c>
      <c r="C861" s="10" t="str">
        <f>_xlfn.IFNA(VLOOKUP(B861,Phase2!A$4:C$1000,3,FALSE),"")</f>
        <v/>
      </c>
      <c r="D861" s="10" t="str">
        <f>_xlfn.IFNA(VLOOKUP($A861,CompChecksTrans!$A:$C,3,FALSE), "     ")</f>
        <v xml:space="preserve">     </v>
      </c>
    </row>
    <row r="862" spans="1:4" x14ac:dyDescent="0.25">
      <c r="A862" s="12" t="s">
        <v>6327</v>
      </c>
      <c r="C862" s="10" t="str">
        <f>_xlfn.IFNA(VLOOKUP(B862,Phase2!A$4:C$1000,3,FALSE),"")</f>
        <v/>
      </c>
      <c r="D862" s="10" t="str">
        <f>_xlfn.IFNA(VLOOKUP($A862,CompChecksTrans!$A:$C,3,FALSE), "     ")</f>
        <v xml:space="preserve">     </v>
      </c>
    </row>
    <row r="863" spans="1:4" x14ac:dyDescent="0.25">
      <c r="A863" s="12" t="s">
        <v>6328</v>
      </c>
      <c r="C863" s="10" t="str">
        <f>_xlfn.IFNA(VLOOKUP(B863,Phase2!A$4:C$1000,3,FALSE),"")</f>
        <v/>
      </c>
      <c r="D863" s="10" t="str">
        <f>_xlfn.IFNA(VLOOKUP($A863,CompChecksTrans!$A:$C,3,FALSE), "     ")</f>
        <v xml:space="preserve">     </v>
      </c>
    </row>
    <row r="864" spans="1:4" x14ac:dyDescent="0.25">
      <c r="A864" s="12" t="s">
        <v>6329</v>
      </c>
      <c r="C864" s="10" t="str">
        <f>_xlfn.IFNA(VLOOKUP(B864,Phase2!A$4:C$1000,3,FALSE),"")</f>
        <v/>
      </c>
      <c r="D864" s="10" t="str">
        <f>_xlfn.IFNA(VLOOKUP($A864,CompChecksTrans!$A:$C,3,FALSE), "     ")</f>
        <v xml:space="preserve">     </v>
      </c>
    </row>
    <row r="865" spans="1:4" x14ac:dyDescent="0.25">
      <c r="A865" s="12" t="s">
        <v>6330</v>
      </c>
      <c r="C865" s="10" t="str">
        <f>_xlfn.IFNA(VLOOKUP(B865,Phase2!A$4:C$1000,3,FALSE),"")</f>
        <v/>
      </c>
      <c r="D865" s="10" t="str">
        <f>_xlfn.IFNA(VLOOKUP($A865,CompChecksTrans!$A:$C,3,FALSE), "     ")</f>
        <v xml:space="preserve">     </v>
      </c>
    </row>
    <row r="866" spans="1:4" x14ac:dyDescent="0.25">
      <c r="A866" s="12" t="s">
        <v>6331</v>
      </c>
      <c r="C866" s="10" t="str">
        <f>_xlfn.IFNA(VLOOKUP(B866,Phase2!A$4:C$1000,3,FALSE),"")</f>
        <v/>
      </c>
      <c r="D866" s="10" t="str">
        <f>_xlfn.IFNA(VLOOKUP($A866,CompChecksTrans!$A:$C,3,FALSE), "     ")</f>
        <v xml:space="preserve">     </v>
      </c>
    </row>
    <row r="867" spans="1:4" x14ac:dyDescent="0.25">
      <c r="A867" s="12" t="s">
        <v>6332</v>
      </c>
      <c r="C867" s="10" t="str">
        <f>_xlfn.IFNA(VLOOKUP(B867,Phase2!A$4:C$1000,3,FALSE),"")</f>
        <v/>
      </c>
      <c r="D867" s="10" t="str">
        <f>_xlfn.IFNA(VLOOKUP($A867,CompChecksTrans!$A:$C,3,FALSE), "     ")</f>
        <v xml:space="preserve">     </v>
      </c>
    </row>
    <row r="868" spans="1:4" x14ac:dyDescent="0.25">
      <c r="A868" s="12" t="s">
        <v>6333</v>
      </c>
      <c r="C868" s="10" t="str">
        <f>_xlfn.IFNA(VLOOKUP(B868,Phase2!A$4:C$1000,3,FALSE),"")</f>
        <v/>
      </c>
      <c r="D868" s="10" t="str">
        <f>_xlfn.IFNA(VLOOKUP($A868,CompChecksTrans!$A:$C,3,FALSE), "     ")</f>
        <v xml:space="preserve">     </v>
      </c>
    </row>
    <row r="869" spans="1:4" x14ac:dyDescent="0.25">
      <c r="A869" s="12" t="s">
        <v>6334</v>
      </c>
      <c r="C869" s="10" t="str">
        <f>_xlfn.IFNA(VLOOKUP(B869,Phase2!A$4:C$1000,3,FALSE),"")</f>
        <v/>
      </c>
      <c r="D869" s="10" t="str">
        <f>_xlfn.IFNA(VLOOKUP($A869,CompChecksTrans!$A:$C,3,FALSE), "     ")</f>
        <v xml:space="preserve">     </v>
      </c>
    </row>
    <row r="870" spans="1:4" x14ac:dyDescent="0.25">
      <c r="A870" s="12" t="s">
        <v>6335</v>
      </c>
      <c r="C870" s="10" t="str">
        <f>_xlfn.IFNA(VLOOKUP(B870,Phase2!A$4:C$1000,3,FALSE),"")</f>
        <v/>
      </c>
      <c r="D870" s="10" t="str">
        <f>_xlfn.IFNA(VLOOKUP($A870,CompChecksTrans!$A:$C,3,FALSE), "     ")</f>
        <v xml:space="preserve">     </v>
      </c>
    </row>
    <row r="871" spans="1:4" x14ac:dyDescent="0.25">
      <c r="A871" s="12" t="s">
        <v>6336</v>
      </c>
      <c r="C871" s="10" t="str">
        <f>_xlfn.IFNA(VLOOKUP(B871,Phase2!A$4:C$1000,3,FALSE),"")</f>
        <v/>
      </c>
      <c r="D871" s="10" t="str">
        <f>_xlfn.IFNA(VLOOKUP($A871,CompChecksTrans!$A:$C,3,FALSE), "     ")</f>
        <v xml:space="preserve">     </v>
      </c>
    </row>
    <row r="872" spans="1:4" x14ac:dyDescent="0.25">
      <c r="A872" s="12" t="s">
        <v>6337</v>
      </c>
      <c r="C872" s="10" t="str">
        <f>_xlfn.IFNA(VLOOKUP(B872,Phase2!A$4:C$1000,3,FALSE),"")</f>
        <v/>
      </c>
      <c r="D872" s="10" t="str">
        <f>_xlfn.IFNA(VLOOKUP($A872,CompChecksTrans!$A:$C,3,FALSE), "     ")</f>
        <v xml:space="preserve">     </v>
      </c>
    </row>
    <row r="873" spans="1:4" x14ac:dyDescent="0.25">
      <c r="A873" s="12" t="s">
        <v>6338</v>
      </c>
      <c r="C873" s="10" t="str">
        <f>_xlfn.IFNA(VLOOKUP(B873,Phase2!A$4:C$1000,3,FALSE),"")</f>
        <v/>
      </c>
      <c r="D873" s="10" t="str">
        <f>_xlfn.IFNA(VLOOKUP($A873,CompChecksTrans!$A:$C,3,FALSE), "     ")</f>
        <v xml:space="preserve">     </v>
      </c>
    </row>
    <row r="874" spans="1:4" x14ac:dyDescent="0.25">
      <c r="A874" s="12" t="s">
        <v>6339</v>
      </c>
      <c r="C874" s="10" t="str">
        <f>_xlfn.IFNA(VLOOKUP(B874,Phase2!A$4:C$1000,3,FALSE),"")</f>
        <v/>
      </c>
      <c r="D874" s="10" t="str">
        <f>_xlfn.IFNA(VLOOKUP($A874,CompChecksTrans!$A:$C,3,FALSE), "     ")</f>
        <v xml:space="preserve">     </v>
      </c>
    </row>
    <row r="875" spans="1:4" x14ac:dyDescent="0.25">
      <c r="A875" s="12" t="s">
        <v>6340</v>
      </c>
      <c r="C875" s="10" t="str">
        <f>_xlfn.IFNA(VLOOKUP(B875,Phase2!A$4:C$1000,3,FALSE),"")</f>
        <v/>
      </c>
      <c r="D875" s="10" t="str">
        <f>_xlfn.IFNA(VLOOKUP($A875,CompChecksTrans!$A:$C,3,FALSE), "     ")</f>
        <v xml:space="preserve">     </v>
      </c>
    </row>
    <row r="876" spans="1:4" x14ac:dyDescent="0.25">
      <c r="A876" s="12" t="s">
        <v>6341</v>
      </c>
      <c r="C876" s="10" t="str">
        <f>_xlfn.IFNA(VLOOKUP(B876,Phase2!A$4:C$1000,3,FALSE),"")</f>
        <v/>
      </c>
      <c r="D876" s="10" t="str">
        <f>_xlfn.IFNA(VLOOKUP($A876,CompChecksTrans!$A:$C,3,FALSE), "     ")</f>
        <v xml:space="preserve">     </v>
      </c>
    </row>
    <row r="877" spans="1:4" x14ac:dyDescent="0.25">
      <c r="A877" s="12" t="s">
        <v>6342</v>
      </c>
      <c r="C877" s="10" t="str">
        <f>_xlfn.IFNA(VLOOKUP(B877,Phase2!A$4:C$1000,3,FALSE),"")</f>
        <v/>
      </c>
      <c r="D877" s="10" t="str">
        <f>_xlfn.IFNA(VLOOKUP($A877,CompChecksTrans!$A:$C,3,FALSE), "     ")</f>
        <v xml:space="preserve">     </v>
      </c>
    </row>
    <row r="878" spans="1:4" x14ac:dyDescent="0.25">
      <c r="A878" s="12" t="s">
        <v>6343</v>
      </c>
      <c r="C878" s="10" t="str">
        <f>_xlfn.IFNA(VLOOKUP(B878,Phase2!A$4:C$1000,3,FALSE),"")</f>
        <v/>
      </c>
      <c r="D878" s="10" t="str">
        <f>_xlfn.IFNA(VLOOKUP($A878,CompChecksTrans!$A:$C,3,FALSE), "     ")</f>
        <v xml:space="preserve">     </v>
      </c>
    </row>
    <row r="879" spans="1:4" x14ac:dyDescent="0.25">
      <c r="A879" s="12" t="s">
        <v>6344</v>
      </c>
      <c r="C879" s="10" t="str">
        <f>_xlfn.IFNA(VLOOKUP(B879,Phase2!A$4:C$1000,3,FALSE),"")</f>
        <v/>
      </c>
      <c r="D879" s="10" t="str">
        <f>_xlfn.IFNA(VLOOKUP($A879,CompChecksTrans!$A:$C,3,FALSE), "     ")</f>
        <v xml:space="preserve">     </v>
      </c>
    </row>
    <row r="880" spans="1:4" x14ac:dyDescent="0.25">
      <c r="A880" s="12" t="s">
        <v>6345</v>
      </c>
      <c r="C880" s="10" t="str">
        <f>_xlfn.IFNA(VLOOKUP(B880,Phase2!A$4:C$1000,3,FALSE),"")</f>
        <v/>
      </c>
      <c r="D880" s="10" t="str">
        <f>_xlfn.IFNA(VLOOKUP($A880,CompChecksTrans!$A:$C,3,FALSE), "     ")</f>
        <v xml:space="preserve">     </v>
      </c>
    </row>
    <row r="881" spans="1:4" x14ac:dyDescent="0.25">
      <c r="A881" s="12" t="s">
        <v>6346</v>
      </c>
      <c r="C881" s="10" t="str">
        <f>_xlfn.IFNA(VLOOKUP(B881,Phase2!A$4:C$1000,3,FALSE),"")</f>
        <v/>
      </c>
      <c r="D881" s="10" t="str">
        <f>_xlfn.IFNA(VLOOKUP($A881,CompChecksTrans!$A:$C,3,FALSE), "     ")</f>
        <v xml:space="preserve">     </v>
      </c>
    </row>
    <row r="882" spans="1:4" x14ac:dyDescent="0.25">
      <c r="A882" s="12" t="s">
        <v>6347</v>
      </c>
      <c r="C882" s="10" t="str">
        <f>_xlfn.IFNA(VLOOKUP(B882,Phase2!A$4:C$1000,3,FALSE),"")</f>
        <v/>
      </c>
      <c r="D882" s="10" t="str">
        <f>_xlfn.IFNA(VLOOKUP($A882,CompChecksTrans!$A:$C,3,FALSE), "     ")</f>
        <v xml:space="preserve">     </v>
      </c>
    </row>
    <row r="883" spans="1:4" x14ac:dyDescent="0.25">
      <c r="A883" s="12" t="s">
        <v>6348</v>
      </c>
      <c r="C883" s="10" t="str">
        <f>_xlfn.IFNA(VLOOKUP(B883,Phase2!A$4:C$1000,3,FALSE),"")</f>
        <v/>
      </c>
      <c r="D883" s="10" t="str">
        <f>_xlfn.IFNA(VLOOKUP($A883,CompChecksTrans!$A:$C,3,FALSE), "     ")</f>
        <v xml:space="preserve">     </v>
      </c>
    </row>
    <row r="884" spans="1:4" x14ac:dyDescent="0.25">
      <c r="A884" s="12" t="s">
        <v>6349</v>
      </c>
      <c r="C884" s="10" t="str">
        <f>_xlfn.IFNA(VLOOKUP(B884,Phase2!A$4:C$1000,3,FALSE),"")</f>
        <v/>
      </c>
      <c r="D884" s="10" t="str">
        <f>_xlfn.IFNA(VLOOKUP($A884,CompChecksTrans!$A:$C,3,FALSE), "     ")</f>
        <v xml:space="preserve">     </v>
      </c>
    </row>
    <row r="885" spans="1:4" x14ac:dyDescent="0.25">
      <c r="A885" s="12" t="s">
        <v>6350</v>
      </c>
      <c r="C885" s="10" t="str">
        <f>_xlfn.IFNA(VLOOKUP(B885,Phase2!A$4:C$1000,3,FALSE),"")</f>
        <v/>
      </c>
      <c r="D885" s="10" t="str">
        <f>_xlfn.IFNA(VLOOKUP($A885,CompChecksTrans!$A:$C,3,FALSE), "     ")</f>
        <v xml:space="preserve">     </v>
      </c>
    </row>
    <row r="886" spans="1:4" x14ac:dyDescent="0.25">
      <c r="A886" s="12" t="s">
        <v>6351</v>
      </c>
      <c r="C886" s="10" t="str">
        <f>_xlfn.IFNA(VLOOKUP(B886,Phase2!A$4:C$1000,3,FALSE),"")</f>
        <v/>
      </c>
      <c r="D886" s="10" t="str">
        <f>_xlfn.IFNA(VLOOKUP($A886,CompChecksTrans!$A:$C,3,FALSE), "     ")</f>
        <v xml:space="preserve">     </v>
      </c>
    </row>
    <row r="887" spans="1:4" x14ac:dyDescent="0.25">
      <c r="A887" s="12" t="s">
        <v>6352</v>
      </c>
      <c r="C887" s="10" t="str">
        <f>_xlfn.IFNA(VLOOKUP(B887,Phase2!A$4:C$1000,3,FALSE),"")</f>
        <v/>
      </c>
      <c r="D887" s="10" t="str">
        <f>_xlfn.IFNA(VLOOKUP($A887,CompChecksTrans!$A:$C,3,FALSE), "     ")</f>
        <v xml:space="preserve">     </v>
      </c>
    </row>
    <row r="888" spans="1:4" x14ac:dyDescent="0.25">
      <c r="A888" s="12" t="s">
        <v>6353</v>
      </c>
      <c r="C888" s="10" t="str">
        <f>_xlfn.IFNA(VLOOKUP(B888,Phase2!A$4:C$1000,3,FALSE),"")</f>
        <v/>
      </c>
      <c r="D888" s="10" t="str">
        <f>_xlfn.IFNA(VLOOKUP($A888,CompChecksTrans!$A:$C,3,FALSE), "     ")</f>
        <v xml:space="preserve">     </v>
      </c>
    </row>
    <row r="889" spans="1:4" x14ac:dyDescent="0.25">
      <c r="A889" s="12" t="s">
        <v>6354</v>
      </c>
      <c r="C889" s="10" t="str">
        <f>_xlfn.IFNA(VLOOKUP(B889,Phase2!A$4:C$1000,3,FALSE),"")</f>
        <v/>
      </c>
      <c r="D889" s="10" t="str">
        <f>_xlfn.IFNA(VLOOKUP($A889,CompChecksTrans!$A:$C,3,FALSE), "     ")</f>
        <v xml:space="preserve">     </v>
      </c>
    </row>
    <row r="890" spans="1:4" x14ac:dyDescent="0.25">
      <c r="A890" s="12" t="s">
        <v>6355</v>
      </c>
      <c r="C890" s="10" t="str">
        <f>_xlfn.IFNA(VLOOKUP(B890,Phase2!A$4:C$1000,3,FALSE),"")</f>
        <v/>
      </c>
      <c r="D890" s="10" t="str">
        <f>_xlfn.IFNA(VLOOKUP($A890,CompChecksTrans!$A:$C,3,FALSE), "     ")</f>
        <v xml:space="preserve">     </v>
      </c>
    </row>
    <row r="891" spans="1:4" x14ac:dyDescent="0.25">
      <c r="A891" s="12" t="s">
        <v>6356</v>
      </c>
      <c r="C891" s="10" t="str">
        <f>_xlfn.IFNA(VLOOKUP(B891,Phase2!A$4:C$1000,3,FALSE),"")</f>
        <v/>
      </c>
      <c r="D891" s="10" t="str">
        <f>_xlfn.IFNA(VLOOKUP($A891,CompChecksTrans!$A:$C,3,FALSE), "     ")</f>
        <v xml:space="preserve">     </v>
      </c>
    </row>
    <row r="892" spans="1:4" x14ac:dyDescent="0.25">
      <c r="A892" s="12" t="s">
        <v>6357</v>
      </c>
      <c r="C892" s="10" t="str">
        <f>_xlfn.IFNA(VLOOKUP(B892,Phase2!A$4:C$1000,3,FALSE),"")</f>
        <v/>
      </c>
      <c r="D892" s="10" t="str">
        <f>_xlfn.IFNA(VLOOKUP($A892,CompChecksTrans!$A:$C,3,FALSE), "     ")</f>
        <v xml:space="preserve">     </v>
      </c>
    </row>
    <row r="893" spans="1:4" x14ac:dyDescent="0.25">
      <c r="A893" s="12" t="s">
        <v>6358</v>
      </c>
      <c r="C893" s="10" t="str">
        <f>_xlfn.IFNA(VLOOKUP(B893,Phase2!A$4:C$1000,3,FALSE),"")</f>
        <v/>
      </c>
      <c r="D893" s="10" t="str">
        <f>_xlfn.IFNA(VLOOKUP($A893,CompChecksTrans!$A:$C,3,FALSE), "     ")</f>
        <v xml:space="preserve">     </v>
      </c>
    </row>
    <row r="894" spans="1:4" x14ac:dyDescent="0.25">
      <c r="A894" s="12" t="s">
        <v>6359</v>
      </c>
      <c r="C894" s="10" t="str">
        <f>_xlfn.IFNA(VLOOKUP(B894,Phase2!A$4:C$1000,3,FALSE),"")</f>
        <v/>
      </c>
      <c r="D894" s="10" t="str">
        <f>_xlfn.IFNA(VLOOKUP($A894,CompChecksTrans!$A:$C,3,FALSE), "     ")</f>
        <v xml:space="preserve">     </v>
      </c>
    </row>
    <row r="895" spans="1:4" x14ac:dyDescent="0.25">
      <c r="A895" s="12" t="s">
        <v>6360</v>
      </c>
      <c r="C895" s="10" t="str">
        <f>_xlfn.IFNA(VLOOKUP(B895,Phase2!A$4:C$1000,3,FALSE),"")</f>
        <v/>
      </c>
      <c r="D895" s="10" t="str">
        <f>_xlfn.IFNA(VLOOKUP($A895,CompChecksTrans!$A:$C,3,FALSE), "     ")</f>
        <v xml:space="preserve">     </v>
      </c>
    </row>
    <row r="896" spans="1:4" x14ac:dyDescent="0.25">
      <c r="A896" s="12" t="s">
        <v>6361</v>
      </c>
      <c r="C896" s="10" t="str">
        <f>_xlfn.IFNA(VLOOKUP(B896,Phase2!A$4:C$1000,3,FALSE),"")</f>
        <v/>
      </c>
      <c r="D896" s="10" t="str">
        <f>_xlfn.IFNA(VLOOKUP($A896,CompChecksTrans!$A:$C,3,FALSE), "     ")</f>
        <v xml:space="preserve">     </v>
      </c>
    </row>
    <row r="897" spans="1:4" x14ac:dyDescent="0.25">
      <c r="A897" s="12" t="s">
        <v>6362</v>
      </c>
      <c r="C897" s="10" t="str">
        <f>_xlfn.IFNA(VLOOKUP(B897,Phase2!A$4:C$1000,3,FALSE),"")</f>
        <v/>
      </c>
      <c r="D897" s="10" t="str">
        <f>_xlfn.IFNA(VLOOKUP($A897,CompChecksTrans!$A:$C,3,FALSE), "     ")</f>
        <v xml:space="preserve">     </v>
      </c>
    </row>
    <row r="898" spans="1:4" x14ac:dyDescent="0.25">
      <c r="A898" s="12" t="s">
        <v>6363</v>
      </c>
      <c r="C898" s="10" t="str">
        <f>_xlfn.IFNA(VLOOKUP(B898,Phase2!A$4:C$1000,3,FALSE),"")</f>
        <v/>
      </c>
      <c r="D898" s="10" t="str">
        <f>_xlfn.IFNA(VLOOKUP($A898,CompChecksTrans!$A:$C,3,FALSE), "     ")</f>
        <v xml:space="preserve">     </v>
      </c>
    </row>
    <row r="899" spans="1:4" x14ac:dyDescent="0.25">
      <c r="A899" s="12" t="s">
        <v>6364</v>
      </c>
      <c r="C899" s="10" t="str">
        <f>_xlfn.IFNA(VLOOKUP(B899,Phase2!A$4:C$1000,3,FALSE),"")</f>
        <v/>
      </c>
      <c r="D899" s="10" t="str">
        <f>_xlfn.IFNA(VLOOKUP($A899,CompChecksTrans!$A:$C,3,FALSE), "     ")</f>
        <v xml:space="preserve">     </v>
      </c>
    </row>
    <row r="900" spans="1:4" x14ac:dyDescent="0.25">
      <c r="A900" s="12" t="s">
        <v>6365</v>
      </c>
      <c r="C900" s="10" t="str">
        <f>_xlfn.IFNA(VLOOKUP(B900,Phase2!A$4:C$1000,3,FALSE),"")</f>
        <v/>
      </c>
      <c r="D900" s="10" t="str">
        <f>_xlfn.IFNA(VLOOKUP($A900,CompChecksTrans!$A:$C,3,FALSE), "     ")</f>
        <v xml:space="preserve">     </v>
      </c>
    </row>
    <row r="901" spans="1:4" x14ac:dyDescent="0.25">
      <c r="A901" s="12" t="s">
        <v>6366</v>
      </c>
      <c r="C901" s="10" t="str">
        <f>_xlfn.IFNA(VLOOKUP(B901,Phase2!A$4:C$1000,3,FALSE),"")</f>
        <v/>
      </c>
      <c r="D901" s="10" t="str">
        <f>_xlfn.IFNA(VLOOKUP($A901,CompChecksTrans!$A:$C,3,FALSE), "     ")</f>
        <v xml:space="preserve">     </v>
      </c>
    </row>
    <row r="902" spans="1:4" x14ac:dyDescent="0.25">
      <c r="A902" s="12" t="s">
        <v>6367</v>
      </c>
      <c r="C902" s="10" t="str">
        <f>_xlfn.IFNA(VLOOKUP(B902,Phase2!A$4:C$1000,3,FALSE),"")</f>
        <v/>
      </c>
      <c r="D902" s="10" t="str">
        <f>_xlfn.IFNA(VLOOKUP($A902,CompChecksTrans!$A:$C,3,FALSE), "     ")</f>
        <v xml:space="preserve">     </v>
      </c>
    </row>
    <row r="903" spans="1:4" x14ac:dyDescent="0.25">
      <c r="A903" s="12" t="s">
        <v>6368</v>
      </c>
      <c r="C903" s="10" t="str">
        <f>_xlfn.IFNA(VLOOKUP(B903,Phase2!A$4:C$1000,3,FALSE),"")</f>
        <v/>
      </c>
      <c r="D903" s="10" t="str">
        <f>_xlfn.IFNA(VLOOKUP($A903,CompChecksTrans!$A:$C,3,FALSE), "     ")</f>
        <v xml:space="preserve">     </v>
      </c>
    </row>
    <row r="904" spans="1:4" x14ac:dyDescent="0.25">
      <c r="A904" s="12" t="s">
        <v>6369</v>
      </c>
      <c r="C904" s="10" t="str">
        <f>_xlfn.IFNA(VLOOKUP(B904,Phase2!A$4:C$1000,3,FALSE),"")</f>
        <v/>
      </c>
      <c r="D904" s="10" t="str">
        <f>_xlfn.IFNA(VLOOKUP($A904,CompChecksTrans!$A:$C,3,FALSE), "     ")</f>
        <v xml:space="preserve">     </v>
      </c>
    </row>
    <row r="905" spans="1:4" x14ac:dyDescent="0.25">
      <c r="A905" s="12" t="s">
        <v>6370</v>
      </c>
      <c r="C905" s="10" t="str">
        <f>_xlfn.IFNA(VLOOKUP(B905,Phase2!A$4:C$1000,3,FALSE),"")</f>
        <v/>
      </c>
      <c r="D905" s="10" t="str">
        <f>_xlfn.IFNA(VLOOKUP($A905,CompChecksTrans!$A:$C,3,FALSE), "     ")</f>
        <v xml:space="preserve">     </v>
      </c>
    </row>
    <row r="906" spans="1:4" x14ac:dyDescent="0.25">
      <c r="A906" s="12" t="s">
        <v>6371</v>
      </c>
      <c r="C906" s="10" t="str">
        <f>_xlfn.IFNA(VLOOKUP(B906,Phase2!A$4:C$1000,3,FALSE),"")</f>
        <v/>
      </c>
      <c r="D906" s="10" t="str">
        <f>_xlfn.IFNA(VLOOKUP($A906,CompChecksTrans!$A:$C,3,FALSE), "     ")</f>
        <v xml:space="preserve">     </v>
      </c>
    </row>
    <row r="907" spans="1:4" x14ac:dyDescent="0.25">
      <c r="A907" s="12" t="s">
        <v>6372</v>
      </c>
      <c r="C907" s="10" t="str">
        <f>_xlfn.IFNA(VLOOKUP(B907,Phase2!A$4:C$1000,3,FALSE),"")</f>
        <v/>
      </c>
      <c r="D907" s="10" t="str">
        <f>_xlfn.IFNA(VLOOKUP($A907,CompChecksTrans!$A:$C,3,FALSE), "     ")</f>
        <v xml:space="preserve">     </v>
      </c>
    </row>
    <row r="908" spans="1:4" x14ac:dyDescent="0.25">
      <c r="A908" s="12" t="s">
        <v>6373</v>
      </c>
      <c r="C908" s="10" t="str">
        <f>_xlfn.IFNA(VLOOKUP(B908,Phase2!A$4:C$1000,3,FALSE),"")</f>
        <v/>
      </c>
      <c r="D908" s="10" t="str">
        <f>_xlfn.IFNA(VLOOKUP($A908,CompChecksTrans!$A:$C,3,FALSE), "     ")</f>
        <v xml:space="preserve">     </v>
      </c>
    </row>
    <row r="909" spans="1:4" x14ac:dyDescent="0.25">
      <c r="A909" s="12" t="s">
        <v>6374</v>
      </c>
      <c r="C909" s="10" t="str">
        <f>_xlfn.IFNA(VLOOKUP(B909,Phase2!A$4:C$1000,3,FALSE),"")</f>
        <v/>
      </c>
      <c r="D909" s="10" t="str">
        <f>_xlfn.IFNA(VLOOKUP($A909,CompChecksTrans!$A:$C,3,FALSE), "     ")</f>
        <v xml:space="preserve">     </v>
      </c>
    </row>
    <row r="910" spans="1:4" x14ac:dyDescent="0.25">
      <c r="A910" s="12" t="s">
        <v>6375</v>
      </c>
      <c r="C910" s="10" t="str">
        <f>_xlfn.IFNA(VLOOKUP(B910,Phase2!A$4:C$1000,3,FALSE),"")</f>
        <v/>
      </c>
      <c r="D910" s="10" t="str">
        <f>_xlfn.IFNA(VLOOKUP($A910,CompChecksTrans!$A:$C,3,FALSE), "     ")</f>
        <v xml:space="preserve">     </v>
      </c>
    </row>
    <row r="911" spans="1:4" x14ac:dyDescent="0.25">
      <c r="A911" s="12" t="s">
        <v>6376</v>
      </c>
      <c r="C911" s="10" t="str">
        <f>_xlfn.IFNA(VLOOKUP(B911,Phase2!A$4:C$1000,3,FALSE),"")</f>
        <v/>
      </c>
      <c r="D911" s="10" t="str">
        <f>_xlfn.IFNA(VLOOKUP($A911,CompChecksTrans!$A:$C,3,FALSE), "     ")</f>
        <v xml:space="preserve">     </v>
      </c>
    </row>
    <row r="912" spans="1:4" x14ac:dyDescent="0.25">
      <c r="A912" s="12" t="s">
        <v>6377</v>
      </c>
      <c r="C912" s="10" t="str">
        <f>_xlfn.IFNA(VLOOKUP(B912,Phase2!A$4:C$1000,3,FALSE),"")</f>
        <v/>
      </c>
      <c r="D912" s="10" t="str">
        <f>_xlfn.IFNA(VLOOKUP($A912,CompChecksTrans!$A:$C,3,FALSE), "     ")</f>
        <v xml:space="preserve">     </v>
      </c>
    </row>
    <row r="913" spans="1:4" x14ac:dyDescent="0.25">
      <c r="A913" s="12" t="s">
        <v>6378</v>
      </c>
      <c r="C913" s="10" t="str">
        <f>_xlfn.IFNA(VLOOKUP(B913,Phase2!A$4:C$1000,3,FALSE),"")</f>
        <v/>
      </c>
      <c r="D913" s="10" t="str">
        <f>_xlfn.IFNA(VLOOKUP($A913,CompChecksTrans!$A:$C,3,FALSE), "     ")</f>
        <v xml:space="preserve">     </v>
      </c>
    </row>
    <row r="914" spans="1:4" x14ac:dyDescent="0.25">
      <c r="A914" s="12" t="s">
        <v>6379</v>
      </c>
      <c r="C914" s="10" t="str">
        <f>_xlfn.IFNA(VLOOKUP(B914,Phase2!A$4:C$1000,3,FALSE),"")</f>
        <v/>
      </c>
      <c r="D914" s="10" t="str">
        <f>_xlfn.IFNA(VLOOKUP($A914,CompChecksTrans!$A:$C,3,FALSE), "     ")</f>
        <v xml:space="preserve">     </v>
      </c>
    </row>
    <row r="915" spans="1:4" x14ac:dyDescent="0.25">
      <c r="A915" s="12" t="s">
        <v>6380</v>
      </c>
      <c r="C915" s="10" t="str">
        <f>_xlfn.IFNA(VLOOKUP(B915,Phase2!A$4:C$1000,3,FALSE),"")</f>
        <v/>
      </c>
      <c r="D915" s="10" t="str">
        <f>_xlfn.IFNA(VLOOKUP($A915,CompChecksTrans!$A:$C,3,FALSE), "     ")</f>
        <v xml:space="preserve">     </v>
      </c>
    </row>
    <row r="916" spans="1:4" x14ac:dyDescent="0.25">
      <c r="A916" s="12" t="s">
        <v>6381</v>
      </c>
      <c r="C916" s="10" t="str">
        <f>_xlfn.IFNA(VLOOKUP(B916,Phase2!A$4:C$1000,3,FALSE),"")</f>
        <v/>
      </c>
      <c r="D916" s="10" t="str">
        <f>_xlfn.IFNA(VLOOKUP($A916,CompChecksTrans!$A:$C,3,FALSE), "     ")</f>
        <v xml:space="preserve">     </v>
      </c>
    </row>
    <row r="917" spans="1:4" x14ac:dyDescent="0.25">
      <c r="A917" s="12" t="s">
        <v>6382</v>
      </c>
      <c r="C917" s="10" t="str">
        <f>_xlfn.IFNA(VLOOKUP(B917,Phase2!A$4:C$1000,3,FALSE),"")</f>
        <v/>
      </c>
      <c r="D917" s="10" t="str">
        <f>_xlfn.IFNA(VLOOKUP($A917,CompChecksTrans!$A:$C,3,FALSE), "     ")</f>
        <v xml:space="preserve">     </v>
      </c>
    </row>
    <row r="918" spans="1:4" x14ac:dyDescent="0.25">
      <c r="A918" s="12" t="s">
        <v>6383</v>
      </c>
      <c r="C918" s="10" t="str">
        <f>_xlfn.IFNA(VLOOKUP(B918,Phase2!A$4:C$1000,3,FALSE),"")</f>
        <v/>
      </c>
      <c r="D918" s="10" t="str">
        <f>_xlfn.IFNA(VLOOKUP($A918,CompChecksTrans!$A:$C,3,FALSE), "     ")</f>
        <v xml:space="preserve">     </v>
      </c>
    </row>
    <row r="919" spans="1:4" x14ac:dyDescent="0.25">
      <c r="A919" s="12" t="s">
        <v>6384</v>
      </c>
      <c r="C919" s="10" t="str">
        <f>_xlfn.IFNA(VLOOKUP(B919,Phase2!A$4:C$1000,3,FALSE),"")</f>
        <v/>
      </c>
      <c r="D919" s="10" t="str">
        <f>_xlfn.IFNA(VLOOKUP($A919,CompChecksTrans!$A:$C,3,FALSE), "     ")</f>
        <v xml:space="preserve">     </v>
      </c>
    </row>
    <row r="920" spans="1:4" x14ac:dyDescent="0.25">
      <c r="A920" s="12" t="s">
        <v>6385</v>
      </c>
      <c r="C920" s="10" t="str">
        <f>_xlfn.IFNA(VLOOKUP(B920,Phase2!A$4:C$1000,3,FALSE),"")</f>
        <v/>
      </c>
      <c r="D920" s="10" t="str">
        <f>_xlfn.IFNA(VLOOKUP($A920,CompChecksTrans!$A:$C,3,FALSE), "     ")</f>
        <v xml:space="preserve">     </v>
      </c>
    </row>
    <row r="921" spans="1:4" x14ac:dyDescent="0.25">
      <c r="A921" s="12" t="s">
        <v>6386</v>
      </c>
      <c r="C921" s="10" t="str">
        <f>_xlfn.IFNA(VLOOKUP(B921,Phase2!A$4:C$1000,3,FALSE),"")</f>
        <v/>
      </c>
      <c r="D921" s="10" t="str">
        <f>_xlfn.IFNA(VLOOKUP($A921,CompChecksTrans!$A:$C,3,FALSE), "     ")</f>
        <v xml:space="preserve">     </v>
      </c>
    </row>
    <row r="922" spans="1:4" x14ac:dyDescent="0.25">
      <c r="A922" s="12" t="s">
        <v>6387</v>
      </c>
      <c r="C922" s="10" t="str">
        <f>_xlfn.IFNA(VLOOKUP(B922,Phase2!A$4:C$1000,3,FALSE),"")</f>
        <v/>
      </c>
      <c r="D922" s="10" t="str">
        <f>_xlfn.IFNA(VLOOKUP($A922,CompChecksTrans!$A:$C,3,FALSE), "     ")</f>
        <v xml:space="preserve">     </v>
      </c>
    </row>
    <row r="923" spans="1:4" x14ac:dyDescent="0.25">
      <c r="A923" s="12" t="s">
        <v>6388</v>
      </c>
      <c r="C923" s="10" t="str">
        <f>_xlfn.IFNA(VLOOKUP(B923,Phase2!A$4:C$1000,3,FALSE),"")</f>
        <v/>
      </c>
      <c r="D923" s="10" t="str">
        <f>_xlfn.IFNA(VLOOKUP($A923,CompChecksTrans!$A:$C,3,FALSE), "     ")</f>
        <v xml:space="preserve">     </v>
      </c>
    </row>
    <row r="924" spans="1:4" x14ac:dyDescent="0.25">
      <c r="A924" s="12" t="s">
        <v>6389</v>
      </c>
      <c r="C924" s="10" t="str">
        <f>_xlfn.IFNA(VLOOKUP(B924,Phase2!A$4:C$1000,3,FALSE),"")</f>
        <v/>
      </c>
      <c r="D924" s="10" t="str">
        <f>_xlfn.IFNA(VLOOKUP($A924,CompChecksTrans!$A:$C,3,FALSE), "     ")</f>
        <v xml:space="preserve">     </v>
      </c>
    </row>
    <row r="925" spans="1:4" x14ac:dyDescent="0.25">
      <c r="A925" s="12" t="s">
        <v>6390</v>
      </c>
      <c r="C925" s="10" t="str">
        <f>_xlfn.IFNA(VLOOKUP(B925,Phase2!A$4:C$1000,3,FALSE),"")</f>
        <v/>
      </c>
      <c r="D925" s="10" t="str">
        <f>_xlfn.IFNA(VLOOKUP($A925,CompChecksTrans!$A:$C,3,FALSE), "     ")</f>
        <v xml:space="preserve">     </v>
      </c>
    </row>
    <row r="926" spans="1:4" x14ac:dyDescent="0.25">
      <c r="A926" s="12" t="s">
        <v>6391</v>
      </c>
      <c r="C926" s="10" t="str">
        <f>_xlfn.IFNA(VLOOKUP(B926,Phase2!A$4:C$1000,3,FALSE),"")</f>
        <v/>
      </c>
      <c r="D926" s="10" t="str">
        <f>_xlfn.IFNA(VLOOKUP($A926,CompChecksTrans!$A:$C,3,FALSE), "     ")</f>
        <v xml:space="preserve">     </v>
      </c>
    </row>
    <row r="927" spans="1:4" x14ac:dyDescent="0.25">
      <c r="A927" s="12" t="s">
        <v>6392</v>
      </c>
      <c r="C927" s="10" t="str">
        <f>_xlfn.IFNA(VLOOKUP(B927,Phase2!A$4:C$1000,3,FALSE),"")</f>
        <v/>
      </c>
      <c r="D927" s="10" t="str">
        <f>_xlfn.IFNA(VLOOKUP($A927,CompChecksTrans!$A:$C,3,FALSE), "     ")</f>
        <v xml:space="preserve">     </v>
      </c>
    </row>
    <row r="928" spans="1:4" x14ac:dyDescent="0.25">
      <c r="A928" s="12" t="s">
        <v>6393</v>
      </c>
      <c r="C928" s="10" t="str">
        <f>_xlfn.IFNA(VLOOKUP(B928,Phase2!A$4:C$1000,3,FALSE),"")</f>
        <v/>
      </c>
      <c r="D928" s="10" t="str">
        <f>_xlfn.IFNA(VLOOKUP($A928,CompChecksTrans!$A:$C,3,FALSE), "     ")</f>
        <v xml:space="preserve">     </v>
      </c>
    </row>
    <row r="929" spans="1:4" x14ac:dyDescent="0.25">
      <c r="A929" s="12" t="s">
        <v>6394</v>
      </c>
      <c r="C929" s="10" t="str">
        <f>_xlfn.IFNA(VLOOKUP(B929,Phase2!A$4:C$1000,3,FALSE),"")</f>
        <v/>
      </c>
      <c r="D929" s="10" t="str">
        <f>_xlfn.IFNA(VLOOKUP($A929,CompChecksTrans!$A:$C,3,FALSE), "     ")</f>
        <v xml:space="preserve">     </v>
      </c>
    </row>
    <row r="930" spans="1:4" x14ac:dyDescent="0.25">
      <c r="A930" s="12" t="s">
        <v>6395</v>
      </c>
      <c r="C930" s="10" t="str">
        <f>_xlfn.IFNA(VLOOKUP(B930,Phase2!A$4:C$1000,3,FALSE),"")</f>
        <v/>
      </c>
      <c r="D930" s="10" t="str">
        <f>_xlfn.IFNA(VLOOKUP($A930,CompChecksTrans!$A:$C,3,FALSE), "     ")</f>
        <v xml:space="preserve">     </v>
      </c>
    </row>
    <row r="931" spans="1:4" x14ac:dyDescent="0.25">
      <c r="A931" s="12" t="s">
        <v>6396</v>
      </c>
      <c r="C931" s="10" t="str">
        <f>_xlfn.IFNA(VLOOKUP(B931,Phase2!A$4:C$1000,3,FALSE),"")</f>
        <v/>
      </c>
      <c r="D931" s="10" t="str">
        <f>_xlfn.IFNA(VLOOKUP($A931,CompChecksTrans!$A:$C,3,FALSE), "     ")</f>
        <v xml:space="preserve">     </v>
      </c>
    </row>
    <row r="932" spans="1:4" x14ac:dyDescent="0.25">
      <c r="A932" s="12" t="s">
        <v>6397</v>
      </c>
      <c r="C932" s="10" t="str">
        <f>_xlfn.IFNA(VLOOKUP(B932,Phase2!A$4:C$1000,3,FALSE),"")</f>
        <v/>
      </c>
      <c r="D932" s="10" t="str">
        <f>_xlfn.IFNA(VLOOKUP($A932,CompChecksTrans!$A:$C,3,FALSE), "     ")</f>
        <v xml:space="preserve">     </v>
      </c>
    </row>
    <row r="933" spans="1:4" x14ac:dyDescent="0.25">
      <c r="A933" s="12" t="s">
        <v>6398</v>
      </c>
      <c r="C933" s="10" t="str">
        <f>_xlfn.IFNA(VLOOKUP(B933,Phase2!A$4:C$1000,3,FALSE),"")</f>
        <v/>
      </c>
      <c r="D933" s="10" t="str">
        <f>_xlfn.IFNA(VLOOKUP($A933,CompChecksTrans!$A:$C,3,FALSE), "     ")</f>
        <v xml:space="preserve">     </v>
      </c>
    </row>
    <row r="934" spans="1:4" x14ac:dyDescent="0.25">
      <c r="A934" s="12" t="s">
        <v>6399</v>
      </c>
      <c r="C934" s="10" t="str">
        <f>_xlfn.IFNA(VLOOKUP(B934,Phase2!A$4:C$1000,3,FALSE),"")</f>
        <v/>
      </c>
      <c r="D934" s="10" t="str">
        <f>_xlfn.IFNA(VLOOKUP($A934,CompChecksTrans!$A:$C,3,FALSE), "     ")</f>
        <v xml:space="preserve">     </v>
      </c>
    </row>
    <row r="935" spans="1:4" x14ac:dyDescent="0.25">
      <c r="A935" s="12" t="s">
        <v>6400</v>
      </c>
      <c r="C935" s="10" t="str">
        <f>_xlfn.IFNA(VLOOKUP(B935,Phase2!A$4:C$1000,3,FALSE),"")</f>
        <v/>
      </c>
      <c r="D935" s="10" t="str">
        <f>_xlfn.IFNA(VLOOKUP($A935,CompChecksTrans!$A:$C,3,FALSE), "     ")</f>
        <v xml:space="preserve">     </v>
      </c>
    </row>
    <row r="936" spans="1:4" x14ac:dyDescent="0.25">
      <c r="A936" s="12" t="s">
        <v>6401</v>
      </c>
      <c r="C936" s="10" t="str">
        <f>_xlfn.IFNA(VLOOKUP(B936,Phase2!A$4:C$1000,3,FALSE),"")</f>
        <v/>
      </c>
      <c r="D936" s="10" t="str">
        <f>_xlfn.IFNA(VLOOKUP($A936,CompChecksTrans!$A:$C,3,FALSE), "     ")</f>
        <v xml:space="preserve">     </v>
      </c>
    </row>
    <row r="937" spans="1:4" x14ac:dyDescent="0.25">
      <c r="A937" s="12" t="s">
        <v>6402</v>
      </c>
      <c r="C937" s="10" t="str">
        <f>_xlfn.IFNA(VLOOKUP(B937,Phase2!A$4:C$1000,3,FALSE),"")</f>
        <v/>
      </c>
      <c r="D937" s="10" t="str">
        <f>_xlfn.IFNA(VLOOKUP($A937,CompChecksTrans!$A:$C,3,FALSE), "     ")</f>
        <v xml:space="preserve">     </v>
      </c>
    </row>
    <row r="938" spans="1:4" x14ac:dyDescent="0.25">
      <c r="A938" s="12" t="s">
        <v>6403</v>
      </c>
      <c r="C938" s="10" t="str">
        <f>_xlfn.IFNA(VLOOKUP(B938,Phase2!A$4:C$1000,3,FALSE),"")</f>
        <v/>
      </c>
      <c r="D938" s="10" t="str">
        <f>_xlfn.IFNA(VLOOKUP($A938,CompChecksTrans!$A:$C,3,FALSE), "     ")</f>
        <v xml:space="preserve">     </v>
      </c>
    </row>
    <row r="939" spans="1:4" x14ac:dyDescent="0.25">
      <c r="A939" s="12" t="s">
        <v>6404</v>
      </c>
      <c r="C939" s="10" t="str">
        <f>_xlfn.IFNA(VLOOKUP(B939,Phase2!A$4:C$1000,3,FALSE),"")</f>
        <v/>
      </c>
      <c r="D939" s="10" t="str">
        <f>_xlfn.IFNA(VLOOKUP($A939,CompChecksTrans!$A:$C,3,FALSE), "     ")</f>
        <v xml:space="preserve">     </v>
      </c>
    </row>
    <row r="940" spans="1:4" x14ac:dyDescent="0.25">
      <c r="A940" s="12" t="s">
        <v>6405</v>
      </c>
      <c r="C940" s="10" t="str">
        <f>_xlfn.IFNA(VLOOKUP(B940,Phase2!A$4:C$1000,3,FALSE),"")</f>
        <v/>
      </c>
      <c r="D940" s="10" t="str">
        <f>_xlfn.IFNA(VLOOKUP($A940,CompChecksTrans!$A:$C,3,FALSE), "     ")</f>
        <v xml:space="preserve">     </v>
      </c>
    </row>
    <row r="941" spans="1:4" x14ac:dyDescent="0.25">
      <c r="A941" s="12" t="s">
        <v>6406</v>
      </c>
      <c r="C941" s="10" t="str">
        <f>_xlfn.IFNA(VLOOKUP(B941,Phase2!A$4:C$1000,3,FALSE),"")</f>
        <v/>
      </c>
      <c r="D941" s="10" t="str">
        <f>_xlfn.IFNA(VLOOKUP($A941,CompChecksTrans!$A:$C,3,FALSE), "     ")</f>
        <v xml:space="preserve">     </v>
      </c>
    </row>
    <row r="942" spans="1:4" x14ac:dyDescent="0.25">
      <c r="A942" s="12" t="s">
        <v>6407</v>
      </c>
      <c r="C942" s="10" t="str">
        <f>_xlfn.IFNA(VLOOKUP(B942,Phase2!A$4:C$1000,3,FALSE),"")</f>
        <v/>
      </c>
      <c r="D942" s="10" t="str">
        <f>_xlfn.IFNA(VLOOKUP($A942,CompChecksTrans!$A:$C,3,FALSE), "     ")</f>
        <v xml:space="preserve">     </v>
      </c>
    </row>
    <row r="943" spans="1:4" x14ac:dyDescent="0.25">
      <c r="A943" s="12" t="s">
        <v>6408</v>
      </c>
      <c r="C943" s="10" t="str">
        <f>_xlfn.IFNA(VLOOKUP(B943,Phase2!A$4:C$1000,3,FALSE),"")</f>
        <v/>
      </c>
      <c r="D943" s="10" t="str">
        <f>_xlfn.IFNA(VLOOKUP($A943,CompChecksTrans!$A:$C,3,FALSE), "     ")</f>
        <v xml:space="preserve">     </v>
      </c>
    </row>
    <row r="944" spans="1:4" x14ac:dyDescent="0.25">
      <c r="A944" s="12" t="s">
        <v>6409</v>
      </c>
      <c r="C944" s="10" t="str">
        <f>_xlfn.IFNA(VLOOKUP(B944,Phase2!A$4:C$1000,3,FALSE),"")</f>
        <v/>
      </c>
      <c r="D944" s="10" t="str">
        <f>_xlfn.IFNA(VLOOKUP($A944,CompChecksTrans!$A:$C,3,FALSE), "     ")</f>
        <v xml:space="preserve">     </v>
      </c>
    </row>
    <row r="945" spans="1:4" x14ac:dyDescent="0.25">
      <c r="A945" s="12" t="s">
        <v>6410</v>
      </c>
      <c r="C945" s="10" t="str">
        <f>_xlfn.IFNA(VLOOKUP(B945,Phase2!A$4:C$1000,3,FALSE),"")</f>
        <v/>
      </c>
      <c r="D945" s="10" t="str">
        <f>_xlfn.IFNA(VLOOKUP($A945,CompChecksTrans!$A:$C,3,FALSE), "     ")</f>
        <v xml:space="preserve">     </v>
      </c>
    </row>
    <row r="946" spans="1:4" x14ac:dyDescent="0.25">
      <c r="A946" s="12" t="s">
        <v>6411</v>
      </c>
      <c r="C946" s="10" t="str">
        <f>_xlfn.IFNA(VLOOKUP(B946,Phase2!A$4:C$1000,3,FALSE),"")</f>
        <v/>
      </c>
      <c r="D946" s="10" t="str">
        <f>_xlfn.IFNA(VLOOKUP($A946,CompChecksTrans!$A:$C,3,FALSE), "     ")</f>
        <v xml:space="preserve">     </v>
      </c>
    </row>
    <row r="947" spans="1:4" x14ac:dyDescent="0.25">
      <c r="A947" s="12" t="s">
        <v>6412</v>
      </c>
      <c r="C947" s="10" t="str">
        <f>_xlfn.IFNA(VLOOKUP(B947,Phase2!A$4:C$1000,3,FALSE),"")</f>
        <v/>
      </c>
      <c r="D947" s="10" t="str">
        <f>_xlfn.IFNA(VLOOKUP($A947,CompChecksTrans!$A:$C,3,FALSE), "     ")</f>
        <v xml:space="preserve">     </v>
      </c>
    </row>
    <row r="948" spans="1:4" x14ac:dyDescent="0.25">
      <c r="A948" s="12" t="s">
        <v>6413</v>
      </c>
      <c r="C948" s="10" t="str">
        <f>_xlfn.IFNA(VLOOKUP(B948,Phase2!A$4:C$1000,3,FALSE),"")</f>
        <v/>
      </c>
      <c r="D948" s="10" t="str">
        <f>_xlfn.IFNA(VLOOKUP($A948,CompChecksTrans!$A:$C,3,FALSE), "     ")</f>
        <v xml:space="preserve">     </v>
      </c>
    </row>
    <row r="949" spans="1:4" x14ac:dyDescent="0.25">
      <c r="A949" s="12" t="s">
        <v>6414</v>
      </c>
      <c r="C949" s="10" t="str">
        <f>_xlfn.IFNA(VLOOKUP(B949,Phase2!A$4:C$1000,3,FALSE),"")</f>
        <v/>
      </c>
      <c r="D949" s="10" t="str">
        <f>_xlfn.IFNA(VLOOKUP($A949,CompChecksTrans!$A:$C,3,FALSE), "     ")</f>
        <v xml:space="preserve">     </v>
      </c>
    </row>
    <row r="950" spans="1:4" x14ac:dyDescent="0.25">
      <c r="A950" s="12" t="s">
        <v>6415</v>
      </c>
      <c r="C950" s="10" t="str">
        <f>_xlfn.IFNA(VLOOKUP(B950,Phase2!A$4:C$1000,3,FALSE),"")</f>
        <v/>
      </c>
      <c r="D950" s="10" t="str">
        <f>_xlfn.IFNA(VLOOKUP($A950,CompChecksTrans!$A:$C,3,FALSE), "     ")</f>
        <v xml:space="preserve">     </v>
      </c>
    </row>
    <row r="951" spans="1:4" x14ac:dyDescent="0.25">
      <c r="A951" s="12" t="s">
        <v>6416</v>
      </c>
      <c r="C951" s="10" t="str">
        <f>_xlfn.IFNA(VLOOKUP(B951,Phase2!A$4:C$1000,3,FALSE),"")</f>
        <v/>
      </c>
      <c r="D951" s="10" t="str">
        <f>_xlfn.IFNA(VLOOKUP($A951,CompChecksTrans!$A:$C,3,FALSE), "     ")</f>
        <v xml:space="preserve">     </v>
      </c>
    </row>
    <row r="952" spans="1:4" x14ac:dyDescent="0.25">
      <c r="A952" s="12" t="s">
        <v>6417</v>
      </c>
      <c r="C952" s="10" t="str">
        <f>_xlfn.IFNA(VLOOKUP(B952,Phase2!A$4:C$1000,3,FALSE),"")</f>
        <v/>
      </c>
      <c r="D952" s="10" t="str">
        <f>_xlfn.IFNA(VLOOKUP($A952,CompChecksTrans!$A:$C,3,FALSE), "     ")</f>
        <v xml:space="preserve">     </v>
      </c>
    </row>
    <row r="953" spans="1:4" x14ac:dyDescent="0.25">
      <c r="A953" s="12" t="s">
        <v>6418</v>
      </c>
      <c r="C953" s="10" t="str">
        <f>_xlfn.IFNA(VLOOKUP(B953,Phase2!A$4:C$1000,3,FALSE),"")</f>
        <v/>
      </c>
      <c r="D953" s="10" t="str">
        <f>_xlfn.IFNA(VLOOKUP($A953,CompChecksTrans!$A:$C,3,FALSE), "     ")</f>
        <v xml:space="preserve">     </v>
      </c>
    </row>
    <row r="954" spans="1:4" x14ac:dyDescent="0.25">
      <c r="A954" s="12" t="s">
        <v>6419</v>
      </c>
      <c r="C954" s="10" t="str">
        <f>_xlfn.IFNA(VLOOKUP(B954,Phase2!A$4:C$1000,3,FALSE),"")</f>
        <v/>
      </c>
      <c r="D954" s="10" t="str">
        <f>_xlfn.IFNA(VLOOKUP($A954,CompChecksTrans!$A:$C,3,FALSE), "     ")</f>
        <v xml:space="preserve">     </v>
      </c>
    </row>
    <row r="955" spans="1:4" x14ac:dyDescent="0.25">
      <c r="A955" s="12" t="s">
        <v>6420</v>
      </c>
      <c r="C955" s="10" t="str">
        <f>_xlfn.IFNA(VLOOKUP(B955,Phase2!A$4:C$1000,3,FALSE),"")</f>
        <v/>
      </c>
      <c r="D955" s="10" t="str">
        <f>_xlfn.IFNA(VLOOKUP($A955,CompChecksTrans!$A:$C,3,FALSE), "     ")</f>
        <v xml:space="preserve">     </v>
      </c>
    </row>
    <row r="956" spans="1:4" x14ac:dyDescent="0.25">
      <c r="A956" s="12" t="s">
        <v>6421</v>
      </c>
      <c r="C956" s="10" t="str">
        <f>_xlfn.IFNA(VLOOKUP(B956,Phase2!A$4:C$1000,3,FALSE),"")</f>
        <v/>
      </c>
      <c r="D956" s="10" t="str">
        <f>_xlfn.IFNA(VLOOKUP($A956,CompChecksTrans!$A:$C,3,FALSE), "     ")</f>
        <v xml:space="preserve">     </v>
      </c>
    </row>
    <row r="957" spans="1:4" x14ac:dyDescent="0.25">
      <c r="A957" s="12" t="s">
        <v>6422</v>
      </c>
      <c r="C957" s="10" t="str">
        <f>_xlfn.IFNA(VLOOKUP(B957,Phase2!A$4:C$1000,3,FALSE),"")</f>
        <v/>
      </c>
      <c r="D957" s="10" t="str">
        <f>_xlfn.IFNA(VLOOKUP($A957,CompChecksTrans!$A:$C,3,FALSE), "     ")</f>
        <v xml:space="preserve">     </v>
      </c>
    </row>
    <row r="958" spans="1:4" x14ac:dyDescent="0.25">
      <c r="A958" s="12" t="s">
        <v>6423</v>
      </c>
      <c r="C958" s="10" t="str">
        <f>_xlfn.IFNA(VLOOKUP(B958,Phase2!A$4:C$1000,3,FALSE),"")</f>
        <v/>
      </c>
      <c r="D958" s="10" t="str">
        <f>_xlfn.IFNA(VLOOKUP($A958,CompChecksTrans!$A:$C,3,FALSE), "     ")</f>
        <v xml:space="preserve">     </v>
      </c>
    </row>
    <row r="959" spans="1:4" x14ac:dyDescent="0.25">
      <c r="A959" s="12" t="s">
        <v>6424</v>
      </c>
      <c r="C959" s="10" t="str">
        <f>_xlfn.IFNA(VLOOKUP(B959,Phase2!A$4:C$1000,3,FALSE),"")</f>
        <v/>
      </c>
      <c r="D959" s="10" t="str">
        <f>_xlfn.IFNA(VLOOKUP($A959,CompChecksTrans!$A:$C,3,FALSE), "     ")</f>
        <v xml:space="preserve">     </v>
      </c>
    </row>
    <row r="960" spans="1:4" x14ac:dyDescent="0.25">
      <c r="A960" s="12" t="s">
        <v>6425</v>
      </c>
      <c r="C960" s="10" t="str">
        <f>_xlfn.IFNA(VLOOKUP(B960,Phase2!A$4:C$1000,3,FALSE),"")</f>
        <v/>
      </c>
      <c r="D960" s="10" t="str">
        <f>_xlfn.IFNA(VLOOKUP($A960,CompChecksTrans!$A:$C,3,FALSE), "     ")</f>
        <v xml:space="preserve">     </v>
      </c>
    </row>
    <row r="961" spans="1:4" x14ac:dyDescent="0.25">
      <c r="A961" s="12" t="s">
        <v>6426</v>
      </c>
      <c r="C961" s="10" t="str">
        <f>_xlfn.IFNA(VLOOKUP(B961,Phase2!A$4:C$1000,3,FALSE),"")</f>
        <v/>
      </c>
      <c r="D961" s="10" t="str">
        <f>_xlfn.IFNA(VLOOKUP($A961,CompChecksTrans!$A:$C,3,FALSE), "     ")</f>
        <v xml:space="preserve">     </v>
      </c>
    </row>
    <row r="962" spans="1:4" x14ac:dyDescent="0.25">
      <c r="A962" s="12" t="s">
        <v>6427</v>
      </c>
      <c r="C962" s="10" t="str">
        <f>_xlfn.IFNA(VLOOKUP(B962,Phase2!A$4:C$1000,3,FALSE),"")</f>
        <v/>
      </c>
      <c r="D962" s="10" t="str">
        <f>_xlfn.IFNA(VLOOKUP($A962,CompChecksTrans!$A:$C,3,FALSE), "     ")</f>
        <v xml:space="preserve">     </v>
      </c>
    </row>
    <row r="963" spans="1:4" x14ac:dyDescent="0.25">
      <c r="A963" s="12" t="s">
        <v>6428</v>
      </c>
      <c r="C963" s="10" t="str">
        <f>_xlfn.IFNA(VLOOKUP(B963,Phase2!A$4:C$1000,3,FALSE),"")</f>
        <v/>
      </c>
      <c r="D963" s="10" t="str">
        <f>_xlfn.IFNA(VLOOKUP($A963,CompChecksTrans!$A:$C,3,FALSE), "     ")</f>
        <v xml:space="preserve">     </v>
      </c>
    </row>
    <row r="964" spans="1:4" x14ac:dyDescent="0.25">
      <c r="A964" s="12" t="s">
        <v>6429</v>
      </c>
      <c r="C964" s="10" t="str">
        <f>_xlfn.IFNA(VLOOKUP(B964,Phase2!A$4:C$1000,3,FALSE),"")</f>
        <v/>
      </c>
      <c r="D964" s="10" t="str">
        <f>_xlfn.IFNA(VLOOKUP($A964,CompChecksTrans!$A:$C,3,FALSE), "     ")</f>
        <v xml:space="preserve">     </v>
      </c>
    </row>
    <row r="965" spans="1:4" x14ac:dyDescent="0.25">
      <c r="A965" s="12" t="s">
        <v>6430</v>
      </c>
      <c r="C965" s="10" t="str">
        <f>_xlfn.IFNA(VLOOKUP(B965,Phase2!A$4:C$1000,3,FALSE),"")</f>
        <v/>
      </c>
      <c r="D965" s="10" t="str">
        <f>_xlfn.IFNA(VLOOKUP($A965,CompChecksTrans!$A:$C,3,FALSE), "     ")</f>
        <v xml:space="preserve">     </v>
      </c>
    </row>
    <row r="966" spans="1:4" x14ac:dyDescent="0.25">
      <c r="A966" s="12" t="s">
        <v>6431</v>
      </c>
      <c r="C966" s="10" t="str">
        <f>_xlfn.IFNA(VLOOKUP(B966,Phase2!A$4:C$1000,3,FALSE),"")</f>
        <v/>
      </c>
      <c r="D966" s="10" t="str">
        <f>_xlfn.IFNA(VLOOKUP($A966,CompChecksTrans!$A:$C,3,FALSE), "     ")</f>
        <v xml:space="preserve">     </v>
      </c>
    </row>
    <row r="967" spans="1:4" x14ac:dyDescent="0.25">
      <c r="A967" s="12" t="s">
        <v>6432</v>
      </c>
      <c r="C967" s="10" t="str">
        <f>_xlfn.IFNA(VLOOKUP(B967,Phase2!A$4:C$1000,3,FALSE),"")</f>
        <v/>
      </c>
      <c r="D967" s="10" t="str">
        <f>_xlfn.IFNA(VLOOKUP($A967,CompChecksTrans!$A:$C,3,FALSE), "     ")</f>
        <v xml:space="preserve">     </v>
      </c>
    </row>
    <row r="968" spans="1:4" x14ac:dyDescent="0.25">
      <c r="A968" s="12" t="s">
        <v>6433</v>
      </c>
      <c r="C968" s="10" t="str">
        <f>_xlfn.IFNA(VLOOKUP(B968,Phase2!A$4:C$1000,3,FALSE),"")</f>
        <v/>
      </c>
      <c r="D968" s="10" t="str">
        <f>_xlfn.IFNA(VLOOKUP($A968,CompChecksTrans!$A:$C,3,FALSE), "     ")</f>
        <v xml:space="preserve">     </v>
      </c>
    </row>
    <row r="969" spans="1:4" x14ac:dyDescent="0.25">
      <c r="A969" s="12" t="s">
        <v>6434</v>
      </c>
      <c r="C969" s="10" t="str">
        <f>_xlfn.IFNA(VLOOKUP(B969,Phase2!A$4:C$1000,3,FALSE),"")</f>
        <v/>
      </c>
      <c r="D969" s="10" t="str">
        <f>_xlfn.IFNA(VLOOKUP($A969,CompChecksTrans!$A:$C,3,FALSE), "     ")</f>
        <v xml:space="preserve">     </v>
      </c>
    </row>
    <row r="970" spans="1:4" x14ac:dyDescent="0.25">
      <c r="A970" s="12" t="s">
        <v>6435</v>
      </c>
      <c r="C970" s="10" t="str">
        <f>_xlfn.IFNA(VLOOKUP(B970,Phase2!A$4:C$1000,3,FALSE),"")</f>
        <v/>
      </c>
      <c r="D970" s="10" t="str">
        <f>_xlfn.IFNA(VLOOKUP($A970,CompChecksTrans!$A:$C,3,FALSE), "     ")</f>
        <v xml:space="preserve">     </v>
      </c>
    </row>
    <row r="971" spans="1:4" x14ac:dyDescent="0.25">
      <c r="A971" s="12" t="s">
        <v>6436</v>
      </c>
      <c r="C971" s="10" t="str">
        <f>_xlfn.IFNA(VLOOKUP(B971,Phase2!A$4:C$1000,3,FALSE),"")</f>
        <v/>
      </c>
      <c r="D971" s="10" t="str">
        <f>_xlfn.IFNA(VLOOKUP($A971,CompChecksTrans!$A:$C,3,FALSE), "     ")</f>
        <v xml:space="preserve">     </v>
      </c>
    </row>
    <row r="972" spans="1:4" x14ac:dyDescent="0.25">
      <c r="A972" s="12" t="s">
        <v>6437</v>
      </c>
      <c r="C972" s="10" t="str">
        <f>_xlfn.IFNA(VLOOKUP(B972,Phase2!A$4:C$1000,3,FALSE),"")</f>
        <v/>
      </c>
      <c r="D972" s="10" t="str">
        <f>_xlfn.IFNA(VLOOKUP($A972,CompChecksTrans!$A:$C,3,FALSE), "     ")</f>
        <v xml:space="preserve">     </v>
      </c>
    </row>
    <row r="973" spans="1:4" x14ac:dyDescent="0.25">
      <c r="A973" s="12" t="s">
        <v>6438</v>
      </c>
      <c r="C973" s="10" t="str">
        <f>_xlfn.IFNA(VLOOKUP(B973,Phase2!A$4:C$1000,3,FALSE),"")</f>
        <v/>
      </c>
      <c r="D973" s="10" t="str">
        <f>_xlfn.IFNA(VLOOKUP($A973,CompChecksTrans!$A:$C,3,FALSE), "     ")</f>
        <v xml:space="preserve">     </v>
      </c>
    </row>
    <row r="974" spans="1:4" x14ac:dyDescent="0.25">
      <c r="A974" s="12" t="s">
        <v>6439</v>
      </c>
      <c r="C974" s="10" t="str">
        <f>_xlfn.IFNA(VLOOKUP(B974,Phase2!A$4:C$1000,3,FALSE),"")</f>
        <v/>
      </c>
      <c r="D974" s="10" t="str">
        <f>_xlfn.IFNA(VLOOKUP($A974,CompChecksTrans!$A:$C,3,FALSE), "     ")</f>
        <v xml:space="preserve">     </v>
      </c>
    </row>
    <row r="975" spans="1:4" x14ac:dyDescent="0.25">
      <c r="A975" s="12" t="s">
        <v>6440</v>
      </c>
      <c r="C975" s="10" t="str">
        <f>_xlfn.IFNA(VLOOKUP(B975,Phase2!A$4:C$1000,3,FALSE),"")</f>
        <v/>
      </c>
      <c r="D975" s="10" t="str">
        <f>_xlfn.IFNA(VLOOKUP($A975,CompChecksTrans!$A:$C,3,FALSE), "     ")</f>
        <v xml:space="preserve">     </v>
      </c>
    </row>
    <row r="976" spans="1:4" x14ac:dyDescent="0.25">
      <c r="A976" s="12" t="s">
        <v>6441</v>
      </c>
      <c r="C976" s="10" t="str">
        <f>_xlfn.IFNA(VLOOKUP(B976,Phase2!A$4:C$1000,3,FALSE),"")</f>
        <v/>
      </c>
      <c r="D976" s="10" t="str">
        <f>_xlfn.IFNA(VLOOKUP($A976,CompChecksTrans!$A:$C,3,FALSE), "     ")</f>
        <v xml:space="preserve">     </v>
      </c>
    </row>
    <row r="977" spans="1:4" x14ac:dyDescent="0.25">
      <c r="A977" s="12" t="s">
        <v>6442</v>
      </c>
      <c r="C977" s="10" t="str">
        <f>_xlfn.IFNA(VLOOKUP(B977,Phase2!A$4:C$1000,3,FALSE),"")</f>
        <v/>
      </c>
      <c r="D977" s="10" t="str">
        <f>_xlfn.IFNA(VLOOKUP($A977,CompChecksTrans!$A:$C,3,FALSE), "     ")</f>
        <v xml:space="preserve">     </v>
      </c>
    </row>
    <row r="978" spans="1:4" x14ac:dyDescent="0.25">
      <c r="A978" s="12" t="s">
        <v>6443</v>
      </c>
      <c r="C978" s="10" t="str">
        <f>_xlfn.IFNA(VLOOKUP(B978,Phase2!A$4:C$1000,3,FALSE),"")</f>
        <v/>
      </c>
      <c r="D978" s="10" t="str">
        <f>_xlfn.IFNA(VLOOKUP($A978,CompChecksTrans!$A:$C,3,FALSE), "     ")</f>
        <v xml:space="preserve">     </v>
      </c>
    </row>
    <row r="979" spans="1:4" x14ac:dyDescent="0.25">
      <c r="A979" s="12" t="s">
        <v>6444</v>
      </c>
      <c r="C979" s="10" t="str">
        <f>_xlfn.IFNA(VLOOKUP(B979,Phase2!A$4:C$1000,3,FALSE),"")</f>
        <v/>
      </c>
      <c r="D979" s="10" t="str">
        <f>_xlfn.IFNA(VLOOKUP($A979,CompChecksTrans!$A:$C,3,FALSE), "     ")</f>
        <v xml:space="preserve">     </v>
      </c>
    </row>
    <row r="980" spans="1:4" x14ac:dyDescent="0.25">
      <c r="A980" s="12" t="s">
        <v>6445</v>
      </c>
      <c r="C980" s="10" t="str">
        <f>_xlfn.IFNA(VLOOKUP(B980,Phase2!A$4:C$1000,3,FALSE),"")</f>
        <v/>
      </c>
      <c r="D980" s="10" t="str">
        <f>_xlfn.IFNA(VLOOKUP($A980,CompChecksTrans!$A:$C,3,FALSE), "     ")</f>
        <v xml:space="preserve">     </v>
      </c>
    </row>
    <row r="981" spans="1:4" x14ac:dyDescent="0.25">
      <c r="A981" s="12" t="s">
        <v>6446</v>
      </c>
      <c r="C981" s="10" t="str">
        <f>_xlfn.IFNA(VLOOKUP(B981,Phase2!A$4:C$1000,3,FALSE),"")</f>
        <v/>
      </c>
      <c r="D981" s="10" t="str">
        <f>_xlfn.IFNA(VLOOKUP($A981,CompChecksTrans!$A:$C,3,FALSE), "     ")</f>
        <v xml:space="preserve">     </v>
      </c>
    </row>
    <row r="982" spans="1:4" x14ac:dyDescent="0.25">
      <c r="A982" s="12" t="s">
        <v>6447</v>
      </c>
      <c r="C982" s="10" t="str">
        <f>_xlfn.IFNA(VLOOKUP(B982,Phase2!A$4:C$1000,3,FALSE),"")</f>
        <v/>
      </c>
      <c r="D982" s="10" t="str">
        <f>_xlfn.IFNA(VLOOKUP($A982,CompChecksTrans!$A:$C,3,FALSE), "     ")</f>
        <v xml:space="preserve">     </v>
      </c>
    </row>
    <row r="983" spans="1:4" x14ac:dyDescent="0.25">
      <c r="A983" s="12" t="s">
        <v>6448</v>
      </c>
      <c r="C983" s="10" t="str">
        <f>_xlfn.IFNA(VLOOKUP(B983,Phase2!A$4:C$1000,3,FALSE),"")</f>
        <v/>
      </c>
      <c r="D983" s="10" t="str">
        <f>_xlfn.IFNA(VLOOKUP($A983,CompChecksTrans!$A:$C,3,FALSE), "     ")</f>
        <v xml:space="preserve">     </v>
      </c>
    </row>
    <row r="984" spans="1:4" x14ac:dyDescent="0.25">
      <c r="A984" s="12" t="s">
        <v>6449</v>
      </c>
      <c r="C984" s="10" t="str">
        <f>_xlfn.IFNA(VLOOKUP(B984,Phase2!A$4:C$1000,3,FALSE),"")</f>
        <v/>
      </c>
      <c r="D984" s="10" t="str">
        <f>_xlfn.IFNA(VLOOKUP($A984,CompChecksTrans!$A:$C,3,FALSE), "     ")</f>
        <v xml:space="preserve">     </v>
      </c>
    </row>
    <row r="985" spans="1:4" x14ac:dyDescent="0.25">
      <c r="A985" s="12" t="s">
        <v>6450</v>
      </c>
      <c r="C985" s="10" t="str">
        <f>_xlfn.IFNA(VLOOKUP(B985,Phase2!A$4:C$1000,3,FALSE),"")</f>
        <v/>
      </c>
      <c r="D985" s="10" t="str">
        <f>_xlfn.IFNA(VLOOKUP($A985,CompChecksTrans!$A:$C,3,FALSE), "     ")</f>
        <v xml:space="preserve">     </v>
      </c>
    </row>
    <row r="986" spans="1:4" x14ac:dyDescent="0.25">
      <c r="A986" s="12" t="s">
        <v>6451</v>
      </c>
      <c r="C986" s="10" t="str">
        <f>_xlfn.IFNA(VLOOKUP(B986,Phase2!A$4:C$1000,3,FALSE),"")</f>
        <v/>
      </c>
      <c r="D986" s="10" t="str">
        <f>_xlfn.IFNA(VLOOKUP($A986,CompChecksTrans!$A:$C,3,FALSE), "     ")</f>
        <v xml:space="preserve">     </v>
      </c>
    </row>
    <row r="987" spans="1:4" x14ac:dyDescent="0.25">
      <c r="A987" s="12" t="s">
        <v>6452</v>
      </c>
      <c r="C987" s="10" t="str">
        <f>_xlfn.IFNA(VLOOKUP(B987,Phase2!A$4:C$1000,3,FALSE),"")</f>
        <v/>
      </c>
      <c r="D987" s="10" t="str">
        <f>_xlfn.IFNA(VLOOKUP($A987,CompChecksTrans!$A:$C,3,FALSE), "     ")</f>
        <v xml:space="preserve">     </v>
      </c>
    </row>
    <row r="988" spans="1:4" x14ac:dyDescent="0.25">
      <c r="A988" s="12" t="s">
        <v>6453</v>
      </c>
      <c r="C988" s="10" t="str">
        <f>_xlfn.IFNA(VLOOKUP(B988,Phase2!A$4:C$1000,3,FALSE),"")</f>
        <v/>
      </c>
      <c r="D988" s="10" t="str">
        <f>_xlfn.IFNA(VLOOKUP($A988,CompChecksTrans!$A:$C,3,FALSE), "     ")</f>
        <v xml:space="preserve">     </v>
      </c>
    </row>
    <row r="989" spans="1:4" x14ac:dyDescent="0.25">
      <c r="A989" s="12" t="s">
        <v>6454</v>
      </c>
      <c r="C989" s="10" t="str">
        <f>_xlfn.IFNA(VLOOKUP(B989,Phase2!A$4:C$1000,3,FALSE),"")</f>
        <v/>
      </c>
      <c r="D989" s="10" t="str">
        <f>_xlfn.IFNA(VLOOKUP($A989,CompChecksTrans!$A:$C,3,FALSE), "     ")</f>
        <v xml:space="preserve">     </v>
      </c>
    </row>
    <row r="990" spans="1:4" x14ac:dyDescent="0.25">
      <c r="A990" s="12" t="s">
        <v>6455</v>
      </c>
      <c r="C990" s="10" t="str">
        <f>_xlfn.IFNA(VLOOKUP(B990,Phase2!A$4:C$1000,3,FALSE),"")</f>
        <v/>
      </c>
      <c r="D990" s="10" t="str">
        <f>_xlfn.IFNA(VLOOKUP($A990,CompChecksTrans!$A:$C,3,FALSE), "     ")</f>
        <v xml:space="preserve">     </v>
      </c>
    </row>
    <row r="991" spans="1:4" x14ac:dyDescent="0.25">
      <c r="A991" s="12" t="s">
        <v>6456</v>
      </c>
      <c r="C991" s="10" t="str">
        <f>_xlfn.IFNA(VLOOKUP(B991,Phase2!A$4:C$1000,3,FALSE),"")</f>
        <v/>
      </c>
      <c r="D991" s="10" t="str">
        <f>_xlfn.IFNA(VLOOKUP($A991,CompChecksTrans!$A:$C,3,FALSE), "     ")</f>
        <v xml:space="preserve">     </v>
      </c>
    </row>
    <row r="992" spans="1:4" x14ac:dyDescent="0.25">
      <c r="A992" s="12" t="s">
        <v>6457</v>
      </c>
      <c r="C992" s="10" t="str">
        <f>_xlfn.IFNA(VLOOKUP(B992,Phase2!A$4:C$1000,3,FALSE),"")</f>
        <v/>
      </c>
      <c r="D992" s="10" t="str">
        <f>_xlfn.IFNA(VLOOKUP($A992,CompChecksTrans!$A:$C,3,FALSE), "     ")</f>
        <v xml:space="preserve">     </v>
      </c>
    </row>
    <row r="993" spans="1:4" x14ac:dyDescent="0.25">
      <c r="A993" s="12" t="s">
        <v>6458</v>
      </c>
      <c r="C993" s="10" t="str">
        <f>_xlfn.IFNA(VLOOKUP(B993,Phase2!A$4:C$1000,3,FALSE),"")</f>
        <v/>
      </c>
      <c r="D993" s="10" t="str">
        <f>_xlfn.IFNA(VLOOKUP($A993,CompChecksTrans!$A:$C,3,FALSE), "     ")</f>
        <v xml:space="preserve">     </v>
      </c>
    </row>
    <row r="994" spans="1:4" x14ac:dyDescent="0.25">
      <c r="A994" s="12" t="s">
        <v>6459</v>
      </c>
      <c r="C994" s="10" t="str">
        <f>_xlfn.IFNA(VLOOKUP(B994,Phase2!A$4:C$1000,3,FALSE),"")</f>
        <v/>
      </c>
      <c r="D994" s="10" t="str">
        <f>_xlfn.IFNA(VLOOKUP($A994,CompChecksTrans!$A:$C,3,FALSE), "     ")</f>
        <v xml:space="preserve">     </v>
      </c>
    </row>
    <row r="995" spans="1:4" x14ac:dyDescent="0.25">
      <c r="A995" s="12" t="s">
        <v>6460</v>
      </c>
      <c r="C995" s="10" t="str">
        <f>_xlfn.IFNA(VLOOKUP(B995,Phase2!A$4:C$1000,3,FALSE),"")</f>
        <v/>
      </c>
      <c r="D995" s="10" t="str">
        <f>_xlfn.IFNA(VLOOKUP($A995,CompChecksTrans!$A:$C,3,FALSE), "     ")</f>
        <v xml:space="preserve">     </v>
      </c>
    </row>
    <row r="996" spans="1:4" x14ac:dyDescent="0.25">
      <c r="A996" s="12" t="s">
        <v>6461</v>
      </c>
      <c r="C996" s="10" t="str">
        <f>_xlfn.IFNA(VLOOKUP(B996,Phase2!A$4:C$1000,3,FALSE),"")</f>
        <v/>
      </c>
      <c r="D996" s="10" t="str">
        <f>_xlfn.IFNA(VLOOKUP($A996,CompChecksTrans!$A:$C,3,FALSE), "     ")</f>
        <v xml:space="preserve">     </v>
      </c>
    </row>
    <row r="997" spans="1:4" x14ac:dyDescent="0.25">
      <c r="A997" s="12" t="s">
        <v>6462</v>
      </c>
      <c r="C997" s="10" t="str">
        <f>_xlfn.IFNA(VLOOKUP(B997,Phase2!A$4:C$1000,3,FALSE),"")</f>
        <v/>
      </c>
      <c r="D997" s="10" t="str">
        <f>_xlfn.IFNA(VLOOKUP($A997,CompChecksTrans!$A:$C,3,FALSE), "     ")</f>
        <v xml:space="preserve">     </v>
      </c>
    </row>
    <row r="998" spans="1:4" x14ac:dyDescent="0.25">
      <c r="A998" s="12" t="s">
        <v>6463</v>
      </c>
      <c r="C998" s="10" t="str">
        <f>_xlfn.IFNA(VLOOKUP(B998,Phase2!A$4:C$1000,3,FALSE),"")</f>
        <v/>
      </c>
      <c r="D998" s="10" t="str">
        <f>_xlfn.IFNA(VLOOKUP($A998,CompChecksTrans!$A:$C,3,FALSE), "     ")</f>
        <v xml:space="preserve">     </v>
      </c>
    </row>
    <row r="999" spans="1:4" x14ac:dyDescent="0.25">
      <c r="A999" s="12" t="s">
        <v>6464</v>
      </c>
      <c r="C999" s="10" t="str">
        <f>_xlfn.IFNA(VLOOKUP(B999,Phase2!A$4:C$1000,3,FALSE),"")</f>
        <v/>
      </c>
      <c r="D999" s="10" t="str">
        <f>_xlfn.IFNA(VLOOKUP($A999,CompChecksTrans!$A:$C,3,FALSE), "     ")</f>
        <v xml:space="preserve">     </v>
      </c>
    </row>
    <row r="1000" spans="1:4" x14ac:dyDescent="0.25">
      <c r="A1000" s="12" t="s">
        <v>6465</v>
      </c>
      <c r="C1000" s="10" t="str">
        <f>_xlfn.IFNA(VLOOKUP(B1000,Phase2!A$4:C$1000,3,FALSE),"")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{2B917F26-B6F4-4856-BD3B-EE0221B59E2A}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B917F26-B6F4-4856-BD3B-EE0221B59E2A}">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319"/>
  <sheetViews>
    <sheetView workbookViewId="0">
      <pane ySplit="3" topLeftCell="A4" activePane="bottomLeft" state="frozen"/>
      <selection pane="bottomLeft" activeCell="E4" sqref="E4:E319"/>
    </sheetView>
  </sheetViews>
  <sheetFormatPr defaultColWidth="8.85546875" defaultRowHeight="15" x14ac:dyDescent="0.25"/>
  <cols>
    <col min="1" max="1" width="10.140625" style="205" bestFit="1" customWidth="1"/>
    <col min="2" max="2" width="24.140625" style="1" bestFit="1" customWidth="1"/>
    <col min="3" max="3" width="69.140625" style="1" bestFit="1" customWidth="1"/>
  </cols>
  <sheetData>
    <row r="1" spans="1:9" x14ac:dyDescent="0.25">
      <c r="A1" s="297">
        <f>COUNTA(D4:D319)/COUNTA(C4:C319)</f>
        <v>1</v>
      </c>
      <c r="B1" s="297"/>
      <c r="C1" s="297"/>
      <c r="D1" s="297"/>
    </row>
    <row r="2" spans="1:9" s="1" customFormat="1" ht="53.1" customHeight="1" x14ac:dyDescent="0.25">
      <c r="A2" s="206"/>
      <c r="B2" s="296" t="s">
        <v>3196</v>
      </c>
      <c r="C2" s="296"/>
      <c r="D2" s="296"/>
      <c r="E2" s="240"/>
    </row>
    <row r="3" spans="1:9" s="1" customFormat="1" ht="15.75" x14ac:dyDescent="0.25">
      <c r="A3" s="206"/>
      <c r="B3" s="11" t="s">
        <v>1377</v>
      </c>
      <c r="C3" s="105" t="s">
        <v>1378</v>
      </c>
      <c r="D3" s="11" t="s">
        <v>1460</v>
      </c>
      <c r="E3" s="105" t="s">
        <v>1459</v>
      </c>
    </row>
    <row r="4" spans="1:9" s="1" customFormat="1" ht="31.5" x14ac:dyDescent="0.25">
      <c r="A4" s="207" t="str">
        <f>Dictionnary!A128</f>
        <v>FS2.1</v>
      </c>
      <c r="B4" s="14" t="str">
        <f>Dictionnary!B128</f>
        <v>Facilities and Safety</v>
      </c>
      <c r="C4" s="15" t="str">
        <f>Dictionnary!C128</f>
        <v>Is access to the laboratory facility controlled against unauthorized persons?</v>
      </c>
      <c r="D4" s="16" t="s">
        <v>3198</v>
      </c>
      <c r="E4" s="103">
        <f>(COUNTIFS('Phase2 - Fill-in'!B$1:B$1000,A4,'Phase2 - Fill-in'!E$1:E$1000,Dictionnary!C$666)+0.5*COUNTIFS('Phase2 - Fill-in'!B$1:B$1000,A4,'Phase2 - Fill-in'!E$1:E$1000,Dictionnary!C$669))/(COUNTIFS('Phase2 - Fill-in'!B$5:B$1000,A4,'Phase2 - Fill-in'!E$5:E$1000,"&lt;&gt;Dictionnary!C669"))</f>
        <v>1</v>
      </c>
      <c r="F4" s="13"/>
    </row>
    <row r="5" spans="1:9" s="1" customFormat="1" ht="47.25" x14ac:dyDescent="0.25">
      <c r="A5" s="207" t="str">
        <f>Dictionnary!A129</f>
        <v>FS2.2</v>
      </c>
      <c r="B5" s="99" t="str">
        <f>Dictionnary!B129</f>
        <v>Facilities and Safety</v>
      </c>
      <c r="C5" s="17" t="str">
        <f>Dictionnary!C129</f>
        <v>Can the access control system, protecting the laboratory from unauthorized access, be overridden in case of an emergency such as fire?</v>
      </c>
      <c r="D5" s="12" t="s">
        <v>1408</v>
      </c>
      <c r="E5" s="103">
        <f>(COUNTIFS('Phase2 - Fill-in'!B$1:B$1000,A5,'Phase2 - Fill-in'!E$1:E$1000,Dictionnary!C$666)+0.5*COUNTIFS('Phase2 - Fill-in'!B$1:B$1000,A5,'Phase2 - Fill-in'!E$1:E$1000,Dictionnary!C$669))/(COUNTIFS('Phase2 - Fill-in'!B$5:B$1000,A5,'Phase2 - Fill-in'!E$5:E$1000,"&lt;&gt;Dictionnary!C669"))</f>
        <v>1</v>
      </c>
      <c r="F5" s="13"/>
      <c r="I5" s="1">
        <f>(COUNTIF('Phase2 - Fill-in'!B$1:B$1000,A124) - COUNTIF('Phase2 - Fill-in'!B$1:B$1000, AND(A124,Dictionnary!C$669)))</f>
        <v>1</v>
      </c>
    </row>
    <row r="6" spans="1:9" s="1" customFormat="1" ht="15.75" x14ac:dyDescent="0.25">
      <c r="A6" s="207" t="str">
        <f>Dictionnary!A130</f>
        <v>FS2.3</v>
      </c>
      <c r="B6" s="14" t="str">
        <f>Dictionnary!B130</f>
        <v>Facilities and Safety</v>
      </c>
      <c r="C6" s="15" t="str">
        <f>Dictionnary!C130</f>
        <v>Are primary sample collection facilities separated from the laboratory rooms?</v>
      </c>
      <c r="D6" s="16" t="s">
        <v>1408</v>
      </c>
      <c r="E6" s="103">
        <f>(COUNTIFS('Phase2 - Fill-in'!B$1:B$1000,A6,'Phase2 - Fill-in'!E$1:E$1000,Dictionnary!C$666)+0.5*COUNTIFS('Phase2 - Fill-in'!B$1:B$1000,A6,'Phase2 - Fill-in'!E$1:E$1000,Dictionnary!C$669))/(COUNTIFS('Phase2 - Fill-in'!B$5:B$1000,A6,'Phase2 - Fill-in'!E$5:E$1000,"&lt;&gt;Dictionnary!C669"))</f>
        <v>0</v>
      </c>
      <c r="F6" s="13"/>
    </row>
    <row r="7" spans="1:9" s="1" customFormat="1" ht="31.5" x14ac:dyDescent="0.25">
      <c r="A7" s="207" t="str">
        <f>Dictionnary!A131</f>
        <v>FS2.4</v>
      </c>
      <c r="B7" s="99" t="str">
        <f>Dictionnary!B131</f>
        <v>Facilities and Safety</v>
      </c>
      <c r="C7" s="17" t="str">
        <f>Dictionnary!C131</f>
        <v>Is the sample processing room separated from the room where PCR is performed?</v>
      </c>
      <c r="D7" s="12" t="s">
        <v>1408</v>
      </c>
      <c r="E7" s="103" t="e">
        <f>(COUNTIFS('Phase2 - Fill-in'!B$1:B$1000,A7,'Phase2 - Fill-in'!E$1:E$1000,Dictionnary!C$666)+0.5*COUNTIFS('Phase2 - Fill-in'!B$1:B$1000,A7,'Phase2 - Fill-in'!E$1:E$1000,Dictionnary!C$669))/(COUNTIFS('Phase2 - Fill-in'!B$5:B$1000,A7,'Phase2 - Fill-in'!E$5:E$1000,"&lt;&gt;Dictionnary!C669"))</f>
        <v>#DIV/0!</v>
      </c>
      <c r="F7" s="13"/>
    </row>
    <row r="8" spans="1:9" s="1" customFormat="1" ht="31.5" x14ac:dyDescent="0.25">
      <c r="A8" s="207" t="str">
        <f>Dictionnary!A132</f>
        <v>FS2.5</v>
      </c>
      <c r="B8" s="14" t="str">
        <f>Dictionnary!B132</f>
        <v>Facilities and Safety</v>
      </c>
      <c r="C8" s="15" t="str">
        <f>Dictionnary!C132</f>
        <v>Are laboratory rooms where incompatible procedures are being undertaken separated from each other?</v>
      </c>
      <c r="D8" s="16" t="s">
        <v>1408</v>
      </c>
      <c r="E8" s="103">
        <f>(COUNTIFS('Phase2 - Fill-in'!B$1:B$1000,A8,'Phase2 - Fill-in'!E$1:E$1000,Dictionnary!C$666)+0.5*COUNTIFS('Phase2 - Fill-in'!B$1:B$1000,A8,'Phase2 - Fill-in'!E$1:E$1000,Dictionnary!C$669))/(COUNTIFS('Phase2 - Fill-in'!B$5:B$1000,A8,'Phase2 - Fill-in'!E$5:E$1000,"&lt;&gt;Dictionnary!C669"))</f>
        <v>0.4375</v>
      </c>
      <c r="F8" s="13"/>
    </row>
    <row r="9" spans="1:9" s="1" customFormat="1" ht="31.5" x14ac:dyDescent="0.25">
      <c r="A9" s="207" t="str">
        <f>Dictionnary!A133</f>
        <v>FS2.6</v>
      </c>
      <c r="B9" s="99" t="str">
        <f>Dictionnary!B133</f>
        <v>Facilities and Safety</v>
      </c>
      <c r="C9" s="17" t="str">
        <f>Dictionnary!C133</f>
        <v>Are rooms for cleaning of laboratory glassware and tools separated from the laboratory rooms?</v>
      </c>
      <c r="D9" s="12" t="s">
        <v>1408</v>
      </c>
      <c r="E9" s="103">
        <f>(COUNTIFS('Phase2 - Fill-in'!B$1:B$1000,A9,'Phase2 - Fill-in'!E$1:E$1000,Dictionnary!C$666)+0.5*COUNTIFS('Phase2 - Fill-in'!B$1:B$1000,A9,'Phase2 - Fill-in'!E$1:E$1000,Dictionnary!C$669))/(COUNTIFS('Phase2 - Fill-in'!B$5:B$1000,A9,'Phase2 - Fill-in'!E$5:E$1000,"&lt;&gt;Dictionnary!C669"))</f>
        <v>0</v>
      </c>
      <c r="F9" s="13"/>
    </row>
    <row r="10" spans="1:9" s="1" customFormat="1" ht="47.25" x14ac:dyDescent="0.25">
      <c r="A10" s="207" t="str">
        <f>Dictionnary!A134</f>
        <v>FS2.7</v>
      </c>
      <c r="B10" s="14" t="str">
        <f>Dictionnary!B134</f>
        <v>Facilities and Safety</v>
      </c>
      <c r="C10" s="15" t="str">
        <f>Dictionnary!C134</f>
        <v>Are the rooms designed and furnished in a logical way enabling a unidirectional workflow and preventing unnecessary movements of people through the rooms?</v>
      </c>
      <c r="D10" s="16" t="s">
        <v>1408</v>
      </c>
      <c r="E10" s="103">
        <f>(COUNTIFS('Phase2 - Fill-in'!B$1:B$1000,A10,'Phase2 - Fill-in'!E$1:E$1000,Dictionnary!C$666)+0.5*COUNTIFS('Phase2 - Fill-in'!B$1:B$1000,A10,'Phase2 - Fill-in'!E$1:E$1000,Dictionnary!C$669))/(COUNTIFS('Phase2 - Fill-in'!B$5:B$1000,A10,'Phase2 - Fill-in'!E$5:E$1000,"&lt;&gt;Dictionnary!C669"))</f>
        <v>1</v>
      </c>
      <c r="F10" s="13"/>
    </row>
    <row r="11" spans="1:9" s="1" customFormat="1" ht="15.75" x14ac:dyDescent="0.25">
      <c r="A11" s="207" t="str">
        <f>Dictionnary!A135</f>
        <v>FS2.8</v>
      </c>
      <c r="B11" s="99" t="str">
        <f>Dictionnary!B135</f>
        <v>Facilities and Safety</v>
      </c>
      <c r="C11" s="17" t="str">
        <f>Dictionnary!C135</f>
        <v>Is office space separated from laboratory rooms?</v>
      </c>
      <c r="D11" s="12" t="s">
        <v>1408</v>
      </c>
      <c r="E11" s="103">
        <f>(COUNTIFS('Phase2 - Fill-in'!B$1:B$1000,A11,'Phase2 - Fill-in'!E$1:E$1000,Dictionnary!C$666)+0.5*COUNTIFS('Phase2 - Fill-in'!B$1:B$1000,A11,'Phase2 - Fill-in'!E$1:E$1000,Dictionnary!C$669))/(COUNTIFS('Phase2 - Fill-in'!B$5:B$1000,A11,'Phase2 - Fill-in'!E$5:E$1000,"&lt;&gt;Dictionnary!C669"))</f>
        <v>0</v>
      </c>
      <c r="F11" s="13"/>
    </row>
    <row r="12" spans="1:9" s="1" customFormat="1" ht="15.75" x14ac:dyDescent="0.25">
      <c r="A12" s="207" t="str">
        <f>Dictionnary!A136</f>
        <v>FS2.9</v>
      </c>
      <c r="B12" s="14" t="str">
        <f>Dictionnary!B136</f>
        <v>Facilities and Safety</v>
      </c>
      <c r="C12" s="15" t="str">
        <f>Dictionnary!C136</f>
        <v>Is there a dedicated area for breaks/lunches?</v>
      </c>
      <c r="D12" s="16" t="s">
        <v>1409</v>
      </c>
      <c r="E12" s="103">
        <f>(COUNTIFS('Phase2 - Fill-in'!B$1:B$1000,A12,'Phase2 - Fill-in'!E$1:E$1000,Dictionnary!C$666)+0.5*COUNTIFS('Phase2 - Fill-in'!B$1:B$1000,A12,'Phase2 - Fill-in'!E$1:E$1000,Dictionnary!C$669))/(COUNTIFS('Phase2 - Fill-in'!B$5:B$1000,A12,'Phase2 - Fill-in'!E$5:E$1000,"&lt;&gt;Dictionnary!C669"))</f>
        <v>0</v>
      </c>
      <c r="F12" s="13"/>
    </row>
    <row r="13" spans="1:9" s="1" customFormat="1" ht="31.5" x14ac:dyDescent="0.25">
      <c r="A13" s="207" t="str">
        <f>Dictionnary!A137</f>
        <v>FS2.10</v>
      </c>
      <c r="B13" s="99" t="str">
        <f>Dictionnary!B137</f>
        <v>Facilities and Safety</v>
      </c>
      <c r="C13" s="17" t="str">
        <f>Dictionnary!C137</f>
        <v>Is communication to outside the laboratory rooms possible without leaving the room?</v>
      </c>
      <c r="D13" s="12" t="s">
        <v>1409</v>
      </c>
      <c r="E13" s="103">
        <f>(COUNTIFS('Phase2 - Fill-in'!B$1:B$1000,A13,'Phase2 - Fill-in'!E$1:E$1000,Dictionnary!C$666)+0.5*COUNTIFS('Phase2 - Fill-in'!B$1:B$1000,A13,'Phase2 - Fill-in'!E$1:E$1000,Dictionnary!C$669))/(COUNTIFS('Phase2 - Fill-in'!B$5:B$1000,A13,'Phase2 - Fill-in'!E$5:E$1000,"&lt;&gt;Dictionnary!C669"))</f>
        <v>1</v>
      </c>
      <c r="F13" s="13"/>
    </row>
    <row r="14" spans="1:9" s="1" customFormat="1" ht="31.5" x14ac:dyDescent="0.25">
      <c r="A14" s="207" t="str">
        <f>Dictionnary!A138</f>
        <v>FS2.11</v>
      </c>
      <c r="B14" s="14" t="str">
        <f>Dictionnary!B138</f>
        <v>Facilities and Safety</v>
      </c>
      <c r="C14" s="15" t="str">
        <f>Dictionnary!C138</f>
        <v>Are emergency numbers available near telephones and clearly visible?</v>
      </c>
      <c r="D14" s="16" t="s">
        <v>1408</v>
      </c>
      <c r="E14" s="103">
        <f>(COUNTIFS('Phase2 - Fill-in'!B$1:B$1000,A14,'Phase2 - Fill-in'!E$1:E$1000,Dictionnary!C$666)+0.5*COUNTIFS('Phase2 - Fill-in'!B$1:B$1000,A14,'Phase2 - Fill-in'!E$1:E$1000,Dictionnary!C$669))/(COUNTIFS('Phase2 - Fill-in'!B$5:B$1000,A14,'Phase2 - Fill-in'!E$5:E$1000,"&lt;&gt;Dictionnary!C669"))</f>
        <v>0</v>
      </c>
      <c r="F14" s="13"/>
    </row>
    <row r="15" spans="1:9" s="1" customFormat="1" ht="31.5" x14ac:dyDescent="0.25">
      <c r="A15" s="207" t="str">
        <f>Dictionnary!A139</f>
        <v>FS2.12</v>
      </c>
      <c r="B15" s="99" t="str">
        <f>Dictionnary!B139</f>
        <v>Facilities and Safety</v>
      </c>
      <c r="C15" s="17" t="str">
        <f>Dictionnary!C139</f>
        <v>Is the use of mobile phones forbidden inside all laboratory rooms?</v>
      </c>
      <c r="D15" s="12" t="s">
        <v>1409</v>
      </c>
      <c r="E15" s="103">
        <f>(COUNTIFS('Phase2 - Fill-in'!B$1:B$1000,A15,'Phase2 - Fill-in'!E$1:E$1000,Dictionnary!C$666)+0.5*COUNTIFS('Phase2 - Fill-in'!B$1:B$1000,A15,'Phase2 - Fill-in'!E$1:E$1000,Dictionnary!C$669))/(COUNTIFS('Phase2 - Fill-in'!B$5:B$1000,A15,'Phase2 - Fill-in'!E$5:E$1000,"&lt;&gt;Dictionnary!C669"))</f>
        <v>1</v>
      </c>
      <c r="F15" s="13"/>
    </row>
    <row r="16" spans="1:9" s="1" customFormat="1" ht="47.25" x14ac:dyDescent="0.25">
      <c r="A16" s="207" t="str">
        <f>Dictionnary!A140</f>
        <v>FS2.13</v>
      </c>
      <c r="B16" s="14" t="str">
        <f>Dictionnary!B140</f>
        <v>Facilities and Safety</v>
      </c>
      <c r="C16" s="15" t="str">
        <f>Dictionnary!C140</f>
        <v>Is continuing delivery of electricity guaranteed through a working generator and/or Uninterrupted Power Supply (UPS) system in case of a power failure?</v>
      </c>
      <c r="D16" s="16" t="s">
        <v>1409</v>
      </c>
      <c r="E16" s="103">
        <f>(COUNTIFS('Phase2 - Fill-in'!B$1:B$1000,A16,'Phase2 - Fill-in'!E$1:E$1000,Dictionnary!C$666)+0.5*COUNTIFS('Phase2 - Fill-in'!B$1:B$1000,A16,'Phase2 - Fill-in'!E$1:E$1000,Dictionnary!C$669))/(COUNTIFS('Phase2 - Fill-in'!B$5:B$1000,A16,'Phase2 - Fill-in'!E$5:E$1000,"&lt;&gt;Dictionnary!C669"))</f>
        <v>0.66666666666666663</v>
      </c>
      <c r="F16" s="13"/>
    </row>
    <row r="17" spans="1:6" s="1" customFormat="1" ht="15.75" x14ac:dyDescent="0.25">
      <c r="A17" s="207" t="str">
        <f>Dictionnary!A141</f>
        <v>FS2.14</v>
      </c>
      <c r="B17" s="99" t="str">
        <f>Dictionnary!B141</f>
        <v>Facilities and Safety</v>
      </c>
      <c r="C17" s="17" t="str">
        <f>Dictionnary!C141</f>
        <v>Is all the essential/critical equipment locked onto the generator?</v>
      </c>
      <c r="D17" s="12" t="s">
        <v>1409</v>
      </c>
      <c r="E17" s="103">
        <f>(COUNTIFS('Phase2 - Fill-in'!B$1:B$1000,A17,'Phase2 - Fill-in'!E$1:E$1000,Dictionnary!C$666)+0.5*COUNTIFS('Phase2 - Fill-in'!B$1:B$1000,A17,'Phase2 - Fill-in'!E$1:E$1000,Dictionnary!C$669))/(COUNTIFS('Phase2 - Fill-in'!B$5:B$1000,A17,'Phase2 - Fill-in'!E$5:E$1000,"&lt;&gt;Dictionnary!C669"))</f>
        <v>1</v>
      </c>
      <c r="F17" s="13"/>
    </row>
    <row r="18" spans="1:6" s="1" customFormat="1" ht="47.25" x14ac:dyDescent="0.25">
      <c r="A18" s="207" t="str">
        <f>Dictionnary!A142</f>
        <v>FS2.15</v>
      </c>
      <c r="B18" s="14" t="str">
        <f>Dictionnary!B142</f>
        <v>Facilities and Safety</v>
      </c>
      <c r="C18" s="15" t="str">
        <f>Dictionnary!C142</f>
        <v>Is an indicator placed in relevant rooms for monitoring the air flow and preventing that pathogens are blown towards the staff working in the laboratory.</v>
      </c>
      <c r="D18" s="16" t="s">
        <v>1409</v>
      </c>
      <c r="E18" s="103">
        <f>(COUNTIFS('Phase2 - Fill-in'!B$1:B$1000,A18,'Phase2 - Fill-in'!E$1:E$1000,Dictionnary!C$666)+0.5*COUNTIFS('Phase2 - Fill-in'!B$1:B$1000,A18,'Phase2 - Fill-in'!E$1:E$1000,Dictionnary!C$669))/(COUNTIFS('Phase2 - Fill-in'!B$5:B$1000,A18,'Phase2 - Fill-in'!E$5:E$1000,"&lt;&gt;Dictionnary!C669"))</f>
        <v>0</v>
      </c>
      <c r="F18" s="13"/>
    </row>
    <row r="19" spans="1:6" s="1" customFormat="1" ht="78.75" x14ac:dyDescent="0.25">
      <c r="A19" s="207" t="str">
        <f>Dictionnary!A143</f>
        <v>FS2.16</v>
      </c>
      <c r="B19" s="99" t="str">
        <f>Dictionnary!B143</f>
        <v>Facilities and Safety</v>
      </c>
      <c r="C19" s="17" t="str">
        <f>Dictionnary!C143</f>
        <v>Are all hazardous materials in the laboratory registered?
Take a sample by identifying some hazardous materials and looking them up in the register.</v>
      </c>
      <c r="D19" s="12" t="s">
        <v>1408</v>
      </c>
      <c r="E19" s="103">
        <f>(COUNTIFS('Phase2 - Fill-in'!B$1:B$1000,A19,'Phase2 - Fill-in'!E$1:E$1000,Dictionnary!C$666)+0.5*COUNTIFS('Phase2 - Fill-in'!B$1:B$1000,A19,'Phase2 - Fill-in'!E$1:E$1000,Dictionnary!C$669))/(COUNTIFS('Phase2 - Fill-in'!B$5:B$1000,A19,'Phase2 - Fill-in'!E$5:E$1000,"&lt;&gt;Dictionnary!C669"))</f>
        <v>0</v>
      </c>
      <c r="F19" s="13"/>
    </row>
    <row r="20" spans="1:6" s="1" customFormat="1" ht="63" x14ac:dyDescent="0.25">
      <c r="A20" s="207" t="str">
        <f>Dictionnary!A144</f>
        <v>FS2.17</v>
      </c>
      <c r="B20" s="14" t="str">
        <f>Dictionnary!B144</f>
        <v>Facilities and Safety</v>
      </c>
      <c r="C20" s="15" t="str">
        <f>Dictionnary!C144</f>
        <v>Is the Hazardous Material Register up to date?
Take a sample by comparing the amount of several materials as noted in the register and in reality.</v>
      </c>
      <c r="D20" s="16" t="s">
        <v>1408</v>
      </c>
      <c r="E20" s="103">
        <f>(COUNTIFS('Phase2 - Fill-in'!B$1:B$1000,A20,'Phase2 - Fill-in'!E$1:E$1000,Dictionnary!C$666)+0.5*COUNTIFS('Phase2 - Fill-in'!B$1:B$1000,A20,'Phase2 - Fill-in'!E$1:E$1000,Dictionnary!C$669))/(COUNTIFS('Phase2 - Fill-in'!B$5:B$1000,A20,'Phase2 - Fill-in'!E$5:E$1000,"&lt;&gt;Dictionnary!C669"))</f>
        <v>1</v>
      </c>
      <c r="F20" s="13"/>
    </row>
    <row r="21" spans="1:6" s="1" customFormat="1" ht="63" x14ac:dyDescent="0.25">
      <c r="A21" s="207" t="str">
        <f>Dictionnary!A145</f>
        <v>FS2.18</v>
      </c>
      <c r="B21" s="99" t="str">
        <f>Dictionnary!B145</f>
        <v>Facilities and Safety</v>
      </c>
      <c r="C21" s="17" t="str">
        <f>Dictionnary!C145</f>
        <v>Are MSDS Sheets present for all hazardous materials in the laboratory?
Take a sample and check.</v>
      </c>
      <c r="D21" s="12" t="s">
        <v>1409</v>
      </c>
      <c r="E21" s="103">
        <f>(COUNTIFS('Phase2 - Fill-in'!B$1:B$1000,A21,'Phase2 - Fill-in'!E$1:E$1000,Dictionnary!C$666)+0.5*COUNTIFS('Phase2 - Fill-in'!B$1:B$1000,A21,'Phase2 - Fill-in'!E$1:E$1000,Dictionnary!C$669))/(COUNTIFS('Phase2 - Fill-in'!B$5:B$1000,A21,'Phase2 - Fill-in'!E$5:E$1000,"&lt;&gt;Dictionnary!C669"))</f>
        <v>0.5</v>
      </c>
      <c r="F21" s="13"/>
    </row>
    <row r="22" spans="1:6" s="1" customFormat="1" ht="31.5" x14ac:dyDescent="0.25">
      <c r="A22" s="207" t="str">
        <f>Dictionnary!A146</f>
        <v>FS2.19</v>
      </c>
      <c r="B22" s="14" t="str">
        <f>Dictionnary!B146</f>
        <v>Facilities and Safety</v>
      </c>
      <c r="C22" s="15" t="str">
        <f>Dictionnary!C146</f>
        <v>Have critical environmental/equipment parameters been identified?</v>
      </c>
      <c r="D22" s="16" t="s">
        <v>1409</v>
      </c>
      <c r="E22" s="103">
        <f>(COUNTIFS('Phase2 - Fill-in'!B$1:B$1000,A22,'Phase2 - Fill-in'!E$1:E$1000,Dictionnary!C$666)+0.5*COUNTIFS('Phase2 - Fill-in'!B$1:B$1000,A22,'Phase2 - Fill-in'!E$1:E$1000,Dictionnary!C$669))/(COUNTIFS('Phase2 - Fill-in'!B$5:B$1000,A22,'Phase2 - Fill-in'!E$5:E$1000,"&lt;&gt;Dictionnary!C669"))</f>
        <v>0.6</v>
      </c>
      <c r="F22" s="13"/>
    </row>
    <row r="23" spans="1:6" s="1" customFormat="1" ht="31.5" x14ac:dyDescent="0.25">
      <c r="A23" s="207" t="str">
        <f>Dictionnary!A147</f>
        <v>FS2.20</v>
      </c>
      <c r="B23" s="99" t="str">
        <f>Dictionnary!B147</f>
        <v>Facilities and Safety</v>
      </c>
      <c r="C23" s="17" t="str">
        <f>Dictionnary!C147</f>
        <v>Are all critical environmental/equipment parameters monitored adequately?</v>
      </c>
      <c r="D23" s="12" t="s">
        <v>1409</v>
      </c>
      <c r="E23" s="103">
        <f>(COUNTIFS('Phase2 - Fill-in'!B$1:B$1000,A23,'Phase2 - Fill-in'!E$1:E$1000,Dictionnary!C$666)+0.5*COUNTIFS('Phase2 - Fill-in'!B$1:B$1000,A23,'Phase2 - Fill-in'!E$1:E$1000,Dictionnary!C$669))/(COUNTIFS('Phase2 - Fill-in'!B$5:B$1000,A23,'Phase2 - Fill-in'!E$5:E$1000,"&lt;&gt;Dictionnary!C669"))</f>
        <v>0.5</v>
      </c>
      <c r="F23" s="13"/>
    </row>
    <row r="24" spans="1:6" s="1" customFormat="1" ht="31.5" x14ac:dyDescent="0.25">
      <c r="A24" s="207" t="str">
        <f>Dictionnary!A148</f>
        <v>FS2.21</v>
      </c>
      <c r="B24" s="14" t="str">
        <f>Dictionnary!B148</f>
        <v>Facilities and Safety</v>
      </c>
      <c r="C24" s="15" t="str">
        <f>Dictionnary!C148</f>
        <v>Are all Critical Parameter Log Sheets filled out completely and up-to-date?</v>
      </c>
      <c r="D24" s="16" t="s">
        <v>1409</v>
      </c>
      <c r="E24" s="103">
        <f>(COUNTIFS('Phase2 - Fill-in'!B$1:B$1000,A24,'Phase2 - Fill-in'!E$1:E$1000,Dictionnary!C$666)+0.5*COUNTIFS('Phase2 - Fill-in'!B$1:B$1000,A24,'Phase2 - Fill-in'!E$1:E$1000,Dictionnary!C$669))/(COUNTIFS('Phase2 - Fill-in'!B$5:B$1000,A24,'Phase2 - Fill-in'!E$5:E$1000,"&lt;&gt;Dictionnary!C669"))</f>
        <v>1</v>
      </c>
      <c r="F24" s="13"/>
    </row>
    <row r="25" spans="1:6" s="1" customFormat="1" ht="31.5" x14ac:dyDescent="0.25">
      <c r="A25" s="207" t="str">
        <f>Dictionnary!A149</f>
        <v>FS2.22</v>
      </c>
      <c r="B25" s="99" t="str">
        <f>Dictionnary!B149</f>
        <v>Facilities and Safety</v>
      </c>
      <c r="C25" s="17" t="str">
        <f>Dictionnary!C149</f>
        <v>Are all Critical Parameter Log Sheets placed at a logical location?</v>
      </c>
      <c r="D25" s="12" t="s">
        <v>1409</v>
      </c>
      <c r="E25" s="103">
        <f>(COUNTIFS('Phase2 - Fill-in'!B$1:B$1000,A25,'Phase2 - Fill-in'!E$1:E$1000,Dictionnary!C$666)+0.5*COUNTIFS('Phase2 - Fill-in'!B$1:B$1000,A25,'Phase2 - Fill-in'!E$1:E$1000,Dictionnary!C$669))/(COUNTIFS('Phase2 - Fill-in'!B$5:B$1000,A25,'Phase2 - Fill-in'!E$5:E$1000,"&lt;&gt;Dictionnary!C669"))</f>
        <v>0.5</v>
      </c>
      <c r="F25" s="13"/>
    </row>
    <row r="26" spans="1:6" s="1" customFormat="1" ht="15.75" x14ac:dyDescent="0.25">
      <c r="A26" s="207" t="str">
        <f>Dictionnary!A150</f>
        <v>ORG2.1</v>
      </c>
      <c r="B26" s="14" t="str">
        <f>Dictionnary!B150</f>
        <v>Organization</v>
      </c>
      <c r="C26" s="15" t="str">
        <f>Dictionnary!C150</f>
        <v>Has a Quality Officer been appointed?</v>
      </c>
      <c r="D26" s="16" t="s">
        <v>1408</v>
      </c>
      <c r="E26" s="103">
        <f>(COUNTIFS('Phase2 - Fill-in'!B$1:B$1000,A26,'Phase2 - Fill-in'!E$1:E$1000,Dictionnary!C$666)+0.5*COUNTIFS('Phase2 - Fill-in'!B$1:B$1000,A26,'Phase2 - Fill-in'!E$1:E$1000,Dictionnary!C$669))/(COUNTIFS('Phase2 - Fill-in'!B$5:B$1000,A26,'Phase2 - Fill-in'!E$5:E$1000,"&lt;&gt;Dictionnary!C669"))</f>
        <v>1</v>
      </c>
      <c r="F26" s="13"/>
    </row>
    <row r="27" spans="1:6" s="1" customFormat="1" ht="31.5" x14ac:dyDescent="0.25">
      <c r="A27" s="207" t="str">
        <f>Dictionnary!A151</f>
        <v>ORG2.2</v>
      </c>
      <c r="B27" s="99" t="str">
        <f>Dictionnary!B151</f>
        <v>Organization</v>
      </c>
      <c r="C27" s="17" t="str">
        <f>Dictionnary!C151</f>
        <v>Is the position of Quality Officer visible, at the right place, in the Organizational Chart?</v>
      </c>
      <c r="D27" s="12" t="s">
        <v>1408</v>
      </c>
      <c r="E27" s="103">
        <f>(COUNTIFS('Phase2 - Fill-in'!B$1:B$1000,A27,'Phase2 - Fill-in'!E$1:E$1000,Dictionnary!C$666)+0.5*COUNTIFS('Phase2 - Fill-in'!B$1:B$1000,A27,'Phase2 - Fill-in'!E$1:E$1000,Dictionnary!C$669))/(COUNTIFS('Phase2 - Fill-in'!B$5:B$1000,A27,'Phase2 - Fill-in'!E$5:E$1000,"&lt;&gt;Dictionnary!C669"))</f>
        <v>0</v>
      </c>
      <c r="F27" s="13"/>
    </row>
    <row r="28" spans="1:6" s="1" customFormat="1" ht="31.5" x14ac:dyDescent="0.25">
      <c r="A28" s="207" t="str">
        <f>Dictionnary!A152</f>
        <v>ORG2.3</v>
      </c>
      <c r="B28" s="14" t="str">
        <f>Dictionnary!B152</f>
        <v>Organization</v>
      </c>
      <c r="C28" s="15" t="str">
        <f>Dictionnary!C152</f>
        <v>Does the laboratory have a job description of the position of Quality Officer?</v>
      </c>
      <c r="D28" s="16" t="s">
        <v>1408</v>
      </c>
      <c r="E28" s="103">
        <f>(COUNTIFS('Phase2 - Fill-in'!B$1:B$1000,A28,'Phase2 - Fill-in'!E$1:E$1000,Dictionnary!C$666)+0.5*COUNTIFS('Phase2 - Fill-in'!B$1:B$1000,A28,'Phase2 - Fill-in'!E$1:E$1000,Dictionnary!C$669))/(COUNTIFS('Phase2 - Fill-in'!B$5:B$1000,A28,'Phase2 - Fill-in'!E$5:E$1000,"&lt;&gt;Dictionnary!C669"))</f>
        <v>0</v>
      </c>
      <c r="F28" s="13"/>
    </row>
    <row r="29" spans="1:6" s="1" customFormat="1" ht="31.5" x14ac:dyDescent="0.25">
      <c r="A29" s="207" t="str">
        <f>Dictionnary!A153</f>
        <v>ORG2.4</v>
      </c>
      <c r="B29" s="99" t="str">
        <f>Dictionnary!B153</f>
        <v>Organization</v>
      </c>
      <c r="C29" s="17" t="str">
        <f>Dictionnary!C153</f>
        <v>Is the position of Quality Officer included in the Authorization Matrix?</v>
      </c>
      <c r="D29" s="12" t="s">
        <v>1408</v>
      </c>
      <c r="E29" s="103">
        <f>(COUNTIFS('Phase2 - Fill-in'!B$1:B$1000,A29,'Phase2 - Fill-in'!E$1:E$1000,Dictionnary!C$666)+0.5*COUNTIFS('Phase2 - Fill-in'!B$1:B$1000,A29,'Phase2 - Fill-in'!E$1:E$1000,Dictionnary!C$669))/(COUNTIFS('Phase2 - Fill-in'!B$5:B$1000,A29,'Phase2 - Fill-in'!E$5:E$1000,"&lt;&gt;Dictionnary!C669"))</f>
        <v>1</v>
      </c>
      <c r="F29" s="13"/>
    </row>
    <row r="30" spans="1:6" s="1" customFormat="1" ht="63" x14ac:dyDescent="0.25">
      <c r="A30" s="207" t="str">
        <f>Dictionnary!A154</f>
        <v>ORG2.5</v>
      </c>
      <c r="B30" s="14" t="str">
        <f>Dictionnary!B154</f>
        <v>Organization</v>
      </c>
      <c r="C30" s="15" t="str">
        <f>Dictionnary!C154</f>
        <v>Do the Quality Officer and Laboratory Manager have regular bilateral meetings to discuss proceedings?
Ask the Quality Officer.</v>
      </c>
      <c r="D30" s="16" t="s">
        <v>1409</v>
      </c>
      <c r="E30" s="103">
        <f>(COUNTIFS('Phase2 - Fill-in'!B$1:B$1000,A30,'Phase2 - Fill-in'!E$1:E$1000,Dictionnary!C$666)+0.5*COUNTIFS('Phase2 - Fill-in'!B$1:B$1000,A30,'Phase2 - Fill-in'!E$1:E$1000,Dictionnary!C$669))/(COUNTIFS('Phase2 - Fill-in'!B$5:B$1000,A30,'Phase2 - Fill-in'!E$5:E$1000,"&lt;&gt;Dictionnary!C669"))</f>
        <v>0</v>
      </c>
      <c r="F30" s="13"/>
    </row>
    <row r="31" spans="1:6" s="1" customFormat="1" ht="31.5" x14ac:dyDescent="0.25">
      <c r="A31" s="207" t="str">
        <f>Dictionnary!A155</f>
        <v>ORG2.6</v>
      </c>
      <c r="B31" s="99" t="str">
        <f>Dictionnary!B155</f>
        <v>Organization</v>
      </c>
      <c r="C31" s="17" t="str">
        <f>Dictionnary!C155</f>
        <v>If a staff member was appointed as Quality Officer, has his former position been filled by a new/another staff member if necessary?</v>
      </c>
      <c r="D31" s="12" t="s">
        <v>1409</v>
      </c>
      <c r="E31" s="103">
        <f>(COUNTIFS('Phase2 - Fill-in'!B$1:B$1000,A31,'Phase2 - Fill-in'!E$1:E$1000,Dictionnary!C$666)+0.5*COUNTIFS('Phase2 - Fill-in'!B$1:B$1000,A31,'Phase2 - Fill-in'!E$1:E$1000,Dictionnary!C$669))/(COUNTIFS('Phase2 - Fill-in'!B$5:B$1000,A31,'Phase2 - Fill-in'!E$5:E$1000,"&lt;&gt;Dictionnary!C669"))</f>
        <v>1</v>
      </c>
      <c r="F31" s="13"/>
    </row>
    <row r="32" spans="1:6" s="1" customFormat="1" ht="31.5" x14ac:dyDescent="0.25">
      <c r="A32" s="207" t="str">
        <f>Dictionnary!A156</f>
        <v>ORG2.7</v>
      </c>
      <c r="B32" s="14" t="str">
        <f>Dictionnary!B156</f>
        <v>Organization</v>
      </c>
      <c r="C32" s="15" t="str">
        <f>Dictionnary!C156</f>
        <v>Has the laboratory manager been trained in principles of change management?</v>
      </c>
      <c r="D32" s="16" t="s">
        <v>1409</v>
      </c>
      <c r="E32" s="103" t="e">
        <f>(COUNTIFS('Phase2 - Fill-in'!B$1:B$1000,A32,'Phase2 - Fill-in'!E$1:E$1000,Dictionnary!C$666)+0.5*COUNTIFS('Phase2 - Fill-in'!B$1:B$1000,A32,'Phase2 - Fill-in'!E$1:E$1000,Dictionnary!C$669))/(COUNTIFS('Phase2 - Fill-in'!B$5:B$1000,A32,'Phase2 - Fill-in'!E$5:E$1000,"&lt;&gt;Dictionnary!C669"))</f>
        <v>#DIV/0!</v>
      </c>
      <c r="F32" s="13"/>
    </row>
    <row r="33" spans="1:6" s="1" customFormat="1" ht="15.75" x14ac:dyDescent="0.25">
      <c r="A33" s="207" t="str">
        <f>Dictionnary!A157</f>
        <v>ORG2.8</v>
      </c>
      <c r="B33" s="99" t="str">
        <f>Dictionnary!B157</f>
        <v>Organization</v>
      </c>
      <c r="C33" s="17" t="str">
        <f>Dictionnary!C157</f>
        <v>Does the laboratory have an up-to-date routine work schedule?</v>
      </c>
      <c r="D33" s="12" t="s">
        <v>1408</v>
      </c>
      <c r="E33" s="103">
        <f>(COUNTIFS('Phase2 - Fill-in'!B$1:B$1000,A33,'Phase2 - Fill-in'!E$1:E$1000,Dictionnary!C$666)+0.5*COUNTIFS('Phase2 - Fill-in'!B$1:B$1000,A33,'Phase2 - Fill-in'!E$1:E$1000,Dictionnary!C$669))/(COUNTIFS('Phase2 - Fill-in'!B$5:B$1000,A33,'Phase2 - Fill-in'!E$5:E$1000,"&lt;&gt;Dictionnary!C669"))</f>
        <v>1</v>
      </c>
      <c r="F33" s="13"/>
    </row>
    <row r="34" spans="1:6" s="1" customFormat="1" ht="31.5" x14ac:dyDescent="0.25">
      <c r="A34" s="207" t="str">
        <f>Dictionnary!A158</f>
        <v>ORG2.9</v>
      </c>
      <c r="B34" s="14" t="str">
        <f>Dictionnary!B158</f>
        <v>Organization</v>
      </c>
      <c r="C34" s="15" t="str">
        <f>Dictionnary!C158</f>
        <v>Is this Daily Routine Work Schedule placed at a visible location accessible to all staff?</v>
      </c>
      <c r="D34" s="16" t="s">
        <v>1408</v>
      </c>
      <c r="E34" s="103">
        <f>(COUNTIFS('Phase2 - Fill-in'!B$1:B$1000,A34,'Phase2 - Fill-in'!E$1:E$1000,Dictionnary!C$666)+0.5*COUNTIFS('Phase2 - Fill-in'!B$1:B$1000,A34,'Phase2 - Fill-in'!E$1:E$1000,Dictionnary!C$669))/(COUNTIFS('Phase2 - Fill-in'!B$5:B$1000,A34,'Phase2 - Fill-in'!E$5:E$1000,"&lt;&gt;Dictionnary!C669"))</f>
        <v>0.5</v>
      </c>
      <c r="F34" s="13"/>
    </row>
    <row r="35" spans="1:6" s="1" customFormat="1" ht="63" x14ac:dyDescent="0.25">
      <c r="A35" s="207" t="str">
        <f>Dictionnary!A159</f>
        <v>ORG2.10</v>
      </c>
      <c r="B35" s="99" t="str">
        <f>Dictionnary!B159</f>
        <v>Organization</v>
      </c>
      <c r="C35" s="17" t="str">
        <f>Dictionnary!C159</f>
        <v>Do all staff members know where to find the Daily Routine Work Schedule?
Take a sample by asking this question to several staff members.</v>
      </c>
      <c r="D35" s="12" t="s">
        <v>1408</v>
      </c>
      <c r="E35" s="103">
        <f>(COUNTIFS('Phase2 - Fill-in'!B$1:B$1000,A35,'Phase2 - Fill-in'!E$1:E$1000,Dictionnary!C$666)+0.5*COUNTIFS('Phase2 - Fill-in'!B$1:B$1000,A35,'Phase2 - Fill-in'!E$1:E$1000,Dictionnary!C$669))/(COUNTIFS('Phase2 - Fill-in'!B$5:B$1000,A35,'Phase2 - Fill-in'!E$5:E$1000,"&lt;&gt;Dictionnary!C669"))</f>
        <v>1</v>
      </c>
      <c r="F35" s="13"/>
    </row>
    <row r="36" spans="1:6" s="1" customFormat="1" ht="15.75" x14ac:dyDescent="0.25">
      <c r="A36" s="207" t="str">
        <f>Dictionnary!A160</f>
        <v>ORG2.11</v>
      </c>
      <c r="B36" s="14" t="str">
        <f>Dictionnary!B160</f>
        <v>Organization</v>
      </c>
      <c r="C36" s="15" t="str">
        <f>Dictionnary!C160</f>
        <v>Is the laboratory legally identifiable?</v>
      </c>
      <c r="D36" s="16" t="s">
        <v>1409</v>
      </c>
      <c r="E36" s="103" t="e">
        <f>(COUNTIFS('Phase2 - Fill-in'!B$1:B$1000,A36,'Phase2 - Fill-in'!E$1:E$1000,Dictionnary!C$666)+0.5*COUNTIFS('Phase2 - Fill-in'!B$1:B$1000,A36,'Phase2 - Fill-in'!E$1:E$1000,Dictionnary!C$669))/(COUNTIFS('Phase2 - Fill-in'!B$5:B$1000,A36,'Phase2 - Fill-in'!E$5:E$1000,"&lt;&gt;Dictionnary!C669"))</f>
        <v>#DIV/0!</v>
      </c>
      <c r="F36" s="13"/>
    </row>
    <row r="37" spans="1:6" s="1" customFormat="1" ht="15.75" x14ac:dyDescent="0.25">
      <c r="A37" s="207" t="str">
        <f>Dictionnary!A161</f>
        <v>ORG2.12</v>
      </c>
      <c r="B37" s="99" t="str">
        <f>Dictionnary!B161</f>
        <v>Organization</v>
      </c>
      <c r="C37" s="17" t="str">
        <f>Dictionnary!C161</f>
        <v>Is the laboratory and its status recognized by the appropriate authorities?</v>
      </c>
      <c r="D37" s="12" t="s">
        <v>1409</v>
      </c>
      <c r="E37" s="103" t="e">
        <f>(COUNTIFS('Phase2 - Fill-in'!B$1:B$1000,A37,'Phase2 - Fill-in'!E$1:E$1000,Dictionnary!C$666)+0.5*COUNTIFS('Phase2 - Fill-in'!B$1:B$1000,A37,'Phase2 - Fill-in'!E$1:E$1000,Dictionnary!C$669))/(COUNTIFS('Phase2 - Fill-in'!B$5:B$1000,A37,'Phase2 - Fill-in'!E$5:E$1000,"&lt;&gt;Dictionnary!C669"))</f>
        <v>#DIV/0!</v>
      </c>
      <c r="F37" s="13"/>
    </row>
    <row r="38" spans="1:6" s="1" customFormat="1" ht="15.75" x14ac:dyDescent="0.25">
      <c r="A38" s="207" t="str">
        <f>Dictionnary!A162</f>
        <v>ORG2.13</v>
      </c>
      <c r="B38" s="14" t="str">
        <f>Dictionnary!B162</f>
        <v>Organization</v>
      </c>
      <c r="C38" s="15" t="str">
        <f>Dictionnary!C162</f>
        <v>Are the Organizational Charts up-to-date?</v>
      </c>
      <c r="D38" s="16" t="s">
        <v>1409</v>
      </c>
      <c r="E38" s="103">
        <f>(COUNTIFS('Phase2 - Fill-in'!B$1:B$1000,A38,'Phase2 - Fill-in'!E$1:E$1000,Dictionnary!C$666)+0.5*COUNTIFS('Phase2 - Fill-in'!B$1:B$1000,A38,'Phase2 - Fill-in'!E$1:E$1000,Dictionnary!C$669))/(COUNTIFS('Phase2 - Fill-in'!B$5:B$1000,A38,'Phase2 - Fill-in'!E$5:E$1000,"&lt;&gt;Dictionnary!C669"))</f>
        <v>0</v>
      </c>
      <c r="F38" s="13"/>
    </row>
    <row r="39" spans="1:6" s="1" customFormat="1" ht="31.5" x14ac:dyDescent="0.25">
      <c r="A39" s="207" t="str">
        <f>Dictionnary!A163</f>
        <v>ORG2.14</v>
      </c>
      <c r="B39" s="99" t="str">
        <f>Dictionnary!B163</f>
        <v>Organization</v>
      </c>
      <c r="C39" s="17" t="str">
        <f>Dictionnary!C163</f>
        <v>Are the Organizational Charts signed and dated by the appropriate management?</v>
      </c>
      <c r="D39" s="12" t="s">
        <v>1409</v>
      </c>
      <c r="E39" s="103">
        <f>(COUNTIFS('Phase2 - Fill-in'!B$1:B$1000,A39,'Phase2 - Fill-in'!E$1:E$1000,Dictionnary!C$666)+0.5*COUNTIFS('Phase2 - Fill-in'!B$1:B$1000,A39,'Phase2 - Fill-in'!E$1:E$1000,Dictionnary!C$669))/(COUNTIFS('Phase2 - Fill-in'!B$5:B$1000,A39,'Phase2 - Fill-in'!E$5:E$1000,"&lt;&gt;Dictionnary!C669"))</f>
        <v>0</v>
      </c>
      <c r="F39" s="13"/>
    </row>
    <row r="40" spans="1:6" s="1" customFormat="1" ht="15.75" x14ac:dyDescent="0.25">
      <c r="A40" s="207" t="str">
        <f>Dictionnary!A164</f>
        <v>PERS2.1</v>
      </c>
      <c r="B40" s="14" t="str">
        <f>Dictionnary!B164</f>
        <v>Personnel</v>
      </c>
      <c r="C40" s="15" t="str">
        <f>Dictionnary!C164</f>
        <v>Has an SOP for Competency Assessment been developed?</v>
      </c>
      <c r="D40" s="16" t="s">
        <v>1409</v>
      </c>
      <c r="E40" s="103">
        <f>(COUNTIFS('Phase2 - Fill-in'!B$1:B$1000,A40,'Phase2 - Fill-in'!E$1:E$1000,Dictionnary!C$666)+0.5*COUNTIFS('Phase2 - Fill-in'!B$1:B$1000,A40,'Phase2 - Fill-in'!E$1:E$1000,Dictionnary!C$669))/(COUNTIFS('Phase2 - Fill-in'!B$5:B$1000,A40,'Phase2 - Fill-in'!E$5:E$1000,"&lt;&gt;Dictionnary!C669"))</f>
        <v>1</v>
      </c>
      <c r="F40" s="13"/>
    </row>
    <row r="41" spans="1:6" s="1" customFormat="1" ht="31.5" x14ac:dyDescent="0.25">
      <c r="A41" s="207" t="str">
        <f>Dictionnary!A165</f>
        <v>PERS2.2</v>
      </c>
      <c r="B41" s="99" t="str">
        <f>Dictionnary!B165</f>
        <v>Personnel</v>
      </c>
      <c r="C41" s="17" t="str">
        <f>Dictionnary!C165</f>
        <v>Does this SOP contain one or more standardized form(s) that must be used to record the findings of the assessment?</v>
      </c>
      <c r="D41" s="12" t="s">
        <v>1409</v>
      </c>
      <c r="E41" s="103" t="e">
        <f>(COUNTIFS('Phase2 - Fill-in'!B$1:B$1000,A41,'Phase2 - Fill-in'!E$1:E$1000,Dictionnary!C$666)+0.5*COUNTIFS('Phase2 - Fill-in'!B$1:B$1000,A41,'Phase2 - Fill-in'!E$1:E$1000,Dictionnary!C$669))/(COUNTIFS('Phase2 - Fill-in'!B$5:B$1000,A41,'Phase2 - Fill-in'!E$5:E$1000,"&lt;&gt;Dictionnary!C669"))</f>
        <v>#DIV/0!</v>
      </c>
      <c r="F41" s="13"/>
    </row>
    <row r="42" spans="1:6" s="1" customFormat="1" ht="15.75" x14ac:dyDescent="0.25">
      <c r="A42" s="207" t="str">
        <f>Dictionnary!A166</f>
        <v>PERS2.3</v>
      </c>
      <c r="B42" s="14" t="str">
        <f>Dictionnary!B166</f>
        <v>Personnel</v>
      </c>
      <c r="C42" s="15" t="str">
        <f>Dictionnary!C166</f>
        <v>Are competency assessments done annually for each staff member?</v>
      </c>
      <c r="D42" s="16" t="s">
        <v>1408</v>
      </c>
      <c r="E42" s="103">
        <f>(COUNTIFS('Phase2 - Fill-in'!B$1:B$1000,A42,'Phase2 - Fill-in'!E$1:E$1000,Dictionnary!C$666)+0.5*COUNTIFS('Phase2 - Fill-in'!B$1:B$1000,A42,'Phase2 - Fill-in'!E$1:E$1000,Dictionnary!C$669))/(COUNTIFS('Phase2 - Fill-in'!B$5:B$1000,A42,'Phase2 - Fill-in'!E$5:E$1000,"&lt;&gt;Dictionnary!C669"))</f>
        <v>0</v>
      </c>
      <c r="F42" s="13"/>
    </row>
    <row r="43" spans="1:6" s="1" customFormat="1" ht="15.75" x14ac:dyDescent="0.25">
      <c r="A43" s="207" t="str">
        <f>Dictionnary!A167</f>
        <v>PERS2.4</v>
      </c>
      <c r="B43" s="99" t="str">
        <f>Dictionnary!B167</f>
        <v>Personnel</v>
      </c>
      <c r="C43" s="17" t="str">
        <f>Dictionnary!C167</f>
        <v>Is a report made of each competency assessment?</v>
      </c>
      <c r="D43" s="12" t="s">
        <v>1408</v>
      </c>
      <c r="E43" s="103">
        <f>(COUNTIFS('Phase2 - Fill-in'!B$1:B$1000,A43,'Phase2 - Fill-in'!E$1:E$1000,Dictionnary!C$666)+0.5*COUNTIFS('Phase2 - Fill-in'!B$1:B$1000,A43,'Phase2 - Fill-in'!E$1:E$1000,Dictionnary!C$669))/(COUNTIFS('Phase2 - Fill-in'!B$5:B$1000,A43,'Phase2 - Fill-in'!E$5:E$1000,"&lt;&gt;Dictionnary!C669"))</f>
        <v>1</v>
      </c>
      <c r="F43" s="13"/>
    </row>
    <row r="44" spans="1:6" s="1" customFormat="1" ht="47.25" x14ac:dyDescent="0.25">
      <c r="A44" s="207" t="str">
        <f>Dictionnary!A168</f>
        <v>PERS2.5</v>
      </c>
      <c r="B44" s="14" t="str">
        <f>Dictionnary!B168</f>
        <v>Personnel</v>
      </c>
      <c r="C44" s="15" t="str">
        <f>Dictionnary!C168</f>
        <v>Are the points for improvement described in the report of a competency assessment, including with a description of the strategy on how to improve these points?</v>
      </c>
      <c r="D44" s="16" t="s">
        <v>1408</v>
      </c>
      <c r="E44" s="103">
        <f>(COUNTIFS('Phase2 - Fill-in'!B$1:B$1000,A44,'Phase2 - Fill-in'!E$1:E$1000,Dictionnary!C$666)+0.5*COUNTIFS('Phase2 - Fill-in'!B$1:B$1000,A44,'Phase2 - Fill-in'!E$1:E$1000,Dictionnary!C$669))/(COUNTIFS('Phase2 - Fill-in'!B$5:B$1000,A44,'Phase2 - Fill-in'!E$5:E$1000,"&lt;&gt;Dictionnary!C669"))</f>
        <v>1</v>
      </c>
      <c r="F44" s="13"/>
    </row>
    <row r="45" spans="1:6" s="1" customFormat="1" ht="15.75" x14ac:dyDescent="0.25">
      <c r="A45" s="207" t="str">
        <f>Dictionnary!A169</f>
        <v>PERS2.6</v>
      </c>
      <c r="B45" s="99" t="str">
        <f>Dictionnary!B169</f>
        <v>Personnel</v>
      </c>
      <c r="C45" s="17" t="str">
        <f>Dictionnary!C169</f>
        <v>Are the reports of the competency assessments stored in the personnel files?</v>
      </c>
      <c r="D45" s="12" t="s">
        <v>1409</v>
      </c>
      <c r="E45" s="103">
        <f>(COUNTIFS('Phase2 - Fill-in'!B$1:B$1000,A45,'Phase2 - Fill-in'!E$1:E$1000,Dictionnary!C$666)+0.5*COUNTIFS('Phase2 - Fill-in'!B$1:B$1000,A45,'Phase2 - Fill-in'!E$1:E$1000,Dictionnary!C$669))/(COUNTIFS('Phase2 - Fill-in'!B$5:B$1000,A45,'Phase2 - Fill-in'!E$5:E$1000,"&lt;&gt;Dictionnary!C669"))</f>
        <v>0</v>
      </c>
      <c r="F45" s="13"/>
    </row>
    <row r="46" spans="1:6" s="1" customFormat="1" ht="31.5" x14ac:dyDescent="0.25">
      <c r="A46" s="207" t="str">
        <f>Dictionnary!A170</f>
        <v>PERS2.7</v>
      </c>
      <c r="B46" s="14" t="str">
        <f>Dictionnary!B170</f>
        <v>Personnel</v>
      </c>
      <c r="C46" s="15" t="str">
        <f>Dictionnary!C170</f>
        <v>If training needs are identified during competency assessment, is the staff member send to the appropriate training?</v>
      </c>
      <c r="D46" s="16" t="s">
        <v>1409</v>
      </c>
      <c r="E46" s="103">
        <f>(COUNTIFS('Phase2 - Fill-in'!B$1:B$1000,A46,'Phase2 - Fill-in'!E$1:E$1000,Dictionnary!C$666)+0.5*COUNTIFS('Phase2 - Fill-in'!B$1:B$1000,A46,'Phase2 - Fill-in'!E$1:E$1000,Dictionnary!C$669))/(COUNTIFS('Phase2 - Fill-in'!B$5:B$1000,A46,'Phase2 - Fill-in'!E$5:E$1000,"&lt;&gt;Dictionnary!C669"))</f>
        <v>1</v>
      </c>
      <c r="F46" s="13"/>
    </row>
    <row r="47" spans="1:6" s="1" customFormat="1" ht="15.75" x14ac:dyDescent="0.25">
      <c r="A47" s="207" t="str">
        <f>Dictionnary!A171</f>
        <v>PERS2.8</v>
      </c>
      <c r="B47" s="99" t="str">
        <f>Dictionnary!B171</f>
        <v>Personnel</v>
      </c>
      <c r="C47" s="17" t="str">
        <f>Dictionnary!C171</f>
        <v>Is the competency of the Laboratory Manager annually assessed?</v>
      </c>
      <c r="D47" s="12" t="s">
        <v>1408</v>
      </c>
      <c r="E47" s="103">
        <f>(COUNTIFS('Phase2 - Fill-in'!B$1:B$1000,A47,'Phase2 - Fill-in'!E$1:E$1000,Dictionnary!C$666)+0.5*COUNTIFS('Phase2 - Fill-in'!B$1:B$1000,A47,'Phase2 - Fill-in'!E$1:E$1000,Dictionnary!C$669))/(COUNTIFS('Phase2 - Fill-in'!B$5:B$1000,A47,'Phase2 - Fill-in'!E$5:E$1000,"&lt;&gt;Dictionnary!C669"))</f>
        <v>1</v>
      </c>
      <c r="F47" s="13"/>
    </row>
    <row r="48" spans="1:6" s="1" customFormat="1" ht="15.75" x14ac:dyDescent="0.25">
      <c r="A48" s="207" t="str">
        <f>Dictionnary!A172</f>
        <v>PERS2.9</v>
      </c>
      <c r="B48" s="14" t="str">
        <f>Dictionnary!B172</f>
        <v>Personnel</v>
      </c>
      <c r="C48" s="15" t="str">
        <f>Dictionnary!C172</f>
        <v>Does the laboratory have an induction program for new staff?</v>
      </c>
      <c r="D48" s="16" t="s">
        <v>1409</v>
      </c>
      <c r="E48" s="103">
        <f>(COUNTIFS('Phase2 - Fill-in'!B$1:B$1000,A48,'Phase2 - Fill-in'!E$1:E$1000,Dictionnary!C$666)+0.5*COUNTIFS('Phase2 - Fill-in'!B$1:B$1000,A48,'Phase2 - Fill-in'!E$1:E$1000,Dictionnary!C$669))/(COUNTIFS('Phase2 - Fill-in'!B$5:B$1000,A48,'Phase2 - Fill-in'!E$5:E$1000,"&lt;&gt;Dictionnary!C669"))</f>
        <v>0</v>
      </c>
      <c r="F48" s="13"/>
    </row>
    <row r="49" spans="1:6" s="1" customFormat="1" ht="15.75" x14ac:dyDescent="0.25">
      <c r="A49" s="207" t="str">
        <f>Dictionnary!A173</f>
        <v>PERS2.10</v>
      </c>
      <c r="B49" s="99" t="str">
        <f>Dictionnary!B173</f>
        <v>Personnel</v>
      </c>
      <c r="C49" s="17" t="str">
        <f>Dictionnary!C173</f>
        <v>Is the procedure of the induction program documented in an SOP?</v>
      </c>
      <c r="D49" s="12" t="s">
        <v>1408</v>
      </c>
      <c r="E49" s="103">
        <f>(COUNTIFS('Phase2 - Fill-in'!B$1:B$1000,A49,'Phase2 - Fill-in'!E$1:E$1000,Dictionnary!C$666)+0.5*COUNTIFS('Phase2 - Fill-in'!B$1:B$1000,A49,'Phase2 - Fill-in'!E$1:E$1000,Dictionnary!C$669))/(COUNTIFS('Phase2 - Fill-in'!B$5:B$1000,A49,'Phase2 - Fill-in'!E$5:E$1000,"&lt;&gt;Dictionnary!C669"))</f>
        <v>0</v>
      </c>
      <c r="F49" s="13"/>
    </row>
    <row r="50" spans="1:6" s="1" customFormat="1" ht="31.5" x14ac:dyDescent="0.25">
      <c r="A50" s="207" t="str">
        <f>Dictionnary!A174</f>
        <v>PERS2.11</v>
      </c>
      <c r="B50" s="14" t="str">
        <f>Dictionnary!B174</f>
        <v>Personnel</v>
      </c>
      <c r="C50" s="15" t="str">
        <f>Dictionnary!C174</f>
        <v>Does the SOP for Induction of New Personnel include a checklist for verifying correct completion of the program?</v>
      </c>
      <c r="D50" s="16" t="s">
        <v>1408</v>
      </c>
      <c r="E50" s="103" t="e">
        <f>(COUNTIFS('Phase2 - Fill-in'!B$1:B$1000,A50,'Phase2 - Fill-in'!E$1:E$1000,Dictionnary!C$666)+0.5*COUNTIFS('Phase2 - Fill-in'!B$1:B$1000,A50,'Phase2 - Fill-in'!E$1:E$1000,Dictionnary!C$669))/(COUNTIFS('Phase2 - Fill-in'!B$5:B$1000,A50,'Phase2 - Fill-in'!E$5:E$1000,"&lt;&gt;Dictionnary!C669"))</f>
        <v>#DIV/0!</v>
      </c>
      <c r="F50" s="13"/>
    </row>
    <row r="51" spans="1:6" s="1" customFormat="1" ht="31.5" x14ac:dyDescent="0.25">
      <c r="A51" s="207" t="str">
        <f>Dictionnary!A175</f>
        <v>PERS2.12</v>
      </c>
      <c r="B51" s="99" t="str">
        <f>Dictionnary!B175</f>
        <v>Personnel</v>
      </c>
      <c r="C51" s="17" t="str">
        <f>Dictionnary!C175</f>
        <v>Are completed checklists stored at a logical location (e.g. in the personnel file of the new staff member)?</v>
      </c>
      <c r="D51" s="12" t="s">
        <v>1408</v>
      </c>
      <c r="E51" s="103">
        <f>(COUNTIFS('Phase2 - Fill-in'!B$1:B$1000,A51,'Phase2 - Fill-in'!E$1:E$1000,Dictionnary!C$666)+0.5*COUNTIFS('Phase2 - Fill-in'!B$1:B$1000,A51,'Phase2 - Fill-in'!E$1:E$1000,Dictionnary!C$669))/(COUNTIFS('Phase2 - Fill-in'!B$5:B$1000,A51,'Phase2 - Fill-in'!E$5:E$1000,"&lt;&gt;Dictionnary!C669"))</f>
        <v>1</v>
      </c>
      <c r="F51" s="13"/>
    </row>
    <row r="52" spans="1:6" s="1" customFormat="1" ht="31.5" x14ac:dyDescent="0.25">
      <c r="A52" s="207" t="str">
        <f>Dictionnary!A176</f>
        <v>PERS2.13</v>
      </c>
      <c r="B52" s="14" t="str">
        <f>Dictionnary!B176</f>
        <v>Personnel</v>
      </c>
      <c r="C52" s="15" t="str">
        <f>Dictionnary!C176</f>
        <v>Are performance appraisals performed for all staff members at least once per two years?</v>
      </c>
      <c r="D52" s="16" t="s">
        <v>1408</v>
      </c>
      <c r="E52" s="103">
        <f>(COUNTIFS('Phase2 - Fill-in'!B$1:B$1000,A52,'Phase2 - Fill-in'!E$1:E$1000,Dictionnary!C$666)+0.5*COUNTIFS('Phase2 - Fill-in'!B$1:B$1000,A52,'Phase2 - Fill-in'!E$1:E$1000,Dictionnary!C$669))/(COUNTIFS('Phase2 - Fill-in'!B$5:B$1000,A52,'Phase2 - Fill-in'!E$5:E$1000,"&lt;&gt;Dictionnary!C669"))</f>
        <v>0.66666666666666663</v>
      </c>
      <c r="F52" s="13"/>
    </row>
    <row r="53" spans="1:6" s="1" customFormat="1" ht="47.25" x14ac:dyDescent="0.25">
      <c r="A53" s="207" t="str">
        <f>Dictionnary!A177</f>
        <v>PERS2.14</v>
      </c>
      <c r="B53" s="99" t="str">
        <f>Dictionnary!B177</f>
        <v>Personnel</v>
      </c>
      <c r="C53" s="17" t="str">
        <f>Dictionnary!C177</f>
        <v>Are findings of performance appraisals discussed with staff members that were assessed to find the root cause and come to a good approach on eliminating this root cause and improving performance?</v>
      </c>
      <c r="D53" s="12" t="s">
        <v>1408</v>
      </c>
      <c r="E53" s="103">
        <f>(COUNTIFS('Phase2 - Fill-in'!B$1:B$1000,A53,'Phase2 - Fill-in'!E$1:E$1000,Dictionnary!C$666)+0.5*COUNTIFS('Phase2 - Fill-in'!B$1:B$1000,A53,'Phase2 - Fill-in'!E$1:E$1000,Dictionnary!C$669))/(COUNTIFS('Phase2 - Fill-in'!B$5:B$1000,A53,'Phase2 - Fill-in'!E$5:E$1000,"&lt;&gt;Dictionnary!C669"))</f>
        <v>0</v>
      </c>
      <c r="F53" s="13"/>
    </row>
    <row r="54" spans="1:6" s="1" customFormat="1" ht="47.25" x14ac:dyDescent="0.25">
      <c r="A54" s="207" t="str">
        <f>Dictionnary!A178</f>
        <v>PERS2.15</v>
      </c>
      <c r="B54" s="14" t="str">
        <f>Dictionnary!B178</f>
        <v>Personnel</v>
      </c>
      <c r="C54" s="15" t="str">
        <f>Dictionnary!C178</f>
        <v>Are findings of performance appraisals recorded, including the identification of root causes behind poor performance and the approach chosen to eliminate these and improve performance?</v>
      </c>
      <c r="D54" s="16" t="s">
        <v>1408</v>
      </c>
      <c r="E54" s="103" t="e">
        <f>(COUNTIFS('Phase2 - Fill-in'!B$1:B$1000,A54,'Phase2 - Fill-in'!E$1:E$1000,Dictionnary!C$666)+0.5*COUNTIFS('Phase2 - Fill-in'!B$1:B$1000,A54,'Phase2 - Fill-in'!E$1:E$1000,Dictionnary!C$669))/(COUNTIFS('Phase2 - Fill-in'!B$5:B$1000,A54,'Phase2 - Fill-in'!E$5:E$1000,"&lt;&gt;Dictionnary!C669"))</f>
        <v>#DIV/0!</v>
      </c>
      <c r="F54" s="13"/>
    </row>
    <row r="55" spans="1:6" s="1" customFormat="1" ht="15.75" x14ac:dyDescent="0.25">
      <c r="A55" s="207" t="str">
        <f>Dictionnary!A179</f>
        <v>PERS2.16</v>
      </c>
      <c r="B55" s="99" t="str">
        <f>Dictionnary!B179</f>
        <v>Personnel</v>
      </c>
      <c r="C55" s="17" t="str">
        <f>Dictionnary!C179</f>
        <v>Is a personnel file present of each staff member?</v>
      </c>
      <c r="D55" s="12" t="s">
        <v>1408</v>
      </c>
      <c r="E55" s="103">
        <f>(COUNTIFS('Phase2 - Fill-in'!B$1:B$1000,A55,'Phase2 - Fill-in'!E$1:E$1000,Dictionnary!C$666)+0.5*COUNTIFS('Phase2 - Fill-in'!B$1:B$1000,A55,'Phase2 - Fill-in'!E$1:E$1000,Dictionnary!C$669))/(COUNTIFS('Phase2 - Fill-in'!B$5:B$1000,A55,'Phase2 - Fill-in'!E$5:E$1000,"&lt;&gt;Dictionnary!C669"))</f>
        <v>1</v>
      </c>
      <c r="F55" s="13"/>
    </row>
    <row r="56" spans="1:6" s="1" customFormat="1" ht="31.5" x14ac:dyDescent="0.25">
      <c r="A56" s="207" t="str">
        <f>Dictionnary!A180</f>
        <v>PERS2.17</v>
      </c>
      <c r="B56" s="14" t="str">
        <f>Dictionnary!B180</f>
        <v>Personnel</v>
      </c>
      <c r="C56" s="15" t="str">
        <f>Dictionnary!C180</f>
        <v>Are all the records described in ISO 15189:2012 article 5.1.9 (ISO 15189:2007 5.1.2) present in the personnel file of each staff member?</v>
      </c>
      <c r="D56" s="16" t="s">
        <v>1408</v>
      </c>
      <c r="E56" s="103">
        <f>(COUNTIFS('Phase2 - Fill-in'!B$1:B$1000,A56,'Phase2 - Fill-in'!E$1:E$1000,Dictionnary!C$666)+0.5*COUNTIFS('Phase2 - Fill-in'!B$1:B$1000,A56,'Phase2 - Fill-in'!E$1:E$1000,Dictionnary!C$669))/(COUNTIFS('Phase2 - Fill-in'!B$5:B$1000,A56,'Phase2 - Fill-in'!E$5:E$1000,"&lt;&gt;Dictionnary!C669"))</f>
        <v>0</v>
      </c>
      <c r="F56" s="13"/>
    </row>
    <row r="57" spans="1:6" s="1" customFormat="1" ht="15.75" x14ac:dyDescent="0.25">
      <c r="A57" s="207" t="str">
        <f>Dictionnary!A181</f>
        <v>PERS2.18</v>
      </c>
      <c r="B57" s="99" t="str">
        <f>Dictionnary!B181</f>
        <v>Personnel</v>
      </c>
      <c r="C57" s="17" t="str">
        <f>Dictionnary!C181</f>
        <v>Are the personnel files structured in an orderly fashion?</v>
      </c>
      <c r="D57" s="12" t="s">
        <v>1409</v>
      </c>
      <c r="E57" s="103">
        <f>(COUNTIFS('Phase2 - Fill-in'!B$1:B$1000,A57,'Phase2 - Fill-in'!E$1:E$1000,Dictionnary!C$666)+0.5*COUNTIFS('Phase2 - Fill-in'!B$1:B$1000,A57,'Phase2 - Fill-in'!E$1:E$1000,Dictionnary!C$669))/(COUNTIFS('Phase2 - Fill-in'!B$5:B$1000,A57,'Phase2 - Fill-in'!E$5:E$1000,"&lt;&gt;Dictionnary!C669"))</f>
        <v>1</v>
      </c>
      <c r="F57" s="13"/>
    </row>
    <row r="58" spans="1:6" s="1" customFormat="1" ht="31.5" x14ac:dyDescent="0.25">
      <c r="A58" s="207" t="str">
        <f>Dictionnary!A182</f>
        <v>PERS2.19</v>
      </c>
      <c r="B58" s="14" t="str">
        <f>Dictionnary!B182</f>
        <v>Personnel</v>
      </c>
      <c r="C58" s="15" t="str">
        <f>Dictionnary!C182</f>
        <v>Is the Personnel Files folder stored in a locked cabinet that is only accessible to the Laboratory Manager and the secretary?</v>
      </c>
      <c r="D58" s="16" t="s">
        <v>1409</v>
      </c>
      <c r="E58" s="103">
        <f>(COUNTIFS('Phase2 - Fill-in'!B$1:B$1000,A58,'Phase2 - Fill-in'!E$1:E$1000,Dictionnary!C$666)+0.5*COUNTIFS('Phase2 - Fill-in'!B$1:B$1000,A58,'Phase2 - Fill-in'!E$1:E$1000,Dictionnary!C$669))/(COUNTIFS('Phase2 - Fill-in'!B$5:B$1000,A58,'Phase2 - Fill-in'!E$5:E$1000,"&lt;&gt;Dictionnary!C669"))</f>
        <v>1</v>
      </c>
      <c r="F58" s="13"/>
    </row>
    <row r="59" spans="1:6" s="1" customFormat="1" ht="31.5" x14ac:dyDescent="0.25">
      <c r="A59" s="207" t="str">
        <f>Dictionnary!A183</f>
        <v>EQUIP2.1</v>
      </c>
      <c r="B59" s="99" t="str">
        <f>Dictionnary!B183</f>
        <v>Equipment</v>
      </c>
      <c r="C59" s="17" t="str">
        <f>Dictionnary!C183</f>
        <v>Does the laboratory have a standardized, documented procedure for procurement and reception of new equipment?</v>
      </c>
      <c r="D59" s="12" t="s">
        <v>1409</v>
      </c>
      <c r="E59" s="103">
        <f>(COUNTIFS('Phase2 - Fill-in'!B$1:B$1000,A59,'Phase2 - Fill-in'!E$1:E$1000,Dictionnary!C$666)+0.5*COUNTIFS('Phase2 - Fill-in'!B$1:B$1000,A59,'Phase2 - Fill-in'!E$1:E$1000,Dictionnary!C$669))/(COUNTIFS('Phase2 - Fill-in'!B$5:B$1000,A59,'Phase2 - Fill-in'!E$5:E$1000,"&lt;&gt;Dictionnary!C669"))</f>
        <v>0</v>
      </c>
      <c r="F59" s="13"/>
    </row>
    <row r="60" spans="1:6" s="1" customFormat="1" ht="31.5" x14ac:dyDescent="0.25">
      <c r="A60" s="207" t="str">
        <f>Dictionnary!A184</f>
        <v>EQUIP2.2</v>
      </c>
      <c r="B60" s="14" t="str">
        <f>Dictionnary!B184</f>
        <v>Equipment</v>
      </c>
      <c r="C60" s="15" t="str">
        <f>Dictionnary!C184</f>
        <v>Does the laboratory have a standardized, documented procedure for acceptance or rejection of donated equipment?</v>
      </c>
      <c r="D60" s="16" t="s">
        <v>1408</v>
      </c>
      <c r="E60" s="103" t="e">
        <f>(COUNTIFS('Phase2 - Fill-in'!B$1:B$1000,A60,'Phase2 - Fill-in'!E$1:E$1000,Dictionnary!C$666)+0.5*COUNTIFS('Phase2 - Fill-in'!B$1:B$1000,A60,'Phase2 - Fill-in'!E$1:E$1000,Dictionnary!C$669))/(COUNTIFS('Phase2 - Fill-in'!B$5:B$1000,A60,'Phase2 - Fill-in'!E$5:E$1000,"&lt;&gt;Dictionnary!C669"))</f>
        <v>#DIV/0!</v>
      </c>
      <c r="F60" s="13"/>
    </row>
    <row r="61" spans="1:6" s="1" customFormat="1" ht="31.5" x14ac:dyDescent="0.25">
      <c r="A61" s="207" t="str">
        <f>Dictionnary!A185</f>
        <v>EQUIP2.3</v>
      </c>
      <c r="B61" s="99" t="str">
        <f>Dictionnary!B185</f>
        <v>Equipment</v>
      </c>
      <c r="C61" s="17" t="str">
        <f>Dictionnary!C185</f>
        <v>Is the SOP for Procurement and Reception of Equipment stored at a logical location, accessible to all staff members?</v>
      </c>
      <c r="D61" s="12" t="s">
        <v>1409</v>
      </c>
      <c r="E61" s="103">
        <f>(COUNTIFS('Phase2 - Fill-in'!B$1:B$1000,A61,'Phase2 - Fill-in'!E$1:E$1000,Dictionnary!C$666)+0.5*COUNTIFS('Phase2 - Fill-in'!B$1:B$1000,A61,'Phase2 - Fill-in'!E$1:E$1000,Dictionnary!C$669))/(COUNTIFS('Phase2 - Fill-in'!B$5:B$1000,A61,'Phase2 - Fill-in'!E$5:E$1000,"&lt;&gt;Dictionnary!C669"))</f>
        <v>1</v>
      </c>
      <c r="F61" s="13"/>
    </row>
    <row r="62" spans="1:6" s="1" customFormat="1" ht="31.5" x14ac:dyDescent="0.25">
      <c r="A62" s="207" t="str">
        <f>Dictionnary!A186</f>
        <v>EQUIP2.4</v>
      </c>
      <c r="B62" s="14" t="str">
        <f>Dictionnary!B186</f>
        <v>Equipment</v>
      </c>
      <c r="C62" s="15" t="str">
        <f>Dictionnary!C186</f>
        <v>Is the SOP for Procurement and Reception of Equipment demonstrably reviewed and verified by fellow staff members?</v>
      </c>
      <c r="D62" s="16" t="s">
        <v>1409</v>
      </c>
      <c r="E62" s="103">
        <f>(COUNTIFS('Phase2 - Fill-in'!B$1:B$1000,A62,'Phase2 - Fill-in'!E$1:E$1000,Dictionnary!C$666)+0.5*COUNTIFS('Phase2 - Fill-in'!B$1:B$1000,A62,'Phase2 - Fill-in'!E$1:E$1000,Dictionnary!C$669))/(COUNTIFS('Phase2 - Fill-in'!B$5:B$1000,A62,'Phase2 - Fill-in'!E$5:E$1000,"&lt;&gt;Dictionnary!C669"))</f>
        <v>1</v>
      </c>
      <c r="F62" s="13"/>
    </row>
    <row r="63" spans="1:6" s="1" customFormat="1" ht="31.5" x14ac:dyDescent="0.25">
      <c r="A63" s="207" t="str">
        <f>Dictionnary!A187</f>
        <v>EQUIP2.5</v>
      </c>
      <c r="B63" s="99" t="str">
        <f>Dictionnary!B187</f>
        <v>Equipment</v>
      </c>
      <c r="C63" s="17" t="str">
        <f>Dictionnary!C187</f>
        <v>Is the SOP for Procurement and Reception of Equipment demonstrably authorized by laboratory management?</v>
      </c>
      <c r="D63" s="12" t="s">
        <v>1409</v>
      </c>
      <c r="E63" s="103">
        <f>(COUNTIFS('Phase2 - Fill-in'!B$1:B$1000,A63,'Phase2 - Fill-in'!E$1:E$1000,Dictionnary!C$666)+0.5*COUNTIFS('Phase2 - Fill-in'!B$1:B$1000,A63,'Phase2 - Fill-in'!E$1:E$1000,Dictionnary!C$669))/(COUNTIFS('Phase2 - Fill-in'!B$5:B$1000,A63,'Phase2 - Fill-in'!E$5:E$1000,"&lt;&gt;Dictionnary!C669"))</f>
        <v>0</v>
      </c>
      <c r="F63" s="13"/>
    </row>
    <row r="64" spans="1:6" s="1" customFormat="1" ht="31.5" x14ac:dyDescent="0.25">
      <c r="A64" s="207" t="str">
        <f>Dictionnary!A188</f>
        <v>EQUIP2.6</v>
      </c>
      <c r="B64" s="14" t="str">
        <f>Dictionnary!B188</f>
        <v>Equipment</v>
      </c>
      <c r="C64" s="15" t="str">
        <f>Dictionnary!C188</f>
        <v>Are all technical and managerial staff members aware of the existence of the SOP and do they know when to use it?</v>
      </c>
      <c r="D64" s="16" t="s">
        <v>1409</v>
      </c>
      <c r="E64" s="103">
        <f>(COUNTIFS('Phase2 - Fill-in'!B$1:B$1000,A64,'Phase2 - Fill-in'!E$1:E$1000,Dictionnary!C$666)+0.5*COUNTIFS('Phase2 - Fill-in'!B$1:B$1000,A64,'Phase2 - Fill-in'!E$1:E$1000,Dictionnary!C$669))/(COUNTIFS('Phase2 - Fill-in'!B$5:B$1000,A64,'Phase2 - Fill-in'!E$5:E$1000,"&lt;&gt;Dictionnary!C669"))</f>
        <v>0</v>
      </c>
      <c r="F64" s="13"/>
    </row>
    <row r="65" spans="1:6" s="1" customFormat="1" ht="15.75" x14ac:dyDescent="0.25">
      <c r="A65" s="207" t="str">
        <f>Dictionnary!A189</f>
        <v>EQUIP2.7</v>
      </c>
      <c r="B65" s="99" t="str">
        <f>Dictionnary!B189</f>
        <v>Equipment</v>
      </c>
      <c r="C65" s="17" t="str">
        <f>Dictionnary!C189</f>
        <v>Has all equipment in the laboratory been labeled?</v>
      </c>
      <c r="D65" s="12" t="s">
        <v>1408</v>
      </c>
      <c r="E65" s="103">
        <f>(COUNTIFS('Phase2 - Fill-in'!B$1:B$1000,A65,'Phase2 - Fill-in'!E$1:E$1000,Dictionnary!C$666)+0.5*COUNTIFS('Phase2 - Fill-in'!B$1:B$1000,A65,'Phase2 - Fill-in'!E$1:E$1000,Dictionnary!C$669))/(COUNTIFS('Phase2 - Fill-in'!B$5:B$1000,A65,'Phase2 - Fill-in'!E$5:E$1000,"&lt;&gt;Dictionnary!C669"))</f>
        <v>0.66666666666666663</v>
      </c>
      <c r="F65" s="13"/>
    </row>
    <row r="66" spans="1:6" s="1" customFormat="1" ht="15.75" x14ac:dyDescent="0.25">
      <c r="A66" s="207" t="str">
        <f>Dictionnary!A190</f>
        <v>EQUIP2.8</v>
      </c>
      <c r="B66" s="14" t="str">
        <f>Dictionnary!B190</f>
        <v>Equipment</v>
      </c>
      <c r="C66" s="15" t="str">
        <f>Dictionnary!C190</f>
        <v>Do the equipment labels include the following data:</v>
      </c>
      <c r="D66" s="16" t="s">
        <v>1408</v>
      </c>
      <c r="E66" s="103" t="e">
        <f>(COUNTIFS('Phase2 - Fill-in'!B$1:B$1000,A66,'Phase2 - Fill-in'!E$1:E$1000,Dictionnary!C$666)+0.5*COUNTIFS('Phase2 - Fill-in'!B$1:B$1000,A66,'Phase2 - Fill-in'!E$1:E$1000,Dictionnary!C$669))/(COUNTIFS('Phase2 - Fill-in'!B$5:B$1000,A66,'Phase2 - Fill-in'!E$5:E$1000,"&lt;&gt;Dictionnary!C669"))</f>
        <v>#DIV/0!</v>
      </c>
      <c r="F66" s="13"/>
    </row>
    <row r="67" spans="1:6" s="1" customFormat="1" ht="15.75" x14ac:dyDescent="0.25">
      <c r="A67" s="207" t="str">
        <f>Dictionnary!A191</f>
        <v>EQUIP2.8a</v>
      </c>
      <c r="B67" s="14" t="str">
        <f>Dictionnary!B191</f>
        <v>Equipment</v>
      </c>
      <c r="C67" s="15" t="str">
        <f>Dictionnary!C191</f>
        <v>Equipment code</v>
      </c>
      <c r="D67" s="16" t="s">
        <v>1408</v>
      </c>
      <c r="E67" s="103" t="e">
        <f>(COUNTIFS('Phase2 - Fill-in'!B$1:B$1000,A67,'Phase2 - Fill-in'!E$1:E$1000,Dictionnary!C$666)+0.5*COUNTIFS('Phase2 - Fill-in'!B$1:B$1000,A67,'Phase2 - Fill-in'!E$1:E$1000,Dictionnary!C$669))/(COUNTIFS('Phase2 - Fill-in'!B$5:B$1000,A67,'Phase2 - Fill-in'!E$5:E$1000,"&lt;&gt;Dictionnary!C669"))</f>
        <v>#DIV/0!</v>
      </c>
      <c r="F67" s="13"/>
    </row>
    <row r="68" spans="1:6" s="1" customFormat="1" ht="15.75" x14ac:dyDescent="0.25">
      <c r="A68" s="207" t="str">
        <f>Dictionnary!A192</f>
        <v>EQUIP2.8b</v>
      </c>
      <c r="B68" s="14" t="str">
        <f>Dictionnary!B192</f>
        <v>Equipment</v>
      </c>
      <c r="C68" s="15" t="str">
        <f>Dictionnary!C192</f>
        <v>Date of last service/calibration</v>
      </c>
      <c r="D68" s="16" t="s">
        <v>1409</v>
      </c>
      <c r="E68" s="103" t="e">
        <f>(COUNTIFS('Phase2 - Fill-in'!B$1:B$1000,A68,'Phase2 - Fill-in'!E$1:E$1000,Dictionnary!C$666)+0.5*COUNTIFS('Phase2 - Fill-in'!B$1:B$1000,A68,'Phase2 - Fill-in'!E$1:E$1000,Dictionnary!C$669))/(COUNTIFS('Phase2 - Fill-in'!B$5:B$1000,A68,'Phase2 - Fill-in'!E$5:E$1000,"&lt;&gt;Dictionnary!C669"))</f>
        <v>#DIV/0!</v>
      </c>
      <c r="F68" s="13"/>
    </row>
    <row r="69" spans="1:6" s="1" customFormat="1" ht="15.75" x14ac:dyDescent="0.25">
      <c r="A69" s="207" t="str">
        <f>Dictionnary!A193</f>
        <v>EQUIP2.8c</v>
      </c>
      <c r="B69" s="14" t="str">
        <f>Dictionnary!B193</f>
        <v>Equipment</v>
      </c>
      <c r="C69" s="15" t="str">
        <f>Dictionnary!C193</f>
        <v>Date of next service/calibration</v>
      </c>
      <c r="D69" s="16" t="s">
        <v>1409</v>
      </c>
      <c r="E69" s="103" t="e">
        <f>(COUNTIFS('Phase2 - Fill-in'!B$1:B$1000,A69,'Phase2 - Fill-in'!E$1:E$1000,Dictionnary!C$666)+0.5*COUNTIFS('Phase2 - Fill-in'!B$1:B$1000,A69,'Phase2 - Fill-in'!E$1:E$1000,Dictionnary!C$669))/(COUNTIFS('Phase2 - Fill-in'!B$5:B$1000,A69,'Phase2 - Fill-in'!E$5:E$1000,"&lt;&gt;Dictionnary!C669"))</f>
        <v>#DIV/0!</v>
      </c>
      <c r="F69" s="13"/>
    </row>
    <row r="70" spans="1:6" s="1" customFormat="1" ht="31.5" x14ac:dyDescent="0.25">
      <c r="A70" s="207" t="str">
        <f>Dictionnary!A194</f>
        <v>EQUIP2.9</v>
      </c>
      <c r="B70" s="99" t="str">
        <f>Dictionnary!B194</f>
        <v>Equipment</v>
      </c>
      <c r="C70" s="17" t="str">
        <f>Dictionnary!C194</f>
        <v>Are the equipment labels resistant to fluids, chemicals, light, and other daily factors causing wear and tear of the labels?</v>
      </c>
      <c r="D70" s="12" t="s">
        <v>1408</v>
      </c>
      <c r="E70" s="103">
        <f>(COUNTIFS('Phase2 - Fill-in'!B$1:B$1000,A70,'Phase2 - Fill-in'!E$1:E$1000,Dictionnary!C$666)+0.5*COUNTIFS('Phase2 - Fill-in'!B$1:B$1000,A70,'Phase2 - Fill-in'!E$1:E$1000,Dictionnary!C$669))/(COUNTIFS('Phase2 - Fill-in'!B$5:B$1000,A70,'Phase2 - Fill-in'!E$5:E$1000,"&lt;&gt;Dictionnary!C669"))</f>
        <v>1</v>
      </c>
      <c r="F70" s="13"/>
    </row>
    <row r="71" spans="1:6" s="1" customFormat="1" ht="31.5" x14ac:dyDescent="0.25">
      <c r="A71" s="207" t="str">
        <f>Dictionnary!A195</f>
        <v>EQUIP2.10</v>
      </c>
      <c r="B71" s="14" t="str">
        <f>Dictionnary!B195</f>
        <v>Equipment</v>
      </c>
      <c r="C71" s="15" t="str">
        <f>Dictionnary!C195</f>
        <v>Is it documented who is responsible for each piece of equipment and who is authorized to use the equipment?</v>
      </c>
      <c r="D71" s="16" t="s">
        <v>1409</v>
      </c>
      <c r="E71" s="103">
        <f>(COUNTIFS('Phase2 - Fill-in'!B$1:B$1000,A71,'Phase2 - Fill-in'!E$1:E$1000,Dictionnary!C$666)+0.5*COUNTIFS('Phase2 - Fill-in'!B$1:B$1000,A71,'Phase2 - Fill-in'!E$1:E$1000,Dictionnary!C$669))/(COUNTIFS('Phase2 - Fill-in'!B$5:B$1000,A71,'Phase2 - Fill-in'!E$5:E$1000,"&lt;&gt;Dictionnary!C669"))</f>
        <v>0.5</v>
      </c>
      <c r="F71" s="13"/>
    </row>
    <row r="72" spans="1:6" s="1" customFormat="1" ht="63" x14ac:dyDescent="0.25">
      <c r="A72" s="207" t="str">
        <f>Dictionnary!A196</f>
        <v>EQUIP2.11</v>
      </c>
      <c r="B72" s="99" t="str">
        <f>Dictionnary!B196</f>
        <v>Equipment</v>
      </c>
      <c r="C72" s="17" t="str">
        <f>Dictionnary!C196</f>
        <v>Do staff members who are responsible for a piece of equipment know their responsibilities?
Take a sample by asking such a staff member.</v>
      </c>
      <c r="D72" s="12" t="s">
        <v>1409</v>
      </c>
      <c r="E72" s="103">
        <f>(COUNTIFS('Phase2 - Fill-in'!B$1:B$1000,A72,'Phase2 - Fill-in'!E$1:E$1000,Dictionnary!C$666)+0.5*COUNTIFS('Phase2 - Fill-in'!B$1:B$1000,A72,'Phase2 - Fill-in'!E$1:E$1000,Dictionnary!C$669))/(COUNTIFS('Phase2 - Fill-in'!B$5:B$1000,A72,'Phase2 - Fill-in'!E$5:E$1000,"&lt;&gt;Dictionnary!C669"))</f>
        <v>1</v>
      </c>
      <c r="F72" s="13"/>
    </row>
    <row r="73" spans="1:6" s="1" customFormat="1" ht="31.5" x14ac:dyDescent="0.25">
      <c r="A73" s="207" t="str">
        <f>Dictionnary!A197</f>
        <v>EQUIP2.12</v>
      </c>
      <c r="B73" s="14" t="str">
        <f>Dictionnary!B197</f>
        <v>Equipment</v>
      </c>
      <c r="C73" s="15" t="str">
        <f>Dictionnary!C197</f>
        <v>Are staff members authorized for use of a piece of equipment properly instructed/trained?</v>
      </c>
      <c r="D73" s="16" t="s">
        <v>1409</v>
      </c>
      <c r="E73" s="103">
        <f>(COUNTIFS('Phase2 - Fill-in'!B$1:B$1000,A73,'Phase2 - Fill-in'!E$1:E$1000,Dictionnary!C$666)+0.5*COUNTIFS('Phase2 - Fill-in'!B$1:B$1000,A73,'Phase2 - Fill-in'!E$1:E$1000,Dictionnary!C$669))/(COUNTIFS('Phase2 - Fill-in'!B$5:B$1000,A73,'Phase2 - Fill-in'!E$5:E$1000,"&lt;&gt;Dictionnary!C669"))</f>
        <v>0</v>
      </c>
      <c r="F73" s="13"/>
    </row>
    <row r="74" spans="1:6" s="1" customFormat="1" ht="47.25" x14ac:dyDescent="0.25">
      <c r="A74" s="207" t="str">
        <f>Dictionnary!A198</f>
        <v>EQUIP2.13</v>
      </c>
      <c r="B74" s="99" t="str">
        <f>Dictionnary!B198</f>
        <v>Equipment</v>
      </c>
      <c r="C74" s="17" t="str">
        <f>Dictionnary!C198</f>
        <v>Does the laboratory have a Maintenance Log Sheet for each piece of equipment that shows what maintenance has been performed at which moment to which piece of equipment?</v>
      </c>
      <c r="D74" s="12" t="s">
        <v>1408</v>
      </c>
      <c r="E74" s="103">
        <f>(COUNTIFS('Phase2 - Fill-in'!B$1:B$1000,A74,'Phase2 - Fill-in'!E$1:E$1000,Dictionnary!C$666)+0.5*COUNTIFS('Phase2 - Fill-in'!B$1:B$1000,A74,'Phase2 - Fill-in'!E$1:E$1000,Dictionnary!C$669))/(COUNTIFS('Phase2 - Fill-in'!B$5:B$1000,A74,'Phase2 - Fill-in'!E$5:E$1000,"&lt;&gt;Dictionnary!C669"))</f>
        <v>0</v>
      </c>
      <c r="F74" s="13"/>
    </row>
    <row r="75" spans="1:6" s="1" customFormat="1" ht="31.5" x14ac:dyDescent="0.25">
      <c r="A75" s="207" t="str">
        <f>Dictionnary!A199</f>
        <v>EQUIP2.14</v>
      </c>
      <c r="B75" s="14" t="str">
        <f>Dictionnary!B199</f>
        <v>Equipment</v>
      </c>
      <c r="C75" s="15" t="str">
        <f>Dictionnary!C199</f>
        <v>Does the laboratory use log sheets to record usage of specific pieces of equipment where necessary?</v>
      </c>
      <c r="D75" s="16" t="s">
        <v>1408</v>
      </c>
      <c r="E75" s="103">
        <f>(COUNTIFS('Phase2 - Fill-in'!B$1:B$1000,A75,'Phase2 - Fill-in'!E$1:E$1000,Dictionnary!C$666)+0.5*COUNTIFS('Phase2 - Fill-in'!B$1:B$1000,A75,'Phase2 - Fill-in'!E$1:E$1000,Dictionnary!C$669))/(COUNTIFS('Phase2 - Fill-in'!B$5:B$1000,A75,'Phase2 - Fill-in'!E$5:E$1000,"&lt;&gt;Dictionnary!C669"))</f>
        <v>1</v>
      </c>
      <c r="F75" s="13"/>
    </row>
    <row r="76" spans="1:6" s="1" customFormat="1" ht="31.5" x14ac:dyDescent="0.25">
      <c r="A76" s="207" t="str">
        <f>Dictionnary!A200</f>
        <v>EQUIP2.15</v>
      </c>
      <c r="B76" s="99" t="str">
        <f>Dictionnary!B200</f>
        <v>Equipment</v>
      </c>
      <c r="C76" s="17" t="str">
        <f>Dictionnary!C200</f>
        <v>Do staff members know how and when to fill out Usage Log Sheets/log books for each piece of equipment?</v>
      </c>
      <c r="D76" s="12" t="s">
        <v>1408</v>
      </c>
      <c r="E76" s="103">
        <f>(COUNTIFS('Phase2 - Fill-in'!B$1:B$1000,A76,'Phase2 - Fill-in'!E$1:E$1000,Dictionnary!C$666)+0.5*COUNTIFS('Phase2 - Fill-in'!B$1:B$1000,A76,'Phase2 - Fill-in'!E$1:E$1000,Dictionnary!C$669))/(COUNTIFS('Phase2 - Fill-in'!B$5:B$1000,A76,'Phase2 - Fill-in'!E$5:E$1000,"&lt;&gt;Dictionnary!C669"))</f>
        <v>0</v>
      </c>
      <c r="F76" s="13"/>
    </row>
    <row r="77" spans="1:6" s="1" customFormat="1" ht="31.5" x14ac:dyDescent="0.25">
      <c r="A77" s="207" t="str">
        <f>Dictionnary!A201</f>
        <v>EQUIP2.16</v>
      </c>
      <c r="B77" s="14" t="str">
        <f>Dictionnary!B201</f>
        <v>Equipment</v>
      </c>
      <c r="C77" s="15" t="str">
        <f>Dictionnary!C201</f>
        <v>Are the Usage Log Sheets placed near the piece of equipment they have been developed for?</v>
      </c>
      <c r="D77" s="16" t="s">
        <v>1408</v>
      </c>
      <c r="E77" s="103">
        <f>(COUNTIFS('Phase2 - Fill-in'!B$1:B$1000,A77,'Phase2 - Fill-in'!E$1:E$1000,Dictionnary!C$666)+0.5*COUNTIFS('Phase2 - Fill-in'!B$1:B$1000,A77,'Phase2 - Fill-in'!E$1:E$1000,Dictionnary!C$669))/(COUNTIFS('Phase2 - Fill-in'!B$5:B$1000,A77,'Phase2 - Fill-in'!E$5:E$1000,"&lt;&gt;Dictionnary!C669"))</f>
        <v>1</v>
      </c>
      <c r="F77" s="13"/>
    </row>
    <row r="78" spans="1:6" s="1" customFormat="1" ht="31.5" x14ac:dyDescent="0.25">
      <c r="A78" s="207" t="str">
        <f>Dictionnary!A202</f>
        <v>EQUIP2.17</v>
      </c>
      <c r="B78" s="99" t="str">
        <f>Dictionnary!B202</f>
        <v>Equipment</v>
      </c>
      <c r="C78" s="17" t="str">
        <f>Dictionnary!C202</f>
        <v>Are Maintenance Log Sheets of equipment stored orderly in the Equipment Archive?</v>
      </c>
      <c r="D78" s="12" t="s">
        <v>1409</v>
      </c>
      <c r="E78" s="103">
        <f>(COUNTIFS('Phase2 - Fill-in'!B$1:B$1000,A78,'Phase2 - Fill-in'!E$1:E$1000,Dictionnary!C$666)+0.5*COUNTIFS('Phase2 - Fill-in'!B$1:B$1000,A78,'Phase2 - Fill-in'!E$1:E$1000,Dictionnary!C$669))/(COUNTIFS('Phase2 - Fill-in'!B$5:B$1000,A78,'Phase2 - Fill-in'!E$5:E$1000,"&lt;&gt;Dictionnary!C669"))</f>
        <v>0</v>
      </c>
      <c r="F78" s="13"/>
    </row>
    <row r="79" spans="1:6" s="1" customFormat="1" ht="47.25" x14ac:dyDescent="0.25">
      <c r="A79" s="207" t="str">
        <f>Dictionnary!A203</f>
        <v>EQUIP2.18</v>
      </c>
      <c r="B79" s="14" t="str">
        <f>Dictionnary!B203</f>
        <v>Equipment</v>
      </c>
      <c r="C79" s="15" t="str">
        <f>Dictionnary!C203</f>
        <v>Does the laboratory have an Equipment Archive that contains all the documents and records needed for each piece of equipment as listed in ISO 15189:2007 article 5.3.4 or ISO 15189:2012 article 5.3.1.7?</v>
      </c>
      <c r="D79" s="16" t="s">
        <v>1409</v>
      </c>
      <c r="E79" s="103">
        <f>(COUNTIFS('Phase2 - Fill-in'!B$1:B$1000,A79,'Phase2 - Fill-in'!E$1:E$1000,Dictionnary!C$666)+0.5*COUNTIFS('Phase2 - Fill-in'!B$1:B$1000,A79,'Phase2 - Fill-in'!E$1:E$1000,Dictionnary!C$669))/(COUNTIFS('Phase2 - Fill-in'!B$5:B$1000,A79,'Phase2 - Fill-in'!E$5:E$1000,"&lt;&gt;Dictionnary!C669"))</f>
        <v>0.625</v>
      </c>
      <c r="F79" s="13"/>
    </row>
    <row r="80" spans="1:6" s="1" customFormat="1" ht="31.5" x14ac:dyDescent="0.25">
      <c r="A80" s="207" t="str">
        <f>Dictionnary!A204</f>
        <v>EQUIP2.19</v>
      </c>
      <c r="B80" s="99" t="str">
        <f>Dictionnary!B204</f>
        <v>Equipment</v>
      </c>
      <c r="C80" s="17" t="str">
        <f>Dictionnary!C204</f>
        <v>Does the laboratory have a documented procedure that describes the following:</v>
      </c>
      <c r="D80" s="12" t="s">
        <v>1409</v>
      </c>
      <c r="E80" s="103" t="e">
        <f>(COUNTIFS('Phase2 - Fill-in'!B$1:B$1000,A80,'Phase2 - Fill-in'!E$1:E$1000,Dictionnary!C$666)+0.5*COUNTIFS('Phase2 - Fill-in'!B$1:B$1000,A80,'Phase2 - Fill-in'!E$1:E$1000,Dictionnary!C$669))/(COUNTIFS('Phase2 - Fill-in'!B$5:B$1000,A80,'Phase2 - Fill-in'!E$5:E$1000,"&lt;&gt;Dictionnary!C669"))</f>
        <v>#DIV/0!</v>
      </c>
      <c r="F80" s="13"/>
    </row>
    <row r="81" spans="1:6" s="1" customFormat="1" ht="31.5" x14ac:dyDescent="0.25">
      <c r="A81" s="207" t="str">
        <f>Dictionnary!A205</f>
        <v>EQUIP2.19a</v>
      </c>
      <c r="B81" s="99" t="str">
        <f>Dictionnary!B205</f>
        <v>Equipment</v>
      </c>
      <c r="C81" s="17" t="str">
        <f>Dictionnary!C205</f>
        <v>Activities that need to be undertaken when new equipment is introduced in the laboratory</v>
      </c>
      <c r="D81" s="12" t="s">
        <v>1409</v>
      </c>
      <c r="E81" s="103" t="e">
        <f>(COUNTIFS('Phase2 - Fill-in'!B$1:B$1000,A81,'Phase2 - Fill-in'!E$1:E$1000,Dictionnary!C$666)+0.5*COUNTIFS('Phase2 - Fill-in'!B$1:B$1000,A81,'Phase2 - Fill-in'!E$1:E$1000,Dictionnary!C$669))/(COUNTIFS('Phase2 - Fill-in'!B$5:B$1000,A81,'Phase2 - Fill-in'!E$5:E$1000,"&lt;&gt;Dictionnary!C669"))</f>
        <v>#DIV/0!</v>
      </c>
      <c r="F81" s="13"/>
    </row>
    <row r="82" spans="1:6" s="1" customFormat="1" ht="31.5" x14ac:dyDescent="0.25">
      <c r="A82" s="207" t="str">
        <f>Dictionnary!A206</f>
        <v>EQUIP2.19b</v>
      </c>
      <c r="B82" s="99" t="str">
        <f>Dictionnary!B206</f>
        <v>Equipment</v>
      </c>
      <c r="C82" s="17" t="str">
        <f>Dictionnary!C206</f>
        <v>The required measures for ensuring maintenance and calibration of the piece of equipment</v>
      </c>
      <c r="D82" s="12" t="s">
        <v>1408</v>
      </c>
      <c r="E82" s="103" t="e">
        <f>(COUNTIFS('Phase2 - Fill-in'!B$1:B$1000,A82,'Phase2 - Fill-in'!E$1:E$1000,Dictionnary!C$666)+0.5*COUNTIFS('Phase2 - Fill-in'!B$1:B$1000,A82,'Phase2 - Fill-in'!E$1:E$1000,Dictionnary!C$669))/(COUNTIFS('Phase2 - Fill-in'!B$5:B$1000,A82,'Phase2 - Fill-in'!E$5:E$1000,"&lt;&gt;Dictionnary!C669"))</f>
        <v>#DIV/0!</v>
      </c>
      <c r="F82" s="13"/>
    </row>
    <row r="83" spans="1:6" s="1" customFormat="1" ht="31.5" x14ac:dyDescent="0.25">
      <c r="A83" s="207" t="str">
        <f>Dictionnary!A207</f>
        <v>EQUIP2.19c</v>
      </c>
      <c r="B83" s="99" t="str">
        <f>Dictionnary!B207</f>
        <v>Equipment</v>
      </c>
      <c r="C83" s="17" t="str">
        <f>Dictionnary!C207</f>
        <v>Ensuring presence of the SOP for maintenance and use of the piece of equipment</v>
      </c>
      <c r="D83" s="12" t="s">
        <v>1408</v>
      </c>
      <c r="E83" s="103" t="e">
        <f>(COUNTIFS('Phase2 - Fill-in'!B$1:B$1000,A83,'Phase2 - Fill-in'!E$1:E$1000,Dictionnary!C$666)+0.5*COUNTIFS('Phase2 - Fill-in'!B$1:B$1000,A83,'Phase2 - Fill-in'!E$1:E$1000,Dictionnary!C$669))/(COUNTIFS('Phase2 - Fill-in'!B$5:B$1000,A83,'Phase2 - Fill-in'!E$5:E$1000,"&lt;&gt;Dictionnary!C669"))</f>
        <v>#DIV/0!</v>
      </c>
      <c r="F83" s="13"/>
    </row>
    <row r="84" spans="1:6" s="1" customFormat="1" ht="15.75" x14ac:dyDescent="0.25">
      <c r="A84" s="207" t="str">
        <f>Dictionnary!A208</f>
        <v>EQUIP2.20</v>
      </c>
      <c r="B84" s="14" t="str">
        <f>Dictionnary!B208</f>
        <v>Equipment</v>
      </c>
      <c r="C84" s="15" t="str">
        <f>Dictionnary!C208</f>
        <v>Are Bench Aids used for various pieces of equipment?</v>
      </c>
      <c r="D84" s="16" t="s">
        <v>1408</v>
      </c>
      <c r="E84" s="103">
        <f>(COUNTIFS('Phase2 - Fill-in'!B$1:B$1000,A84,'Phase2 - Fill-in'!E$1:E$1000,Dictionnary!C$666)+0.5*COUNTIFS('Phase2 - Fill-in'!B$1:B$1000,A84,'Phase2 - Fill-in'!E$1:E$1000,Dictionnary!C$669))/(COUNTIFS('Phase2 - Fill-in'!B$5:B$1000,A84,'Phase2 - Fill-in'!E$5:E$1000,"&lt;&gt;Dictionnary!C669"))</f>
        <v>0</v>
      </c>
      <c r="F84" s="13"/>
    </row>
    <row r="85" spans="1:6" s="1" customFormat="1" ht="15.75" x14ac:dyDescent="0.25">
      <c r="A85" s="207" t="str">
        <f>Dictionnary!A209</f>
        <v>EQUIP2.21</v>
      </c>
      <c r="B85" s="99" t="str">
        <f>Dictionnary!B209</f>
        <v>Equipment</v>
      </c>
      <c r="C85" s="17" t="str">
        <f>Dictionnary!C209</f>
        <v>Are these Bench Aids in accordance with the SOPs for equipment?</v>
      </c>
      <c r="D85" s="12" t="s">
        <v>1408</v>
      </c>
      <c r="E85" s="103" t="e">
        <f>(COUNTIFS('Phase2 - Fill-in'!B$1:B$1000,A85,'Phase2 - Fill-in'!E$1:E$1000,Dictionnary!C$666)+0.5*COUNTIFS('Phase2 - Fill-in'!B$1:B$1000,A85,'Phase2 - Fill-in'!E$1:E$1000,Dictionnary!C$669))/(COUNTIFS('Phase2 - Fill-in'!B$5:B$1000,A85,'Phase2 - Fill-in'!E$5:E$1000,"&lt;&gt;Dictionnary!C669"))</f>
        <v>#DIV/0!</v>
      </c>
      <c r="F85" s="13"/>
    </row>
    <row r="86" spans="1:6" s="1" customFormat="1" ht="15.75" x14ac:dyDescent="0.25">
      <c r="A86" s="207" t="str">
        <f>Dictionnary!A210</f>
        <v>EQUIP2.22</v>
      </c>
      <c r="B86" s="14" t="str">
        <f>Dictionnary!B210</f>
        <v>Equipment</v>
      </c>
      <c r="C86" s="15" t="str">
        <f>Dictionnary!C210</f>
        <v>Is the method of maintenance and calibration of equipment documented?</v>
      </c>
      <c r="D86" s="16" t="s">
        <v>1409</v>
      </c>
      <c r="E86" s="103">
        <f>(COUNTIFS('Phase2 - Fill-in'!B$1:B$1000,A86,'Phase2 - Fill-in'!E$1:E$1000,Dictionnary!C$666)+0.5*COUNTIFS('Phase2 - Fill-in'!B$1:B$1000,A86,'Phase2 - Fill-in'!E$1:E$1000,Dictionnary!C$669))/(COUNTIFS('Phase2 - Fill-in'!B$5:B$1000,A86,'Phase2 - Fill-in'!E$5:E$1000,"&lt;&gt;Dictionnary!C669"))</f>
        <v>1</v>
      </c>
      <c r="F86" s="13"/>
    </row>
    <row r="87" spans="1:6" s="1" customFormat="1" ht="31.5" x14ac:dyDescent="0.25">
      <c r="A87" s="207" t="str">
        <f>Dictionnary!A211</f>
        <v>EQUIP2.23</v>
      </c>
      <c r="B87" s="99" t="str">
        <f>Dictionnary!B211</f>
        <v>Equipment</v>
      </c>
      <c r="C87" s="17" t="str">
        <f>Dictionnary!C211</f>
        <v>Is the budget needed for the maintenance and calibration of equipment calculated and documented?</v>
      </c>
      <c r="D87" s="12" t="s">
        <v>1409</v>
      </c>
      <c r="E87" s="103">
        <f>(COUNTIFS('Phase2 - Fill-in'!B$1:B$1000,A87,'Phase2 - Fill-in'!E$1:E$1000,Dictionnary!C$666)+0.5*COUNTIFS('Phase2 - Fill-in'!B$1:B$1000,A87,'Phase2 - Fill-in'!E$1:E$1000,Dictionnary!C$669))/(COUNTIFS('Phase2 - Fill-in'!B$5:B$1000,A87,'Phase2 - Fill-in'!E$5:E$1000,"&lt;&gt;Dictionnary!C669"))</f>
        <v>0.5</v>
      </c>
      <c r="F87" s="13"/>
    </row>
    <row r="88" spans="1:6" s="1" customFormat="1" ht="31.5" x14ac:dyDescent="0.25">
      <c r="A88" s="207" t="str">
        <f>Dictionnary!A212</f>
        <v>EQUIP2.24</v>
      </c>
      <c r="B88" s="14" t="str">
        <f>Dictionnary!B212</f>
        <v>Equipment</v>
      </c>
      <c r="C88" s="15" t="str">
        <f>Dictionnary!C212</f>
        <v>Have funds been identified for annual maintenance and calibration of equipment?</v>
      </c>
      <c r="D88" s="16" t="s">
        <v>1409</v>
      </c>
      <c r="E88" s="103">
        <f>(COUNTIFS('Phase2 - Fill-in'!B$1:B$1000,A88,'Phase2 - Fill-in'!E$1:E$1000,Dictionnary!C$666)+0.5*COUNTIFS('Phase2 - Fill-in'!B$1:B$1000,A88,'Phase2 - Fill-in'!E$1:E$1000,Dictionnary!C$669))/(COUNTIFS('Phase2 - Fill-in'!B$5:B$1000,A88,'Phase2 - Fill-in'!E$5:E$1000,"&lt;&gt;Dictionnary!C669"))</f>
        <v>0</v>
      </c>
      <c r="F88" s="13"/>
    </row>
    <row r="89" spans="1:6" s="1" customFormat="1" ht="31.5" x14ac:dyDescent="0.25">
      <c r="A89" s="207" t="str">
        <f>Dictionnary!A213</f>
        <v>EQUIP2.25</v>
      </c>
      <c r="B89" s="99" t="str">
        <f>Dictionnary!B213</f>
        <v>Equipment</v>
      </c>
      <c r="C89" s="17" t="str">
        <f>Dictionnary!C213</f>
        <v>Have funds been identified for training of a staff member for internal maintenance and calibration of equipment?</v>
      </c>
      <c r="D89" s="12" t="s">
        <v>1409</v>
      </c>
      <c r="E89" s="103">
        <f>(COUNTIFS('Phase2 - Fill-in'!B$1:B$1000,A89,'Phase2 - Fill-in'!E$1:E$1000,Dictionnary!C$666)+0.5*COUNTIFS('Phase2 - Fill-in'!B$1:B$1000,A89,'Phase2 - Fill-in'!E$1:E$1000,Dictionnary!C$669))/(COUNTIFS('Phase2 - Fill-in'!B$5:B$1000,A89,'Phase2 - Fill-in'!E$5:E$1000,"&lt;&gt;Dictionnary!C669"))</f>
        <v>1</v>
      </c>
      <c r="F89" s="13"/>
    </row>
    <row r="90" spans="1:6" s="1" customFormat="1" ht="15.75" x14ac:dyDescent="0.25">
      <c r="A90" s="207" t="str">
        <f>Dictionnary!A214</f>
        <v>EQUIP2.26</v>
      </c>
      <c r="B90" s="14" t="str">
        <f>Dictionnary!B214</f>
        <v>Equipment</v>
      </c>
      <c r="C90" s="15" t="str">
        <f>Dictionnary!C214</f>
        <v>Is a preventive maintenance program in place for all pieces of equipment?</v>
      </c>
      <c r="D90" s="16" t="s">
        <v>1409</v>
      </c>
      <c r="E90" s="103">
        <f>(COUNTIFS('Phase2 - Fill-in'!B$1:B$1000,A90,'Phase2 - Fill-in'!E$1:E$1000,Dictionnary!C$666)+0.5*COUNTIFS('Phase2 - Fill-in'!B$1:B$1000,A90,'Phase2 - Fill-in'!E$1:E$1000,Dictionnary!C$669))/(COUNTIFS('Phase2 - Fill-in'!B$5:B$1000,A90,'Phase2 - Fill-in'!E$5:E$1000,"&lt;&gt;Dictionnary!C669"))</f>
        <v>0.5</v>
      </c>
      <c r="F90" s="13"/>
    </row>
    <row r="91" spans="1:6" s="1" customFormat="1" ht="78.75" x14ac:dyDescent="0.25">
      <c r="A91" s="207" t="str">
        <f>Dictionnary!A215</f>
        <v>EQUIP2.27</v>
      </c>
      <c r="B91" s="99" t="str">
        <f>Dictionnary!B215</f>
        <v>Equipment</v>
      </c>
      <c r="C91" s="17" t="str">
        <f>Dictionnary!C215</f>
        <v>Does the laboratory demonstrably adhere to this program?
Compare maintenance records for a piece of equipment from the equipment file with the dates this maintenance was planned in the Equipment Maintenance Schedule.</v>
      </c>
      <c r="D91" s="12" t="s">
        <v>1409</v>
      </c>
      <c r="E91" s="103">
        <f>(COUNTIFS('Phase2 - Fill-in'!B$1:B$1000,A91,'Phase2 - Fill-in'!E$1:E$1000,Dictionnary!C$666)+0.5*COUNTIFS('Phase2 - Fill-in'!B$1:B$1000,A91,'Phase2 - Fill-in'!E$1:E$1000,Dictionnary!C$669))/(COUNTIFS('Phase2 - Fill-in'!B$5:B$1000,A91,'Phase2 - Fill-in'!E$5:E$1000,"&lt;&gt;Dictionnary!C669"))</f>
        <v>1</v>
      </c>
      <c r="F91" s="13"/>
    </row>
    <row r="92" spans="1:6" s="1" customFormat="1" ht="31.5" x14ac:dyDescent="0.25">
      <c r="A92" s="207" t="str">
        <f>Dictionnary!A216</f>
        <v>EQUIP2.28</v>
      </c>
      <c r="B92" s="14" t="str">
        <f>Dictionnary!B216</f>
        <v>Equipment</v>
      </c>
      <c r="C92" s="15" t="str">
        <f>Dictionnary!C216</f>
        <v>Is the procedure for ensuring equipment maintenance standardized in an SOP?</v>
      </c>
      <c r="D92" s="16" t="s">
        <v>1408</v>
      </c>
      <c r="E92" s="103">
        <f>(COUNTIFS('Phase2 - Fill-in'!B$1:B$1000,A92,'Phase2 - Fill-in'!E$1:E$1000,Dictionnary!C$666)+0.5*COUNTIFS('Phase2 - Fill-in'!B$1:B$1000,A92,'Phase2 - Fill-in'!E$1:E$1000,Dictionnary!C$669))/(COUNTIFS('Phase2 - Fill-in'!B$5:B$1000,A92,'Phase2 - Fill-in'!E$5:E$1000,"&lt;&gt;Dictionnary!C669"))</f>
        <v>0</v>
      </c>
      <c r="F92" s="13"/>
    </row>
    <row r="93" spans="1:6" s="1" customFormat="1" ht="31.5" x14ac:dyDescent="0.25">
      <c r="A93" s="207" t="str">
        <f>Dictionnary!A217</f>
        <v>EQUIP2.29</v>
      </c>
      <c r="B93" s="99" t="str">
        <f>Dictionnary!B217</f>
        <v>Equipment</v>
      </c>
      <c r="C93" s="17" t="str">
        <f>Dictionnary!C217</f>
        <v>Does the laboratory have an SOP for Equipment Repair, including a clear procedure for disinfection and clear labeling the equipment as “defect”?</v>
      </c>
      <c r="D93" s="12" t="s">
        <v>1408</v>
      </c>
      <c r="E93" s="103">
        <f>(COUNTIFS('Phase2 - Fill-in'!B$1:B$1000,A93,'Phase2 - Fill-in'!E$1:E$1000,Dictionnary!C$666)+0.5*COUNTIFS('Phase2 - Fill-in'!B$1:B$1000,A93,'Phase2 - Fill-in'!E$1:E$1000,Dictionnary!C$669))/(COUNTIFS('Phase2 - Fill-in'!B$5:B$1000,A93,'Phase2 - Fill-in'!E$5:E$1000,"&lt;&gt;Dictionnary!C669"))</f>
        <v>1</v>
      </c>
      <c r="F93" s="13"/>
    </row>
    <row r="94" spans="1:6" s="1" customFormat="1" ht="47.25" x14ac:dyDescent="0.25">
      <c r="A94" s="207" t="str">
        <f>Dictionnary!A218</f>
        <v>EQUIP2.30</v>
      </c>
      <c r="B94" s="14" t="str">
        <f>Dictionnary!B218</f>
        <v>Equipment</v>
      </c>
      <c r="C94" s="15" t="str">
        <f>Dictionnary!C218</f>
        <v>Does the laboratory have an SOP explaining the procedure to be followed for ensuring validation of adequate functioning of equipment when it is returned into service after repair?</v>
      </c>
      <c r="D94" s="16" t="s">
        <v>1409</v>
      </c>
      <c r="E94" s="103">
        <f>(COUNTIFS('Phase2 - Fill-in'!B$1:B$1000,A94,'Phase2 - Fill-in'!E$1:E$1000,Dictionnary!C$666)+0.5*COUNTIFS('Phase2 - Fill-in'!B$1:B$1000,A94,'Phase2 - Fill-in'!E$1:E$1000,Dictionnary!C$669))/(COUNTIFS('Phase2 - Fill-in'!B$5:B$1000,A94,'Phase2 - Fill-in'!E$5:E$1000,"&lt;&gt;Dictionnary!C669"))</f>
        <v>1</v>
      </c>
      <c r="F94" s="13"/>
    </row>
    <row r="95" spans="1:6" s="1" customFormat="1" ht="15.75" x14ac:dyDescent="0.25">
      <c r="A95" s="207" t="str">
        <f>Dictionnary!A219</f>
        <v>PI2.1</v>
      </c>
      <c r="B95" s="99" t="str">
        <f>Dictionnary!B219</f>
        <v>Puchasing and Inventory</v>
      </c>
      <c r="C95" s="17" t="str">
        <f>Dictionnary!C219</f>
        <v>Does the laboratory have an overview of all the items in stock?</v>
      </c>
      <c r="D95" s="12" t="s">
        <v>1409</v>
      </c>
      <c r="E95" s="103">
        <f>(COUNTIFS('Phase2 - Fill-in'!B$1:B$1000,A95,'Phase2 - Fill-in'!E$1:E$1000,Dictionnary!C$666)+0.5*COUNTIFS('Phase2 - Fill-in'!B$1:B$1000,A95,'Phase2 - Fill-in'!E$1:E$1000,Dictionnary!C$669))/(COUNTIFS('Phase2 - Fill-in'!B$5:B$1000,A95,'Phase2 - Fill-in'!E$5:E$1000,"&lt;&gt;Dictionnary!C669"))</f>
        <v>0</v>
      </c>
      <c r="F95" s="13"/>
    </row>
    <row r="96" spans="1:6" s="1" customFormat="1" ht="15.75" x14ac:dyDescent="0.25">
      <c r="A96" s="207" t="str">
        <f>Dictionnary!A220</f>
        <v>PI2.2</v>
      </c>
      <c r="B96" s="14" t="str">
        <f>Dictionnary!B220</f>
        <v>Puchasing and Inventory</v>
      </c>
      <c r="C96" s="15" t="str">
        <f>Dictionnary!C220</f>
        <v>Has the laboratory formulated key specification for each item in stock?</v>
      </c>
      <c r="D96" s="16" t="s">
        <v>1408</v>
      </c>
      <c r="E96" s="103" t="e">
        <f>(COUNTIFS('Phase2 - Fill-in'!B$1:B$1000,A96,'Phase2 - Fill-in'!E$1:E$1000,Dictionnary!C$666)+0.5*COUNTIFS('Phase2 - Fill-in'!B$1:B$1000,A96,'Phase2 - Fill-in'!E$1:E$1000,Dictionnary!C$669))/(COUNTIFS('Phase2 - Fill-in'!B$5:B$1000,A96,'Phase2 - Fill-in'!E$5:E$1000,"&lt;&gt;Dictionnary!C669"))</f>
        <v>#DIV/0!</v>
      </c>
      <c r="F96" s="13"/>
    </row>
    <row r="97" spans="1:6" s="1" customFormat="1" ht="31.5" x14ac:dyDescent="0.25">
      <c r="A97" s="207" t="str">
        <f>Dictionnary!A221</f>
        <v>PI2.3</v>
      </c>
      <c r="B97" s="99" t="str">
        <f>Dictionnary!B221</f>
        <v>Puchasing and Inventory</v>
      </c>
      <c r="C97" s="17" t="str">
        <f>Dictionnary!C221</f>
        <v>Does the laboratory have an Inventory Control Register that contains the following details:</v>
      </c>
      <c r="D97" s="12" t="s">
        <v>1409</v>
      </c>
      <c r="E97" s="103" t="e">
        <f>(COUNTIFS('Phase2 - Fill-in'!B$1:B$1000,A97,'Phase2 - Fill-in'!E$1:E$1000,Dictionnary!C$666)+0.5*COUNTIFS('Phase2 - Fill-in'!B$1:B$1000,A97,'Phase2 - Fill-in'!E$1:E$1000,Dictionnary!C$669))/(COUNTIFS('Phase2 - Fill-in'!B$5:B$1000,A97,'Phase2 - Fill-in'!E$5:E$1000,"&lt;&gt;Dictionnary!C669"))</f>
        <v>#DIV/0!</v>
      </c>
      <c r="F97" s="13"/>
    </row>
    <row r="98" spans="1:6" s="1" customFormat="1" ht="15.75" x14ac:dyDescent="0.25">
      <c r="A98" s="207" t="str">
        <f>Dictionnary!A222</f>
        <v>PI2.3a</v>
      </c>
      <c r="B98" s="99" t="str">
        <f>Dictionnary!B222</f>
        <v>Puchasing and Inventory</v>
      </c>
      <c r="C98" s="17" t="str">
        <f>Dictionnary!C222</f>
        <v>Names of all the items in stock</v>
      </c>
      <c r="D98" s="12" t="s">
        <v>1408</v>
      </c>
      <c r="E98" s="103" t="e">
        <f>(COUNTIFS('Phase2 - Fill-in'!B$1:B$1000,A98,'Phase2 - Fill-in'!E$1:E$1000,Dictionnary!C$666)+0.5*COUNTIFS('Phase2 - Fill-in'!B$1:B$1000,A98,'Phase2 - Fill-in'!E$1:E$1000,Dictionnary!C$669))/(COUNTIFS('Phase2 - Fill-in'!B$5:B$1000,A98,'Phase2 - Fill-in'!E$5:E$1000,"&lt;&gt;Dictionnary!C669"))</f>
        <v>#DIV/0!</v>
      </c>
      <c r="F98" s="13"/>
    </row>
    <row r="99" spans="1:6" s="1" customFormat="1" ht="15.75" x14ac:dyDescent="0.25">
      <c r="A99" s="207" t="str">
        <f>Dictionnary!A223</f>
        <v>PI2.3b</v>
      </c>
      <c r="B99" s="99" t="str">
        <f>Dictionnary!B223</f>
        <v>Puchasing and Inventory</v>
      </c>
      <c r="C99" s="17" t="str">
        <f>Dictionnary!C223</f>
        <v>The number of units of each item currently in stock</v>
      </c>
      <c r="D99" s="12" t="s">
        <v>1408</v>
      </c>
      <c r="E99" s="103" t="e">
        <f>(COUNTIFS('Phase2 - Fill-in'!B$1:B$1000,A99,'Phase2 - Fill-in'!E$1:E$1000,Dictionnary!C$666)+0.5*COUNTIFS('Phase2 - Fill-in'!B$1:B$1000,A99,'Phase2 - Fill-in'!E$1:E$1000,Dictionnary!C$669))/(COUNTIFS('Phase2 - Fill-in'!B$5:B$1000,A99,'Phase2 - Fill-in'!E$5:E$1000,"&lt;&gt;Dictionnary!C669"))</f>
        <v>#DIV/0!</v>
      </c>
      <c r="F99" s="13"/>
    </row>
    <row r="100" spans="1:6" s="1" customFormat="1" ht="15.75" x14ac:dyDescent="0.25">
      <c r="A100" s="207" t="str">
        <f>Dictionnary!A224</f>
        <v>PI2.3c</v>
      </c>
      <c r="B100" s="99" t="str">
        <f>Dictionnary!B224</f>
        <v>Puchasing and Inventory</v>
      </c>
      <c r="C100" s="17" t="str">
        <f>Dictionnary!C224</f>
        <v>The average number of units used per day of each item</v>
      </c>
      <c r="D100" s="12" t="s">
        <v>1408</v>
      </c>
      <c r="E100" s="103" t="e">
        <f>(COUNTIFS('Phase2 - Fill-in'!B$1:B$1000,A100,'Phase2 - Fill-in'!E$1:E$1000,Dictionnary!C$666)+0.5*COUNTIFS('Phase2 - Fill-in'!B$1:B$1000,A100,'Phase2 - Fill-in'!E$1:E$1000,Dictionnary!C$669))/(COUNTIFS('Phase2 - Fill-in'!B$5:B$1000,A100,'Phase2 - Fill-in'!E$5:E$1000,"&lt;&gt;Dictionnary!C669"))</f>
        <v>#DIV/0!</v>
      </c>
      <c r="F100" s="13"/>
    </row>
    <row r="101" spans="1:6" s="1" customFormat="1" ht="15.75" x14ac:dyDescent="0.25">
      <c r="A101" s="207" t="str">
        <f>Dictionnary!A225</f>
        <v>PI2.3d</v>
      </c>
      <c r="B101" s="99" t="str">
        <f>Dictionnary!B225</f>
        <v>Puchasing and Inventory</v>
      </c>
      <c r="C101" s="17" t="str">
        <f>Dictionnary!C225</f>
        <v>The minimum stock level of each item for which a new order must be made</v>
      </c>
      <c r="D101" s="12" t="s">
        <v>1408</v>
      </c>
      <c r="E101" s="103" t="e">
        <f>(COUNTIFS('Phase2 - Fill-in'!B$1:B$1000,A101,'Phase2 - Fill-in'!E$1:E$1000,Dictionnary!C$666)+0.5*COUNTIFS('Phase2 - Fill-in'!B$1:B$1000,A101,'Phase2 - Fill-in'!E$1:E$1000,Dictionnary!C$669))/(COUNTIFS('Phase2 - Fill-in'!B$5:B$1000,A101,'Phase2 - Fill-in'!E$5:E$1000,"&lt;&gt;Dictionnary!C669"))</f>
        <v>#DIV/0!</v>
      </c>
      <c r="F101" s="13"/>
    </row>
    <row r="102" spans="1:6" s="1" customFormat="1" ht="31.5" x14ac:dyDescent="0.25">
      <c r="A102" s="207" t="str">
        <f>Dictionnary!A226</f>
        <v>PI2.3e</v>
      </c>
      <c r="B102" s="99" t="str">
        <f>Dictionnary!B226</f>
        <v>Puchasing and Inventory</v>
      </c>
      <c r="C102" s="17" t="str">
        <f>Dictionnary!C226</f>
        <v>Of each item the average number of days before orders arrive at the laboratory</v>
      </c>
      <c r="D102" s="12" t="s">
        <v>1408</v>
      </c>
      <c r="E102" s="103" t="e">
        <f>(COUNTIFS('Phase2 - Fill-in'!B$1:B$1000,A102,'Phase2 - Fill-in'!E$1:E$1000,Dictionnary!C$666)+0.5*COUNTIFS('Phase2 - Fill-in'!B$1:B$1000,A102,'Phase2 - Fill-in'!E$1:E$1000,Dictionnary!C$669))/(COUNTIFS('Phase2 - Fill-in'!B$5:B$1000,A102,'Phase2 - Fill-in'!E$5:E$1000,"&lt;&gt;Dictionnary!C669"))</f>
        <v>#DIV/0!</v>
      </c>
      <c r="F102" s="13"/>
    </row>
    <row r="103" spans="1:6" s="1" customFormat="1" ht="15.75" x14ac:dyDescent="0.25">
      <c r="A103" s="207" t="str">
        <f>Dictionnary!A227</f>
        <v>PI2.3f</v>
      </c>
      <c r="B103" s="99" t="str">
        <f>Dictionnary!B227</f>
        <v>Puchasing and Inventory</v>
      </c>
      <c r="C103" s="17" t="str">
        <f>Dictionnary!C227</f>
        <v>The supplier details of each item</v>
      </c>
      <c r="D103" s="12" t="s">
        <v>1408</v>
      </c>
      <c r="E103" s="103" t="e">
        <f>(COUNTIFS('Phase2 - Fill-in'!B$1:B$1000,A103,'Phase2 - Fill-in'!E$1:E$1000,Dictionnary!C$666)+0.5*COUNTIFS('Phase2 - Fill-in'!B$1:B$1000,A103,'Phase2 - Fill-in'!E$1:E$1000,Dictionnary!C$669))/(COUNTIFS('Phase2 - Fill-in'!B$5:B$1000,A103,'Phase2 - Fill-in'!E$5:E$1000,"&lt;&gt;Dictionnary!C669"))</f>
        <v>#DIV/0!</v>
      </c>
      <c r="F103" s="13"/>
    </row>
    <row r="104" spans="1:6" s="1" customFormat="1" ht="15.75" x14ac:dyDescent="0.25">
      <c r="A104" s="207" t="str">
        <f>Dictionnary!A228</f>
        <v>PI2.3g</v>
      </c>
      <c r="B104" s="99" t="str">
        <f>Dictionnary!B228</f>
        <v>Puchasing and Inventory</v>
      </c>
      <c r="C104" s="17" t="str">
        <f>Dictionnary!C228</f>
        <v>The key specifications of each item</v>
      </c>
      <c r="D104" s="12" t="s">
        <v>1408</v>
      </c>
      <c r="E104" s="103" t="e">
        <f>(COUNTIFS('Phase2 - Fill-in'!B$1:B$1000,A104,'Phase2 - Fill-in'!E$1:E$1000,Dictionnary!C$666)+0.5*COUNTIFS('Phase2 - Fill-in'!B$1:B$1000,A104,'Phase2 - Fill-in'!E$1:E$1000,Dictionnary!C$669))/(COUNTIFS('Phase2 - Fill-in'!B$5:B$1000,A104,'Phase2 - Fill-in'!E$5:E$1000,"&lt;&gt;Dictionnary!C669"))</f>
        <v>#DIV/0!</v>
      </c>
      <c r="F104" s="13"/>
    </row>
    <row r="105" spans="1:6" s="1" customFormat="1" ht="31.5" x14ac:dyDescent="0.25">
      <c r="A105" s="207" t="str">
        <f>Dictionnary!A229</f>
        <v>PI2.4</v>
      </c>
      <c r="B105" s="14" t="str">
        <f>Dictionnary!B229</f>
        <v>Puchasing and Inventory</v>
      </c>
      <c r="C105" s="15" t="str">
        <f>Dictionnary!C229</f>
        <v>Is the Inventory Control Register kept up to date by counting the items in stock and comparing this with the number of items shown in the register?</v>
      </c>
      <c r="D105" s="16" t="s">
        <v>1408</v>
      </c>
      <c r="E105" s="103">
        <f>(COUNTIFS('Phase2 - Fill-in'!B$1:B$1000,A105,'Phase2 - Fill-in'!E$1:E$1000,Dictionnary!C$666)+0.5*COUNTIFS('Phase2 - Fill-in'!B$1:B$1000,A105,'Phase2 - Fill-in'!E$1:E$1000,Dictionnary!C$669))/(COUNTIFS('Phase2 - Fill-in'!B$5:B$1000,A105,'Phase2 - Fill-in'!E$5:E$1000,"&lt;&gt;Dictionnary!C669"))</f>
        <v>0</v>
      </c>
      <c r="F105" s="13"/>
    </row>
    <row r="106" spans="1:6" s="1" customFormat="1" ht="63" x14ac:dyDescent="0.25">
      <c r="A106" s="207" t="str">
        <f>Dictionnary!A230</f>
        <v>PI2.5</v>
      </c>
      <c r="B106" s="99" t="str">
        <f>Dictionnary!B230</f>
        <v>Puchasing and Inventory</v>
      </c>
      <c r="C106" s="17" t="str">
        <f>Dictionnary!C230</f>
        <v>Does the laboratory routinely perform acceptance tests on newly delivered products before they are taken into service?
Ask for evidence.</v>
      </c>
      <c r="D106" s="12" t="s">
        <v>1409</v>
      </c>
      <c r="E106" s="103">
        <f>(COUNTIFS('Phase2 - Fill-in'!B$1:B$1000,A106,'Phase2 - Fill-in'!E$1:E$1000,Dictionnary!C$666)+0.5*COUNTIFS('Phase2 - Fill-in'!B$1:B$1000,A106,'Phase2 - Fill-in'!E$1:E$1000,Dictionnary!C$669))/(COUNTIFS('Phase2 - Fill-in'!B$5:B$1000,A106,'Phase2 - Fill-in'!E$5:E$1000,"&lt;&gt;Dictionnary!C669"))</f>
        <v>0</v>
      </c>
      <c r="F106" s="13"/>
    </row>
    <row r="107" spans="1:6" s="1" customFormat="1" ht="31.5" x14ac:dyDescent="0.25">
      <c r="A107" s="207" t="str">
        <f>Dictionnary!A231</f>
        <v>PI2.6</v>
      </c>
      <c r="B107" s="14" t="str">
        <f>Dictionnary!B231</f>
        <v>Puchasing and Inventory</v>
      </c>
      <c r="C107" s="15" t="str">
        <f>Dictionnary!C231</f>
        <v>Does the laboratory have a documented procedure on selecting, ordering, acceptance testing and storing of new reagents and consumables?</v>
      </c>
      <c r="D107" s="16" t="s">
        <v>1409</v>
      </c>
      <c r="E107" s="103">
        <f>(COUNTIFS('Phase2 - Fill-in'!B$1:B$1000,A107,'Phase2 - Fill-in'!E$1:E$1000,Dictionnary!C$666)+0.5*COUNTIFS('Phase2 - Fill-in'!B$1:B$1000,A107,'Phase2 - Fill-in'!E$1:E$1000,Dictionnary!C$669))/(COUNTIFS('Phase2 - Fill-in'!B$5:B$1000,A107,'Phase2 - Fill-in'!E$5:E$1000,"&lt;&gt;Dictionnary!C669"))</f>
        <v>0</v>
      </c>
      <c r="F107" s="13"/>
    </row>
    <row r="108" spans="1:6" s="1" customFormat="1" ht="31.5" x14ac:dyDescent="0.25">
      <c r="A108" s="207" t="str">
        <f>Dictionnary!A232</f>
        <v>PI2.7</v>
      </c>
      <c r="B108" s="99" t="str">
        <f>Dictionnary!B232</f>
        <v>Puchasing and Inventory</v>
      </c>
      <c r="C108" s="17" t="str">
        <f>Dictionnary!C232</f>
        <v>Does the laboratory have a documented procedure on maintenance of the stock and inventory system?</v>
      </c>
      <c r="D108" s="12" t="s">
        <v>1408</v>
      </c>
      <c r="E108" s="103" t="e">
        <f>(COUNTIFS('Phase2 - Fill-in'!B$1:B$1000,A108,'Phase2 - Fill-in'!E$1:E$1000,Dictionnary!C$666)+0.5*COUNTIFS('Phase2 - Fill-in'!B$1:B$1000,A108,'Phase2 - Fill-in'!E$1:E$1000,Dictionnary!C$669))/(COUNTIFS('Phase2 - Fill-in'!B$5:B$1000,A108,'Phase2 - Fill-in'!E$5:E$1000,"&lt;&gt;Dictionnary!C669"))</f>
        <v>#DIV/0!</v>
      </c>
      <c r="F108" s="13"/>
    </row>
    <row r="109" spans="1:6" s="1" customFormat="1" ht="15.75" x14ac:dyDescent="0.25">
      <c r="A109" s="207" t="str">
        <f>Dictionnary!A233</f>
        <v>PI2.8</v>
      </c>
      <c r="B109" s="14" t="str">
        <f>Dictionnary!B233</f>
        <v>Puchasing and Inventory</v>
      </c>
      <c r="C109" s="15" t="str">
        <f>Dictionnary!C233</f>
        <v>Are all supplies stored under the right conditions in the laboratory?</v>
      </c>
      <c r="D109" s="16" t="s">
        <v>1409</v>
      </c>
      <c r="E109" s="103">
        <f>(COUNTIFS('Phase2 - Fill-in'!B$1:B$1000,A109,'Phase2 - Fill-in'!E$1:E$1000,Dictionnary!C$666)+0.5*COUNTIFS('Phase2 - Fill-in'!B$1:B$1000,A109,'Phase2 - Fill-in'!E$1:E$1000,Dictionnary!C$669))/(COUNTIFS('Phase2 - Fill-in'!B$5:B$1000,A109,'Phase2 - Fill-in'!E$5:E$1000,"&lt;&gt;Dictionnary!C669"))</f>
        <v>0</v>
      </c>
      <c r="F109" s="13"/>
    </row>
    <row r="110" spans="1:6" s="1" customFormat="1" ht="15.75" x14ac:dyDescent="0.25">
      <c r="A110" s="207" t="str">
        <f>Dictionnary!A234</f>
        <v>PI2.9</v>
      </c>
      <c r="B110" s="99" t="str">
        <f>Dictionnary!B234</f>
        <v>Puchasing and Inventory</v>
      </c>
      <c r="C110" s="17" t="str">
        <f>Dictionnary!C234</f>
        <v>Are records of supplies kept with the following details? [tick off]</v>
      </c>
      <c r="D110" s="12" t="s">
        <v>1409</v>
      </c>
      <c r="E110" s="103" t="e">
        <f>(COUNTIFS('Phase2 - Fill-in'!B$1:B$1000,A110,'Phase2 - Fill-in'!E$1:E$1000,Dictionnary!C$666)+0.5*COUNTIFS('Phase2 - Fill-in'!B$1:B$1000,A110,'Phase2 - Fill-in'!E$1:E$1000,Dictionnary!C$669))/(COUNTIFS('Phase2 - Fill-in'!B$5:B$1000,A110,'Phase2 - Fill-in'!E$5:E$1000,"&lt;&gt;Dictionnary!C669"))</f>
        <v>#DIV/0!</v>
      </c>
      <c r="F110" s="13"/>
    </row>
    <row r="111" spans="1:6" s="1" customFormat="1" ht="15.75" x14ac:dyDescent="0.25">
      <c r="A111" s="207" t="str">
        <f>Dictionnary!A235</f>
        <v>PI2.9a</v>
      </c>
      <c r="B111" s="99" t="str">
        <f>Dictionnary!B235</f>
        <v>Puchasing and Inventory</v>
      </c>
      <c r="C111" s="17" t="str">
        <f>Dictionnary!C235</f>
        <v>Name of the supply</v>
      </c>
      <c r="D111" s="12" t="s">
        <v>1409</v>
      </c>
      <c r="E111" s="103" t="e">
        <f>(COUNTIFS('Phase2 - Fill-in'!B$1:B$1000,A111,'Phase2 - Fill-in'!E$1:E$1000,Dictionnary!C$666)+0.5*COUNTIFS('Phase2 - Fill-in'!B$1:B$1000,A111,'Phase2 - Fill-in'!E$1:E$1000,Dictionnary!C$669))/(COUNTIFS('Phase2 - Fill-in'!B$5:B$1000,A111,'Phase2 - Fill-in'!E$5:E$1000,"&lt;&gt;Dictionnary!C669"))</f>
        <v>#DIV/0!</v>
      </c>
      <c r="F111" s="13"/>
    </row>
    <row r="112" spans="1:6" s="1" customFormat="1" ht="15.75" x14ac:dyDescent="0.25">
      <c r="A112" s="207" t="str">
        <f>Dictionnary!A236</f>
        <v>PI2.9b</v>
      </c>
      <c r="B112" s="99" t="str">
        <f>Dictionnary!B236</f>
        <v>Puchasing and Inventory</v>
      </c>
      <c r="C112" s="17" t="str">
        <f>Dictionnary!C236</f>
        <v>Preparation date/date of receipt</v>
      </c>
      <c r="D112" s="12" t="s">
        <v>1409</v>
      </c>
      <c r="E112" s="103" t="e">
        <f>(COUNTIFS('Phase2 - Fill-in'!B$1:B$1000,A112,'Phase2 - Fill-in'!E$1:E$1000,Dictionnary!C$666)+0.5*COUNTIFS('Phase2 - Fill-in'!B$1:B$1000,A112,'Phase2 - Fill-in'!E$1:E$1000,Dictionnary!C$669))/(COUNTIFS('Phase2 - Fill-in'!B$5:B$1000,A112,'Phase2 - Fill-in'!E$5:E$1000,"&lt;&gt;Dictionnary!C669"))</f>
        <v>#DIV/0!</v>
      </c>
      <c r="F112" s="13"/>
    </row>
    <row r="113" spans="1:6" s="1" customFormat="1" ht="15.75" x14ac:dyDescent="0.25">
      <c r="A113" s="207" t="str">
        <f>Dictionnary!A237</f>
        <v>PI2.9c</v>
      </c>
      <c r="B113" s="99" t="str">
        <f>Dictionnary!B237</f>
        <v>Puchasing and Inventory</v>
      </c>
      <c r="C113" s="17" t="str">
        <f>Dictionnary!C237</f>
        <v>Whether or not acceptance criteria were met and any follow-up actions</v>
      </c>
      <c r="D113" s="12" t="s">
        <v>1408</v>
      </c>
      <c r="E113" s="103" t="e">
        <f>(COUNTIFS('Phase2 - Fill-in'!B$1:B$1000,A113,'Phase2 - Fill-in'!E$1:E$1000,Dictionnary!C$666)+0.5*COUNTIFS('Phase2 - Fill-in'!B$1:B$1000,A113,'Phase2 - Fill-in'!E$1:E$1000,Dictionnary!C$669))/(COUNTIFS('Phase2 - Fill-in'!B$5:B$1000,A113,'Phase2 - Fill-in'!E$5:E$1000,"&lt;&gt;Dictionnary!C669"))</f>
        <v>#DIV/0!</v>
      </c>
      <c r="F113" s="13"/>
    </row>
    <row r="114" spans="1:6" s="1" customFormat="1" ht="15.75" x14ac:dyDescent="0.25">
      <c r="A114" s="207" t="str">
        <f>Dictionnary!A238</f>
        <v>PI2.9d</v>
      </c>
      <c r="B114" s="99" t="str">
        <f>Dictionnary!B238</f>
        <v>Puchasing and Inventory</v>
      </c>
      <c r="C114" s="17" t="str">
        <f>Dictionnary!C238</f>
        <v>Opening date (to be filled out when first opened)</v>
      </c>
      <c r="D114" s="12" t="s">
        <v>1408</v>
      </c>
      <c r="E114" s="103" t="e">
        <f>(COUNTIFS('Phase2 - Fill-in'!B$1:B$1000,A114,'Phase2 - Fill-in'!E$1:E$1000,Dictionnary!C$666)+0.5*COUNTIFS('Phase2 - Fill-in'!B$1:B$1000,A114,'Phase2 - Fill-in'!E$1:E$1000,Dictionnary!C$669))/(COUNTIFS('Phase2 - Fill-in'!B$5:B$1000,A114,'Phase2 - Fill-in'!E$5:E$1000,"&lt;&gt;Dictionnary!C669"))</f>
        <v>#DIV/0!</v>
      </c>
      <c r="F114" s="13"/>
    </row>
    <row r="115" spans="1:6" s="1" customFormat="1" ht="31.5" x14ac:dyDescent="0.25">
      <c r="A115" s="207" t="str">
        <f>Dictionnary!A239</f>
        <v>PI2.9e</v>
      </c>
      <c r="B115" s="99" t="str">
        <f>Dictionnary!B239</f>
        <v>Puchasing and Inventory</v>
      </c>
      <c r="C115" s="17" t="str">
        <f>Dictionnary!C239</f>
        <v>Expiry date (can often be found on internet if not visible on supply package)</v>
      </c>
      <c r="D115" s="12" t="s">
        <v>1408</v>
      </c>
      <c r="E115" s="103" t="e">
        <f>(COUNTIFS('Phase2 - Fill-in'!B$1:B$1000,A115,'Phase2 - Fill-in'!E$1:E$1000,Dictionnary!C$666)+0.5*COUNTIFS('Phase2 - Fill-in'!B$1:B$1000,A115,'Phase2 - Fill-in'!E$1:E$1000,Dictionnary!C$669))/(COUNTIFS('Phase2 - Fill-in'!B$5:B$1000,A115,'Phase2 - Fill-in'!E$5:E$1000,"&lt;&gt;Dictionnary!C669"))</f>
        <v>#DIV/0!</v>
      </c>
      <c r="F115" s="13"/>
    </row>
    <row r="116" spans="1:6" s="1" customFormat="1" ht="31.5" x14ac:dyDescent="0.25">
      <c r="A116" s="207" t="str">
        <f>Dictionnary!A240</f>
        <v>PI2.9f</v>
      </c>
      <c r="B116" s="99" t="str">
        <f>Dictionnary!B240</f>
        <v>Puchasing and Inventory</v>
      </c>
      <c r="C116" s="17" t="str">
        <f>Dictionnary!C240</f>
        <v>Possible safety warnings (Risk (R-) and Safety (S-) sentence numbers) if not indicated already on the supply package</v>
      </c>
      <c r="D116" s="12" t="s">
        <v>1409</v>
      </c>
      <c r="E116" s="103" t="e">
        <f>(COUNTIFS('Phase2 - Fill-in'!B$1:B$1000,A116,'Phase2 - Fill-in'!E$1:E$1000,Dictionnary!C$666)+0.5*COUNTIFS('Phase2 - Fill-in'!B$1:B$1000,A116,'Phase2 - Fill-in'!E$1:E$1000,Dictionnary!C$669))/(COUNTIFS('Phase2 - Fill-in'!B$5:B$1000,A116,'Phase2 - Fill-in'!E$5:E$1000,"&lt;&gt;Dictionnary!C669"))</f>
        <v>#DIV/0!</v>
      </c>
      <c r="F116" s="13"/>
    </row>
    <row r="117" spans="1:6" s="1" customFormat="1" ht="31.5" x14ac:dyDescent="0.25">
      <c r="A117" s="207" t="str">
        <f>Dictionnary!A241</f>
        <v>PI2.10</v>
      </c>
      <c r="B117" s="14" t="str">
        <f>Dictionnary!B241</f>
        <v>Puchasing and Inventory</v>
      </c>
      <c r="C117" s="15" t="str">
        <f>Dictionnary!C241</f>
        <v>Are all supplies stored such that they cannot fall from shelves or suffer damage in other ways?</v>
      </c>
      <c r="D117" s="16" t="s">
        <v>1409</v>
      </c>
      <c r="E117" s="103">
        <f>(COUNTIFS('Phase2 - Fill-in'!B$1:B$1000,A117,'Phase2 - Fill-in'!E$1:E$1000,Dictionnary!C$666)+0.5*COUNTIFS('Phase2 - Fill-in'!B$1:B$1000,A117,'Phase2 - Fill-in'!E$1:E$1000,Dictionnary!C$669))/(COUNTIFS('Phase2 - Fill-in'!B$5:B$1000,A117,'Phase2 - Fill-in'!E$5:E$1000,"&lt;&gt;Dictionnary!C669"))</f>
        <v>0</v>
      </c>
      <c r="F117" s="13"/>
    </row>
    <row r="118" spans="1:6" s="1" customFormat="1" ht="31.5" x14ac:dyDescent="0.25">
      <c r="A118" s="207" t="str">
        <f>Dictionnary!A242</f>
        <v>PI2.11</v>
      </c>
      <c r="B118" s="99" t="str">
        <f>Dictionnary!B242</f>
        <v>Puchasing and Inventory</v>
      </c>
      <c r="C118" s="17" t="str">
        <f>Dictionnary!C242</f>
        <v>In regions where earthquakes are a real risk: are supplies stored in such a way that they cannot be damaged due to an earthquake?</v>
      </c>
      <c r="D118" s="12" t="s">
        <v>1408</v>
      </c>
      <c r="E118" s="103" t="e">
        <f>(COUNTIFS('Phase2 - Fill-in'!B$1:B$1000,A118,'Phase2 - Fill-in'!E$1:E$1000,Dictionnary!C$666)+0.5*COUNTIFS('Phase2 - Fill-in'!B$1:B$1000,A118,'Phase2 - Fill-in'!E$1:E$1000,Dictionnary!C$669))/(COUNTIFS('Phase2 - Fill-in'!B$5:B$1000,A118,'Phase2 - Fill-in'!E$5:E$1000,"&lt;&gt;Dictionnary!C669"))</f>
        <v>#DIV/0!</v>
      </c>
      <c r="F118" s="13"/>
    </row>
    <row r="119" spans="1:6" s="1" customFormat="1" ht="15.75" x14ac:dyDescent="0.25">
      <c r="A119" s="207" t="str">
        <f>Dictionnary!A243</f>
        <v>PI2.12</v>
      </c>
      <c r="B119" s="14" t="str">
        <f>Dictionnary!B243</f>
        <v>Puchasing and Inventory</v>
      </c>
      <c r="C119" s="15" t="str">
        <f>Dictionnary!C243</f>
        <v>Are all supplies stored according to the first-in-first-out (FIFO) system?</v>
      </c>
      <c r="D119" s="16" t="s">
        <v>1409</v>
      </c>
      <c r="E119" s="103">
        <f>(COUNTIFS('Phase2 - Fill-in'!B$1:B$1000,A119,'Phase2 - Fill-in'!E$1:E$1000,Dictionnary!C$666)+0.5*COUNTIFS('Phase2 - Fill-in'!B$1:B$1000,A119,'Phase2 - Fill-in'!E$1:E$1000,Dictionnary!C$669))/(COUNTIFS('Phase2 - Fill-in'!B$5:B$1000,A119,'Phase2 - Fill-in'!E$5:E$1000,"&lt;&gt;Dictionnary!C669"))</f>
        <v>0</v>
      </c>
      <c r="F119" s="13"/>
    </row>
    <row r="120" spans="1:6" s="1" customFormat="1" ht="31.5" x14ac:dyDescent="0.25">
      <c r="A120" s="207" t="str">
        <f>Dictionnary!A244</f>
        <v>PI2.13</v>
      </c>
      <c r="B120" s="99" t="str">
        <f>Dictionnary!B244</f>
        <v>Puchasing and Inventory</v>
      </c>
      <c r="C120" s="17" t="str">
        <f>Dictionnary!C244</f>
        <v>Are all storage areas complying with the safety requirements related to the supplies stored in them?</v>
      </c>
      <c r="D120" s="12" t="s">
        <v>1409</v>
      </c>
      <c r="E120" s="103">
        <f>(COUNTIFS('Phase2 - Fill-in'!B$1:B$1000,A120,'Phase2 - Fill-in'!E$1:E$1000,Dictionnary!C$666)+0.5*COUNTIFS('Phase2 - Fill-in'!B$1:B$1000,A120,'Phase2 - Fill-in'!E$1:E$1000,Dictionnary!C$669))/(COUNTIFS('Phase2 - Fill-in'!B$5:B$1000,A120,'Phase2 - Fill-in'!E$5:E$1000,"&lt;&gt;Dictionnary!C669"))</f>
        <v>0</v>
      </c>
      <c r="F120" s="13"/>
    </row>
    <row r="121" spans="1:6" s="1" customFormat="1" ht="31.5" x14ac:dyDescent="0.25">
      <c r="A121" s="207" t="str">
        <f>Dictionnary!A245</f>
        <v>PI2.14</v>
      </c>
      <c r="B121" s="14" t="str">
        <f>Dictionnary!B245</f>
        <v>Puchasing and Inventory</v>
      </c>
      <c r="C121" s="15" t="str">
        <f>Dictionnary!C245</f>
        <v>Do storage areas protect the supplies from external influences such as humidity, light, insects, etc.?</v>
      </c>
      <c r="D121" s="16" t="s">
        <v>1409</v>
      </c>
      <c r="E121" s="103">
        <f>(COUNTIFS('Phase2 - Fill-in'!B$1:B$1000,A121,'Phase2 - Fill-in'!E$1:E$1000,Dictionnary!C$666)+0.5*COUNTIFS('Phase2 - Fill-in'!B$1:B$1000,A121,'Phase2 - Fill-in'!E$1:E$1000,Dictionnary!C$669))/(COUNTIFS('Phase2 - Fill-in'!B$5:B$1000,A121,'Phase2 - Fill-in'!E$5:E$1000,"&lt;&gt;Dictionnary!C669"))</f>
        <v>0</v>
      </c>
      <c r="F121" s="13"/>
    </row>
    <row r="122" spans="1:6" s="1" customFormat="1" ht="15.75" x14ac:dyDescent="0.25">
      <c r="A122" s="207" t="str">
        <f>Dictionnary!A246</f>
        <v>PI2.15</v>
      </c>
      <c r="B122" s="99" t="str">
        <f>Dictionnary!B246</f>
        <v>Puchasing and Inventory</v>
      </c>
      <c r="C122" s="17" t="str">
        <f>Dictionnary!C246</f>
        <v>Are all storage areas lockable to prevent unauthorized access?</v>
      </c>
      <c r="D122" s="12" t="s">
        <v>1409</v>
      </c>
      <c r="E122" s="103">
        <f>(COUNTIFS('Phase2 - Fill-in'!B$1:B$1000,A122,'Phase2 - Fill-in'!E$1:E$1000,Dictionnary!C$666)+0.5*COUNTIFS('Phase2 - Fill-in'!B$1:B$1000,A122,'Phase2 - Fill-in'!E$1:E$1000,Dictionnary!C$669))/(COUNTIFS('Phase2 - Fill-in'!B$5:B$1000,A122,'Phase2 - Fill-in'!E$5:E$1000,"&lt;&gt;Dictionnary!C669"))</f>
        <v>0</v>
      </c>
      <c r="F122" s="13"/>
    </row>
    <row r="123" spans="1:6" s="1" customFormat="1" ht="31.5" x14ac:dyDescent="0.25">
      <c r="A123" s="207" t="str">
        <f>Dictionnary!A247</f>
        <v>PI2.16</v>
      </c>
      <c r="B123" s="14" t="str">
        <f>Dictionnary!B247</f>
        <v>Puchasing and Inventory</v>
      </c>
      <c r="C123" s="15" t="str">
        <f>Dictionnary!C247</f>
        <v>Are all storage areas labeled with hazard symbols related to the supplies stored in them?</v>
      </c>
      <c r="D123" s="16" t="s">
        <v>1408</v>
      </c>
      <c r="E123" s="103">
        <f>(COUNTIFS('Phase2 - Fill-in'!B$1:B$1000,A123,'Phase2 - Fill-in'!E$1:E$1000,Dictionnary!C$666)+0.5*COUNTIFS('Phase2 - Fill-in'!B$1:B$1000,A123,'Phase2 - Fill-in'!E$1:E$1000,Dictionnary!C$669))/(COUNTIFS('Phase2 - Fill-in'!B$5:B$1000,A123,'Phase2 - Fill-in'!E$5:E$1000,"&lt;&gt;Dictionnary!C669"))</f>
        <v>0</v>
      </c>
      <c r="F123" s="13"/>
    </row>
    <row r="124" spans="1:6" s="1" customFormat="1" ht="31.5" x14ac:dyDescent="0.25">
      <c r="A124" s="207" t="str">
        <f>Dictionnary!A248</f>
        <v>PI2.17</v>
      </c>
      <c r="B124" s="99" t="str">
        <f>Dictionnary!B248</f>
        <v>Puchasing and Inventory</v>
      </c>
      <c r="C124" s="17" t="str">
        <f>Dictionnary!C248</f>
        <v>Is a list with R- and S-sentences provided on each storage area where this is relevant?</v>
      </c>
      <c r="D124" s="12" t="s">
        <v>1408</v>
      </c>
      <c r="E124" s="103">
        <f>(COUNTIFS('Phase2 - Fill-in'!B$1:B$1000,A124,'Phase2 - Fill-in'!E$1:E$1000,Dictionnary!C$666)+0.5*COUNTIFS('Phase2 - Fill-in'!B$1:B$1000,A124,'Phase2 - Fill-in'!E$1:E$1000,Dictionnary!C$669))/(COUNTIFS('Phase2 - Fill-in'!B$5:B$1000,A124,'Phase2 - Fill-in'!E$5:E$1000,"&lt;&gt;Dictionnary!C669"))</f>
        <v>0</v>
      </c>
      <c r="F124" s="13"/>
    </row>
    <row r="125" spans="1:6" s="1" customFormat="1" ht="63" x14ac:dyDescent="0.25">
      <c r="A125" s="207" t="str">
        <f>Dictionnary!A249</f>
        <v>PI2.18</v>
      </c>
      <c r="B125" s="14" t="str">
        <f>Dictionnary!B249</f>
        <v>Puchasing and Inventory</v>
      </c>
      <c r="C125" s="15" t="str">
        <f>Dictionnary!C249</f>
        <v>Do staff members know what R- and S-sentences are and how to find them?
Take a sample by asking some staff members.</v>
      </c>
      <c r="D125" s="16" t="s">
        <v>1408</v>
      </c>
      <c r="E125" s="103">
        <f>(COUNTIFS('Phase2 - Fill-in'!B$1:B$1000,A125,'Phase2 - Fill-in'!E$1:E$1000,Dictionnary!C$666)+0.5*COUNTIFS('Phase2 - Fill-in'!B$1:B$1000,A125,'Phase2 - Fill-in'!E$1:E$1000,Dictionnary!C$669))/(COUNTIFS('Phase2 - Fill-in'!B$5:B$1000,A125,'Phase2 - Fill-in'!E$5:E$1000,"&lt;&gt;Dictionnary!C669"))</f>
        <v>0</v>
      </c>
      <c r="F125" s="13"/>
    </row>
    <row r="126" spans="1:6" s="1" customFormat="1" ht="47.25" x14ac:dyDescent="0.25">
      <c r="A126" s="207" t="str">
        <f>Dictionnary!A250</f>
        <v>PM2.1</v>
      </c>
      <c r="B126" s="99" t="str">
        <f>Dictionnary!B250</f>
        <v>Process Management</v>
      </c>
      <c r="C126" s="17" t="str">
        <f>Dictionnary!C250</f>
        <v>Has the laboratory formulated clear and specific sample acceptation/rejection criteria for each type of sample used by the laboratory, leaving no room for interpretation?</v>
      </c>
      <c r="D126" s="12" t="s">
        <v>1409</v>
      </c>
      <c r="E126" s="103">
        <f>(COUNTIFS('Phase2 - Fill-in'!B$1:B$1000,A126,'Phase2 - Fill-in'!E$1:E$1000,Dictionnary!C$666)+0.5*COUNTIFS('Phase2 - Fill-in'!B$1:B$1000,A126,'Phase2 - Fill-in'!E$1:E$1000,Dictionnary!C$669))/(COUNTIFS('Phase2 - Fill-in'!B$5:B$1000,A126,'Phase2 - Fill-in'!E$5:E$1000,"&lt;&gt;Dictionnary!C669"))</f>
        <v>0</v>
      </c>
      <c r="F126" s="13"/>
    </row>
    <row r="127" spans="1:6" s="1" customFormat="1" ht="47.25" x14ac:dyDescent="0.25">
      <c r="A127" s="207" t="str">
        <f>Dictionnary!A251</f>
        <v>PM2.2</v>
      </c>
      <c r="B127" s="14" t="str">
        <f>Dictionnary!B251</f>
        <v>Process Management</v>
      </c>
      <c r="C127" s="15" t="str">
        <f>Dictionnary!C251</f>
        <v>Does the laboratory have an SOP for Sample Collection to ensure correct collection of good quality samples for each test, protecting the safety of both the sample collector and patient as well as the privacy of the patient?</v>
      </c>
      <c r="D127" s="16" t="s">
        <v>1409</v>
      </c>
      <c r="E127" s="103">
        <f>(COUNTIFS('Phase2 - Fill-in'!B$1:B$1000,A127,'Phase2 - Fill-in'!E$1:E$1000,Dictionnary!C$666)+0.5*COUNTIFS('Phase2 - Fill-in'!B$1:B$1000,A127,'Phase2 - Fill-in'!E$1:E$1000,Dictionnary!C$669))/(COUNTIFS('Phase2 - Fill-in'!B$5:B$1000,A127,'Phase2 - Fill-in'!E$5:E$1000,"&lt;&gt;Dictionnary!C669"))</f>
        <v>0</v>
      </c>
      <c r="F127" s="13"/>
    </row>
    <row r="128" spans="1:6" s="1" customFormat="1" ht="31.5" x14ac:dyDescent="0.25">
      <c r="A128" s="207" t="str">
        <f>Dictionnary!A252</f>
        <v>PM2.3</v>
      </c>
      <c r="B128" s="99" t="str">
        <f>Dictionnary!B252</f>
        <v>Process Management</v>
      </c>
      <c r="C128" s="17" t="str">
        <f>Dictionnary!C252</f>
        <v>Does the SOP for Sample Collection include at least the following element? [tick-off]</v>
      </c>
      <c r="D128" s="12" t="s">
        <v>1409</v>
      </c>
      <c r="E128" s="103" t="e">
        <f>(COUNTIFS('Phase2 - Fill-in'!B$1:B$1000,A128,'Phase2 - Fill-in'!E$1:E$1000,Dictionnary!C$666)+0.5*COUNTIFS('Phase2 - Fill-in'!B$1:B$1000,A128,'Phase2 - Fill-in'!E$1:E$1000,Dictionnary!C$669))/(COUNTIFS('Phase2 - Fill-in'!B$5:B$1000,A128,'Phase2 - Fill-in'!E$5:E$1000,"&lt;&gt;Dictionnary!C669"))</f>
        <v>#DIV/0!</v>
      </c>
      <c r="F128" s="13"/>
    </row>
    <row r="129" spans="1:6" s="1" customFormat="1" ht="15.75" x14ac:dyDescent="0.25">
      <c r="A129" s="207" t="str">
        <f>Dictionnary!A253</f>
        <v>PM2.3XX</v>
      </c>
      <c r="B129" s="99" t="str">
        <f>Dictionnary!B253</f>
        <v>Process Management</v>
      </c>
      <c r="C129" s="17" t="str">
        <f>Dictionnary!C253</f>
        <v>Pre-collection:</v>
      </c>
      <c r="D129" s="12" t="s">
        <v>1409</v>
      </c>
      <c r="E129" s="103" t="e">
        <f>(COUNTIFS('Phase2 - Fill-in'!B$1:B$1000,A129,'Phase2 - Fill-in'!E$1:E$1000,Dictionnary!C$666)+0.5*COUNTIFS('Phase2 - Fill-in'!B$1:B$1000,A129,'Phase2 - Fill-in'!E$1:E$1000,Dictionnary!C$669))/(COUNTIFS('Phase2 - Fill-in'!B$5:B$1000,A129,'Phase2 - Fill-in'!E$5:E$1000,"&lt;&gt;Dictionnary!C669"))</f>
        <v>#DIV/0!</v>
      </c>
      <c r="F129" s="13"/>
    </row>
    <row r="130" spans="1:6" s="1" customFormat="1" ht="15.75" x14ac:dyDescent="0.25">
      <c r="A130" s="207" t="str">
        <f>Dictionnary!A254</f>
        <v>PM2.3a</v>
      </c>
      <c r="B130" s="99" t="str">
        <f>Dictionnary!B254</f>
        <v>Process Management</v>
      </c>
      <c r="C130" s="17" t="str">
        <f>Dictionnary!C254</f>
        <v>Instructions for identification of the patient</v>
      </c>
      <c r="D130" s="12" t="s">
        <v>1408</v>
      </c>
      <c r="E130" s="103" t="e">
        <f>(COUNTIFS('Phase2 - Fill-in'!B$1:B$1000,A130,'Phase2 - Fill-in'!E$1:E$1000,Dictionnary!C$666)+0.5*COUNTIFS('Phase2 - Fill-in'!B$1:B$1000,A130,'Phase2 - Fill-in'!E$1:E$1000,Dictionnary!C$669))/(COUNTIFS('Phase2 - Fill-in'!B$5:B$1000,A130,'Phase2 - Fill-in'!E$5:E$1000,"&lt;&gt;Dictionnary!C669"))</f>
        <v>#DIV/0!</v>
      </c>
      <c r="F130" s="13"/>
    </row>
    <row r="131" spans="1:6" s="1" customFormat="1" ht="47.25" x14ac:dyDescent="0.25">
      <c r="A131" s="207" t="str">
        <f>Dictionnary!A255</f>
        <v>PM2.3b</v>
      </c>
      <c r="B131" s="99" t="str">
        <f>Dictionnary!B255</f>
        <v>Process Management</v>
      </c>
      <c r="C131" s="17" t="str">
        <f>Dictionnary!C255</f>
        <v>Instructions to verify that the patient meets examination requirements (e.g. verification that the patient is sober when this is needed for laboratory testing)</v>
      </c>
      <c r="D131" s="12" t="s">
        <v>1408</v>
      </c>
      <c r="E131" s="103" t="e">
        <f>(COUNTIFS('Phase2 - Fill-in'!B$1:B$1000,A131,'Phase2 - Fill-in'!E$1:E$1000,Dictionnary!C$666)+0.5*COUNTIFS('Phase2 - Fill-in'!B$1:B$1000,A131,'Phase2 - Fill-in'!E$1:E$1000,Dictionnary!C$669))/(COUNTIFS('Phase2 - Fill-in'!B$5:B$1000,A131,'Phase2 - Fill-in'!E$5:E$1000,"&lt;&gt;Dictionnary!C669"))</f>
        <v>#DIV/0!</v>
      </c>
      <c r="F131" s="13"/>
    </row>
    <row r="132" spans="1:6" s="1" customFormat="1" ht="15.75" x14ac:dyDescent="0.25">
      <c r="A132" s="207" t="str">
        <f>Dictionnary!A256</f>
        <v>PM2.3c</v>
      </c>
      <c r="B132" s="99" t="str">
        <f>Dictionnary!B256</f>
        <v>Process Management</v>
      </c>
      <c r="C132" s="17" t="str">
        <f>Dictionnary!C256</f>
        <v>Instructions for protecting patient safety</v>
      </c>
      <c r="D132" s="12" t="s">
        <v>1408</v>
      </c>
      <c r="E132" s="103" t="e">
        <f>(COUNTIFS('Phase2 - Fill-in'!B$1:B$1000,A132,'Phase2 - Fill-in'!E$1:E$1000,Dictionnary!C$666)+0.5*COUNTIFS('Phase2 - Fill-in'!B$1:B$1000,A132,'Phase2 - Fill-in'!E$1:E$1000,Dictionnary!C$669))/(COUNTIFS('Phase2 - Fill-in'!B$5:B$1000,A132,'Phase2 - Fill-in'!E$5:E$1000,"&lt;&gt;Dictionnary!C669"))</f>
        <v>#DIV/0!</v>
      </c>
      <c r="F132" s="13"/>
    </row>
    <row r="133" spans="1:6" s="1" customFormat="1" ht="15.75" x14ac:dyDescent="0.25">
      <c r="A133" s="207" t="str">
        <f>Dictionnary!A257</f>
        <v>PM2.3d</v>
      </c>
      <c r="B133" s="99" t="str">
        <f>Dictionnary!B257</f>
        <v>Process Management</v>
      </c>
      <c r="C133" s="17" t="str">
        <f>Dictionnary!C257</f>
        <v>Instructions for protecting safety of the laboratory staff member</v>
      </c>
      <c r="D133" s="12" t="s">
        <v>1408</v>
      </c>
      <c r="E133" s="103" t="e">
        <f>(COUNTIFS('Phase2 - Fill-in'!B$1:B$1000,A133,'Phase2 - Fill-in'!E$1:E$1000,Dictionnary!C$666)+0.5*COUNTIFS('Phase2 - Fill-in'!B$1:B$1000,A133,'Phase2 - Fill-in'!E$1:E$1000,Dictionnary!C$669))/(COUNTIFS('Phase2 - Fill-in'!B$5:B$1000,A133,'Phase2 - Fill-in'!E$5:E$1000,"&lt;&gt;Dictionnary!C669"))</f>
        <v>#DIV/0!</v>
      </c>
      <c r="F133" s="13"/>
    </row>
    <row r="134" spans="1:6" s="1" customFormat="1" ht="15.75" x14ac:dyDescent="0.25">
      <c r="A134" s="207" t="str">
        <f>Dictionnary!A258</f>
        <v>PM2.3e</v>
      </c>
      <c r="B134" s="99" t="str">
        <f>Dictionnary!B258</f>
        <v>Process Management</v>
      </c>
      <c r="C134" s="17" t="str">
        <f>Dictionnary!C258</f>
        <v>Instructions for protecting the privacy of the patient</v>
      </c>
      <c r="D134" s="12" t="s">
        <v>1409</v>
      </c>
      <c r="E134" s="103" t="e">
        <f>(COUNTIFS('Phase2 - Fill-in'!B$1:B$1000,A134,'Phase2 - Fill-in'!E$1:E$1000,Dictionnary!C$666)+0.5*COUNTIFS('Phase2 - Fill-in'!B$1:B$1000,A134,'Phase2 - Fill-in'!E$1:E$1000,Dictionnary!C$669))/(COUNTIFS('Phase2 - Fill-in'!B$5:B$1000,A134,'Phase2 - Fill-in'!E$5:E$1000,"&lt;&gt;Dictionnary!C669"))</f>
        <v>#DIV/0!</v>
      </c>
      <c r="F134" s="13"/>
    </row>
    <row r="135" spans="1:6" s="1" customFormat="1" ht="31.5" x14ac:dyDescent="0.25">
      <c r="A135" s="207" t="str">
        <f>Dictionnary!A259</f>
        <v>PM2.3f</v>
      </c>
      <c r="B135" s="99" t="str">
        <f>Dictionnary!B259</f>
        <v>Process Management</v>
      </c>
      <c r="C135" s="17" t="str">
        <f>Dictionnary!C259</f>
        <v>Instructions for correct treatment of the patient (with respect, friendly, and polite)</v>
      </c>
      <c r="D135" s="12" t="s">
        <v>1409</v>
      </c>
      <c r="E135" s="103" t="e">
        <f>(COUNTIFS('Phase2 - Fill-in'!B$1:B$1000,A135,'Phase2 - Fill-in'!E$1:E$1000,Dictionnary!C$666)+0.5*COUNTIFS('Phase2 - Fill-in'!B$1:B$1000,A135,'Phase2 - Fill-in'!E$1:E$1000,Dictionnary!C$669))/(COUNTIFS('Phase2 - Fill-in'!B$5:B$1000,A135,'Phase2 - Fill-in'!E$5:E$1000,"&lt;&gt;Dictionnary!C669"))</f>
        <v>#DIV/0!</v>
      </c>
      <c r="F135" s="13"/>
    </row>
    <row r="136" spans="1:6" s="1" customFormat="1" ht="47.25" x14ac:dyDescent="0.25">
      <c r="A136" s="207" t="str">
        <f>Dictionnary!A260</f>
        <v>PM2.3g</v>
      </c>
      <c r="B136" s="99" t="str">
        <f>Dictionnary!B260</f>
        <v>Process Management</v>
      </c>
      <c r="C136" s="17" t="str">
        <f>Dictionnary!C260</f>
        <v>Instructions for information provision to the patient (what is going to happen, when can the patient expect the results and where can the patient get the results)</v>
      </c>
      <c r="D136" s="12" t="s">
        <v>1409</v>
      </c>
      <c r="E136" s="103" t="e">
        <f>(COUNTIFS('Phase2 - Fill-in'!B$1:B$1000,A136,'Phase2 - Fill-in'!E$1:E$1000,Dictionnary!C$666)+0.5*COUNTIFS('Phase2 - Fill-in'!B$1:B$1000,A136,'Phase2 - Fill-in'!E$1:E$1000,Dictionnary!C$669))/(COUNTIFS('Phase2 - Fill-in'!B$5:B$1000,A136,'Phase2 - Fill-in'!E$5:E$1000,"&lt;&gt;Dictionnary!C669"))</f>
        <v>#DIV/0!</v>
      </c>
      <c r="F136" s="13"/>
    </row>
    <row r="137" spans="1:6" s="1" customFormat="1" ht="31.5" x14ac:dyDescent="0.25">
      <c r="A137" s="207" t="str">
        <f>Dictionnary!A261</f>
        <v>PM2.3h</v>
      </c>
      <c r="B137" s="99" t="str">
        <f>Dictionnary!B261</f>
        <v>Process Management</v>
      </c>
      <c r="C137" s="17" t="str">
        <f>Dictionnary!C261</f>
        <v>Instructions for preparation of the patient (including provision of information to the patient on sample collection and laboratory testing)</v>
      </c>
      <c r="D137" s="12" t="s">
        <v>1409</v>
      </c>
      <c r="E137" s="103" t="e">
        <f>(COUNTIFS('Phase2 - Fill-in'!B$1:B$1000,A137,'Phase2 - Fill-in'!E$1:E$1000,Dictionnary!C$666)+0.5*COUNTIFS('Phase2 - Fill-in'!B$1:B$1000,A137,'Phase2 - Fill-in'!E$1:E$1000,Dictionnary!C$669))/(COUNTIFS('Phase2 - Fill-in'!B$5:B$1000,A137,'Phase2 - Fill-in'!E$5:E$1000,"&lt;&gt;Dictionnary!C669"))</f>
        <v>#DIV/0!</v>
      </c>
      <c r="F137" s="13"/>
    </row>
    <row r="138" spans="1:6" s="1" customFormat="1" ht="31.5" x14ac:dyDescent="0.25">
      <c r="A138" s="207" t="str">
        <f>Dictionnary!A262</f>
        <v>PM2.3i</v>
      </c>
      <c r="B138" s="99" t="str">
        <f>Dictionnary!B262</f>
        <v>Process Management</v>
      </c>
      <c r="C138" s="17" t="str">
        <f>Dictionnary!C262</f>
        <v>Guideline for completion of the Request Form, including identification of the person collecting the sample and the patient</v>
      </c>
      <c r="D138" s="12" t="s">
        <v>1409</v>
      </c>
      <c r="E138" s="103" t="e">
        <f>(COUNTIFS('Phase2 - Fill-in'!B$1:B$1000,A138,'Phase2 - Fill-in'!E$1:E$1000,Dictionnary!C$666)+0.5*COUNTIFS('Phase2 - Fill-in'!B$1:B$1000,A138,'Phase2 - Fill-in'!E$1:E$1000,Dictionnary!C$669))/(COUNTIFS('Phase2 - Fill-in'!B$5:B$1000,A138,'Phase2 - Fill-in'!E$5:E$1000,"&lt;&gt;Dictionnary!C669"))</f>
        <v>#DIV/0!</v>
      </c>
      <c r="F138" s="13"/>
    </row>
    <row r="139" spans="1:6" s="1" customFormat="1" ht="15.75" x14ac:dyDescent="0.25">
      <c r="A139" s="207" t="str">
        <f>Dictionnary!A263</f>
        <v>PM2.3XX</v>
      </c>
      <c r="B139" s="99" t="str">
        <f>Dictionnary!B263</f>
        <v>Process Management</v>
      </c>
      <c r="C139" s="17" t="str">
        <f>Dictionnary!C263</f>
        <v>Collection:</v>
      </c>
      <c r="D139" s="12" t="s">
        <v>1409</v>
      </c>
      <c r="E139" s="103" t="e">
        <f>(COUNTIFS('Phase2 - Fill-in'!B$1:B$1000,A139,'Phase2 - Fill-in'!E$1:E$1000,Dictionnary!C$666)+0.5*COUNTIFS('Phase2 - Fill-in'!B$1:B$1000,A139,'Phase2 - Fill-in'!E$1:E$1000,Dictionnary!C$669))/(COUNTIFS('Phase2 - Fill-in'!B$5:B$1000,A139,'Phase2 - Fill-in'!E$5:E$1000,"&lt;&gt;Dictionnary!C669"))</f>
        <v>#DIV/0!</v>
      </c>
      <c r="F139" s="13"/>
    </row>
    <row r="140" spans="1:6" s="1" customFormat="1" ht="31.5" x14ac:dyDescent="0.25">
      <c r="A140" s="207" t="str">
        <f>Dictionnary!A264</f>
        <v>PM2.3j</v>
      </c>
      <c r="B140" s="99" t="str">
        <f>Dictionnary!B264</f>
        <v>Process Management</v>
      </c>
      <c r="C140" s="17" t="str">
        <f>Dictionnary!C264</f>
        <v>Instructions for correct collection of the sample, including reference to sample acceptance criteria to ensure collection of a good quality sample</v>
      </c>
      <c r="D140" s="12" t="s">
        <v>1408</v>
      </c>
      <c r="E140" s="103" t="e">
        <f>(COUNTIFS('Phase2 - Fill-in'!B$1:B$1000,A140,'Phase2 - Fill-in'!E$1:E$1000,Dictionnary!C$666)+0.5*COUNTIFS('Phase2 - Fill-in'!B$1:B$1000,A140,'Phase2 - Fill-in'!E$1:E$1000,Dictionnary!C$669))/(COUNTIFS('Phase2 - Fill-in'!B$5:B$1000,A140,'Phase2 - Fill-in'!E$5:E$1000,"&lt;&gt;Dictionnary!C669"))</f>
        <v>#DIV/0!</v>
      </c>
      <c r="F140" s="13"/>
    </row>
    <row r="141" spans="1:6" s="1" customFormat="1" ht="15.75" x14ac:dyDescent="0.25">
      <c r="A141" s="207" t="str">
        <f>Dictionnary!A265</f>
        <v>PM2.3XX</v>
      </c>
      <c r="B141" s="99" t="str">
        <f>Dictionnary!B265</f>
        <v>Process Management</v>
      </c>
      <c r="C141" s="17" t="str">
        <f>Dictionnary!C265</f>
        <v>Post-collection:</v>
      </c>
      <c r="D141" s="12" t="s">
        <v>1408</v>
      </c>
      <c r="E141" s="103" t="e">
        <f>(COUNTIFS('Phase2 - Fill-in'!B$1:B$1000,A141,'Phase2 - Fill-in'!E$1:E$1000,Dictionnary!C$666)+0.5*COUNTIFS('Phase2 - Fill-in'!B$1:B$1000,A141,'Phase2 - Fill-in'!E$1:E$1000,Dictionnary!C$669))/(COUNTIFS('Phase2 - Fill-in'!B$5:B$1000,A141,'Phase2 - Fill-in'!E$5:E$1000,"&lt;&gt;Dictionnary!C669"))</f>
        <v>#DIV/0!</v>
      </c>
      <c r="F141" s="13"/>
    </row>
    <row r="142" spans="1:6" s="1" customFormat="1" ht="15.75" x14ac:dyDescent="0.25">
      <c r="A142" s="207" t="str">
        <f>Dictionnary!A266</f>
        <v>PM2.3k</v>
      </c>
      <c r="B142" s="99" t="str">
        <f>Dictionnary!B266</f>
        <v>Process Management</v>
      </c>
      <c r="C142" s="17" t="str">
        <f>Dictionnary!C266</f>
        <v>Procedure of labeling of the sample</v>
      </c>
      <c r="D142" s="12" t="s">
        <v>1408</v>
      </c>
      <c r="E142" s="103" t="e">
        <f>(COUNTIFS('Phase2 - Fill-in'!B$1:B$1000,A142,'Phase2 - Fill-in'!E$1:E$1000,Dictionnary!C$666)+0.5*COUNTIFS('Phase2 - Fill-in'!B$1:B$1000,A142,'Phase2 - Fill-in'!E$1:E$1000,Dictionnary!C$669))/(COUNTIFS('Phase2 - Fill-in'!B$5:B$1000,A142,'Phase2 - Fill-in'!E$5:E$1000,"&lt;&gt;Dictionnary!C669"))</f>
        <v>#DIV/0!</v>
      </c>
      <c r="F142" s="13"/>
    </row>
    <row r="143" spans="1:6" s="1" customFormat="1" ht="15.75" x14ac:dyDescent="0.25">
      <c r="A143" s="207" t="str">
        <f>Dictionnary!A267</f>
        <v>PM2.3l</v>
      </c>
      <c r="B143" s="99" t="str">
        <f>Dictionnary!B267</f>
        <v>Process Management</v>
      </c>
      <c r="C143" s="17" t="str">
        <f>Dictionnary!C267</f>
        <v>Requirements for correct and safe packing of the sample</v>
      </c>
      <c r="D143" s="12" t="s">
        <v>1409</v>
      </c>
      <c r="E143" s="103" t="e">
        <f>(COUNTIFS('Phase2 - Fill-in'!B$1:B$1000,A143,'Phase2 - Fill-in'!E$1:E$1000,Dictionnary!C$666)+0.5*COUNTIFS('Phase2 - Fill-in'!B$1:B$1000,A143,'Phase2 - Fill-in'!E$1:E$1000,Dictionnary!C$669))/(COUNTIFS('Phase2 - Fill-in'!B$5:B$1000,A143,'Phase2 - Fill-in'!E$5:E$1000,"&lt;&gt;Dictionnary!C669"))</f>
        <v>#DIV/0!</v>
      </c>
      <c r="F143" s="13"/>
    </row>
    <row r="144" spans="1:6" s="1" customFormat="1" ht="47.25" x14ac:dyDescent="0.25">
      <c r="A144" s="207" t="str">
        <f>Dictionnary!A268</f>
        <v>PM2.3m</v>
      </c>
      <c r="B144" s="99" t="str">
        <f>Dictionnary!B268</f>
        <v>Process Management</v>
      </c>
      <c r="C144" s="17" t="str">
        <f>Dictionnary!C268</f>
        <v>Instructions on sample transport (including time frame and temperature interval) and proper storage conditions if the sample is not transported directly after collection</v>
      </c>
      <c r="D144" s="12" t="s">
        <v>1409</v>
      </c>
      <c r="E144" s="103" t="e">
        <f>(COUNTIFS('Phase2 - Fill-in'!B$1:B$1000,A144,'Phase2 - Fill-in'!E$1:E$1000,Dictionnary!C$666)+0.5*COUNTIFS('Phase2 - Fill-in'!B$1:B$1000,A144,'Phase2 - Fill-in'!E$1:E$1000,Dictionnary!C$669))/(COUNTIFS('Phase2 - Fill-in'!B$5:B$1000,A144,'Phase2 - Fill-in'!E$5:E$1000,"&lt;&gt;Dictionnary!C669"))</f>
        <v>#DIV/0!</v>
      </c>
      <c r="F144" s="13"/>
    </row>
    <row r="145" spans="1:6" s="1" customFormat="1" ht="15.75" x14ac:dyDescent="0.25">
      <c r="A145" s="207" t="str">
        <f>Dictionnary!A269</f>
        <v>PM2.3n</v>
      </c>
      <c r="B145" s="99" t="str">
        <f>Dictionnary!B269</f>
        <v>Process Management</v>
      </c>
      <c r="C145" s="17" t="str">
        <f>Dictionnary!C269</f>
        <v>Instructions for safe disposal of materials used for collection of the sample</v>
      </c>
      <c r="D145" s="12" t="s">
        <v>1408</v>
      </c>
      <c r="E145" s="103" t="e">
        <f>(COUNTIFS('Phase2 - Fill-in'!B$1:B$1000,A145,'Phase2 - Fill-in'!E$1:E$1000,Dictionnary!C$666)+0.5*COUNTIFS('Phase2 - Fill-in'!B$1:B$1000,A145,'Phase2 - Fill-in'!E$1:E$1000,Dictionnary!C$669))/(COUNTIFS('Phase2 - Fill-in'!B$5:B$1000,A145,'Phase2 - Fill-in'!E$5:E$1000,"&lt;&gt;Dictionnary!C669"))</f>
        <v>#DIV/0!</v>
      </c>
      <c r="F145" s="13"/>
    </row>
    <row r="146" spans="1:6" s="1" customFormat="1" ht="15.75" x14ac:dyDescent="0.25">
      <c r="A146" s="207" t="str">
        <f>Dictionnary!A270</f>
        <v>PM2.4</v>
      </c>
      <c r="B146" s="14" t="str">
        <f>Dictionnary!B270</f>
        <v>Process Management</v>
      </c>
      <c r="C146" s="15" t="str">
        <f>Dictionnary!C270</f>
        <v>Does the laboratory have an SOP for Sample Reception and Processing?</v>
      </c>
      <c r="D146" s="16" t="s">
        <v>1409</v>
      </c>
      <c r="E146" s="103">
        <f>(COUNTIFS('Phase2 - Fill-in'!B$1:B$1000,A146,'Phase2 - Fill-in'!E$1:E$1000,Dictionnary!C$666)+0.5*COUNTIFS('Phase2 - Fill-in'!B$1:B$1000,A146,'Phase2 - Fill-in'!E$1:E$1000,Dictionnary!C$669))/(COUNTIFS('Phase2 - Fill-in'!B$5:B$1000,A146,'Phase2 - Fill-in'!E$5:E$1000,"&lt;&gt;Dictionnary!C669"))</f>
        <v>0</v>
      </c>
      <c r="F146" s="13"/>
    </row>
    <row r="147" spans="1:6" s="1" customFormat="1" ht="31.5" x14ac:dyDescent="0.25">
      <c r="A147" s="207" t="str">
        <f>Dictionnary!A271</f>
        <v>PM2.5</v>
      </c>
      <c r="B147" s="99" t="str">
        <f>Dictionnary!B271</f>
        <v>Process Management</v>
      </c>
      <c r="C147" s="17" t="str">
        <f>Dictionnary!C271</f>
        <v>Does the SOP for Sample Reception and Processing cover the following procedures:</v>
      </c>
      <c r="D147" s="12" t="s">
        <v>1408</v>
      </c>
      <c r="E147" s="103" t="e">
        <f>(COUNTIFS('Phase2 - Fill-in'!B$1:B$1000,A147,'Phase2 - Fill-in'!E$1:E$1000,Dictionnary!C$666)+0.5*COUNTIFS('Phase2 - Fill-in'!B$1:B$1000,A147,'Phase2 - Fill-in'!E$1:E$1000,Dictionnary!C$669))/(COUNTIFS('Phase2 - Fill-in'!B$5:B$1000,A147,'Phase2 - Fill-in'!E$5:E$1000,"&lt;&gt;Dictionnary!C669"))</f>
        <v>#DIV/0!</v>
      </c>
      <c r="F147" s="13"/>
    </row>
    <row r="148" spans="1:6" s="1" customFormat="1" ht="31.5" x14ac:dyDescent="0.25">
      <c r="A148" s="207" t="str">
        <f>Dictionnary!A272</f>
        <v>PM2.5a</v>
      </c>
      <c r="B148" s="99" t="str">
        <f>Dictionnary!B272</f>
        <v>Process Management</v>
      </c>
      <c r="C148" s="17" t="str">
        <f>Dictionnary!C272</f>
        <v>Checking sample integrity and deciding if the sample is accepted or rejected</v>
      </c>
      <c r="D148" s="12" t="s">
        <v>1408</v>
      </c>
      <c r="E148" s="103" t="e">
        <f>(COUNTIFS('Phase2 - Fill-in'!B$1:B$1000,A148,'Phase2 - Fill-in'!E$1:E$1000,Dictionnary!C$666)+0.5*COUNTIFS('Phase2 - Fill-in'!B$1:B$1000,A148,'Phase2 - Fill-in'!E$1:E$1000,Dictionnary!C$669))/(COUNTIFS('Phase2 - Fill-in'!B$5:B$1000,A148,'Phase2 - Fill-in'!E$5:E$1000,"&lt;&gt;Dictionnary!C669"))</f>
        <v>#DIV/0!</v>
      </c>
      <c r="F148" s="13"/>
    </row>
    <row r="149" spans="1:6" s="1" customFormat="1" ht="15.75" x14ac:dyDescent="0.25">
      <c r="A149" s="207" t="str">
        <f>Dictionnary!A273</f>
        <v>PM2.5b</v>
      </c>
      <c r="B149" s="99" t="str">
        <f>Dictionnary!B273</f>
        <v>Process Management</v>
      </c>
      <c r="C149" s="17" t="str">
        <f>Dictionnary!C273</f>
        <v>Introduction of the sample into the laboratory register</v>
      </c>
      <c r="D149" s="12" t="s">
        <v>1408</v>
      </c>
      <c r="E149" s="103" t="e">
        <f>(COUNTIFS('Phase2 - Fill-in'!B$1:B$1000,A149,'Phase2 - Fill-in'!E$1:E$1000,Dictionnary!C$666)+0.5*COUNTIFS('Phase2 - Fill-in'!B$1:B$1000,A149,'Phase2 - Fill-in'!E$1:E$1000,Dictionnary!C$669))/(COUNTIFS('Phase2 - Fill-in'!B$5:B$1000,A149,'Phase2 - Fill-in'!E$5:E$1000,"&lt;&gt;Dictionnary!C669"))</f>
        <v>#DIV/0!</v>
      </c>
      <c r="F149" s="13"/>
    </row>
    <row r="150" spans="1:6" s="1" customFormat="1" ht="15.75" x14ac:dyDescent="0.25">
      <c r="A150" s="207" t="str">
        <f>Dictionnary!A274</f>
        <v>PM2.5c</v>
      </c>
      <c r="B150" s="99" t="str">
        <f>Dictionnary!B274</f>
        <v>Process Management</v>
      </c>
      <c r="C150" s="17" t="str">
        <f>Dictionnary!C274</f>
        <v>Sample labeling</v>
      </c>
      <c r="D150" s="12" t="s">
        <v>1408</v>
      </c>
      <c r="E150" s="103" t="e">
        <f>(COUNTIFS('Phase2 - Fill-in'!B$1:B$1000,A150,'Phase2 - Fill-in'!E$1:E$1000,Dictionnary!C$666)+0.5*COUNTIFS('Phase2 - Fill-in'!B$1:B$1000,A150,'Phase2 - Fill-in'!E$1:E$1000,Dictionnary!C$669))/(COUNTIFS('Phase2 - Fill-in'!B$5:B$1000,A150,'Phase2 - Fill-in'!E$5:E$1000,"&lt;&gt;Dictionnary!C669"))</f>
        <v>#DIV/0!</v>
      </c>
      <c r="F150" s="13"/>
    </row>
    <row r="151" spans="1:6" s="1" customFormat="1" ht="15.75" x14ac:dyDescent="0.25">
      <c r="A151" s="207" t="str">
        <f>Dictionnary!A275</f>
        <v>PM2.5d</v>
      </c>
      <c r="B151" s="99" t="str">
        <f>Dictionnary!B275</f>
        <v>Process Management</v>
      </c>
      <c r="C151" s="17" t="str">
        <f>Dictionnary!C275</f>
        <v>Sample processing</v>
      </c>
      <c r="D151" s="12" t="s">
        <v>1408</v>
      </c>
      <c r="E151" s="103" t="e">
        <f>(COUNTIFS('Phase2 - Fill-in'!B$1:B$1000,A151,'Phase2 - Fill-in'!E$1:E$1000,Dictionnary!C$666)+0.5*COUNTIFS('Phase2 - Fill-in'!B$1:B$1000,A151,'Phase2 - Fill-in'!E$1:E$1000,Dictionnary!C$669))/(COUNTIFS('Phase2 - Fill-in'!B$5:B$1000,A151,'Phase2 - Fill-in'!E$5:E$1000,"&lt;&gt;Dictionnary!C669"))</f>
        <v>#DIV/0!</v>
      </c>
      <c r="F151" s="13"/>
    </row>
    <row r="152" spans="1:6" s="1" customFormat="1" ht="15.75" x14ac:dyDescent="0.25">
      <c r="A152" s="207" t="str">
        <f>Dictionnary!A276</f>
        <v>PM2.5e</v>
      </c>
      <c r="B152" s="99" t="str">
        <f>Dictionnary!B276</f>
        <v>Process Management</v>
      </c>
      <c r="C152" s="17" t="str">
        <f>Dictionnary!C276</f>
        <v>Procedure for processing urgent samples</v>
      </c>
      <c r="D152" s="12" t="s">
        <v>1408</v>
      </c>
      <c r="E152" s="103" t="e">
        <f>(COUNTIFS('Phase2 - Fill-in'!B$1:B$1000,A152,'Phase2 - Fill-in'!E$1:E$1000,Dictionnary!C$666)+0.5*COUNTIFS('Phase2 - Fill-in'!B$1:B$1000,A152,'Phase2 - Fill-in'!E$1:E$1000,Dictionnary!C$669))/(COUNTIFS('Phase2 - Fill-in'!B$5:B$1000,A152,'Phase2 - Fill-in'!E$5:E$1000,"&lt;&gt;Dictionnary!C669"))</f>
        <v>#DIV/0!</v>
      </c>
      <c r="F152" s="13"/>
    </row>
    <row r="153" spans="1:6" s="1" customFormat="1" ht="15.75" x14ac:dyDescent="0.25">
      <c r="A153" s="207" t="str">
        <f>Dictionnary!A277</f>
        <v>PM2.5f</v>
      </c>
      <c r="B153" s="99" t="str">
        <f>Dictionnary!B277</f>
        <v>Process Management</v>
      </c>
      <c r="C153" s="17" t="str">
        <f>Dictionnary!C277</f>
        <v>Procedure for dealing with verbal requests</v>
      </c>
      <c r="D153" s="12" t="s">
        <v>1408</v>
      </c>
      <c r="E153" s="103" t="e">
        <f>(COUNTIFS('Phase2 - Fill-in'!B$1:B$1000,A153,'Phase2 - Fill-in'!E$1:E$1000,Dictionnary!C$666)+0.5*COUNTIFS('Phase2 - Fill-in'!B$1:B$1000,A153,'Phase2 - Fill-in'!E$1:E$1000,Dictionnary!C$669))/(COUNTIFS('Phase2 - Fill-in'!B$5:B$1000,A153,'Phase2 - Fill-in'!E$5:E$1000,"&lt;&gt;Dictionnary!C669"))</f>
        <v>#DIV/0!</v>
      </c>
      <c r="F153" s="13"/>
    </row>
    <row r="154" spans="1:6" s="1" customFormat="1" ht="15.75" x14ac:dyDescent="0.25">
      <c r="A154" s="207" t="str">
        <f>Dictionnary!A278</f>
        <v>PM2.5g</v>
      </c>
      <c r="B154" s="99" t="str">
        <f>Dictionnary!B278</f>
        <v>Process Management</v>
      </c>
      <c r="C154" s="17" t="str">
        <f>Dictionnary!C278</f>
        <v>Periodical review of required sample volumes</v>
      </c>
      <c r="D154" s="12" t="s">
        <v>1408</v>
      </c>
      <c r="E154" s="103" t="e">
        <f>(COUNTIFS('Phase2 - Fill-in'!B$1:B$1000,A154,'Phase2 - Fill-in'!E$1:E$1000,Dictionnary!C$666)+0.5*COUNTIFS('Phase2 - Fill-in'!B$1:B$1000,A154,'Phase2 - Fill-in'!E$1:E$1000,Dictionnary!C$669))/(COUNTIFS('Phase2 - Fill-in'!B$5:B$1000,A154,'Phase2 - Fill-in'!E$5:E$1000,"&lt;&gt;Dictionnary!C669"))</f>
        <v>#DIV/0!</v>
      </c>
      <c r="F154" s="13"/>
    </row>
    <row r="155" spans="1:6" s="1" customFormat="1" ht="31.5" x14ac:dyDescent="0.25">
      <c r="A155" s="207" t="str">
        <f>Dictionnary!A279</f>
        <v>PM2.6</v>
      </c>
      <c r="B155" s="14" t="str">
        <f>Dictionnary!B279</f>
        <v>Process Management</v>
      </c>
      <c r="C155" s="15" t="str">
        <f>Dictionnary!C279</f>
        <v>Has the laboratory authorized staff members for reviewing requests and deciding which examinations must be performed?</v>
      </c>
      <c r="D155" s="16" t="s">
        <v>1409</v>
      </c>
      <c r="E155" s="103" t="e">
        <f>(COUNTIFS('Phase2 - Fill-in'!B$1:B$1000,A155,'Phase2 - Fill-in'!E$1:E$1000,Dictionnary!C$666)+0.5*COUNTIFS('Phase2 - Fill-in'!B$1:B$1000,A155,'Phase2 - Fill-in'!E$1:E$1000,Dictionnary!C$669))/(COUNTIFS('Phase2 - Fill-in'!B$5:B$1000,A155,'Phase2 - Fill-in'!E$5:E$1000,"&lt;&gt;Dictionnary!C669"))</f>
        <v>#DIV/0!</v>
      </c>
      <c r="F155" s="13"/>
    </row>
    <row r="156" spans="1:6" s="1" customFormat="1" ht="31.5" x14ac:dyDescent="0.25">
      <c r="A156" s="207" t="str">
        <f>Dictionnary!A280</f>
        <v>PM2.7</v>
      </c>
      <c r="B156" s="99" t="str">
        <f>Dictionnary!B280</f>
        <v>Process Management</v>
      </c>
      <c r="C156" s="17" t="str">
        <f>Dictionnary!C280</f>
        <v>Has the SOP for Sample Reception and Processing been read by all relevant staff members?</v>
      </c>
      <c r="D156" s="12" t="s">
        <v>1409</v>
      </c>
      <c r="E156" s="103" t="e">
        <f>(COUNTIFS('Phase2 - Fill-in'!B$1:B$1000,A156,'Phase2 - Fill-in'!E$1:E$1000,Dictionnary!C$666)+0.5*COUNTIFS('Phase2 - Fill-in'!B$1:B$1000,A156,'Phase2 - Fill-in'!E$1:E$1000,Dictionnary!C$669))/(COUNTIFS('Phase2 - Fill-in'!B$5:B$1000,A156,'Phase2 - Fill-in'!E$5:E$1000,"&lt;&gt;Dictionnary!C669"))</f>
        <v>#DIV/0!</v>
      </c>
      <c r="F156" s="13"/>
    </row>
    <row r="157" spans="1:6" s="1" customFormat="1" ht="15.75" x14ac:dyDescent="0.25">
      <c r="A157" s="207" t="str">
        <f>Dictionnary!A281</f>
        <v>PM2.8</v>
      </c>
      <c r="B157" s="14" t="str">
        <f>Dictionnary!B281</f>
        <v>Process Management</v>
      </c>
      <c r="C157" s="15" t="str">
        <f>Dictionnary!C281</f>
        <v>Does the laboratory use a Sample Reception Register?</v>
      </c>
      <c r="D157" s="16" t="s">
        <v>1409</v>
      </c>
      <c r="E157" s="103" t="e">
        <f>(COUNTIFS('Phase2 - Fill-in'!B$1:B$1000,A157,'Phase2 - Fill-in'!E$1:E$1000,Dictionnary!C$666)+0.5*COUNTIFS('Phase2 - Fill-in'!B$1:B$1000,A157,'Phase2 - Fill-in'!E$1:E$1000,Dictionnary!C$669))/(COUNTIFS('Phase2 - Fill-in'!B$5:B$1000,A157,'Phase2 - Fill-in'!E$5:E$1000,"&lt;&gt;Dictionnary!C669"))</f>
        <v>#DIV/0!</v>
      </c>
      <c r="F157" s="13"/>
    </row>
    <row r="158" spans="1:6" s="1" customFormat="1" ht="31.5" x14ac:dyDescent="0.25">
      <c r="A158" s="207" t="str">
        <f>Dictionnary!A282</f>
        <v>PM2.9</v>
      </c>
      <c r="B158" s="99" t="str">
        <f>Dictionnary!B282</f>
        <v>Process Management</v>
      </c>
      <c r="C158" s="17" t="str">
        <f>Dictionnary!C282</f>
        <v>Does the Sample Reception Register leave room for including the following information:</v>
      </c>
      <c r="D158" s="12" t="s">
        <v>1408</v>
      </c>
      <c r="E158" s="103" t="e">
        <f>(COUNTIFS('Phase2 - Fill-in'!B$1:B$1000,A158,'Phase2 - Fill-in'!E$1:E$1000,Dictionnary!C$666)+0.5*COUNTIFS('Phase2 - Fill-in'!B$1:B$1000,A158,'Phase2 - Fill-in'!E$1:E$1000,Dictionnary!C$669))/(COUNTIFS('Phase2 - Fill-in'!B$5:B$1000,A158,'Phase2 - Fill-in'!E$5:E$1000,"&lt;&gt;Dictionnary!C669"))</f>
        <v>#DIV/0!</v>
      </c>
      <c r="F158" s="13"/>
    </row>
    <row r="159" spans="1:6" s="1" customFormat="1" ht="15.75" x14ac:dyDescent="0.25">
      <c r="A159" s="207" t="str">
        <f>Dictionnary!A283</f>
        <v>PM2.9a</v>
      </c>
      <c r="B159" s="99" t="str">
        <f>Dictionnary!B283</f>
        <v>Process Management</v>
      </c>
      <c r="C159" s="17" t="str">
        <f>Dictionnary!C283</f>
        <v>Patient name + label</v>
      </c>
      <c r="D159" s="12" t="s">
        <v>1409</v>
      </c>
      <c r="E159" s="103" t="e">
        <f>(COUNTIFS('Phase2 - Fill-in'!B$1:B$1000,A159,'Phase2 - Fill-in'!E$1:E$1000,Dictionnary!C$666)+0.5*COUNTIFS('Phase2 - Fill-in'!B$1:B$1000,A159,'Phase2 - Fill-in'!E$1:E$1000,Dictionnary!C$669))/(COUNTIFS('Phase2 - Fill-in'!B$5:B$1000,A159,'Phase2 - Fill-in'!E$5:E$1000,"&lt;&gt;Dictionnary!C669"))</f>
        <v>#DIV/0!</v>
      </c>
      <c r="F159" s="13"/>
    </row>
    <row r="160" spans="1:6" s="1" customFormat="1" ht="15.75" x14ac:dyDescent="0.25">
      <c r="A160" s="207" t="str">
        <f>Dictionnary!A284</f>
        <v>PM2.9b</v>
      </c>
      <c r="B160" s="99" t="str">
        <f>Dictionnary!B284</f>
        <v>Process Management</v>
      </c>
      <c r="C160" s="17" t="str">
        <f>Dictionnary!C284</f>
        <v>Details of requester</v>
      </c>
      <c r="D160" s="12" t="s">
        <v>1409</v>
      </c>
      <c r="E160" s="103" t="e">
        <f>(COUNTIFS('Phase2 - Fill-in'!B$1:B$1000,A160,'Phase2 - Fill-in'!E$1:E$1000,Dictionnary!C$666)+0.5*COUNTIFS('Phase2 - Fill-in'!B$1:B$1000,A160,'Phase2 - Fill-in'!E$1:E$1000,Dictionnary!C$669))/(COUNTIFS('Phase2 - Fill-in'!B$5:B$1000,A160,'Phase2 - Fill-in'!E$5:E$1000,"&lt;&gt;Dictionnary!C669"))</f>
        <v>#DIV/0!</v>
      </c>
      <c r="F160" s="13"/>
    </row>
    <row r="161" spans="1:6" s="1" customFormat="1" ht="15.75" x14ac:dyDescent="0.25">
      <c r="A161" s="207" t="str">
        <f>Dictionnary!A285</f>
        <v>PM2.9c</v>
      </c>
      <c r="B161" s="99" t="str">
        <f>Dictionnary!B285</f>
        <v>Process Management</v>
      </c>
      <c r="C161" s="17" t="str">
        <f>Dictionnary!C285</f>
        <v>Type of primary sample</v>
      </c>
      <c r="D161" s="12" t="s">
        <v>1409</v>
      </c>
      <c r="E161" s="103" t="e">
        <f>(COUNTIFS('Phase2 - Fill-in'!B$1:B$1000,A161,'Phase2 - Fill-in'!E$1:E$1000,Dictionnary!C$666)+0.5*COUNTIFS('Phase2 - Fill-in'!B$1:B$1000,A161,'Phase2 - Fill-in'!E$1:E$1000,Dictionnary!C$669))/(COUNTIFS('Phase2 - Fill-in'!B$5:B$1000,A161,'Phase2 - Fill-in'!E$5:E$1000,"&lt;&gt;Dictionnary!C669"))</f>
        <v>#DIV/0!</v>
      </c>
      <c r="F161" s="13"/>
    </row>
    <row r="162" spans="1:6" s="1" customFormat="1" ht="15.75" x14ac:dyDescent="0.25">
      <c r="A162" s="207" t="str">
        <f>Dictionnary!A286</f>
        <v>PM2.9d</v>
      </c>
      <c r="B162" s="99" t="str">
        <f>Dictionnary!B286</f>
        <v>Process Management</v>
      </c>
      <c r="C162" s="17" t="str">
        <f>Dictionnary!C286</f>
        <v>Date of sample collection</v>
      </c>
      <c r="D162" s="12" t="s">
        <v>1409</v>
      </c>
      <c r="E162" s="103" t="e">
        <f>(COUNTIFS('Phase2 - Fill-in'!B$1:B$1000,A162,'Phase2 - Fill-in'!E$1:E$1000,Dictionnary!C$666)+0.5*COUNTIFS('Phase2 - Fill-in'!B$1:B$1000,A162,'Phase2 - Fill-in'!E$1:E$1000,Dictionnary!C$669))/(COUNTIFS('Phase2 - Fill-in'!B$5:B$1000,A162,'Phase2 - Fill-in'!E$5:E$1000,"&lt;&gt;Dictionnary!C669"))</f>
        <v>#DIV/0!</v>
      </c>
      <c r="F162" s="13"/>
    </row>
    <row r="163" spans="1:6" s="1" customFormat="1" ht="15.75" x14ac:dyDescent="0.25">
      <c r="A163" s="207" t="str">
        <f>Dictionnary!A287</f>
        <v>PM2.9e</v>
      </c>
      <c r="B163" s="99" t="str">
        <f>Dictionnary!B287</f>
        <v>Process Management</v>
      </c>
      <c r="C163" s="17" t="str">
        <f>Dictionnary!C287</f>
        <v>Date of sample reception</v>
      </c>
      <c r="D163" s="12" t="s">
        <v>1408</v>
      </c>
      <c r="E163" s="103" t="e">
        <f>(COUNTIFS('Phase2 - Fill-in'!B$1:B$1000,A163,'Phase2 - Fill-in'!E$1:E$1000,Dictionnary!C$666)+0.5*COUNTIFS('Phase2 - Fill-in'!B$1:B$1000,A163,'Phase2 - Fill-in'!E$1:E$1000,Dictionnary!C$669))/(COUNTIFS('Phase2 - Fill-in'!B$5:B$1000,A163,'Phase2 - Fill-in'!E$5:E$1000,"&lt;&gt;Dictionnary!C669"))</f>
        <v>#DIV/0!</v>
      </c>
      <c r="F163" s="13"/>
    </row>
    <row r="164" spans="1:6" s="1" customFormat="1" ht="15.75" x14ac:dyDescent="0.25">
      <c r="A164" s="207" t="str">
        <f>Dictionnary!A288</f>
        <v>PM2.9f</v>
      </c>
      <c r="B164" s="99" t="str">
        <f>Dictionnary!B288</f>
        <v>Process Management</v>
      </c>
      <c r="C164" s="17" t="str">
        <f>Dictionnary!C288</f>
        <v>Date of sample acceptance</v>
      </c>
      <c r="D164" s="12" t="s">
        <v>1408</v>
      </c>
      <c r="E164" s="103" t="e">
        <f>(COUNTIFS('Phase2 - Fill-in'!B$1:B$1000,A164,'Phase2 - Fill-in'!E$1:E$1000,Dictionnary!C$666)+0.5*COUNTIFS('Phase2 - Fill-in'!B$1:B$1000,A164,'Phase2 - Fill-in'!E$1:E$1000,Dictionnary!C$669))/(COUNTIFS('Phase2 - Fill-in'!B$5:B$1000,A164,'Phase2 - Fill-in'!E$5:E$1000,"&lt;&gt;Dictionnary!C669"))</f>
        <v>#DIV/0!</v>
      </c>
      <c r="F164" s="13"/>
    </row>
    <row r="165" spans="1:6" s="1" customFormat="1" ht="15.75" x14ac:dyDescent="0.25">
      <c r="A165" s="207" t="str">
        <f>Dictionnary!A289</f>
        <v>PM2.9g</v>
      </c>
      <c r="B165" s="99" t="str">
        <f>Dictionnary!B289</f>
        <v>Process Management</v>
      </c>
      <c r="C165" s="17" t="str">
        <f>Dictionnary!C289</f>
        <v>Examination(s) requested</v>
      </c>
      <c r="D165" s="12" t="s">
        <v>1408</v>
      </c>
      <c r="E165" s="103" t="e">
        <f>(COUNTIFS('Phase2 - Fill-in'!B$1:B$1000,A165,'Phase2 - Fill-in'!E$1:E$1000,Dictionnary!C$666)+0.5*COUNTIFS('Phase2 - Fill-in'!B$1:B$1000,A165,'Phase2 - Fill-in'!E$1:E$1000,Dictionnary!C$669))/(COUNTIFS('Phase2 - Fill-in'!B$5:B$1000,A165,'Phase2 - Fill-in'!E$5:E$1000,"&lt;&gt;Dictionnary!C669"))</f>
        <v>#DIV/0!</v>
      </c>
      <c r="F165" s="13"/>
    </row>
    <row r="166" spans="1:6" s="1" customFormat="1" ht="31.5" x14ac:dyDescent="0.25">
      <c r="A166" s="207" t="str">
        <f>Dictionnary!A290</f>
        <v>PM2.9h</v>
      </c>
      <c r="B166" s="99" t="str">
        <f>Dictionnary!B290</f>
        <v>Process Management</v>
      </c>
      <c r="C166" s="17" t="str">
        <f>Dictionnary!C290</f>
        <v>Results of examinations + name of the laboratory technologists performing the examinations</v>
      </c>
      <c r="D166" s="12" t="s">
        <v>1409</v>
      </c>
      <c r="E166" s="103" t="e">
        <f>(COUNTIFS('Phase2 - Fill-in'!B$1:B$1000,A166,'Phase2 - Fill-in'!E$1:E$1000,Dictionnary!C$666)+0.5*COUNTIFS('Phase2 - Fill-in'!B$1:B$1000,A166,'Phase2 - Fill-in'!E$1:E$1000,Dictionnary!C$669))/(COUNTIFS('Phase2 - Fill-in'!B$5:B$1000,A166,'Phase2 - Fill-in'!E$5:E$1000,"&lt;&gt;Dictionnary!C669"))</f>
        <v>#DIV/0!</v>
      </c>
      <c r="F166" s="13"/>
    </row>
    <row r="167" spans="1:6" s="1" customFormat="1" ht="15.75" x14ac:dyDescent="0.25">
      <c r="A167" s="207" t="str">
        <f>Dictionnary!A291</f>
        <v>PM2.9i</v>
      </c>
      <c r="B167" s="99" t="str">
        <f>Dictionnary!B291</f>
        <v>Process Management</v>
      </c>
      <c r="C167" s="17" t="str">
        <f>Dictionnary!C291</f>
        <v>Date of reporting</v>
      </c>
      <c r="D167" s="12" t="s">
        <v>1409</v>
      </c>
      <c r="E167" s="103" t="e">
        <f>(COUNTIFS('Phase2 - Fill-in'!B$1:B$1000,A167,'Phase2 - Fill-in'!E$1:E$1000,Dictionnary!C$666)+0.5*COUNTIFS('Phase2 - Fill-in'!B$1:B$1000,A167,'Phase2 - Fill-in'!E$1:E$1000,Dictionnary!C$669))/(COUNTIFS('Phase2 - Fill-in'!B$5:B$1000,A167,'Phase2 - Fill-in'!E$5:E$1000,"&lt;&gt;Dictionnary!C669"))</f>
        <v>#DIV/0!</v>
      </c>
      <c r="F167" s="13"/>
    </row>
    <row r="168" spans="1:6" s="1" customFormat="1" ht="15.75" x14ac:dyDescent="0.25">
      <c r="A168" s="207" t="str">
        <f>Dictionnary!A292</f>
        <v>PM2.9j</v>
      </c>
      <c r="B168" s="99" t="str">
        <f>Dictionnary!B292</f>
        <v>Process Management</v>
      </c>
      <c r="C168" s="17" t="str">
        <f>Dictionnary!C292</f>
        <v>Signature and initials of person sending the report</v>
      </c>
      <c r="D168" s="12" t="s">
        <v>1408</v>
      </c>
      <c r="E168" s="103" t="e">
        <f>(COUNTIFS('Phase2 - Fill-in'!B$1:B$1000,A168,'Phase2 - Fill-in'!E$1:E$1000,Dictionnary!C$666)+0.5*COUNTIFS('Phase2 - Fill-in'!B$1:B$1000,A168,'Phase2 - Fill-in'!E$1:E$1000,Dictionnary!C$669))/(COUNTIFS('Phase2 - Fill-in'!B$5:B$1000,A168,'Phase2 - Fill-in'!E$5:E$1000,"&lt;&gt;Dictionnary!C669"))</f>
        <v>#DIV/0!</v>
      </c>
      <c r="F168" s="13"/>
    </row>
    <row r="169" spans="1:6" s="1" customFormat="1" ht="31.5" x14ac:dyDescent="0.25">
      <c r="A169" s="207" t="str">
        <f>Dictionnary!A293</f>
        <v>PM2.10</v>
      </c>
      <c r="B169" s="14" t="str">
        <f>Dictionnary!B293</f>
        <v>Process Management</v>
      </c>
      <c r="C169" s="15" t="str">
        <f>Dictionnary!C293</f>
        <v>Does the SOP for Sample Reception and Processing have an appendix with a Sample Rejection Form?</v>
      </c>
      <c r="D169" s="16" t="s">
        <v>1409</v>
      </c>
      <c r="E169" s="103">
        <f>(COUNTIFS('Phase2 - Fill-in'!B$1:B$1000,A169,'Phase2 - Fill-in'!E$1:E$1000,Dictionnary!C$666)+0.5*COUNTIFS('Phase2 - Fill-in'!B$1:B$1000,A169,'Phase2 - Fill-in'!E$1:E$1000,Dictionnary!C$669))/(COUNTIFS('Phase2 - Fill-in'!B$5:B$1000,A169,'Phase2 - Fill-in'!E$5:E$1000,"&lt;&gt;Dictionnary!C669"))</f>
        <v>0</v>
      </c>
      <c r="F169" s="13"/>
    </row>
    <row r="170" spans="1:6" s="1" customFormat="1" ht="15.75" x14ac:dyDescent="0.25">
      <c r="A170" s="207" t="str">
        <f>Dictionnary!A294</f>
        <v>PM2.11</v>
      </c>
      <c r="B170" s="99" t="str">
        <f>Dictionnary!B294</f>
        <v>Process Management</v>
      </c>
      <c r="C170" s="17" t="str">
        <f>Dictionnary!C294</f>
        <v>Does the Sample Rejection Form include the following elements?</v>
      </c>
      <c r="D170" s="12" t="s">
        <v>1409</v>
      </c>
      <c r="E170" s="103" t="e">
        <f>(COUNTIFS('Phase2 - Fill-in'!B$1:B$1000,A170,'Phase2 - Fill-in'!E$1:E$1000,Dictionnary!C$666)+0.5*COUNTIFS('Phase2 - Fill-in'!B$1:B$1000,A170,'Phase2 - Fill-in'!E$1:E$1000,Dictionnary!C$669))/(COUNTIFS('Phase2 - Fill-in'!B$5:B$1000,A170,'Phase2 - Fill-in'!E$5:E$1000,"&lt;&gt;Dictionnary!C669"))</f>
        <v>#DIV/0!</v>
      </c>
      <c r="F170" s="13"/>
    </row>
    <row r="171" spans="1:6" s="1" customFormat="1" ht="15.75" x14ac:dyDescent="0.25">
      <c r="A171" s="207" t="str">
        <f>Dictionnary!A295</f>
        <v>PM2.11a</v>
      </c>
      <c r="B171" s="99" t="str">
        <f>Dictionnary!B295</f>
        <v>Process Management</v>
      </c>
      <c r="C171" s="17" t="str">
        <f>Dictionnary!C295</f>
        <v>Identification of the patient</v>
      </c>
      <c r="D171" s="12" t="s">
        <v>1409</v>
      </c>
      <c r="E171" s="103" t="e">
        <f>(COUNTIFS('Phase2 - Fill-in'!B$1:B$1000,A171,'Phase2 - Fill-in'!E$1:E$1000,Dictionnary!C$666)+0.5*COUNTIFS('Phase2 - Fill-in'!B$1:B$1000,A171,'Phase2 - Fill-in'!E$1:E$1000,Dictionnary!C$669))/(COUNTIFS('Phase2 - Fill-in'!B$5:B$1000,A171,'Phase2 - Fill-in'!E$5:E$1000,"&lt;&gt;Dictionnary!C669"))</f>
        <v>#DIV/0!</v>
      </c>
      <c r="F171" s="13"/>
    </row>
    <row r="172" spans="1:6" s="1" customFormat="1" ht="15.75" x14ac:dyDescent="0.25">
      <c r="A172" s="207" t="str">
        <f>Dictionnary!A296</f>
        <v>PM2.11b</v>
      </c>
      <c r="B172" s="99" t="str">
        <f>Dictionnary!B296</f>
        <v>Process Management</v>
      </c>
      <c r="C172" s="17" t="str">
        <f>Dictionnary!C296</f>
        <v>Identification of the person collecting the sample</v>
      </c>
      <c r="D172" s="12" t="s">
        <v>1409</v>
      </c>
      <c r="E172" s="103" t="e">
        <f>(COUNTIFS('Phase2 - Fill-in'!B$1:B$1000,A172,'Phase2 - Fill-in'!E$1:E$1000,Dictionnary!C$666)+0.5*COUNTIFS('Phase2 - Fill-in'!B$1:B$1000,A172,'Phase2 - Fill-in'!E$1:E$1000,Dictionnary!C$669))/(COUNTIFS('Phase2 - Fill-in'!B$5:B$1000,A172,'Phase2 - Fill-in'!E$5:E$1000,"&lt;&gt;Dictionnary!C669"))</f>
        <v>#DIV/0!</v>
      </c>
      <c r="F172" s="13"/>
    </row>
    <row r="173" spans="1:6" s="1" customFormat="1" ht="31.5" x14ac:dyDescent="0.25">
      <c r="A173" s="207" t="str">
        <f>Dictionnary!A297</f>
        <v>PM2.11c</v>
      </c>
      <c r="B173" s="99" t="str">
        <f>Dictionnary!B297</f>
        <v>Process Management</v>
      </c>
      <c r="C173" s="17" t="str">
        <f>Dictionnary!C297</f>
        <v>Identification of the clinician (if different than the person collecting the sample)</v>
      </c>
      <c r="D173" s="12" t="s">
        <v>1408</v>
      </c>
      <c r="E173" s="103" t="e">
        <f>(COUNTIFS('Phase2 - Fill-in'!B$1:B$1000,A173,'Phase2 - Fill-in'!E$1:E$1000,Dictionnary!C$666)+0.5*COUNTIFS('Phase2 - Fill-in'!B$1:B$1000,A173,'Phase2 - Fill-in'!E$1:E$1000,Dictionnary!C$669))/(COUNTIFS('Phase2 - Fill-in'!B$5:B$1000,A173,'Phase2 - Fill-in'!E$5:E$1000,"&lt;&gt;Dictionnary!C669"))</f>
        <v>#DIV/0!</v>
      </c>
      <c r="F173" s="13"/>
    </row>
    <row r="174" spans="1:6" s="1" customFormat="1" ht="15.75" x14ac:dyDescent="0.25">
      <c r="A174" s="207" t="str">
        <f>Dictionnary!A298</f>
        <v>PM2.11d</v>
      </c>
      <c r="B174" s="99" t="str">
        <f>Dictionnary!B298</f>
        <v>Process Management</v>
      </c>
      <c r="C174" s="17" t="str">
        <f>Dictionnary!C298</f>
        <v>Identification of the sample</v>
      </c>
      <c r="D174" s="12" t="s">
        <v>1408</v>
      </c>
      <c r="E174" s="103" t="e">
        <f>(COUNTIFS('Phase2 - Fill-in'!B$1:B$1000,A174,'Phase2 - Fill-in'!E$1:E$1000,Dictionnary!C$666)+0.5*COUNTIFS('Phase2 - Fill-in'!B$1:B$1000,A174,'Phase2 - Fill-in'!E$1:E$1000,Dictionnary!C$669))/(COUNTIFS('Phase2 - Fill-in'!B$5:B$1000,A174,'Phase2 - Fill-in'!E$5:E$1000,"&lt;&gt;Dictionnary!C669"))</f>
        <v>#DIV/0!</v>
      </c>
      <c r="F174" s="13"/>
    </row>
    <row r="175" spans="1:6" s="1" customFormat="1" ht="15.75" x14ac:dyDescent="0.25">
      <c r="A175" s="207" t="str">
        <f>Dictionnary!A299</f>
        <v>PM2.11e</v>
      </c>
      <c r="B175" s="99" t="str">
        <f>Dictionnary!B299</f>
        <v>Process Management</v>
      </c>
      <c r="C175" s="17" t="str">
        <f>Dictionnary!C299</f>
        <v>Reasons for sample rejection</v>
      </c>
      <c r="D175" s="12" t="s">
        <v>1408</v>
      </c>
      <c r="E175" s="103" t="e">
        <f>(COUNTIFS('Phase2 - Fill-in'!B$1:B$1000,A175,'Phase2 - Fill-in'!E$1:E$1000,Dictionnary!C$666)+0.5*COUNTIFS('Phase2 - Fill-in'!B$1:B$1000,A175,'Phase2 - Fill-in'!E$1:E$1000,Dictionnary!C$669))/(COUNTIFS('Phase2 - Fill-in'!B$5:B$1000,A175,'Phase2 - Fill-in'!E$5:E$1000,"&lt;&gt;Dictionnary!C669"))</f>
        <v>#DIV/0!</v>
      </c>
      <c r="F175" s="13"/>
    </row>
    <row r="176" spans="1:6" s="1" customFormat="1" ht="31.5" x14ac:dyDescent="0.25">
      <c r="A176" s="207" t="str">
        <f>Dictionnary!A300</f>
        <v>PM2.11f</v>
      </c>
      <c r="B176" s="99" t="str">
        <f>Dictionnary!B300</f>
        <v>Process Management</v>
      </c>
      <c r="C176" s="17" t="str">
        <f>Dictionnary!C300</f>
        <v>Action to be taken (does the sample requester have to send in a new sample? Does the sample collector have to change the procedure?)</v>
      </c>
      <c r="D176" s="12" t="s">
        <v>1408</v>
      </c>
      <c r="E176" s="103" t="e">
        <f>(COUNTIFS('Phase2 - Fill-in'!B$1:B$1000,A176,'Phase2 - Fill-in'!E$1:E$1000,Dictionnary!C$666)+0.5*COUNTIFS('Phase2 - Fill-in'!B$1:B$1000,A176,'Phase2 - Fill-in'!E$1:E$1000,Dictionnary!C$669))/(COUNTIFS('Phase2 - Fill-in'!B$5:B$1000,A176,'Phase2 - Fill-in'!E$5:E$1000,"&lt;&gt;Dictionnary!C669"))</f>
        <v>#DIV/0!</v>
      </c>
      <c r="F176" s="13"/>
    </row>
    <row r="177" spans="1:6" s="1" customFormat="1" ht="15.75" x14ac:dyDescent="0.25">
      <c r="A177" s="207" t="str">
        <f>Dictionnary!A301</f>
        <v>PM2.12</v>
      </c>
      <c r="B177" s="14" t="str">
        <f>Dictionnary!B301</f>
        <v>Process Management</v>
      </c>
      <c r="C177" s="15" t="str">
        <f>Dictionnary!C301</f>
        <v>Are copies of completed forms stored at the laboratory?</v>
      </c>
      <c r="D177" s="16" t="s">
        <v>1409</v>
      </c>
      <c r="E177" s="103">
        <f>(COUNTIFS('Phase2 - Fill-in'!B$1:B$1000,A177,'Phase2 - Fill-in'!E$1:E$1000,Dictionnary!C$666)+0.5*COUNTIFS('Phase2 - Fill-in'!B$1:B$1000,A177,'Phase2 - Fill-in'!E$1:E$1000,Dictionnary!C$669))/(COUNTIFS('Phase2 - Fill-in'!B$5:B$1000,A177,'Phase2 - Fill-in'!E$5:E$1000,"&lt;&gt;Dictionnary!C669"))</f>
        <v>0</v>
      </c>
      <c r="F177" s="13"/>
    </row>
    <row r="178" spans="1:6" s="1" customFormat="1" ht="31.5" x14ac:dyDescent="0.25">
      <c r="A178" s="207" t="str">
        <f>Dictionnary!A302</f>
        <v>PM2.13</v>
      </c>
      <c r="B178" s="99" t="str">
        <f>Dictionnary!B302</f>
        <v>Process Management</v>
      </c>
      <c r="C178" s="17" t="str">
        <f>Dictionnary!C302</f>
        <v>Has the laboratory made flowcharts of all the procedures routinely being performed in the laboratory?</v>
      </c>
      <c r="D178" s="12" t="s">
        <v>1409</v>
      </c>
      <c r="E178" s="103">
        <f>(COUNTIFS('Phase2 - Fill-in'!B$1:B$1000,A178,'Phase2 - Fill-in'!E$1:E$1000,Dictionnary!C$666)+0.5*COUNTIFS('Phase2 - Fill-in'!B$1:B$1000,A178,'Phase2 - Fill-in'!E$1:E$1000,Dictionnary!C$669))/(COUNTIFS('Phase2 - Fill-in'!B$5:B$1000,A178,'Phase2 - Fill-in'!E$5:E$1000,"&lt;&gt;Dictionnary!C669"))</f>
        <v>0</v>
      </c>
      <c r="F178" s="13"/>
    </row>
    <row r="179" spans="1:6" s="1" customFormat="1" ht="31.5" x14ac:dyDescent="0.25">
      <c r="A179" s="207" t="str">
        <f>Dictionnary!A303</f>
        <v>PM2.14</v>
      </c>
      <c r="B179" s="14" t="str">
        <f>Dictionnary!B303</f>
        <v>Process Management</v>
      </c>
      <c r="C179" s="15" t="str">
        <f>Dictionnary!C303</f>
        <v>Has the laboratory formulated quality controls to guard the quality of each process step in each procedure?</v>
      </c>
      <c r="D179" s="16" t="s">
        <v>1409</v>
      </c>
      <c r="E179" s="103">
        <f>(COUNTIFS('Phase2 - Fill-in'!B$1:B$1000,A179,'Phase2 - Fill-in'!E$1:E$1000,Dictionnary!C$666)+0.5*COUNTIFS('Phase2 - Fill-in'!B$1:B$1000,A179,'Phase2 - Fill-in'!E$1:E$1000,Dictionnary!C$669))/(COUNTIFS('Phase2 - Fill-in'!B$5:B$1000,A179,'Phase2 - Fill-in'!E$5:E$1000,"&lt;&gt;Dictionnary!C669"))</f>
        <v>0</v>
      </c>
      <c r="F179" s="13"/>
    </row>
    <row r="180" spans="1:6" s="1" customFormat="1" ht="15.75" x14ac:dyDescent="0.25">
      <c r="A180" s="207" t="str">
        <f>Dictionnary!A304</f>
        <v>PM2.15</v>
      </c>
      <c r="B180" s="99" t="str">
        <f>Dictionnary!B304</f>
        <v>Process Management</v>
      </c>
      <c r="C180" s="17" t="str">
        <f>Dictionnary!C304</f>
        <v>Are internal quality control results recorded in a register?</v>
      </c>
      <c r="D180" s="12" t="s">
        <v>1409</v>
      </c>
      <c r="E180" s="103">
        <f>(COUNTIFS('Phase2 - Fill-in'!B$1:B$1000,A180,'Phase2 - Fill-in'!E$1:E$1000,Dictionnary!C$666)+0.5*COUNTIFS('Phase2 - Fill-in'!B$1:B$1000,A180,'Phase2 - Fill-in'!E$1:E$1000,Dictionnary!C$669))/(COUNTIFS('Phase2 - Fill-in'!B$5:B$1000,A180,'Phase2 - Fill-in'!E$5:E$1000,"&lt;&gt;Dictionnary!C669"))</f>
        <v>0</v>
      </c>
      <c r="F180" s="13"/>
    </row>
    <row r="181" spans="1:6" s="1" customFormat="1" ht="15.75" x14ac:dyDescent="0.25">
      <c r="A181" s="207" t="str">
        <f>Dictionnary!A305</f>
        <v>PM2.16</v>
      </c>
      <c r="B181" s="14" t="str">
        <f>Dictionnary!B305</f>
        <v>Process Management</v>
      </c>
      <c r="C181" s="15" t="str">
        <f>Dictionnary!C305</f>
        <v>Are internal quality control protocols included in all relevant SOPs?</v>
      </c>
      <c r="D181" s="16" t="s">
        <v>1408</v>
      </c>
      <c r="E181" s="103">
        <f>(COUNTIFS('Phase2 - Fill-in'!B$1:B$1000,A181,'Phase2 - Fill-in'!E$1:E$1000,Dictionnary!C$666)+0.5*COUNTIFS('Phase2 - Fill-in'!B$1:B$1000,A181,'Phase2 - Fill-in'!E$1:E$1000,Dictionnary!C$669))/(COUNTIFS('Phase2 - Fill-in'!B$5:B$1000,A181,'Phase2 - Fill-in'!E$5:E$1000,"&lt;&gt;Dictionnary!C669"))</f>
        <v>1</v>
      </c>
      <c r="F181" s="13"/>
    </row>
    <row r="182" spans="1:6" s="1" customFormat="1" ht="31.5" x14ac:dyDescent="0.25">
      <c r="A182" s="207" t="str">
        <f>Dictionnary!A306</f>
        <v>PM2.17</v>
      </c>
      <c r="B182" s="99" t="str">
        <f>Dictionnary!B306</f>
        <v>Process Management</v>
      </c>
      <c r="C182" s="17" t="str">
        <f>Dictionnary!C306</f>
        <v>Does the laboratory have an SOP for Internal Quality Control that contains:</v>
      </c>
      <c r="D182" s="12" t="s">
        <v>1408</v>
      </c>
      <c r="E182" s="103">
        <f>(COUNTIFS('Phase2 - Fill-in'!B$1:B$1000,A182,'Phase2 - Fill-in'!E$1:E$1000,Dictionnary!C$666)+0.5*COUNTIFS('Phase2 - Fill-in'!B$1:B$1000,A182,'Phase2 - Fill-in'!E$1:E$1000,Dictionnary!C$669))/(COUNTIFS('Phase2 - Fill-in'!B$5:B$1000,A182,'Phase2 - Fill-in'!E$5:E$1000,"&lt;&gt;Dictionnary!C669"))</f>
        <v>0</v>
      </c>
      <c r="F182" s="13"/>
    </row>
    <row r="183" spans="1:6" s="1" customFormat="1" ht="15.75" x14ac:dyDescent="0.25">
      <c r="A183" s="207" t="str">
        <f>Dictionnary!A307</f>
        <v>PM2.17a</v>
      </c>
      <c r="B183" s="99" t="str">
        <f>Dictionnary!B307</f>
        <v>Process Management</v>
      </c>
      <c r="C183" s="17" t="str">
        <f>Dictionnary!C307</f>
        <v>An explanation on the concept of internal quality control</v>
      </c>
      <c r="D183" s="12" t="s">
        <v>1408</v>
      </c>
      <c r="E183" s="103" t="e">
        <f>(COUNTIFS('Phase2 - Fill-in'!B$1:B$1000,A183,'Phase2 - Fill-in'!E$1:E$1000,Dictionnary!C$666)+0.5*COUNTIFS('Phase2 - Fill-in'!B$1:B$1000,A183,'Phase2 - Fill-in'!E$1:E$1000,Dictionnary!C$669))/(COUNTIFS('Phase2 - Fill-in'!B$5:B$1000,A183,'Phase2 - Fill-in'!E$5:E$1000,"&lt;&gt;Dictionnary!C669"))</f>
        <v>#DIV/0!</v>
      </c>
      <c r="F183" s="13"/>
    </row>
    <row r="184" spans="1:6" s="1" customFormat="1" ht="15.75" x14ac:dyDescent="0.25">
      <c r="A184" s="207" t="str">
        <f>Dictionnary!A308</f>
        <v>PM2.17b</v>
      </c>
      <c r="B184" s="99" t="str">
        <f>Dictionnary!B308</f>
        <v>Process Management</v>
      </c>
      <c r="C184" s="17" t="str">
        <f>Dictionnary!C308</f>
        <v>The general procedure for performing an internal quality control</v>
      </c>
      <c r="D184" s="12" t="s">
        <v>1408</v>
      </c>
      <c r="E184" s="103" t="e">
        <f>(COUNTIFS('Phase2 - Fill-in'!B$1:B$1000,A184,'Phase2 - Fill-in'!E$1:E$1000,Dictionnary!C$666)+0.5*COUNTIFS('Phase2 - Fill-in'!B$1:B$1000,A184,'Phase2 - Fill-in'!E$1:E$1000,Dictionnary!C$669))/(COUNTIFS('Phase2 - Fill-in'!B$5:B$1000,A184,'Phase2 - Fill-in'!E$5:E$1000,"&lt;&gt;Dictionnary!C669"))</f>
        <v>#DIV/0!</v>
      </c>
      <c r="F184" s="13"/>
    </row>
    <row r="185" spans="1:6" s="1" customFormat="1" ht="15.75" x14ac:dyDescent="0.25">
      <c r="A185" s="207" t="str">
        <f>Dictionnary!A309</f>
        <v>PM2.17c</v>
      </c>
      <c r="B185" s="99" t="str">
        <f>Dictionnary!B309</f>
        <v>Process Management</v>
      </c>
      <c r="C185" s="17" t="str">
        <f>Dictionnary!C309</f>
        <v>Procedure for developing internal quality control materials</v>
      </c>
      <c r="D185" s="12" t="s">
        <v>1409</v>
      </c>
      <c r="E185" s="103" t="e">
        <f>(COUNTIFS('Phase2 - Fill-in'!B$1:B$1000,A185,'Phase2 - Fill-in'!E$1:E$1000,Dictionnary!C$666)+0.5*COUNTIFS('Phase2 - Fill-in'!B$1:B$1000,A185,'Phase2 - Fill-in'!E$1:E$1000,Dictionnary!C$669))/(COUNTIFS('Phase2 - Fill-in'!B$5:B$1000,A185,'Phase2 - Fill-in'!E$5:E$1000,"&lt;&gt;Dictionnary!C669"))</f>
        <v>#DIV/0!</v>
      </c>
      <c r="F185" s="13"/>
    </row>
    <row r="186" spans="1:6" s="1" customFormat="1" ht="15.75" x14ac:dyDescent="0.25">
      <c r="A186" s="207" t="str">
        <f>Dictionnary!A310</f>
        <v>PM2.17d</v>
      </c>
      <c r="B186" s="99" t="str">
        <f>Dictionnary!B310</f>
        <v>Process Management</v>
      </c>
      <c r="C186" s="17" t="str">
        <f>Dictionnary!C310</f>
        <v>The procedure for periodic review of internal quality controls</v>
      </c>
      <c r="D186" s="12" t="s">
        <v>1409</v>
      </c>
      <c r="E186" s="103" t="e">
        <f>(COUNTIFS('Phase2 - Fill-in'!B$1:B$1000,A186,'Phase2 - Fill-in'!E$1:E$1000,Dictionnary!C$666)+0.5*COUNTIFS('Phase2 - Fill-in'!B$1:B$1000,A186,'Phase2 - Fill-in'!E$1:E$1000,Dictionnary!C$669))/(COUNTIFS('Phase2 - Fill-in'!B$5:B$1000,A186,'Phase2 - Fill-in'!E$5:E$1000,"&lt;&gt;Dictionnary!C669"))</f>
        <v>#DIV/0!</v>
      </c>
      <c r="F186" s="13"/>
    </row>
    <row r="187" spans="1:6" s="1" customFormat="1" ht="15.75" x14ac:dyDescent="0.25">
      <c r="A187" s="207" t="str">
        <f>Dictionnary!A311</f>
        <v>PM2.17e</v>
      </c>
      <c r="B187" s="99" t="str">
        <f>Dictionnary!B311</f>
        <v>Process Management</v>
      </c>
      <c r="C187" s="17" t="str">
        <f>Dictionnary!C311</f>
        <v>The procedure to follow when an internal quality control fails</v>
      </c>
      <c r="D187" s="12" t="s">
        <v>1409</v>
      </c>
      <c r="E187" s="103" t="e">
        <f>(COUNTIFS('Phase2 - Fill-in'!B$1:B$1000,A187,'Phase2 - Fill-in'!E$1:E$1000,Dictionnary!C$666)+0.5*COUNTIFS('Phase2 - Fill-in'!B$1:B$1000,A187,'Phase2 - Fill-in'!E$1:E$1000,Dictionnary!C$669))/(COUNTIFS('Phase2 - Fill-in'!B$5:B$1000,A187,'Phase2 - Fill-in'!E$5:E$1000,"&lt;&gt;Dictionnary!C669"))</f>
        <v>#DIV/0!</v>
      </c>
      <c r="F187" s="13"/>
    </row>
    <row r="188" spans="1:6" s="1" customFormat="1" ht="31.5" x14ac:dyDescent="0.25">
      <c r="A188" s="207" t="str">
        <f>Dictionnary!A312</f>
        <v>PM2.18</v>
      </c>
      <c r="B188" s="14" t="str">
        <f>Dictionnary!B312</f>
        <v>Process Management</v>
      </c>
      <c r="C188" s="15" t="str">
        <f>Dictionnary!C312</f>
        <v>Does the laboratory monitor internal quality control results and act on quality control failures?</v>
      </c>
      <c r="D188" s="16" t="s">
        <v>1409</v>
      </c>
      <c r="E188" s="103">
        <f>(COUNTIFS('Phase2 - Fill-in'!B$1:B$1000,A188,'Phase2 - Fill-in'!E$1:E$1000,Dictionnary!C$666)+0.5*COUNTIFS('Phase2 - Fill-in'!B$1:B$1000,A188,'Phase2 - Fill-in'!E$1:E$1000,Dictionnary!C$669))/(COUNTIFS('Phase2 - Fill-in'!B$5:B$1000,A188,'Phase2 - Fill-in'!E$5:E$1000,"&lt;&gt;Dictionnary!C669"))</f>
        <v>1</v>
      </c>
      <c r="F188" s="13"/>
    </row>
    <row r="189" spans="1:6" s="1" customFormat="1" ht="15.75" x14ac:dyDescent="0.25">
      <c r="A189" s="207" t="str">
        <f>Dictionnary!A313</f>
        <v>PM2.19</v>
      </c>
      <c r="B189" s="99" t="str">
        <f>Dictionnary!B313</f>
        <v>Process Management</v>
      </c>
      <c r="C189" s="17" t="str">
        <f>Dictionnary!C313</f>
        <v>Are internal quality control results continuously monitored?</v>
      </c>
      <c r="D189" s="12" t="s">
        <v>1409</v>
      </c>
      <c r="E189" s="103">
        <f>(COUNTIFS('Phase2 - Fill-in'!B$1:B$1000,A189,'Phase2 - Fill-in'!E$1:E$1000,Dictionnary!C$666)+0.5*COUNTIFS('Phase2 - Fill-in'!B$1:B$1000,A189,'Phase2 - Fill-in'!E$1:E$1000,Dictionnary!C$669))/(COUNTIFS('Phase2 - Fill-in'!B$5:B$1000,A189,'Phase2 - Fill-in'!E$5:E$1000,"&lt;&gt;Dictionnary!C669"))</f>
        <v>0.5</v>
      </c>
      <c r="F189" s="13"/>
    </row>
    <row r="190" spans="1:6" s="1" customFormat="1" ht="31.5" x14ac:dyDescent="0.25">
      <c r="A190" s="207" t="str">
        <f>Dictionnary!A314</f>
        <v>PM2.20</v>
      </c>
      <c r="B190" s="14" t="str">
        <f>Dictionnary!B314</f>
        <v>Process Management</v>
      </c>
      <c r="C190" s="15" t="str">
        <f>Dictionnary!C314</f>
        <v>Does the laboratory undertake action as soon as possible to solve internal quality control failures/deviations from trends?</v>
      </c>
      <c r="D190" s="16" t="s">
        <v>1409</v>
      </c>
      <c r="E190" s="103">
        <f>(COUNTIFS('Phase2 - Fill-in'!B$1:B$1000,A190,'Phase2 - Fill-in'!E$1:E$1000,Dictionnary!C$666)+0.5*COUNTIFS('Phase2 - Fill-in'!B$1:B$1000,A190,'Phase2 - Fill-in'!E$1:E$1000,Dictionnary!C$669))/(COUNTIFS('Phase2 - Fill-in'!B$5:B$1000,A190,'Phase2 - Fill-in'!E$5:E$1000,"&lt;&gt;Dictionnary!C669"))</f>
        <v>0</v>
      </c>
      <c r="F190" s="13"/>
    </row>
    <row r="191" spans="1:6" s="1" customFormat="1" ht="15.75" x14ac:dyDescent="0.25">
      <c r="A191" s="207" t="str">
        <f>Dictionnary!A315</f>
        <v>PM2.21</v>
      </c>
      <c r="B191" s="99" t="str">
        <f>Dictionnary!B315</f>
        <v>Process Management</v>
      </c>
      <c r="C191" s="17" t="str">
        <f>Dictionnary!C315</f>
        <v>Is reporting of results halted when internal quality controls deviate/fail?</v>
      </c>
      <c r="D191" s="12" t="s">
        <v>1408</v>
      </c>
      <c r="E191" s="103">
        <f>(COUNTIFS('Phase2 - Fill-in'!B$1:B$1000,A191,'Phase2 - Fill-in'!E$1:E$1000,Dictionnary!C$666)+0.5*COUNTIFS('Phase2 - Fill-in'!B$1:B$1000,A191,'Phase2 - Fill-in'!E$1:E$1000,Dictionnary!C$669))/(COUNTIFS('Phase2 - Fill-in'!B$5:B$1000,A191,'Phase2 - Fill-in'!E$5:E$1000,"&lt;&gt;Dictionnary!C669"))</f>
        <v>1</v>
      </c>
      <c r="F191" s="13"/>
    </row>
    <row r="192" spans="1:6" s="1" customFormat="1" ht="31.5" x14ac:dyDescent="0.25">
      <c r="A192" s="207" t="str">
        <f>Dictionnary!A316</f>
        <v>PM2.22</v>
      </c>
      <c r="B192" s="14" t="str">
        <f>Dictionnary!B316</f>
        <v>Process Management</v>
      </c>
      <c r="C192" s="15" t="str">
        <f>Dictionnary!C316</f>
        <v>Has the laboratory developed a list of all SOPs needed to standardize the entire primary process?</v>
      </c>
      <c r="D192" s="16" t="s">
        <v>1408</v>
      </c>
      <c r="E192" s="103">
        <f>(COUNTIFS('Phase2 - Fill-in'!B$1:B$1000,A192,'Phase2 - Fill-in'!E$1:E$1000,Dictionnary!C$666)+0.5*COUNTIFS('Phase2 - Fill-in'!B$1:B$1000,A192,'Phase2 - Fill-in'!E$1:E$1000,Dictionnary!C$669))/(COUNTIFS('Phase2 - Fill-in'!B$5:B$1000,A192,'Phase2 - Fill-in'!E$5:E$1000,"&lt;&gt;Dictionnary!C669"))</f>
        <v>0</v>
      </c>
      <c r="F192" s="13"/>
    </row>
    <row r="193" spans="1:6" s="1" customFormat="1" ht="78.75" x14ac:dyDescent="0.25">
      <c r="A193" s="207" t="str">
        <f>Dictionnary!A317</f>
        <v>PM2.23</v>
      </c>
      <c r="B193" s="99" t="str">
        <f>Dictionnary!B317</f>
        <v>Process Management</v>
      </c>
      <c r="C193" s="17" t="str">
        <f>Dictionnary!C317</f>
        <v>Are all routinely performed procedures in the laboratory standardized in SOPs?
Take a sample by asking for several SOPs indicated in the flow charts and check the document control log of the laboratory.</v>
      </c>
      <c r="D193" s="12" t="s">
        <v>1408</v>
      </c>
      <c r="E193" s="103">
        <f>(COUNTIFS('Phase2 - Fill-in'!B$1:B$1000,A193,'Phase2 - Fill-in'!E$1:E$1000,Dictionnary!C$666)+0.5*COUNTIFS('Phase2 - Fill-in'!B$1:B$1000,A193,'Phase2 - Fill-in'!E$1:E$1000,Dictionnary!C$669))/(COUNTIFS('Phase2 - Fill-in'!B$5:B$1000,A193,'Phase2 - Fill-in'!E$5:E$1000,"&lt;&gt;Dictionnary!C669"))</f>
        <v>0</v>
      </c>
      <c r="F193" s="13"/>
    </row>
    <row r="194" spans="1:6" s="1" customFormat="1" ht="47.25" x14ac:dyDescent="0.25">
      <c r="A194" s="207" t="str">
        <f>Dictionnary!A318</f>
        <v>PM2.24</v>
      </c>
      <c r="B194" s="14" t="str">
        <f>Dictionnary!B318</f>
        <v>Process Management</v>
      </c>
      <c r="C194" s="15" t="str">
        <f>Dictionnary!C318</f>
        <v>Are all SOPs complete and in line with the Master SOP, covering all required elements such as quality control, safety, tasks, authorizations and responsibilities, references, appendixes, etc.?</v>
      </c>
      <c r="D194" s="16" t="s">
        <v>1409</v>
      </c>
      <c r="E194" s="103" t="e">
        <f>(COUNTIFS('Phase2 - Fill-in'!B$1:B$1000,A194,'Phase2 - Fill-in'!E$1:E$1000,Dictionnary!C$666)+0.5*COUNTIFS('Phase2 - Fill-in'!B$1:B$1000,A194,'Phase2 - Fill-in'!E$1:E$1000,Dictionnary!C$669))/(COUNTIFS('Phase2 - Fill-in'!B$5:B$1000,A194,'Phase2 - Fill-in'!E$5:E$1000,"&lt;&gt;Dictionnary!C669"))</f>
        <v>#DIV/0!</v>
      </c>
      <c r="F194" s="13"/>
    </row>
    <row r="195" spans="1:6" s="1" customFormat="1" ht="15.75" x14ac:dyDescent="0.25">
      <c r="A195" s="207" t="str">
        <f>Dictionnary!A319</f>
        <v>INFO2.1</v>
      </c>
      <c r="B195" s="99" t="str">
        <f>Dictionnary!B319</f>
        <v>Information Management</v>
      </c>
      <c r="C195" s="17" t="str">
        <f>Dictionnary!C319</f>
        <v>Does the laboratory have a fixed format for the Result Report?</v>
      </c>
      <c r="D195" s="12" t="s">
        <v>1408</v>
      </c>
      <c r="E195" s="103">
        <f>(COUNTIFS('Phase2 - Fill-in'!B$1:B$1000,A195,'Phase2 - Fill-in'!E$1:E$1000,Dictionnary!C$666)+0.5*COUNTIFS('Phase2 - Fill-in'!B$1:B$1000,A195,'Phase2 - Fill-in'!E$1:E$1000,Dictionnary!C$669))/(COUNTIFS('Phase2 - Fill-in'!B$5:B$1000,A195,'Phase2 - Fill-in'!E$5:E$1000,"&lt;&gt;Dictionnary!C669"))</f>
        <v>1</v>
      </c>
      <c r="F195" s="13"/>
    </row>
    <row r="196" spans="1:6" s="1" customFormat="1" ht="15.75" x14ac:dyDescent="0.25">
      <c r="A196" s="207" t="str">
        <f>Dictionnary!A320</f>
        <v>INFO2.2</v>
      </c>
      <c r="B196" s="14" t="str">
        <f>Dictionnary!B320</f>
        <v>Information Management</v>
      </c>
      <c r="C196" s="15" t="str">
        <f>Dictionnary!C320</f>
        <v>Does the Result Report include at least the following elements: [tick off]</v>
      </c>
      <c r="D196" s="16" t="s">
        <v>1409</v>
      </c>
      <c r="E196" s="103" t="e">
        <f>(COUNTIFS('Phase2 - Fill-in'!B$1:B$1000,A196,'Phase2 - Fill-in'!E$1:E$1000,Dictionnary!C$666)+0.5*COUNTIFS('Phase2 - Fill-in'!B$1:B$1000,A196,'Phase2 - Fill-in'!E$1:E$1000,Dictionnary!C$669))/(COUNTIFS('Phase2 - Fill-in'!B$5:B$1000,A196,'Phase2 - Fill-in'!E$5:E$1000,"&lt;&gt;Dictionnary!C669"))</f>
        <v>#DIV/0!</v>
      </c>
      <c r="F196" s="13"/>
    </row>
    <row r="197" spans="1:6" s="1" customFormat="1" ht="15.75" x14ac:dyDescent="0.25">
      <c r="A197" s="207" t="str">
        <f>Dictionnary!A321</f>
        <v>INFO2.2a</v>
      </c>
      <c r="B197" s="14" t="str">
        <f>Dictionnary!B321</f>
        <v>Information Management</v>
      </c>
      <c r="C197" s="15" t="str">
        <f>Dictionnary!C321</f>
        <v>Name of the laboratory</v>
      </c>
      <c r="D197" s="16" t="s">
        <v>1408</v>
      </c>
      <c r="E197" s="103" t="e">
        <f>(COUNTIFS('Phase2 - Fill-in'!B$1:B$1000,A197,'Phase2 - Fill-in'!E$1:E$1000,Dictionnary!C$666)+0.5*COUNTIFS('Phase2 - Fill-in'!B$1:B$1000,A197,'Phase2 - Fill-in'!E$1:E$1000,Dictionnary!C$669))/(COUNTIFS('Phase2 - Fill-in'!B$5:B$1000,A197,'Phase2 - Fill-in'!E$5:E$1000,"&lt;&gt;Dictionnary!C669"))</f>
        <v>#DIV/0!</v>
      </c>
      <c r="F197" s="13"/>
    </row>
    <row r="198" spans="1:6" s="1" customFormat="1" ht="31.5" x14ac:dyDescent="0.25">
      <c r="A198" s="207" t="str">
        <f>Dictionnary!A322</f>
        <v>INFO2.2b</v>
      </c>
      <c r="B198" s="14" t="str">
        <f>Dictionnary!B322</f>
        <v>Information Management</v>
      </c>
      <c r="C198" s="15" t="str">
        <f>Dictionnary!C322</f>
        <v>Personal details of the patient, including clinical information as received by the laboratory from the requester</v>
      </c>
      <c r="D198" s="16" t="s">
        <v>1408</v>
      </c>
      <c r="E198" s="103" t="e">
        <f>(COUNTIFS('Phase2 - Fill-in'!B$1:B$1000,A198,'Phase2 - Fill-in'!E$1:E$1000,Dictionnary!C$666)+0.5*COUNTIFS('Phase2 - Fill-in'!B$1:B$1000,A198,'Phase2 - Fill-in'!E$1:E$1000,Dictionnary!C$669))/(COUNTIFS('Phase2 - Fill-in'!B$5:B$1000,A198,'Phase2 - Fill-in'!E$5:E$1000,"&lt;&gt;Dictionnary!C669"))</f>
        <v>#DIV/0!</v>
      </c>
      <c r="F198" s="13"/>
    </row>
    <row r="199" spans="1:6" s="1" customFormat="1" ht="15.75" x14ac:dyDescent="0.25">
      <c r="A199" s="207" t="str">
        <f>Dictionnary!A323</f>
        <v>INFO2.2c</v>
      </c>
      <c r="B199" s="14" t="str">
        <f>Dictionnary!B323</f>
        <v>Information Management</v>
      </c>
      <c r="C199" s="15" t="str">
        <f>Dictionnary!C323</f>
        <v>Details of the requester</v>
      </c>
      <c r="D199" s="16" t="s">
        <v>1408</v>
      </c>
      <c r="E199" s="103" t="e">
        <f>(COUNTIFS('Phase2 - Fill-in'!B$1:B$1000,A199,'Phase2 - Fill-in'!E$1:E$1000,Dictionnary!C$666)+0.5*COUNTIFS('Phase2 - Fill-in'!B$1:B$1000,A199,'Phase2 - Fill-in'!E$1:E$1000,Dictionnary!C$669))/(COUNTIFS('Phase2 - Fill-in'!B$5:B$1000,A199,'Phase2 - Fill-in'!E$5:E$1000,"&lt;&gt;Dictionnary!C669"))</f>
        <v>#DIV/0!</v>
      </c>
      <c r="F199" s="13"/>
    </row>
    <row r="200" spans="1:6" s="1" customFormat="1" ht="15.75" x14ac:dyDescent="0.25">
      <c r="A200" s="207" t="str">
        <f>Dictionnary!A324</f>
        <v>INFO2.2d</v>
      </c>
      <c r="B200" s="14" t="str">
        <f>Dictionnary!B324</f>
        <v>Information Management</v>
      </c>
      <c r="C200" s="15" t="str">
        <f>Dictionnary!C324</f>
        <v>List of examinations performed</v>
      </c>
      <c r="D200" s="16" t="s">
        <v>1408</v>
      </c>
      <c r="E200" s="103" t="e">
        <f>(COUNTIFS('Phase2 - Fill-in'!B$1:B$1000,A200,'Phase2 - Fill-in'!E$1:E$1000,Dictionnary!C$666)+0.5*COUNTIFS('Phase2 - Fill-in'!B$1:B$1000,A200,'Phase2 - Fill-in'!E$1:E$1000,Dictionnary!C$669))/(COUNTIFS('Phase2 - Fill-in'!B$5:B$1000,A200,'Phase2 - Fill-in'!E$5:E$1000,"&lt;&gt;Dictionnary!C669"))</f>
        <v>#DIV/0!</v>
      </c>
      <c r="F200" s="13"/>
    </row>
    <row r="201" spans="1:6" s="1" customFormat="1" ht="15.75" x14ac:dyDescent="0.25">
      <c r="A201" s="207" t="str">
        <f>Dictionnary!A325</f>
        <v>INFO2.2e</v>
      </c>
      <c r="B201" s="14" t="str">
        <f>Dictionnary!B325</f>
        <v>Information Management</v>
      </c>
      <c r="C201" s="15" t="str">
        <f>Dictionnary!C325</f>
        <v>Date of the primary sample collection</v>
      </c>
      <c r="D201" s="16" t="s">
        <v>1408</v>
      </c>
      <c r="E201" s="103" t="e">
        <f>(COUNTIFS('Phase2 - Fill-in'!B$1:B$1000,A201,'Phase2 - Fill-in'!E$1:E$1000,Dictionnary!C$666)+0.5*COUNTIFS('Phase2 - Fill-in'!B$1:B$1000,A201,'Phase2 - Fill-in'!E$1:E$1000,Dictionnary!C$669))/(COUNTIFS('Phase2 - Fill-in'!B$5:B$1000,A201,'Phase2 - Fill-in'!E$5:E$1000,"&lt;&gt;Dictionnary!C669"))</f>
        <v>#DIV/0!</v>
      </c>
      <c r="F201" s="13"/>
    </row>
    <row r="202" spans="1:6" s="1" customFormat="1" ht="15.75" x14ac:dyDescent="0.25">
      <c r="A202" s="207" t="str">
        <f>Dictionnary!A326</f>
        <v>INFO2.2f</v>
      </c>
      <c r="B202" s="14" t="str">
        <f>Dictionnary!B326</f>
        <v>Information Management</v>
      </c>
      <c r="C202" s="15" t="str">
        <f>Dictionnary!C326</f>
        <v>Primary sample type</v>
      </c>
      <c r="D202" s="16" t="s">
        <v>1408</v>
      </c>
      <c r="E202" s="103" t="e">
        <f>(COUNTIFS('Phase2 - Fill-in'!B$1:B$1000,A202,'Phase2 - Fill-in'!E$1:E$1000,Dictionnary!C$666)+0.5*COUNTIFS('Phase2 - Fill-in'!B$1:B$1000,A202,'Phase2 - Fill-in'!E$1:E$1000,Dictionnary!C$669))/(COUNTIFS('Phase2 - Fill-in'!B$5:B$1000,A202,'Phase2 - Fill-in'!E$5:E$1000,"&lt;&gt;Dictionnary!C669"))</f>
        <v>#DIV/0!</v>
      </c>
      <c r="F202" s="13"/>
    </row>
    <row r="203" spans="1:6" s="1" customFormat="1" ht="47.25" x14ac:dyDescent="0.25">
      <c r="A203" s="207" t="str">
        <f>Dictionnary!A327</f>
        <v>INFO2.2g</v>
      </c>
      <c r="B203" s="14" t="str">
        <f>Dictionnary!B327</f>
        <v>Information Management</v>
      </c>
      <c r="C203" s="15" t="str">
        <f>Dictionnary!C327</f>
        <v>Comments on the quality of the sample (either adequate for the examinations performed or inadequate, which could influence reliability of results)</v>
      </c>
      <c r="D203" s="16" t="s">
        <v>1408</v>
      </c>
      <c r="E203" s="103" t="e">
        <f>(COUNTIFS('Phase2 - Fill-in'!B$1:B$1000,A203,'Phase2 - Fill-in'!E$1:E$1000,Dictionnary!C$666)+0.5*COUNTIFS('Phase2 - Fill-in'!B$1:B$1000,A203,'Phase2 - Fill-in'!E$1:E$1000,Dictionnary!C$669))/(COUNTIFS('Phase2 - Fill-in'!B$5:B$1000,A203,'Phase2 - Fill-in'!E$5:E$1000,"&lt;&gt;Dictionnary!C669"))</f>
        <v>#DIV/0!</v>
      </c>
      <c r="F203" s="13"/>
    </row>
    <row r="204" spans="1:6" s="1" customFormat="1" ht="15.75" x14ac:dyDescent="0.25">
      <c r="A204" s="207" t="str">
        <f>Dictionnary!A328</f>
        <v>INFO2.2h</v>
      </c>
      <c r="B204" s="14" t="str">
        <f>Dictionnary!B328</f>
        <v>Information Management</v>
      </c>
      <c r="C204" s="15" t="str">
        <f>Dictionnary!C328</f>
        <v>Examination results</v>
      </c>
      <c r="D204" s="16" t="s">
        <v>1408</v>
      </c>
      <c r="E204" s="103" t="e">
        <f>(COUNTIFS('Phase2 - Fill-in'!B$1:B$1000,A204,'Phase2 - Fill-in'!E$1:E$1000,Dictionnary!C$666)+0.5*COUNTIFS('Phase2 - Fill-in'!B$1:B$1000,A204,'Phase2 - Fill-in'!E$1:E$1000,Dictionnary!C$669))/(COUNTIFS('Phase2 - Fill-in'!B$5:B$1000,A204,'Phase2 - Fill-in'!E$5:E$1000,"&lt;&gt;Dictionnary!C669"))</f>
        <v>#DIV/0!</v>
      </c>
      <c r="F204" s="13"/>
    </row>
    <row r="205" spans="1:6" s="1" customFormat="1" ht="47.25" x14ac:dyDescent="0.25">
      <c r="A205" s="207" t="str">
        <f>Dictionnary!A329</f>
        <v>INFO2.2i</v>
      </c>
      <c r="B205" s="14" t="str">
        <f>Dictionnary!B329</f>
        <v>Information Management</v>
      </c>
      <c r="C205" s="15" t="str">
        <f>Dictionnary!C329</f>
        <v>Biological reference intervals/decision values, including the “alert/critical” intervals for all examinations performed, with interpretive comments on results, if applicable.</v>
      </c>
      <c r="D205" s="16" t="s">
        <v>1409</v>
      </c>
      <c r="E205" s="103" t="e">
        <f>(COUNTIFS('Phase2 - Fill-in'!B$1:B$1000,A205,'Phase2 - Fill-in'!E$1:E$1000,Dictionnary!C$666)+0.5*COUNTIFS('Phase2 - Fill-in'!B$1:B$1000,A205,'Phase2 - Fill-in'!E$1:E$1000,Dictionnary!C$669))/(COUNTIFS('Phase2 - Fill-in'!B$5:B$1000,A205,'Phase2 - Fill-in'!E$5:E$1000,"&lt;&gt;Dictionnary!C669"))</f>
        <v>#DIV/0!</v>
      </c>
      <c r="F205" s="13"/>
    </row>
    <row r="206" spans="1:6" s="1" customFormat="1" ht="31.5" x14ac:dyDescent="0.25">
      <c r="A206" s="207" t="str">
        <f>Dictionnary!A330</f>
        <v>INFO2.2j</v>
      </c>
      <c r="B206" s="14" t="str">
        <f>Dictionnary!B330</f>
        <v>Information Management</v>
      </c>
      <c r="C206" s="15" t="str">
        <f>Dictionnary!C330</f>
        <v>Details of the laboratory staff member reviewing the results and authorizing the report for release</v>
      </c>
      <c r="D206" s="16" t="s">
        <v>1409</v>
      </c>
      <c r="E206" s="103" t="e">
        <f>(COUNTIFS('Phase2 - Fill-in'!B$1:B$1000,A206,'Phase2 - Fill-in'!E$1:E$1000,Dictionnary!C$666)+0.5*COUNTIFS('Phase2 - Fill-in'!B$1:B$1000,A206,'Phase2 - Fill-in'!E$1:E$1000,Dictionnary!C$669))/(COUNTIFS('Phase2 - Fill-in'!B$5:B$1000,A206,'Phase2 - Fill-in'!E$5:E$1000,"&lt;&gt;Dictionnary!C669"))</f>
        <v>#DIV/0!</v>
      </c>
      <c r="F206" s="13"/>
    </row>
    <row r="207" spans="1:6" s="1" customFormat="1" ht="15.75" x14ac:dyDescent="0.25">
      <c r="A207" s="207" t="str">
        <f>Dictionnary!A331</f>
        <v>INFO2.2k</v>
      </c>
      <c r="B207" s="14" t="str">
        <f>Dictionnary!B331</f>
        <v>Information Management</v>
      </c>
      <c r="C207" s="15" t="str">
        <f>Dictionnary!C331</f>
        <v>Date and time of release of the report</v>
      </c>
      <c r="D207" s="16" t="s">
        <v>1409</v>
      </c>
      <c r="E207" s="103" t="e">
        <f>(COUNTIFS('Phase2 - Fill-in'!B$1:B$1000,A207,'Phase2 - Fill-in'!E$1:E$1000,Dictionnary!C$666)+0.5*COUNTIFS('Phase2 - Fill-in'!B$1:B$1000,A207,'Phase2 - Fill-in'!E$1:E$1000,Dictionnary!C$669))/(COUNTIFS('Phase2 - Fill-in'!B$5:B$1000,A207,'Phase2 - Fill-in'!E$5:E$1000,"&lt;&gt;Dictionnary!C669"))</f>
        <v>#DIV/0!</v>
      </c>
      <c r="F207" s="13"/>
    </row>
    <row r="208" spans="1:6" s="1" customFormat="1" ht="31.5" x14ac:dyDescent="0.25">
      <c r="A208" s="207" t="str">
        <f>Dictionnary!A332</f>
        <v>INFO2.3</v>
      </c>
      <c r="B208" s="99" t="str">
        <f>Dictionnary!B332</f>
        <v>Information Management</v>
      </c>
      <c r="C208" s="17" t="str">
        <f>Dictionnary!C332</f>
        <v>Was the format of the Result Report discussed with regular clients of the laboratory during development?</v>
      </c>
      <c r="D208" s="12" t="s">
        <v>1408</v>
      </c>
      <c r="E208" s="103">
        <f>(COUNTIFS('Phase2 - Fill-in'!B$1:B$1000,A208,'Phase2 - Fill-in'!E$1:E$1000,Dictionnary!C$666)+0.5*COUNTIFS('Phase2 - Fill-in'!B$1:B$1000,A208,'Phase2 - Fill-in'!E$1:E$1000,Dictionnary!C$669))/(COUNTIFS('Phase2 - Fill-in'!B$5:B$1000,A208,'Phase2 - Fill-in'!E$5:E$1000,"&lt;&gt;Dictionnary!C669"))</f>
        <v>1</v>
      </c>
      <c r="F208" s="13"/>
    </row>
    <row r="209" spans="1:6" s="1" customFormat="1" ht="31.5" x14ac:dyDescent="0.25">
      <c r="A209" s="207" t="str">
        <f>Dictionnary!A333</f>
        <v>INFO2.4</v>
      </c>
      <c r="B209" s="14" t="str">
        <f>Dictionnary!B333</f>
        <v>Information Management</v>
      </c>
      <c r="C209" s="15" t="str">
        <f>Dictionnary!C333</f>
        <v>Is a procedure in place that ensures verification of correct transcription of results on reports?</v>
      </c>
      <c r="D209" s="16" t="s">
        <v>1409</v>
      </c>
      <c r="E209" s="103">
        <f>(COUNTIFS('Phase2 - Fill-in'!B$1:B$1000,A209,'Phase2 - Fill-in'!E$1:E$1000,Dictionnary!C$666)+0.5*COUNTIFS('Phase2 - Fill-in'!B$1:B$1000,A209,'Phase2 - Fill-in'!E$1:E$1000,Dictionnary!C$669))/(COUNTIFS('Phase2 - Fill-in'!B$5:B$1000,A209,'Phase2 - Fill-in'!E$5:E$1000,"&lt;&gt;Dictionnary!C669"))</f>
        <v>0</v>
      </c>
      <c r="F209" s="13"/>
    </row>
    <row r="210" spans="1:6" s="1" customFormat="1" ht="47.25" x14ac:dyDescent="0.25">
      <c r="A210" s="207" t="str">
        <f>Dictionnary!A334</f>
        <v>INFO2.5</v>
      </c>
      <c r="B210" s="99" t="str">
        <f>Dictionnary!B334</f>
        <v>Information Management</v>
      </c>
      <c r="C210" s="17" t="str">
        <f>Dictionnary!C334</f>
        <v>Is a procedure in place for authorizing Result Reports for release only if review of results has taken place and correct transcription of correct results and other important information to the report has been confirmed?</v>
      </c>
      <c r="D210" s="12" t="s">
        <v>1409</v>
      </c>
      <c r="E210" s="103" t="e">
        <f>(COUNTIFS('Phase2 - Fill-in'!B$1:B$1000,A210,'Phase2 - Fill-in'!E$1:E$1000,Dictionnary!C$666)+0.5*COUNTIFS('Phase2 - Fill-in'!B$1:B$1000,A210,'Phase2 - Fill-in'!E$1:E$1000,Dictionnary!C$669))/(COUNTIFS('Phase2 - Fill-in'!B$5:B$1000,A210,'Phase2 - Fill-in'!E$5:E$1000,"&lt;&gt;Dictionnary!C669"))</f>
        <v>#DIV/0!</v>
      </c>
      <c r="F210" s="13"/>
    </row>
    <row r="211" spans="1:6" s="1" customFormat="1" ht="31.5" x14ac:dyDescent="0.25">
      <c r="A211" s="207" t="str">
        <f>Dictionnary!A335</f>
        <v>INFO2.6</v>
      </c>
      <c r="B211" s="14" t="str">
        <f>Dictionnary!B335</f>
        <v>Information Management</v>
      </c>
      <c r="C211" s="15" t="str">
        <f>Dictionnary!C335</f>
        <v>Does the laboratory have a procedure to ensure immediate notification of the requester in case results fall within critical intervals?</v>
      </c>
      <c r="D211" s="16" t="s">
        <v>1409</v>
      </c>
      <c r="E211" s="103">
        <f>(COUNTIFS('Phase2 - Fill-in'!B$1:B$1000,A211,'Phase2 - Fill-in'!E$1:E$1000,Dictionnary!C$666)+0.5*COUNTIFS('Phase2 - Fill-in'!B$1:B$1000,A211,'Phase2 - Fill-in'!E$1:E$1000,Dictionnary!C$669))/(COUNTIFS('Phase2 - Fill-in'!B$5:B$1000,A211,'Phase2 - Fill-in'!E$5:E$1000,"&lt;&gt;Dictionnary!C669"))</f>
        <v>1</v>
      </c>
      <c r="F211" s="13"/>
    </row>
    <row r="212" spans="1:6" s="1" customFormat="1" ht="47.25" x14ac:dyDescent="0.25">
      <c r="A212" s="207" t="str">
        <f>Dictionnary!A336</f>
        <v>INFO2.7</v>
      </c>
      <c r="B212" s="99" t="str">
        <f>Dictionnary!B336</f>
        <v>Information Management</v>
      </c>
      <c r="C212" s="17" t="str">
        <f>Dictionnary!C336</f>
        <v>Does the laboratory record the occurrences in which results fall within critical intervals and requesters have to be notified directly (for verification purposes)?</v>
      </c>
      <c r="D212" s="12" t="s">
        <v>1409</v>
      </c>
      <c r="E212" s="103">
        <f>(COUNTIFS('Phase2 - Fill-in'!B$1:B$1000,A212,'Phase2 - Fill-in'!E$1:E$1000,Dictionnary!C$666)+0.5*COUNTIFS('Phase2 - Fill-in'!B$1:B$1000,A212,'Phase2 - Fill-in'!E$1:E$1000,Dictionnary!C$669))/(COUNTIFS('Phase2 - Fill-in'!B$5:B$1000,A212,'Phase2 - Fill-in'!E$5:E$1000,"&lt;&gt;Dictionnary!C669"))</f>
        <v>0</v>
      </c>
      <c r="F212" s="13"/>
    </row>
    <row r="213" spans="1:6" s="1" customFormat="1" ht="31.5" x14ac:dyDescent="0.25">
      <c r="A213" s="207" t="str">
        <f>Dictionnary!A337</f>
        <v>INFO2.8</v>
      </c>
      <c r="B213" s="14" t="str">
        <f>Dictionnary!B337</f>
        <v>Information Management</v>
      </c>
      <c r="C213" s="15" t="str">
        <f>Dictionnary!C337</f>
        <v>Does the laboratory use a method for sending the Result Reports to the requesters with a minimum risk for losing reports?</v>
      </c>
      <c r="D213" s="16" t="s">
        <v>1408</v>
      </c>
      <c r="E213" s="103" t="e">
        <f>(COUNTIFS('Phase2 - Fill-in'!B$1:B$1000,A213,'Phase2 - Fill-in'!E$1:E$1000,Dictionnary!C$666)+0.5*COUNTIFS('Phase2 - Fill-in'!B$1:B$1000,A213,'Phase2 - Fill-in'!E$1:E$1000,Dictionnary!C$669))/(COUNTIFS('Phase2 - Fill-in'!B$5:B$1000,A213,'Phase2 - Fill-in'!E$5:E$1000,"&lt;&gt;Dictionnary!C669"))</f>
        <v>#DIV/0!</v>
      </c>
      <c r="F213" s="13"/>
    </row>
    <row r="214" spans="1:6" s="1" customFormat="1" ht="31.5" x14ac:dyDescent="0.25">
      <c r="A214" s="207" t="str">
        <f>Dictionnary!A338</f>
        <v>INFO2.9</v>
      </c>
      <c r="B214" s="99" t="str">
        <f>Dictionnary!B338</f>
        <v>Information Management</v>
      </c>
      <c r="C214" s="17" t="str">
        <f>Dictionnary!C338</f>
        <v>Does the laboratory use a method for sending the Result Reports to the requester that ensures that reports are delivered as soon as possible?</v>
      </c>
      <c r="D214" s="12" t="s">
        <v>1408</v>
      </c>
      <c r="E214" s="103" t="e">
        <f>(COUNTIFS('Phase2 - Fill-in'!B$1:B$1000,A214,'Phase2 - Fill-in'!E$1:E$1000,Dictionnary!C$666)+0.5*COUNTIFS('Phase2 - Fill-in'!B$1:B$1000,A214,'Phase2 - Fill-in'!E$1:E$1000,Dictionnary!C$669))/(COUNTIFS('Phase2 - Fill-in'!B$5:B$1000,A214,'Phase2 - Fill-in'!E$5:E$1000,"&lt;&gt;Dictionnary!C669"))</f>
        <v>#DIV/0!</v>
      </c>
      <c r="F214" s="13"/>
    </row>
    <row r="215" spans="1:6" s="1" customFormat="1" ht="47.25" x14ac:dyDescent="0.25">
      <c r="A215" s="207" t="str">
        <f>Dictionnary!A339</f>
        <v>INFO2.10</v>
      </c>
      <c r="B215" s="14" t="str">
        <f>Dictionnary!B339</f>
        <v>Information Management</v>
      </c>
      <c r="C215" s="15" t="str">
        <f>Dictionnary!C339</f>
        <v>Are patient data (such as Request Forms, work forms, registers, copies of Result Reports, revised Result Reports, Immediate Notification Forms, etc.) stored securely, protected from unauthorized access?</v>
      </c>
      <c r="D215" s="16" t="s">
        <v>1408</v>
      </c>
      <c r="E215" s="103">
        <f>(COUNTIFS('Phase2 - Fill-in'!B$1:B$1000,A215,'Phase2 - Fill-in'!E$1:E$1000,Dictionnary!C$666)+0.5*COUNTIFS('Phase2 - Fill-in'!B$1:B$1000,A215,'Phase2 - Fill-in'!E$1:E$1000,Dictionnary!C$669))/(COUNTIFS('Phase2 - Fill-in'!B$5:B$1000,A215,'Phase2 - Fill-in'!E$5:E$1000,"&lt;&gt;Dictionnary!C669"))</f>
        <v>0</v>
      </c>
      <c r="F215" s="13"/>
    </row>
    <row r="216" spans="1:6" s="1" customFormat="1" ht="47.25" x14ac:dyDescent="0.25">
      <c r="A216" s="207" t="str">
        <f>Dictionnary!A340</f>
        <v>INFO2.11</v>
      </c>
      <c r="B216" s="99" t="str">
        <f>Dictionnary!B340</f>
        <v>Information Management</v>
      </c>
      <c r="C216" s="17" t="str">
        <f>Dictionnary!C340</f>
        <v>Are patient data (such as Request Forms, work forms, registers, copies of Result Reports, revised Result Reports, Immediate Notification Forms, etc.) stored in a logical way enabling quick and easy retrieval of data?</v>
      </c>
      <c r="D216" s="12" t="s">
        <v>1409</v>
      </c>
      <c r="E216" s="103">
        <f>(COUNTIFS('Phase2 - Fill-in'!B$1:B$1000,A216,'Phase2 - Fill-in'!E$1:E$1000,Dictionnary!C$666)+0.5*COUNTIFS('Phase2 - Fill-in'!B$1:B$1000,A216,'Phase2 - Fill-in'!E$1:E$1000,Dictionnary!C$669))/(COUNTIFS('Phase2 - Fill-in'!B$5:B$1000,A216,'Phase2 - Fill-in'!E$5:E$1000,"&lt;&gt;Dictionnary!C669"))</f>
        <v>1</v>
      </c>
      <c r="F216" s="13"/>
    </row>
    <row r="217" spans="1:6" s="1" customFormat="1" ht="31.5" x14ac:dyDescent="0.25">
      <c r="A217" s="207" t="str">
        <f>Dictionnary!A341</f>
        <v>INFO2.12</v>
      </c>
      <c r="B217" s="14" t="str">
        <f>Dictionnary!B341</f>
        <v>Information Management</v>
      </c>
      <c r="C217" s="15" t="str">
        <f>Dictionnary!C341</f>
        <v>Does the laboratory have an SOP for Recording, Reporting and Archiving of Results, describing at least the following procedures:</v>
      </c>
      <c r="D217" s="16" t="s">
        <v>1409</v>
      </c>
      <c r="E217" s="103" t="e">
        <f>(COUNTIFS('Phase2 - Fill-in'!B$1:B$1000,A217,'Phase2 - Fill-in'!E$1:E$1000,Dictionnary!C$666)+0.5*COUNTIFS('Phase2 - Fill-in'!B$1:B$1000,A217,'Phase2 - Fill-in'!E$1:E$1000,Dictionnary!C$669))/(COUNTIFS('Phase2 - Fill-in'!B$5:B$1000,A217,'Phase2 - Fill-in'!E$5:E$1000,"&lt;&gt;Dictionnary!C669"))</f>
        <v>#DIV/0!</v>
      </c>
      <c r="F217" s="13"/>
    </row>
    <row r="218" spans="1:6" s="1" customFormat="1" ht="15.75" x14ac:dyDescent="0.25">
      <c r="A218" s="207" t="str">
        <f>Dictionnary!A342</f>
        <v>INFO2.12a</v>
      </c>
      <c r="B218" s="14" t="str">
        <f>Dictionnary!B342</f>
        <v>Information Management</v>
      </c>
      <c r="C218" s="15" t="str">
        <f>Dictionnary!C342</f>
        <v>Recording of results</v>
      </c>
      <c r="D218" s="16" t="s">
        <v>1408</v>
      </c>
      <c r="E218" s="103" t="e">
        <f>(COUNTIFS('Phase2 - Fill-in'!B$1:B$1000,A218,'Phase2 - Fill-in'!E$1:E$1000,Dictionnary!C$666)+0.5*COUNTIFS('Phase2 - Fill-in'!B$1:B$1000,A218,'Phase2 - Fill-in'!E$1:E$1000,Dictionnary!C$669))/(COUNTIFS('Phase2 - Fill-in'!B$5:B$1000,A218,'Phase2 - Fill-in'!E$5:E$1000,"&lt;&gt;Dictionnary!C669"))</f>
        <v>#DIV/0!</v>
      </c>
      <c r="F218" s="13"/>
    </row>
    <row r="219" spans="1:6" s="1" customFormat="1" ht="15.75" x14ac:dyDescent="0.25">
      <c r="A219" s="207" t="str">
        <f>Dictionnary!A343</f>
        <v>INFO2.12b</v>
      </c>
      <c r="B219" s="14" t="str">
        <f>Dictionnary!B343</f>
        <v>Information Management</v>
      </c>
      <c r="C219" s="15" t="str">
        <f>Dictionnary!C343</f>
        <v>Reviewing and authorizing results for release</v>
      </c>
      <c r="D219" s="16" t="s">
        <v>1409</v>
      </c>
      <c r="E219" s="103" t="e">
        <f>(COUNTIFS('Phase2 - Fill-in'!B$1:B$1000,A219,'Phase2 - Fill-in'!E$1:E$1000,Dictionnary!C$666)+0.5*COUNTIFS('Phase2 - Fill-in'!B$1:B$1000,A219,'Phase2 - Fill-in'!E$1:E$1000,Dictionnary!C$669))/(COUNTIFS('Phase2 - Fill-in'!B$5:B$1000,A219,'Phase2 - Fill-in'!E$5:E$1000,"&lt;&gt;Dictionnary!C669"))</f>
        <v>#DIV/0!</v>
      </c>
      <c r="F219" s="13"/>
    </row>
    <row r="220" spans="1:6" s="1" customFormat="1" ht="15.75" x14ac:dyDescent="0.25">
      <c r="A220" s="207" t="str">
        <f>Dictionnary!A344</f>
        <v>INFO2.12c</v>
      </c>
      <c r="B220" s="14" t="str">
        <f>Dictionnary!B344</f>
        <v>Information Management</v>
      </c>
      <c r="C220" s="15" t="str">
        <f>Dictionnary!C344</f>
        <v>Normal procedure for reporting of results</v>
      </c>
      <c r="D220" s="16" t="s">
        <v>1409</v>
      </c>
      <c r="E220" s="103" t="e">
        <f>(COUNTIFS('Phase2 - Fill-in'!B$1:B$1000,A220,'Phase2 - Fill-in'!E$1:E$1000,Dictionnary!C$666)+0.5*COUNTIFS('Phase2 - Fill-in'!B$1:B$1000,A220,'Phase2 - Fill-in'!E$1:E$1000,Dictionnary!C$669))/(COUNTIFS('Phase2 - Fill-in'!B$5:B$1000,A220,'Phase2 - Fill-in'!E$5:E$1000,"&lt;&gt;Dictionnary!C669"))</f>
        <v>#DIV/0!</v>
      </c>
      <c r="F220" s="13"/>
    </row>
    <row r="221" spans="1:6" s="1" customFormat="1" ht="15.75" x14ac:dyDescent="0.25">
      <c r="A221" s="207" t="str">
        <f>Dictionnary!A345</f>
        <v>INFO2.12d</v>
      </c>
      <c r="B221" s="14" t="str">
        <f>Dictionnary!B345</f>
        <v>Information Management</v>
      </c>
      <c r="C221" s="15" t="str">
        <f>Dictionnary!C345</f>
        <v>Immediate reporting of results from urgent samples</v>
      </c>
      <c r="D221" s="16" t="s">
        <v>1409</v>
      </c>
      <c r="E221" s="103" t="e">
        <f>(COUNTIFS('Phase2 - Fill-in'!B$1:B$1000,A221,'Phase2 - Fill-in'!E$1:E$1000,Dictionnary!C$666)+0.5*COUNTIFS('Phase2 - Fill-in'!B$1:B$1000,A221,'Phase2 - Fill-in'!E$1:E$1000,Dictionnary!C$669))/(COUNTIFS('Phase2 - Fill-in'!B$5:B$1000,A221,'Phase2 - Fill-in'!E$5:E$1000,"&lt;&gt;Dictionnary!C669"))</f>
        <v>#DIV/0!</v>
      </c>
      <c r="F221" s="13"/>
    </row>
    <row r="222" spans="1:6" s="1" customFormat="1" ht="15.75" x14ac:dyDescent="0.25">
      <c r="A222" s="207" t="str">
        <f>Dictionnary!A346</f>
        <v>INFO2.12e</v>
      </c>
      <c r="B222" s="14" t="str">
        <f>Dictionnary!B346</f>
        <v>Information Management</v>
      </c>
      <c r="C222" s="15" t="str">
        <f>Dictionnary!C346</f>
        <v>Immediate reporting of results in critical intervals</v>
      </c>
      <c r="D222" s="16" t="s">
        <v>1409</v>
      </c>
      <c r="E222" s="103" t="e">
        <f>(COUNTIFS('Phase2 - Fill-in'!B$1:B$1000,A222,'Phase2 - Fill-in'!E$1:E$1000,Dictionnary!C$666)+0.5*COUNTIFS('Phase2 - Fill-in'!B$1:B$1000,A222,'Phase2 - Fill-in'!E$1:E$1000,Dictionnary!C$669))/(COUNTIFS('Phase2 - Fill-in'!B$5:B$1000,A222,'Phase2 - Fill-in'!E$5:E$1000,"&lt;&gt;Dictionnary!C669"))</f>
        <v>#DIV/0!</v>
      </c>
      <c r="F222" s="13"/>
    </row>
    <row r="223" spans="1:6" s="1" customFormat="1" ht="15.75" x14ac:dyDescent="0.25">
      <c r="A223" s="207" t="str">
        <f>Dictionnary!A347</f>
        <v>INFO2.12f</v>
      </c>
      <c r="B223" s="14" t="str">
        <f>Dictionnary!B347</f>
        <v>Information Management</v>
      </c>
      <c r="C223" s="15" t="str">
        <f>Dictionnary!C347</f>
        <v>Notification of clinician if turnaround time is exceeded</v>
      </c>
      <c r="D223" s="16" t="s">
        <v>1408</v>
      </c>
      <c r="E223" s="103" t="e">
        <f>(COUNTIFS('Phase2 - Fill-in'!B$1:B$1000,A223,'Phase2 - Fill-in'!E$1:E$1000,Dictionnary!C$666)+0.5*COUNTIFS('Phase2 - Fill-in'!B$1:B$1000,A223,'Phase2 - Fill-in'!E$1:E$1000,Dictionnary!C$669))/(COUNTIFS('Phase2 - Fill-in'!B$5:B$1000,A223,'Phase2 - Fill-in'!E$5:E$1000,"&lt;&gt;Dictionnary!C669"))</f>
        <v>#DIV/0!</v>
      </c>
      <c r="F223" s="13"/>
    </row>
    <row r="224" spans="1:6" s="1" customFormat="1" ht="15.75" x14ac:dyDescent="0.25">
      <c r="A224" s="207" t="str">
        <f>Dictionnary!A348</f>
        <v>INFO2.12g</v>
      </c>
      <c r="B224" s="14" t="str">
        <f>Dictionnary!B348</f>
        <v>Information Management</v>
      </c>
      <c r="C224" s="15" t="str">
        <f>Dictionnary!C348</f>
        <v>Reporting via telephone or other electronic means</v>
      </c>
      <c r="D224" s="16" t="s">
        <v>1408</v>
      </c>
      <c r="E224" s="103" t="e">
        <f>(COUNTIFS('Phase2 - Fill-in'!B$1:B$1000,A224,'Phase2 - Fill-in'!E$1:E$1000,Dictionnary!C$666)+0.5*COUNTIFS('Phase2 - Fill-in'!B$1:B$1000,A224,'Phase2 - Fill-in'!E$1:E$1000,Dictionnary!C$669))/(COUNTIFS('Phase2 - Fill-in'!B$5:B$1000,A224,'Phase2 - Fill-in'!E$5:E$1000,"&lt;&gt;Dictionnary!C669"))</f>
        <v>#DIV/0!</v>
      </c>
      <c r="F224" s="13"/>
    </row>
    <row r="225" spans="1:6" s="1" customFormat="1" ht="31.5" x14ac:dyDescent="0.25">
      <c r="A225" s="207" t="str">
        <f>Dictionnary!A349</f>
        <v>INFO2.12h</v>
      </c>
      <c r="B225" s="14" t="str">
        <f>Dictionnary!B349</f>
        <v>Information Management</v>
      </c>
      <c r="C225" s="15" t="str">
        <f>Dictionnary!C349</f>
        <v>Reporting of results of samples of inadequate quality but that were still tested</v>
      </c>
      <c r="D225" s="16" t="s">
        <v>1408</v>
      </c>
      <c r="E225" s="103" t="e">
        <f>(COUNTIFS('Phase2 - Fill-in'!B$1:B$1000,A225,'Phase2 - Fill-in'!E$1:E$1000,Dictionnary!C$666)+0.5*COUNTIFS('Phase2 - Fill-in'!B$1:B$1000,A225,'Phase2 - Fill-in'!E$1:E$1000,Dictionnary!C$669))/(COUNTIFS('Phase2 - Fill-in'!B$5:B$1000,A225,'Phase2 - Fill-in'!E$5:E$1000,"&lt;&gt;Dictionnary!C669"))</f>
        <v>#DIV/0!</v>
      </c>
      <c r="F225" s="13"/>
    </row>
    <row r="226" spans="1:6" s="1" customFormat="1" ht="15.75" x14ac:dyDescent="0.25">
      <c r="A226" s="207" t="str">
        <f>Dictionnary!A350</f>
        <v>INFO2.12i</v>
      </c>
      <c r="B226" s="14" t="str">
        <f>Dictionnary!B350</f>
        <v>Information Management</v>
      </c>
      <c r="C226" s="15" t="str">
        <f>Dictionnary!C350</f>
        <v>Alteration of reports</v>
      </c>
      <c r="D226" s="16" t="s">
        <v>1408</v>
      </c>
      <c r="E226" s="103" t="e">
        <f>(COUNTIFS('Phase2 - Fill-in'!B$1:B$1000,A226,'Phase2 - Fill-in'!E$1:E$1000,Dictionnary!C$666)+0.5*COUNTIFS('Phase2 - Fill-in'!B$1:B$1000,A226,'Phase2 - Fill-in'!E$1:E$1000,Dictionnary!C$669))/(COUNTIFS('Phase2 - Fill-in'!B$5:B$1000,A226,'Phase2 - Fill-in'!E$5:E$1000,"&lt;&gt;Dictionnary!C669"))</f>
        <v>#DIV/0!</v>
      </c>
      <c r="F226" s="13"/>
    </row>
    <row r="227" spans="1:6" s="1" customFormat="1" ht="15.75" x14ac:dyDescent="0.25">
      <c r="A227" s="207" t="str">
        <f>Dictionnary!A351</f>
        <v>INFO2.12j</v>
      </c>
      <c r="B227" s="14" t="str">
        <f>Dictionnary!B351</f>
        <v>Information Management</v>
      </c>
      <c r="C227" s="15" t="str">
        <f>Dictionnary!C351</f>
        <v>Archiving of results</v>
      </c>
      <c r="D227" s="16" t="s">
        <v>1409</v>
      </c>
      <c r="E227" s="103" t="e">
        <f>(COUNTIFS('Phase2 - Fill-in'!B$1:B$1000,A227,'Phase2 - Fill-in'!E$1:E$1000,Dictionnary!C$666)+0.5*COUNTIFS('Phase2 - Fill-in'!B$1:B$1000,A227,'Phase2 - Fill-in'!E$1:E$1000,Dictionnary!C$669))/(COUNTIFS('Phase2 - Fill-in'!B$5:B$1000,A227,'Phase2 - Fill-in'!E$5:E$1000,"&lt;&gt;Dictionnary!C669"))</f>
        <v>#DIV/0!</v>
      </c>
      <c r="F227" s="13"/>
    </row>
    <row r="228" spans="1:6" s="1" customFormat="1" ht="31.5" x14ac:dyDescent="0.25">
      <c r="A228" s="207" t="str">
        <f>Dictionnary!A352</f>
        <v>INFO2.13</v>
      </c>
      <c r="B228" s="99" t="str">
        <f>Dictionnary!B352</f>
        <v>Information Management</v>
      </c>
      <c r="C228" s="17" t="str">
        <f>Dictionnary!C352</f>
        <v>Are the procedures in the SOP for Recording, Reporting and Archiving of Results routinely and correctly implemented in practice?</v>
      </c>
      <c r="D228" s="12" t="s">
        <v>1409</v>
      </c>
      <c r="E228" s="103" t="e">
        <f>(COUNTIFS('Phase2 - Fill-in'!B$1:B$1000,A228,'Phase2 - Fill-in'!E$1:E$1000,Dictionnary!C$666)+0.5*COUNTIFS('Phase2 - Fill-in'!B$1:B$1000,A228,'Phase2 - Fill-in'!E$1:E$1000,Dictionnary!C$669))/(COUNTIFS('Phase2 - Fill-in'!B$5:B$1000,A228,'Phase2 - Fill-in'!E$5:E$1000,"&lt;&gt;Dictionnary!C669"))</f>
        <v>#DIV/0!</v>
      </c>
      <c r="F228" s="13"/>
    </row>
    <row r="229" spans="1:6" s="1" customFormat="1" ht="47.25" x14ac:dyDescent="0.25">
      <c r="A229" s="207" t="str">
        <f>Dictionnary!A353</f>
        <v>INFO2.14</v>
      </c>
      <c r="B229" s="14" t="str">
        <f>Dictionnary!B353</f>
        <v>Information Management</v>
      </c>
      <c r="C229" s="15" t="str">
        <f>Dictionnary!C353</f>
        <v>Are all staff members that are involved in any way in recording, reporting and archiving of results aware of the contents of the SOP for Recording, Reporting and Archiving of Results?</v>
      </c>
      <c r="D229" s="16" t="s">
        <v>1409</v>
      </c>
      <c r="E229" s="103">
        <f>(COUNTIFS('Phase2 - Fill-in'!B$1:B$1000,A229,'Phase2 - Fill-in'!E$1:E$1000,Dictionnary!C$666)+0.5*COUNTIFS('Phase2 - Fill-in'!B$1:B$1000,A229,'Phase2 - Fill-in'!E$1:E$1000,Dictionnary!C$669))/(COUNTIFS('Phase2 - Fill-in'!B$5:B$1000,A229,'Phase2 - Fill-in'!E$5:E$1000,"&lt;&gt;Dictionnary!C669"))</f>
        <v>0</v>
      </c>
      <c r="F229" s="13"/>
    </row>
    <row r="230" spans="1:6" s="1" customFormat="1" ht="31.5" x14ac:dyDescent="0.25">
      <c r="A230" s="207" t="str">
        <f>Dictionnary!A354</f>
        <v>INFO2.15</v>
      </c>
      <c r="B230" s="99" t="str">
        <f>Dictionnary!B354</f>
        <v>Information Management</v>
      </c>
      <c r="C230" s="17" t="str">
        <f>Dictionnary!C354</f>
        <v>Is the laboratory able to trace back the staff members who signed documents based on the signature or initials?</v>
      </c>
      <c r="D230" s="12" t="s">
        <v>1409</v>
      </c>
      <c r="E230" s="103">
        <f>(COUNTIFS('Phase2 - Fill-in'!B$1:B$1000,A230,'Phase2 - Fill-in'!E$1:E$1000,Dictionnary!C$666)+0.5*COUNTIFS('Phase2 - Fill-in'!B$1:B$1000,A230,'Phase2 - Fill-in'!E$1:E$1000,Dictionnary!C$669))/(COUNTIFS('Phase2 - Fill-in'!B$5:B$1000,A230,'Phase2 - Fill-in'!E$5:E$1000,"&lt;&gt;Dictionnary!C669"))</f>
        <v>1</v>
      </c>
      <c r="F230" s="13"/>
    </row>
    <row r="231" spans="1:6" s="1" customFormat="1" ht="15.75" x14ac:dyDescent="0.25">
      <c r="A231" s="207" t="str">
        <f>Dictionnary!A355</f>
        <v>INFO2.16</v>
      </c>
      <c r="B231" s="14" t="str">
        <f>Dictionnary!B355</f>
        <v>Information Management</v>
      </c>
      <c r="C231" s="15" t="str">
        <f>Dictionnary!C355</f>
        <v>Have all laboratory staff members signed a confidentiality agreement?</v>
      </c>
      <c r="D231" s="16" t="s">
        <v>1408</v>
      </c>
      <c r="E231" s="103">
        <f>(COUNTIFS('Phase2 - Fill-in'!B$1:B$1000,A231,'Phase2 - Fill-in'!E$1:E$1000,Dictionnary!C$666)+0.5*COUNTIFS('Phase2 - Fill-in'!B$1:B$1000,A231,'Phase2 - Fill-in'!E$1:E$1000,Dictionnary!C$669))/(COUNTIFS('Phase2 - Fill-in'!B$5:B$1000,A231,'Phase2 - Fill-in'!E$5:E$1000,"&lt;&gt;Dictionnary!C669"))</f>
        <v>0</v>
      </c>
      <c r="F231" s="13"/>
    </row>
    <row r="232" spans="1:6" s="1" customFormat="1" ht="31.5" x14ac:dyDescent="0.25">
      <c r="A232" s="207" t="str">
        <f>Dictionnary!A356</f>
        <v>INFO2.17</v>
      </c>
      <c r="B232" s="99" t="str">
        <f>Dictionnary!B356</f>
        <v>Information Management</v>
      </c>
      <c r="C232" s="17" t="str">
        <f>Dictionnary!C356</f>
        <v>If the laboratory stores information digitally: are weekly backups being made?</v>
      </c>
      <c r="D232" s="12" t="s">
        <v>1408</v>
      </c>
      <c r="E232" s="103">
        <f>(COUNTIFS('Phase2 - Fill-in'!B$1:B$1000,A232,'Phase2 - Fill-in'!E$1:E$1000,Dictionnary!C$666)+0.5*COUNTIFS('Phase2 - Fill-in'!B$1:B$1000,A232,'Phase2 - Fill-in'!E$1:E$1000,Dictionnary!C$669))/(COUNTIFS('Phase2 - Fill-in'!B$5:B$1000,A232,'Phase2 - Fill-in'!E$5:E$1000,"&lt;&gt;Dictionnary!C669"))</f>
        <v>0</v>
      </c>
      <c r="F232" s="13"/>
    </row>
    <row r="233" spans="1:6" s="1" customFormat="1" ht="47.25" x14ac:dyDescent="0.25">
      <c r="A233" s="207" t="str">
        <f>Dictionnary!A357</f>
        <v>INFO2.18</v>
      </c>
      <c r="B233" s="14" t="str">
        <f>Dictionnary!B357</f>
        <v>Information Management</v>
      </c>
      <c r="C233" s="15" t="str">
        <f>Dictionnary!C357</f>
        <v>Are backups of the computerized system stored behind lock and key in another building than the laboratory building where the computerized system is?</v>
      </c>
      <c r="D233" s="16" t="s">
        <v>1408</v>
      </c>
      <c r="E233" s="103">
        <f>(COUNTIFS('Phase2 - Fill-in'!B$1:B$1000,A233,'Phase2 - Fill-in'!E$1:E$1000,Dictionnary!C$666)+0.5*COUNTIFS('Phase2 - Fill-in'!B$1:B$1000,A233,'Phase2 - Fill-in'!E$1:E$1000,Dictionnary!C$669))/(COUNTIFS('Phase2 - Fill-in'!B$5:B$1000,A233,'Phase2 - Fill-in'!E$5:E$1000,"&lt;&gt;Dictionnary!C669"))</f>
        <v>1</v>
      </c>
      <c r="F233" s="13"/>
    </row>
    <row r="234" spans="1:6" s="1" customFormat="1" ht="31.5" x14ac:dyDescent="0.25">
      <c r="A234" s="207" t="str">
        <f>Dictionnary!A358</f>
        <v>DR2.1</v>
      </c>
      <c r="B234" s="99" t="str">
        <f>Dictionnary!B358</f>
        <v>Documents and records</v>
      </c>
      <c r="C234" s="17" t="str">
        <f>Dictionnary!C358</f>
        <v>Does the laboratory have an overview of the time each type of record should be archived?</v>
      </c>
      <c r="D234" s="12" t="s">
        <v>1408</v>
      </c>
      <c r="E234" s="103">
        <f>(COUNTIFS('Phase2 - Fill-in'!B$1:B$1000,A234,'Phase2 - Fill-in'!E$1:E$1000,Dictionnary!C$666)+0.5*COUNTIFS('Phase2 - Fill-in'!B$1:B$1000,A234,'Phase2 - Fill-in'!E$1:E$1000,Dictionnary!C$669))/(COUNTIFS('Phase2 - Fill-in'!B$5:B$1000,A234,'Phase2 - Fill-in'!E$5:E$1000,"&lt;&gt;Dictionnary!C669"))</f>
        <v>1</v>
      </c>
      <c r="F234" s="13"/>
    </row>
    <row r="235" spans="1:6" s="1" customFormat="1" ht="31.5" x14ac:dyDescent="0.25">
      <c r="A235" s="207" t="str">
        <f>Dictionnary!A359</f>
        <v>DR2.2</v>
      </c>
      <c r="B235" s="14" t="str">
        <f>Dictionnary!B359</f>
        <v>Documents and records</v>
      </c>
      <c r="C235" s="15" t="str">
        <f>Dictionnary!C359</f>
        <v>Does the laboratory have an overview of where each type of record should be archived?</v>
      </c>
      <c r="D235" s="16" t="s">
        <v>1409</v>
      </c>
      <c r="E235" s="103" t="e">
        <f>(COUNTIFS('Phase2 - Fill-in'!B$1:B$1000,A235,'Phase2 - Fill-in'!E$1:E$1000,Dictionnary!C$666)+0.5*COUNTIFS('Phase2 - Fill-in'!B$1:B$1000,A235,'Phase2 - Fill-in'!E$1:E$1000,Dictionnary!C$669))/(COUNTIFS('Phase2 - Fill-in'!B$5:B$1000,A235,'Phase2 - Fill-in'!E$5:E$1000,"&lt;&gt;Dictionnary!C669"))</f>
        <v>#DIV/0!</v>
      </c>
      <c r="F235" s="13"/>
    </row>
    <row r="236" spans="1:6" s="1" customFormat="1" ht="15.75" x14ac:dyDescent="0.25">
      <c r="A236" s="207" t="str">
        <f>Dictionnary!A360</f>
        <v>DR2.3</v>
      </c>
      <c r="B236" s="99" t="str">
        <f>Dictionnary!B360</f>
        <v>Documents and records</v>
      </c>
      <c r="C236" s="17" t="str">
        <f>Dictionnary!C360</f>
        <v>Are SOPs available at logical locations, at least:</v>
      </c>
      <c r="D236" s="12" t="s">
        <v>1409</v>
      </c>
      <c r="E236" s="103" t="e">
        <f>(COUNTIFS('Phase2 - Fill-in'!B$1:B$1000,A236,'Phase2 - Fill-in'!E$1:E$1000,Dictionnary!C$666)+0.5*COUNTIFS('Phase2 - Fill-in'!B$1:B$1000,A236,'Phase2 - Fill-in'!E$1:E$1000,Dictionnary!C$669))/(COUNTIFS('Phase2 - Fill-in'!B$5:B$1000,A236,'Phase2 - Fill-in'!E$5:E$1000,"&lt;&gt;Dictionnary!C669"))</f>
        <v>#DIV/0!</v>
      </c>
      <c r="F236" s="13"/>
    </row>
    <row r="237" spans="1:6" s="1" customFormat="1" ht="31.5" x14ac:dyDescent="0.25">
      <c r="A237" s="207" t="str">
        <f>Dictionnary!A361</f>
        <v>DR2.3a</v>
      </c>
      <c r="B237" s="99" t="str">
        <f>Dictionnary!B361</f>
        <v>Documents and records</v>
      </c>
      <c r="C237" s="17" t="str">
        <f>Dictionnary!C361</f>
        <v>Near the place where the procedures the SOPs describe are routinely performed</v>
      </c>
      <c r="D237" s="12" t="s">
        <v>1409</v>
      </c>
      <c r="E237" s="103" t="e">
        <f>(COUNTIFS('Phase2 - Fill-in'!B$1:B$1000,A237,'Phase2 - Fill-in'!E$1:E$1000,Dictionnary!C$666)+0.5*COUNTIFS('Phase2 - Fill-in'!B$1:B$1000,A237,'Phase2 - Fill-in'!E$1:E$1000,Dictionnary!C$669))/(COUNTIFS('Phase2 - Fill-in'!B$5:B$1000,A237,'Phase2 - Fill-in'!E$5:E$1000,"&lt;&gt;Dictionnary!C669"))</f>
        <v>#DIV/0!</v>
      </c>
      <c r="F237" s="13"/>
    </row>
    <row r="238" spans="1:6" s="1" customFormat="1" ht="15.75" x14ac:dyDescent="0.25">
      <c r="A238" s="207" t="str">
        <f>Dictionnary!A362</f>
        <v>DR2.3b</v>
      </c>
      <c r="B238" s="99" t="str">
        <f>Dictionnary!B362</f>
        <v>Documents and records</v>
      </c>
      <c r="C238" s="17" t="str">
        <f>Dictionnary!C362</f>
        <v>In the office areas</v>
      </c>
      <c r="D238" s="12" t="s">
        <v>1409</v>
      </c>
      <c r="E238" s="103" t="e">
        <f>(COUNTIFS('Phase2 - Fill-in'!B$1:B$1000,A238,'Phase2 - Fill-in'!E$1:E$1000,Dictionnary!C$666)+0.5*COUNTIFS('Phase2 - Fill-in'!B$1:B$1000,A238,'Phase2 - Fill-in'!E$1:E$1000,Dictionnary!C$669))/(COUNTIFS('Phase2 - Fill-in'!B$5:B$1000,A238,'Phase2 - Fill-in'!E$5:E$1000,"&lt;&gt;Dictionnary!C669"))</f>
        <v>#DIV/0!</v>
      </c>
      <c r="F238" s="13"/>
    </row>
    <row r="239" spans="1:6" s="1" customFormat="1" ht="15.75" x14ac:dyDescent="0.25">
      <c r="A239" s="207" t="str">
        <f>Dictionnary!A363</f>
        <v>DR2.3c</v>
      </c>
      <c r="B239" s="99" t="str">
        <f>Dictionnary!B363</f>
        <v>Documents and records</v>
      </c>
      <c r="C239" s="17" t="str">
        <f>Dictionnary!C363</f>
        <v>In the dedicated quality documents archive</v>
      </c>
      <c r="D239" s="12" t="s">
        <v>1409</v>
      </c>
      <c r="E239" s="103" t="e">
        <f>(COUNTIFS('Phase2 - Fill-in'!B$1:B$1000,A239,'Phase2 - Fill-in'!E$1:E$1000,Dictionnary!C$666)+0.5*COUNTIFS('Phase2 - Fill-in'!B$1:B$1000,A239,'Phase2 - Fill-in'!E$1:E$1000,Dictionnary!C$669))/(COUNTIFS('Phase2 - Fill-in'!B$5:B$1000,A239,'Phase2 - Fill-in'!E$5:E$1000,"&lt;&gt;Dictionnary!C669"))</f>
        <v>#DIV/0!</v>
      </c>
      <c r="F239" s="13"/>
    </row>
    <row r="240" spans="1:6" s="1" customFormat="1" ht="31.5" x14ac:dyDescent="0.25">
      <c r="A240" s="207" t="str">
        <f>Dictionnary!A364</f>
        <v>DR2.4</v>
      </c>
      <c r="B240" s="14" t="str">
        <f>Dictionnary!B364</f>
        <v>Documents and records</v>
      </c>
      <c r="C240" s="15" t="str">
        <f>Dictionnary!C364</f>
        <v>Are inconsistencies and errors found in documents recorded in a Document Revision Form?</v>
      </c>
      <c r="D240" s="16" t="s">
        <v>1409</v>
      </c>
      <c r="E240" s="103">
        <f>(COUNTIFS('Phase2 - Fill-in'!B$1:B$1000,A240,'Phase2 - Fill-in'!E$1:E$1000,Dictionnary!C$666)+0.5*COUNTIFS('Phase2 - Fill-in'!B$1:B$1000,A240,'Phase2 - Fill-in'!E$1:E$1000,Dictionnary!C$669))/(COUNTIFS('Phase2 - Fill-in'!B$5:B$1000,A240,'Phase2 - Fill-in'!E$5:E$1000,"&lt;&gt;Dictionnary!C669"))</f>
        <v>0.5</v>
      </c>
      <c r="F240" s="13"/>
    </row>
    <row r="241" spans="1:6" s="1" customFormat="1" ht="15.75" x14ac:dyDescent="0.25">
      <c r="A241" s="207" t="str">
        <f>Dictionnary!A365</f>
        <v>DR2.5</v>
      </c>
      <c r="B241" s="99" t="str">
        <f>Dictionnary!B365</f>
        <v>Documents and records</v>
      </c>
      <c r="C241" s="17" t="str">
        <f>Dictionnary!C365</f>
        <v>Do staff members know where to find the Document Revision Form?</v>
      </c>
      <c r="D241" s="12" t="s">
        <v>1408</v>
      </c>
      <c r="E241" s="103" t="e">
        <f>(COUNTIFS('Phase2 - Fill-in'!B$1:B$1000,A241,'Phase2 - Fill-in'!E$1:E$1000,Dictionnary!C$666)+0.5*COUNTIFS('Phase2 - Fill-in'!B$1:B$1000,A241,'Phase2 - Fill-in'!E$1:E$1000,Dictionnary!C$669))/(COUNTIFS('Phase2 - Fill-in'!B$5:B$1000,A241,'Phase2 - Fill-in'!E$5:E$1000,"&lt;&gt;Dictionnary!C669"))</f>
        <v>#DIV/0!</v>
      </c>
      <c r="F241" s="13"/>
    </row>
    <row r="242" spans="1:6" s="1" customFormat="1" ht="31.5" x14ac:dyDescent="0.25">
      <c r="A242" s="207" t="str">
        <f>Dictionnary!A366</f>
        <v>DR2.6</v>
      </c>
      <c r="B242" s="14" t="str">
        <f>Dictionnary!B366</f>
        <v>Documents and records</v>
      </c>
      <c r="C242" s="15" t="str">
        <f>Dictionnary!C366</f>
        <v>Do staff members know what the Document Revision Form is for and do they know how to use it?</v>
      </c>
      <c r="D242" s="16" t="s">
        <v>1408</v>
      </c>
      <c r="E242" s="103">
        <f>(COUNTIFS('Phase2 - Fill-in'!B$1:B$1000,A242,'Phase2 - Fill-in'!E$1:E$1000,Dictionnary!C$666)+0.5*COUNTIFS('Phase2 - Fill-in'!B$1:B$1000,A242,'Phase2 - Fill-in'!E$1:E$1000,Dictionnary!C$669))/(COUNTIFS('Phase2 - Fill-in'!B$5:B$1000,A242,'Phase2 - Fill-in'!E$5:E$1000,"&lt;&gt;Dictionnary!C669"))</f>
        <v>0</v>
      </c>
      <c r="F242" s="13"/>
    </row>
    <row r="243" spans="1:6" s="1" customFormat="1" ht="31.5" x14ac:dyDescent="0.25">
      <c r="A243" s="207" t="str">
        <f>Dictionnary!A367</f>
        <v>DR2.7</v>
      </c>
      <c r="B243" s="99" t="str">
        <f>Dictionnary!B367</f>
        <v>Documents and records</v>
      </c>
      <c r="C243" s="17" t="str">
        <f>Dictionnary!C367</f>
        <v>Is a Document Control Log available that shows all the quality documents of the laboratory with at least the following details:</v>
      </c>
      <c r="D243" s="12" t="s">
        <v>1408</v>
      </c>
      <c r="E243" s="103" t="e">
        <f>(COUNTIFS('Phase2 - Fill-in'!B$1:B$1000,A243,'Phase2 - Fill-in'!E$1:E$1000,Dictionnary!C$666)+0.5*COUNTIFS('Phase2 - Fill-in'!B$1:B$1000,A243,'Phase2 - Fill-in'!E$1:E$1000,Dictionnary!C$669))/(COUNTIFS('Phase2 - Fill-in'!B$5:B$1000,A243,'Phase2 - Fill-in'!E$5:E$1000,"&lt;&gt;Dictionnary!C669"))</f>
        <v>#DIV/0!</v>
      </c>
      <c r="F243" s="13"/>
    </row>
    <row r="244" spans="1:6" s="1" customFormat="1" ht="15.75" x14ac:dyDescent="0.25">
      <c r="A244" s="207" t="str">
        <f>Dictionnary!A368</f>
        <v>DR2.7a</v>
      </c>
      <c r="B244" s="99" t="str">
        <f>Dictionnary!B368</f>
        <v>Documents and records</v>
      </c>
      <c r="C244" s="17" t="str">
        <f>Dictionnary!C368</f>
        <v>The document code</v>
      </c>
      <c r="D244" s="12" t="s">
        <v>1409</v>
      </c>
      <c r="E244" s="103" t="e">
        <f>(COUNTIFS('Phase2 - Fill-in'!B$1:B$1000,A244,'Phase2 - Fill-in'!E$1:E$1000,Dictionnary!C$666)+0.5*COUNTIFS('Phase2 - Fill-in'!B$1:B$1000,A244,'Phase2 - Fill-in'!E$1:E$1000,Dictionnary!C$669))/(COUNTIFS('Phase2 - Fill-in'!B$5:B$1000,A244,'Phase2 - Fill-in'!E$5:E$1000,"&lt;&gt;Dictionnary!C669"))</f>
        <v>#DIV/0!</v>
      </c>
      <c r="F244" s="13"/>
    </row>
    <row r="245" spans="1:6" s="1" customFormat="1" ht="15.75" x14ac:dyDescent="0.25">
      <c r="A245" s="207" t="str">
        <f>Dictionnary!A369</f>
        <v>DR2.7b</v>
      </c>
      <c r="B245" s="99" t="str">
        <f>Dictionnary!B369</f>
        <v>Documents and records</v>
      </c>
      <c r="C245" s="17" t="str">
        <f>Dictionnary!C369</f>
        <v>The document title</v>
      </c>
      <c r="D245" s="12" t="s">
        <v>1409</v>
      </c>
      <c r="E245" s="103" t="e">
        <f>(COUNTIFS('Phase2 - Fill-in'!B$1:B$1000,A245,'Phase2 - Fill-in'!E$1:E$1000,Dictionnary!C$666)+0.5*COUNTIFS('Phase2 - Fill-in'!B$1:B$1000,A245,'Phase2 - Fill-in'!E$1:E$1000,Dictionnary!C$669))/(COUNTIFS('Phase2 - Fill-in'!B$5:B$1000,A245,'Phase2 - Fill-in'!E$5:E$1000,"&lt;&gt;Dictionnary!C669"))</f>
        <v>#DIV/0!</v>
      </c>
      <c r="F245" s="13"/>
    </row>
    <row r="246" spans="1:6" s="1" customFormat="1" ht="15.75" x14ac:dyDescent="0.25">
      <c r="A246" s="207" t="str">
        <f>Dictionnary!A370</f>
        <v>DR2.7c</v>
      </c>
      <c r="B246" s="99" t="str">
        <f>Dictionnary!B370</f>
        <v>Documents and records</v>
      </c>
      <c r="C246" s="17" t="str">
        <f>Dictionnary!C370</f>
        <v>The name of the author</v>
      </c>
      <c r="D246" s="12" t="s">
        <v>1408</v>
      </c>
      <c r="E246" s="103" t="e">
        <f>(COUNTIFS('Phase2 - Fill-in'!B$1:B$1000,A246,'Phase2 - Fill-in'!E$1:E$1000,Dictionnary!C$666)+0.5*COUNTIFS('Phase2 - Fill-in'!B$1:B$1000,A246,'Phase2 - Fill-in'!E$1:E$1000,Dictionnary!C$669))/(COUNTIFS('Phase2 - Fill-in'!B$5:B$1000,A246,'Phase2 - Fill-in'!E$5:E$1000,"&lt;&gt;Dictionnary!C669"))</f>
        <v>#DIV/0!</v>
      </c>
      <c r="F246" s="13"/>
    </row>
    <row r="247" spans="1:6" s="1" customFormat="1" ht="15.75" x14ac:dyDescent="0.25">
      <c r="A247" s="207" t="str">
        <f>Dictionnary!A371</f>
        <v>DR2.7d</v>
      </c>
      <c r="B247" s="99" t="str">
        <f>Dictionnary!B371</f>
        <v>Documents and records</v>
      </c>
      <c r="C247" s="17" t="str">
        <f>Dictionnary!C371</f>
        <v>The names of the reviewers</v>
      </c>
      <c r="D247" s="12" t="s">
        <v>1409</v>
      </c>
      <c r="E247" s="103" t="e">
        <f>(COUNTIFS('Phase2 - Fill-in'!B$1:B$1000,A247,'Phase2 - Fill-in'!E$1:E$1000,Dictionnary!C$666)+0.5*COUNTIFS('Phase2 - Fill-in'!B$1:B$1000,A247,'Phase2 - Fill-in'!E$1:E$1000,Dictionnary!C$669))/(COUNTIFS('Phase2 - Fill-in'!B$5:B$1000,A247,'Phase2 - Fill-in'!E$5:E$1000,"&lt;&gt;Dictionnary!C669"))</f>
        <v>#DIV/0!</v>
      </c>
      <c r="F247" s="13"/>
    </row>
    <row r="248" spans="1:6" s="1" customFormat="1" ht="15.75" x14ac:dyDescent="0.25">
      <c r="A248" s="207" t="str">
        <f>Dictionnary!A372</f>
        <v>DR2.7e</v>
      </c>
      <c r="B248" s="99" t="str">
        <f>Dictionnary!B372</f>
        <v>Documents and records</v>
      </c>
      <c r="C248" s="17" t="str">
        <f>Dictionnary!C372</f>
        <v>The name of the authorizer</v>
      </c>
      <c r="D248" s="12" t="s">
        <v>1408</v>
      </c>
      <c r="E248" s="103" t="e">
        <f>(COUNTIFS('Phase2 - Fill-in'!B$1:B$1000,A248,'Phase2 - Fill-in'!E$1:E$1000,Dictionnary!C$666)+0.5*COUNTIFS('Phase2 - Fill-in'!B$1:B$1000,A248,'Phase2 - Fill-in'!E$1:E$1000,Dictionnary!C$669))/(COUNTIFS('Phase2 - Fill-in'!B$5:B$1000,A248,'Phase2 - Fill-in'!E$5:E$1000,"&lt;&gt;Dictionnary!C669"))</f>
        <v>#DIV/0!</v>
      </c>
      <c r="F248" s="13"/>
    </row>
    <row r="249" spans="1:6" s="1" customFormat="1" ht="15.75" x14ac:dyDescent="0.25">
      <c r="A249" s="207" t="str">
        <f>Dictionnary!A373</f>
        <v>DR2.7f</v>
      </c>
      <c r="B249" s="99" t="str">
        <f>Dictionnary!B373</f>
        <v>Documents and records</v>
      </c>
      <c r="C249" s="17" t="str">
        <f>Dictionnary!C373</f>
        <v>The current version number</v>
      </c>
      <c r="D249" s="12" t="s">
        <v>1408</v>
      </c>
      <c r="E249" s="103" t="e">
        <f>(COUNTIFS('Phase2 - Fill-in'!B$1:B$1000,A249,'Phase2 - Fill-in'!E$1:E$1000,Dictionnary!C$666)+0.5*COUNTIFS('Phase2 - Fill-in'!B$1:B$1000,A249,'Phase2 - Fill-in'!E$1:E$1000,Dictionnary!C$669))/(COUNTIFS('Phase2 - Fill-in'!B$5:B$1000,A249,'Phase2 - Fill-in'!E$5:E$1000,"&lt;&gt;Dictionnary!C669"))</f>
        <v>#DIV/0!</v>
      </c>
      <c r="F249" s="13"/>
    </row>
    <row r="250" spans="1:6" s="1" customFormat="1" ht="15.75" x14ac:dyDescent="0.25">
      <c r="A250" s="207" t="str">
        <f>Dictionnary!A374</f>
        <v>DR2.7g</v>
      </c>
      <c r="B250" s="99" t="str">
        <f>Dictionnary!B374</f>
        <v>Documents and records</v>
      </c>
      <c r="C250" s="17" t="str">
        <f>Dictionnary!C374</f>
        <v>The date on which it was released for use</v>
      </c>
      <c r="D250" s="12" t="s">
        <v>1408</v>
      </c>
      <c r="E250" s="103" t="e">
        <f>(COUNTIFS('Phase2 - Fill-in'!B$1:B$1000,A250,'Phase2 - Fill-in'!E$1:E$1000,Dictionnary!C$666)+0.5*COUNTIFS('Phase2 - Fill-in'!B$1:B$1000,A250,'Phase2 - Fill-in'!E$1:E$1000,Dictionnary!C$669))/(COUNTIFS('Phase2 - Fill-in'!B$5:B$1000,A250,'Phase2 - Fill-in'!E$5:E$1000,"&lt;&gt;Dictionnary!C669"))</f>
        <v>#DIV/0!</v>
      </c>
      <c r="F250" s="13"/>
    </row>
    <row r="251" spans="1:6" s="1" customFormat="1" ht="15.75" x14ac:dyDescent="0.25">
      <c r="A251" s="207" t="str">
        <f>Dictionnary!A375</f>
        <v>DR2.7h</v>
      </c>
      <c r="B251" s="99" t="str">
        <f>Dictionnary!B375</f>
        <v>Documents and records</v>
      </c>
      <c r="C251" s="17" t="str">
        <f>Dictionnary!C375</f>
        <v>The date before which the document must be reviewed</v>
      </c>
      <c r="D251" s="12" t="s">
        <v>1408</v>
      </c>
      <c r="E251" s="103" t="e">
        <f>(COUNTIFS('Phase2 - Fill-in'!B$1:B$1000,A251,'Phase2 - Fill-in'!E$1:E$1000,Dictionnary!C$666)+0.5*COUNTIFS('Phase2 - Fill-in'!B$1:B$1000,A251,'Phase2 - Fill-in'!E$1:E$1000,Dictionnary!C$669))/(COUNTIFS('Phase2 - Fill-in'!B$5:B$1000,A251,'Phase2 - Fill-in'!E$5:E$1000,"&lt;&gt;Dictionnary!C669"))</f>
        <v>#DIV/0!</v>
      </c>
      <c r="F251" s="13"/>
    </row>
    <row r="252" spans="1:6" s="1" customFormat="1" ht="15.75" x14ac:dyDescent="0.25">
      <c r="A252" s="207" t="str">
        <f>Dictionnary!A376</f>
        <v>DR2.7i</v>
      </c>
      <c r="B252" s="99" t="str">
        <f>Dictionnary!B376</f>
        <v>Documents and records</v>
      </c>
      <c r="C252" s="17" t="str">
        <f>Dictionnary!C376</f>
        <v>Distribution list</v>
      </c>
      <c r="D252" s="12" t="s">
        <v>1408</v>
      </c>
      <c r="E252" s="103" t="e">
        <f>(COUNTIFS('Phase2 - Fill-in'!B$1:B$1000,A252,'Phase2 - Fill-in'!E$1:E$1000,Dictionnary!C$666)+0.5*COUNTIFS('Phase2 - Fill-in'!B$1:B$1000,A252,'Phase2 - Fill-in'!E$1:E$1000,Dictionnary!C$669))/(COUNTIFS('Phase2 - Fill-in'!B$5:B$1000,A252,'Phase2 - Fill-in'!E$5:E$1000,"&lt;&gt;Dictionnary!C669"))</f>
        <v>#DIV/0!</v>
      </c>
      <c r="F252" s="13"/>
    </row>
    <row r="253" spans="1:6" s="1" customFormat="1" ht="15.75" x14ac:dyDescent="0.25">
      <c r="A253" s="207" t="str">
        <f>Dictionnary!A377</f>
        <v>DR2.7j</v>
      </c>
      <c r="B253" s="99" t="str">
        <f>Dictionnary!B377</f>
        <v>Documents and records</v>
      </c>
      <c r="C253" s="17" t="str">
        <f>Dictionnary!C377</f>
        <v>Remarks</v>
      </c>
      <c r="D253" s="12" t="s">
        <v>1408</v>
      </c>
      <c r="E253" s="103" t="e">
        <f>(COUNTIFS('Phase2 - Fill-in'!B$1:B$1000,A253,'Phase2 - Fill-in'!E$1:E$1000,Dictionnary!C$666)+0.5*COUNTIFS('Phase2 - Fill-in'!B$1:B$1000,A253,'Phase2 - Fill-in'!E$1:E$1000,Dictionnary!C$669))/(COUNTIFS('Phase2 - Fill-in'!B$5:B$1000,A253,'Phase2 - Fill-in'!E$5:E$1000,"&lt;&gt;Dictionnary!C669"))</f>
        <v>#DIV/0!</v>
      </c>
      <c r="F253" s="13"/>
    </row>
    <row r="254" spans="1:6" s="1" customFormat="1" ht="15.75" x14ac:dyDescent="0.25">
      <c r="A254" s="207" t="str">
        <f>Dictionnary!A378</f>
        <v>DR2.7k</v>
      </c>
      <c r="B254" s="99" t="str">
        <f>Dictionnary!B378</f>
        <v>Documents and records</v>
      </c>
      <c r="C254" s="17" t="str">
        <f>Dictionnary!C378</f>
        <v>The title of the previous version</v>
      </c>
      <c r="D254" s="12" t="s">
        <v>1408</v>
      </c>
      <c r="E254" s="103" t="e">
        <f>(COUNTIFS('Phase2 - Fill-in'!B$1:B$1000,A254,'Phase2 - Fill-in'!E$1:E$1000,Dictionnary!C$666)+0.5*COUNTIFS('Phase2 - Fill-in'!B$1:B$1000,A254,'Phase2 - Fill-in'!E$1:E$1000,Dictionnary!C$669))/(COUNTIFS('Phase2 - Fill-in'!B$5:B$1000,A254,'Phase2 - Fill-in'!E$5:E$1000,"&lt;&gt;Dictionnary!C669"))</f>
        <v>#DIV/0!</v>
      </c>
      <c r="F254" s="13"/>
    </row>
    <row r="255" spans="1:6" s="1" customFormat="1" ht="15.75" x14ac:dyDescent="0.25">
      <c r="A255" s="207" t="str">
        <f>Dictionnary!A379</f>
        <v>DR2.7l</v>
      </c>
      <c r="B255" s="99" t="str">
        <f>Dictionnary!B379</f>
        <v>Documents and records</v>
      </c>
      <c r="C255" s="17" t="str">
        <f>Dictionnary!C379</f>
        <v>The name of the author of the previous version</v>
      </c>
      <c r="D255" s="12" t="s">
        <v>1408</v>
      </c>
      <c r="E255" s="103" t="e">
        <f>(COUNTIFS('Phase2 - Fill-in'!B$1:B$1000,A255,'Phase2 - Fill-in'!E$1:E$1000,Dictionnary!C$666)+0.5*COUNTIFS('Phase2 - Fill-in'!B$1:B$1000,A255,'Phase2 - Fill-in'!E$1:E$1000,Dictionnary!C$669))/(COUNTIFS('Phase2 - Fill-in'!B$5:B$1000,A255,'Phase2 - Fill-in'!E$5:E$1000,"&lt;&gt;Dictionnary!C669"))</f>
        <v>#DIV/0!</v>
      </c>
      <c r="F255" s="13"/>
    </row>
    <row r="256" spans="1:6" s="1" customFormat="1" ht="15.75" x14ac:dyDescent="0.25">
      <c r="A256" s="207" t="str">
        <f>Dictionnary!A380</f>
        <v>DR2.7m</v>
      </c>
      <c r="B256" s="99" t="str">
        <f>Dictionnary!B380</f>
        <v>Documents and records</v>
      </c>
      <c r="C256" s="17" t="str">
        <f>Dictionnary!C380</f>
        <v>The names of the reviewers of the previous version</v>
      </c>
      <c r="D256" s="12" t="s">
        <v>1409</v>
      </c>
      <c r="E256" s="103" t="e">
        <f>(COUNTIFS('Phase2 - Fill-in'!B$1:B$1000,A256,'Phase2 - Fill-in'!E$1:E$1000,Dictionnary!C$666)+0.5*COUNTIFS('Phase2 - Fill-in'!B$1:B$1000,A256,'Phase2 - Fill-in'!E$1:E$1000,Dictionnary!C$669))/(COUNTIFS('Phase2 - Fill-in'!B$5:B$1000,A256,'Phase2 - Fill-in'!E$5:E$1000,"&lt;&gt;Dictionnary!C669"))</f>
        <v>#DIV/0!</v>
      </c>
      <c r="F256" s="13"/>
    </row>
    <row r="257" spans="1:6" s="1" customFormat="1" ht="15.75" x14ac:dyDescent="0.25">
      <c r="A257" s="207" t="str">
        <f>Dictionnary!A381</f>
        <v>DR2.7n</v>
      </c>
      <c r="B257" s="99" t="str">
        <f>Dictionnary!B381</f>
        <v>Documents and records</v>
      </c>
      <c r="C257" s="17" t="str">
        <f>Dictionnary!C381</f>
        <v>The name of the authorizer of the previous version</v>
      </c>
      <c r="D257" s="12" t="s">
        <v>1409</v>
      </c>
      <c r="E257" s="103" t="e">
        <f>(COUNTIFS('Phase2 - Fill-in'!B$1:B$1000,A257,'Phase2 - Fill-in'!E$1:E$1000,Dictionnary!C$666)+0.5*COUNTIFS('Phase2 - Fill-in'!B$1:B$1000,A257,'Phase2 - Fill-in'!E$1:E$1000,Dictionnary!C$669))/(COUNTIFS('Phase2 - Fill-in'!B$5:B$1000,A257,'Phase2 - Fill-in'!E$5:E$1000,"&lt;&gt;Dictionnary!C669"))</f>
        <v>#DIV/0!</v>
      </c>
      <c r="F257" s="13"/>
    </row>
    <row r="258" spans="1:6" s="1" customFormat="1" ht="15.75" x14ac:dyDescent="0.25">
      <c r="A258" s="207" t="str">
        <f>Dictionnary!A382</f>
        <v>DR2.7o</v>
      </c>
      <c r="B258" s="99" t="str">
        <f>Dictionnary!B382</f>
        <v>Documents and records</v>
      </c>
      <c r="C258" s="17" t="str">
        <f>Dictionnary!C382</f>
        <v>The date on which the previous version was released for use</v>
      </c>
      <c r="D258" s="12" t="s">
        <v>1409</v>
      </c>
      <c r="E258" s="103" t="e">
        <f>(COUNTIFS('Phase2 - Fill-in'!B$1:B$1000,A258,'Phase2 - Fill-in'!E$1:E$1000,Dictionnary!C$666)+0.5*COUNTIFS('Phase2 - Fill-in'!B$1:B$1000,A258,'Phase2 - Fill-in'!E$1:E$1000,Dictionnary!C$669))/(COUNTIFS('Phase2 - Fill-in'!B$5:B$1000,A258,'Phase2 - Fill-in'!E$5:E$1000,"&lt;&gt;Dictionnary!C669"))</f>
        <v>#DIV/0!</v>
      </c>
      <c r="F258" s="13"/>
    </row>
    <row r="259" spans="1:6" s="1" customFormat="1" ht="15.75" x14ac:dyDescent="0.25">
      <c r="A259" s="207" t="str">
        <f>Dictionnary!A383</f>
        <v>DR2.7p</v>
      </c>
      <c r="B259" s="99" t="str">
        <f>Dictionnary!B383</f>
        <v>Documents and records</v>
      </c>
      <c r="C259" s="17" t="str">
        <f>Dictionnary!C383</f>
        <v>The date on which the previous version was replaced</v>
      </c>
      <c r="D259" s="12" t="s">
        <v>1408</v>
      </c>
      <c r="E259" s="103" t="e">
        <f>(COUNTIFS('Phase2 - Fill-in'!B$1:B$1000,A259,'Phase2 - Fill-in'!E$1:E$1000,Dictionnary!C$666)+0.5*COUNTIFS('Phase2 - Fill-in'!B$1:B$1000,A259,'Phase2 - Fill-in'!E$1:E$1000,Dictionnary!C$669))/(COUNTIFS('Phase2 - Fill-in'!B$5:B$1000,A259,'Phase2 - Fill-in'!E$5:E$1000,"&lt;&gt;Dictionnary!C669"))</f>
        <v>#DIV/0!</v>
      </c>
      <c r="F259" s="13"/>
    </row>
    <row r="260" spans="1:6" s="1" customFormat="1" ht="47.25" x14ac:dyDescent="0.25">
      <c r="A260" s="207" t="str">
        <f>Dictionnary!A384</f>
        <v>DR2.8</v>
      </c>
      <c r="B260" s="14" t="str">
        <f>Dictionnary!B384</f>
        <v>Documents and records</v>
      </c>
      <c r="C260" s="15" t="str">
        <f>Dictionnary!C384</f>
        <v>Is each quality document (SOP, quality manual chapter, Biosafety Manual chapter) supplied with a front page that contains the following information: [tick off]</v>
      </c>
      <c r="D260" s="16" t="s">
        <v>1409</v>
      </c>
      <c r="E260" s="103" t="e">
        <f>(COUNTIFS('Phase2 - Fill-in'!B$1:B$1000,A260,'Phase2 - Fill-in'!E$1:E$1000,Dictionnary!C$666)+0.5*COUNTIFS('Phase2 - Fill-in'!B$1:B$1000,A260,'Phase2 - Fill-in'!E$1:E$1000,Dictionnary!C$669))/(COUNTIFS('Phase2 - Fill-in'!B$5:B$1000,A260,'Phase2 - Fill-in'!E$5:E$1000,"&lt;&gt;Dictionnary!C669"))</f>
        <v>#DIV/0!</v>
      </c>
      <c r="F260" s="13"/>
    </row>
    <row r="261" spans="1:6" s="1" customFormat="1" ht="15.75" x14ac:dyDescent="0.25">
      <c r="A261" s="207" t="str">
        <f>Dictionnary!A385</f>
        <v>DR2.8a</v>
      </c>
      <c r="B261" s="14" t="str">
        <f>Dictionnary!B385</f>
        <v>Documents and records</v>
      </c>
      <c r="C261" s="15" t="str">
        <f>Dictionnary!C385</f>
        <v>Document code</v>
      </c>
      <c r="D261" s="16" t="s">
        <v>1409</v>
      </c>
      <c r="E261" s="103" t="e">
        <f>(COUNTIFS('Phase2 - Fill-in'!B$1:B$1000,A261,'Phase2 - Fill-in'!E$1:E$1000,Dictionnary!C$666)+0.5*COUNTIFS('Phase2 - Fill-in'!B$1:B$1000,A261,'Phase2 - Fill-in'!E$1:E$1000,Dictionnary!C$669))/(COUNTIFS('Phase2 - Fill-in'!B$5:B$1000,A261,'Phase2 - Fill-in'!E$5:E$1000,"&lt;&gt;Dictionnary!C669"))</f>
        <v>#DIV/0!</v>
      </c>
      <c r="F261" s="13"/>
    </row>
    <row r="262" spans="1:6" s="1" customFormat="1" ht="15.75" x14ac:dyDescent="0.25">
      <c r="A262" s="207" t="str">
        <f>Dictionnary!A386</f>
        <v>DR2.8b</v>
      </c>
      <c r="B262" s="14" t="str">
        <f>Dictionnary!B386</f>
        <v>Documents and records</v>
      </c>
      <c r="C262" s="15" t="str">
        <f>Dictionnary!C386</f>
        <v>The document title</v>
      </c>
      <c r="D262" s="16" t="s">
        <v>1409</v>
      </c>
      <c r="E262" s="103" t="e">
        <f>(COUNTIFS('Phase2 - Fill-in'!B$1:B$1000,A262,'Phase2 - Fill-in'!E$1:E$1000,Dictionnary!C$666)+0.5*COUNTIFS('Phase2 - Fill-in'!B$1:B$1000,A262,'Phase2 - Fill-in'!E$1:E$1000,Dictionnary!C$669))/(COUNTIFS('Phase2 - Fill-in'!B$5:B$1000,A262,'Phase2 - Fill-in'!E$5:E$1000,"&lt;&gt;Dictionnary!C669"))</f>
        <v>#DIV/0!</v>
      </c>
      <c r="F262" s="13"/>
    </row>
    <row r="263" spans="1:6" s="1" customFormat="1" ht="15.75" x14ac:dyDescent="0.25">
      <c r="A263" s="207" t="str">
        <f>Dictionnary!A387</f>
        <v>DR2.8c</v>
      </c>
      <c r="B263" s="14" t="str">
        <f>Dictionnary!B387</f>
        <v>Documents and records</v>
      </c>
      <c r="C263" s="15" t="str">
        <f>Dictionnary!C387</f>
        <v>The name of the author</v>
      </c>
      <c r="D263" s="16" t="s">
        <v>1409</v>
      </c>
      <c r="E263" s="103" t="e">
        <f>(COUNTIFS('Phase2 - Fill-in'!B$1:B$1000,A263,'Phase2 - Fill-in'!E$1:E$1000,Dictionnary!C$666)+0.5*COUNTIFS('Phase2 - Fill-in'!B$1:B$1000,A263,'Phase2 - Fill-in'!E$1:E$1000,Dictionnary!C$669))/(COUNTIFS('Phase2 - Fill-in'!B$5:B$1000,A263,'Phase2 - Fill-in'!E$5:E$1000,"&lt;&gt;Dictionnary!C669"))</f>
        <v>#DIV/0!</v>
      </c>
      <c r="F263" s="13"/>
    </row>
    <row r="264" spans="1:6" s="1" customFormat="1" ht="15.75" x14ac:dyDescent="0.25">
      <c r="A264" s="207" t="str">
        <f>Dictionnary!A388</f>
        <v>DR2.8d</v>
      </c>
      <c r="B264" s="14" t="str">
        <f>Dictionnary!B388</f>
        <v>Documents and records</v>
      </c>
      <c r="C264" s="15" t="str">
        <f>Dictionnary!C388</f>
        <v>The names of the reviewers</v>
      </c>
      <c r="D264" s="16" t="s">
        <v>1408</v>
      </c>
      <c r="E264" s="103" t="e">
        <f>(COUNTIFS('Phase2 - Fill-in'!B$1:B$1000,A264,'Phase2 - Fill-in'!E$1:E$1000,Dictionnary!C$666)+0.5*COUNTIFS('Phase2 - Fill-in'!B$1:B$1000,A264,'Phase2 - Fill-in'!E$1:E$1000,Dictionnary!C$669))/(COUNTIFS('Phase2 - Fill-in'!B$5:B$1000,A264,'Phase2 - Fill-in'!E$5:E$1000,"&lt;&gt;Dictionnary!C669"))</f>
        <v>#DIV/0!</v>
      </c>
      <c r="F264" s="13"/>
    </row>
    <row r="265" spans="1:6" s="1" customFormat="1" ht="15.75" x14ac:dyDescent="0.25">
      <c r="A265" s="207" t="str">
        <f>Dictionnary!A389</f>
        <v>DR2.8e</v>
      </c>
      <c r="B265" s="14" t="str">
        <f>Dictionnary!B389</f>
        <v>Documents and records</v>
      </c>
      <c r="C265" s="15" t="str">
        <f>Dictionnary!C389</f>
        <v>The name of the authorizer</v>
      </c>
      <c r="D265" s="16" t="s">
        <v>1408</v>
      </c>
      <c r="E265" s="103" t="e">
        <f>(COUNTIFS('Phase2 - Fill-in'!B$1:B$1000,A265,'Phase2 - Fill-in'!E$1:E$1000,Dictionnary!C$666)+0.5*COUNTIFS('Phase2 - Fill-in'!B$1:B$1000,A265,'Phase2 - Fill-in'!E$1:E$1000,Dictionnary!C$669))/(COUNTIFS('Phase2 - Fill-in'!B$5:B$1000,A265,'Phase2 - Fill-in'!E$5:E$1000,"&lt;&gt;Dictionnary!C669"))</f>
        <v>#DIV/0!</v>
      </c>
      <c r="F265" s="13"/>
    </row>
    <row r="266" spans="1:6" s="1" customFormat="1" ht="15.75" x14ac:dyDescent="0.25">
      <c r="A266" s="207" t="str">
        <f>Dictionnary!A390</f>
        <v>DR2.8f</v>
      </c>
      <c r="B266" s="14" t="str">
        <f>Dictionnary!B390</f>
        <v>Documents and records</v>
      </c>
      <c r="C266" s="15" t="str">
        <f>Dictionnary!C390</f>
        <v>The current version number</v>
      </c>
      <c r="D266" s="16" t="s">
        <v>1408</v>
      </c>
      <c r="E266" s="103" t="e">
        <f>(COUNTIFS('Phase2 - Fill-in'!B$1:B$1000,A266,'Phase2 - Fill-in'!E$1:E$1000,Dictionnary!C$666)+0.5*COUNTIFS('Phase2 - Fill-in'!B$1:B$1000,A266,'Phase2 - Fill-in'!E$1:E$1000,Dictionnary!C$669))/(COUNTIFS('Phase2 - Fill-in'!B$5:B$1000,A266,'Phase2 - Fill-in'!E$5:E$1000,"&lt;&gt;Dictionnary!C669"))</f>
        <v>#DIV/0!</v>
      </c>
      <c r="F266" s="13"/>
    </row>
    <row r="267" spans="1:6" s="1" customFormat="1" ht="15.75" x14ac:dyDescent="0.25">
      <c r="A267" s="207" t="str">
        <f>Dictionnary!A391</f>
        <v>DR2.8g</v>
      </c>
      <c r="B267" s="14" t="str">
        <f>Dictionnary!B391</f>
        <v>Documents and records</v>
      </c>
      <c r="C267" s="15" t="str">
        <f>Dictionnary!C391</f>
        <v>The date on which it was released for use</v>
      </c>
      <c r="D267" s="16" t="s">
        <v>1409</v>
      </c>
      <c r="E267" s="103" t="e">
        <f>(COUNTIFS('Phase2 - Fill-in'!B$1:B$1000,A267,'Phase2 - Fill-in'!E$1:E$1000,Dictionnary!C$666)+0.5*COUNTIFS('Phase2 - Fill-in'!B$1:B$1000,A267,'Phase2 - Fill-in'!E$1:E$1000,Dictionnary!C$669))/(COUNTIFS('Phase2 - Fill-in'!B$5:B$1000,A267,'Phase2 - Fill-in'!E$5:E$1000,"&lt;&gt;Dictionnary!C669"))</f>
        <v>#DIV/0!</v>
      </c>
      <c r="F267" s="13"/>
    </row>
    <row r="268" spans="1:6" s="1" customFormat="1" ht="15.75" x14ac:dyDescent="0.25">
      <c r="A268" s="207" t="str">
        <f>Dictionnary!A392</f>
        <v>DR2.8h</v>
      </c>
      <c r="B268" s="14" t="str">
        <f>Dictionnary!B392</f>
        <v>Documents and records</v>
      </c>
      <c r="C268" s="15" t="str">
        <f>Dictionnary!C392</f>
        <v>The date before the document must be reviewed</v>
      </c>
      <c r="D268" s="16" t="s">
        <v>1409</v>
      </c>
      <c r="E268" s="103" t="e">
        <f>(COUNTIFS('Phase2 - Fill-in'!B$1:B$1000,A268,'Phase2 - Fill-in'!E$1:E$1000,Dictionnary!C$666)+0.5*COUNTIFS('Phase2 - Fill-in'!B$1:B$1000,A268,'Phase2 - Fill-in'!E$1:E$1000,Dictionnary!C$669))/(COUNTIFS('Phase2 - Fill-in'!B$5:B$1000,A268,'Phase2 - Fill-in'!E$5:E$1000,"&lt;&gt;Dictionnary!C669"))</f>
        <v>#DIV/0!</v>
      </c>
      <c r="F268" s="13"/>
    </row>
    <row r="269" spans="1:6" s="1" customFormat="1" ht="15.75" x14ac:dyDescent="0.25">
      <c r="A269" s="207" t="str">
        <f>Dictionnary!A393</f>
        <v>DR2.8i</v>
      </c>
      <c r="B269" s="14" t="str">
        <f>Dictionnary!B393</f>
        <v>Documents and records</v>
      </c>
      <c r="C269" s="15" t="str">
        <f>Dictionnary!C393</f>
        <v>Distribution list</v>
      </c>
      <c r="D269" s="16" t="s">
        <v>1408</v>
      </c>
      <c r="E269" s="103" t="e">
        <f>(COUNTIFS('Phase2 - Fill-in'!B$1:B$1000,A269,'Phase2 - Fill-in'!E$1:E$1000,Dictionnary!C$666)+0.5*COUNTIFS('Phase2 - Fill-in'!B$1:B$1000,A269,'Phase2 - Fill-in'!E$1:E$1000,Dictionnary!C$669))/(COUNTIFS('Phase2 - Fill-in'!B$5:B$1000,A269,'Phase2 - Fill-in'!E$5:E$1000,"&lt;&gt;Dictionnary!C669"))</f>
        <v>#DIV/0!</v>
      </c>
      <c r="F269" s="13"/>
    </row>
    <row r="270" spans="1:6" s="1" customFormat="1" ht="15.75" x14ac:dyDescent="0.25">
      <c r="A270" s="207" t="str">
        <f>Dictionnary!A394</f>
        <v>DR2.8j</v>
      </c>
      <c r="B270" s="14" t="str">
        <f>Dictionnary!B394</f>
        <v>Documents and records</v>
      </c>
      <c r="C270" s="15" t="str">
        <f>Dictionnary!C394</f>
        <v>Description of changes compared to previous version</v>
      </c>
      <c r="D270" s="16" t="s">
        <v>1409</v>
      </c>
      <c r="E270" s="103" t="e">
        <f>(COUNTIFS('Phase2 - Fill-in'!B$1:B$1000,A270,'Phase2 - Fill-in'!E$1:E$1000,Dictionnary!C$666)+0.5*COUNTIFS('Phase2 - Fill-in'!B$1:B$1000,A270,'Phase2 - Fill-in'!E$1:E$1000,Dictionnary!C$669))/(COUNTIFS('Phase2 - Fill-in'!B$5:B$1000,A270,'Phase2 - Fill-in'!E$5:E$1000,"&lt;&gt;Dictionnary!C669"))</f>
        <v>#DIV/0!</v>
      </c>
      <c r="F270" s="13"/>
    </row>
    <row r="271" spans="1:6" s="1" customFormat="1" ht="63" x14ac:dyDescent="0.25">
      <c r="A271" s="207" t="str">
        <f>Dictionnary!A395</f>
        <v>DR2.9</v>
      </c>
      <c r="B271" s="99" t="str">
        <f>Dictionnary!B395</f>
        <v>Documents and records</v>
      </c>
      <c r="C271" s="17" t="str">
        <f>Dictionnary!C395</f>
        <v>Does the laboratory have a document control system that ensures that all its quality documents are reviewed, and, when necessary, revised on an annual (or, after maturation of the quality management system, biannual) basis?</v>
      </c>
      <c r="D271" s="12" t="s">
        <v>1409</v>
      </c>
      <c r="E271" s="103">
        <f>(COUNTIFS('Phase2 - Fill-in'!B$1:B$1000,A271,'Phase2 - Fill-in'!E$1:E$1000,Dictionnary!C$666)+0.5*COUNTIFS('Phase2 - Fill-in'!B$1:B$1000,A271,'Phase2 - Fill-in'!E$1:E$1000,Dictionnary!C$669))/(COUNTIFS('Phase2 - Fill-in'!B$5:B$1000,A271,'Phase2 - Fill-in'!E$5:E$1000,"&lt;&gt;Dictionnary!C669"))</f>
        <v>0</v>
      </c>
      <c r="F271" s="13"/>
    </row>
    <row r="272" spans="1:6" s="1" customFormat="1" ht="31.5" x14ac:dyDescent="0.25">
      <c r="A272" s="207" t="str">
        <f>Dictionnary!A396</f>
        <v>DR2.10</v>
      </c>
      <c r="B272" s="14" t="str">
        <f>Dictionnary!B396</f>
        <v>Documents and records</v>
      </c>
      <c r="C272" s="15" t="str">
        <f>Dictionnary!C396</f>
        <v>Are the Bench Aids used in the laboratory based on current versions of SOPs?</v>
      </c>
      <c r="D272" s="16" t="s">
        <v>1409</v>
      </c>
      <c r="E272" s="103">
        <f>(COUNTIFS('Phase2 - Fill-in'!B$1:B$1000,A272,'Phase2 - Fill-in'!E$1:E$1000,Dictionnary!C$666)+0.5*COUNTIFS('Phase2 - Fill-in'!B$1:B$1000,A272,'Phase2 - Fill-in'!E$1:E$1000,Dictionnary!C$669))/(COUNTIFS('Phase2 - Fill-in'!B$5:B$1000,A272,'Phase2 - Fill-in'!E$5:E$1000,"&lt;&gt;Dictionnary!C669"))</f>
        <v>1</v>
      </c>
      <c r="F272" s="13"/>
    </row>
    <row r="273" spans="1:6" s="1" customFormat="1" ht="31.5" x14ac:dyDescent="0.25">
      <c r="A273" s="207" t="str">
        <f>Dictionnary!A397</f>
        <v>DR2.11</v>
      </c>
      <c r="B273" s="99" t="str">
        <f>Dictionnary!B397</f>
        <v>Documents and records</v>
      </c>
      <c r="C273" s="17" t="str">
        <f>Dictionnary!C397</f>
        <v>Have all quality documents currently in use been reviewed by at least one reviewer?</v>
      </c>
      <c r="D273" s="12" t="s">
        <v>1409</v>
      </c>
      <c r="E273" s="103">
        <f>(COUNTIFS('Phase2 - Fill-in'!B$1:B$1000,A273,'Phase2 - Fill-in'!E$1:E$1000,Dictionnary!C$666)+0.5*COUNTIFS('Phase2 - Fill-in'!B$1:B$1000,A273,'Phase2 - Fill-in'!E$1:E$1000,Dictionnary!C$669))/(COUNTIFS('Phase2 - Fill-in'!B$5:B$1000,A273,'Phase2 - Fill-in'!E$5:E$1000,"&lt;&gt;Dictionnary!C669"))</f>
        <v>1</v>
      </c>
      <c r="F273" s="13"/>
    </row>
    <row r="274" spans="1:6" s="1" customFormat="1" ht="31.5" x14ac:dyDescent="0.25">
      <c r="A274" s="207" t="str">
        <f>Dictionnary!A398</f>
        <v>DR2.12</v>
      </c>
      <c r="B274" s="14" t="str">
        <f>Dictionnary!B398</f>
        <v>Documents and records</v>
      </c>
      <c r="C274" s="15" t="str">
        <f>Dictionnary!C398</f>
        <v>Are all the quality documents used in the laboratory authorized for release?</v>
      </c>
      <c r="D274" s="16" t="s">
        <v>1408</v>
      </c>
      <c r="E274" s="103">
        <f>(COUNTIFS('Phase2 - Fill-in'!B$1:B$1000,A274,'Phase2 - Fill-in'!E$1:E$1000,Dictionnary!C$666)+0.5*COUNTIFS('Phase2 - Fill-in'!B$1:B$1000,A274,'Phase2 - Fill-in'!E$1:E$1000,Dictionnary!C$669))/(COUNTIFS('Phase2 - Fill-in'!B$5:B$1000,A274,'Phase2 - Fill-in'!E$5:E$1000,"&lt;&gt;Dictionnary!C669"))</f>
        <v>0</v>
      </c>
      <c r="F274" s="13"/>
    </row>
    <row r="275" spans="1:6" s="1" customFormat="1" ht="15.75" x14ac:dyDescent="0.25">
      <c r="A275" s="207" t="str">
        <f>Dictionnary!A399</f>
        <v>DR2.13</v>
      </c>
      <c r="B275" s="99" t="str">
        <f>Dictionnary!B399</f>
        <v>Documents and records</v>
      </c>
      <c r="C275" s="17" t="str">
        <f>Dictionnary!C399</f>
        <v>Are all the quality documents used in the laboratory the current versions?</v>
      </c>
      <c r="D275" s="12" t="s">
        <v>1408</v>
      </c>
      <c r="E275" s="103">
        <f>(COUNTIFS('Phase2 - Fill-in'!B$1:B$1000,A275,'Phase2 - Fill-in'!E$1:E$1000,Dictionnary!C$666)+0.5*COUNTIFS('Phase2 - Fill-in'!B$1:B$1000,A275,'Phase2 - Fill-in'!E$1:E$1000,Dictionnary!C$669))/(COUNTIFS('Phase2 - Fill-in'!B$5:B$1000,A275,'Phase2 - Fill-in'!E$5:E$1000,"&lt;&gt;Dictionnary!C669"))</f>
        <v>1</v>
      </c>
      <c r="F275" s="13"/>
    </row>
    <row r="276" spans="1:6" s="1" customFormat="1" ht="47.25" x14ac:dyDescent="0.25">
      <c r="A276" s="207" t="str">
        <f>Dictionnary!A400</f>
        <v>DR2.14</v>
      </c>
      <c r="B276" s="14" t="str">
        <f>Dictionnary!B400</f>
        <v>Documents and records</v>
      </c>
      <c r="C276" s="15" t="str">
        <f>Dictionnary!C400</f>
        <v>Are copies of replaced quality documents in the quality documentation archive clearly marked as “replaced” with the date on which they were replaced?</v>
      </c>
      <c r="D276" s="16" t="s">
        <v>1408</v>
      </c>
      <c r="E276" s="103">
        <f>(COUNTIFS('Phase2 - Fill-in'!B$1:B$1000,A276,'Phase2 - Fill-in'!E$1:E$1000,Dictionnary!C$666)+0.5*COUNTIFS('Phase2 - Fill-in'!B$1:B$1000,A276,'Phase2 - Fill-in'!E$1:E$1000,Dictionnary!C$669))/(COUNTIFS('Phase2 - Fill-in'!B$5:B$1000,A276,'Phase2 - Fill-in'!E$5:E$1000,"&lt;&gt;Dictionnary!C669"))</f>
        <v>0</v>
      </c>
      <c r="F276" s="13"/>
    </row>
    <row r="277" spans="1:6" s="1" customFormat="1" ht="31.5" x14ac:dyDescent="0.25">
      <c r="A277" s="207" t="str">
        <f>Dictionnary!A401</f>
        <v>DR2.15</v>
      </c>
      <c r="B277" s="99" t="str">
        <f>Dictionnary!B401</f>
        <v>Documents and records</v>
      </c>
      <c r="C277" s="17" t="str">
        <f>Dictionnary!C401</f>
        <v>Are all the references in quality documents to other documents, locations and equipment correct?</v>
      </c>
      <c r="D277" s="12" t="s">
        <v>1408</v>
      </c>
      <c r="E277" s="103">
        <f>(COUNTIFS('Phase2 - Fill-in'!B$1:B$1000,A277,'Phase2 - Fill-in'!E$1:E$1000,Dictionnary!C$666)+0.5*COUNTIFS('Phase2 - Fill-in'!B$1:B$1000,A277,'Phase2 - Fill-in'!E$1:E$1000,Dictionnary!C$669))/(COUNTIFS('Phase2 - Fill-in'!B$5:B$1000,A277,'Phase2 - Fill-in'!E$5:E$1000,"&lt;&gt;Dictionnary!C669"))</f>
        <v>0</v>
      </c>
      <c r="F277" s="13"/>
    </row>
    <row r="278" spans="1:6" s="1" customFormat="1" ht="31.5" x14ac:dyDescent="0.25">
      <c r="A278" s="207" t="str">
        <f>Dictionnary!A402</f>
        <v>DR2.16</v>
      </c>
      <c r="B278" s="14" t="str">
        <f>Dictionnary!B402</f>
        <v>Documents and records</v>
      </c>
      <c r="C278" s="15" t="str">
        <f>Dictionnary!C402</f>
        <v>Does the laboratory have a dedicated archive in which it stores all its current and replaced quality documents for a period of five years?</v>
      </c>
      <c r="D278" s="16" t="s">
        <v>1409</v>
      </c>
      <c r="E278" s="103">
        <f>(COUNTIFS('Phase2 - Fill-in'!B$1:B$1000,A278,'Phase2 - Fill-in'!E$1:E$1000,Dictionnary!C$666)+0.5*COUNTIFS('Phase2 - Fill-in'!B$1:B$1000,A278,'Phase2 - Fill-in'!E$1:E$1000,Dictionnary!C$669))/(COUNTIFS('Phase2 - Fill-in'!B$5:B$1000,A278,'Phase2 - Fill-in'!E$5:E$1000,"&lt;&gt;Dictionnary!C669"))</f>
        <v>1</v>
      </c>
      <c r="F278" s="13"/>
    </row>
    <row r="279" spans="1:6" s="1" customFormat="1" ht="31.5" x14ac:dyDescent="0.25">
      <c r="A279" s="207" t="str">
        <f>Dictionnary!A403</f>
        <v>DR2.17</v>
      </c>
      <c r="B279" s="99" t="str">
        <f>Dictionnary!B403</f>
        <v>Documents and records</v>
      </c>
      <c r="C279" s="17" t="str">
        <f>Dictionnary!C403</f>
        <v>Are all the procedures related to the document control system standardized in an SOP?</v>
      </c>
      <c r="D279" s="12" t="s">
        <v>1409</v>
      </c>
      <c r="E279" s="103">
        <f>(COUNTIFS('Phase2 - Fill-in'!B$1:B$1000,A279,'Phase2 - Fill-in'!E$1:E$1000,Dictionnary!C$666)+0.5*COUNTIFS('Phase2 - Fill-in'!B$1:B$1000,A279,'Phase2 - Fill-in'!E$1:E$1000,Dictionnary!C$669))/(COUNTIFS('Phase2 - Fill-in'!B$5:B$1000,A279,'Phase2 - Fill-in'!E$5:E$1000,"&lt;&gt;Dictionnary!C669"))</f>
        <v>1</v>
      </c>
      <c r="F279" s="13"/>
    </row>
    <row r="280" spans="1:6" s="1" customFormat="1" ht="63" x14ac:dyDescent="0.25">
      <c r="A280" s="207" t="str">
        <f>Dictionnary!A404</f>
        <v>DR2.18</v>
      </c>
      <c r="B280" s="14" t="str">
        <f>Dictionnary!B404</f>
        <v>Documents and records</v>
      </c>
      <c r="C280" s="15" t="str">
        <f>Dictionnary!C404</f>
        <v>Is staff aware of what they have to do when they detect an error in a quality document?
Take a sample by asking several staff members.</v>
      </c>
      <c r="D280" s="16" t="s">
        <v>1409</v>
      </c>
      <c r="E280" s="103" t="e">
        <f>(COUNTIFS('Phase2 - Fill-in'!B$1:B$1000,A280,'Phase2 - Fill-in'!E$1:E$1000,Dictionnary!C$666)+0.5*COUNTIFS('Phase2 - Fill-in'!B$1:B$1000,A280,'Phase2 - Fill-in'!E$1:E$1000,Dictionnary!C$669))/(COUNTIFS('Phase2 - Fill-in'!B$5:B$1000,A280,'Phase2 - Fill-in'!E$5:E$1000,"&lt;&gt;Dictionnary!C669"))</f>
        <v>#DIV/0!</v>
      </c>
      <c r="F280" s="13"/>
    </row>
    <row r="281" spans="1:6" s="1" customFormat="1" ht="47.25" x14ac:dyDescent="0.25">
      <c r="A281" s="207" t="str">
        <f>Dictionnary!A405</f>
        <v>DR2.19</v>
      </c>
      <c r="B281" s="99" t="str">
        <f>Dictionnary!B405</f>
        <v>Documents and records</v>
      </c>
      <c r="C281" s="17" t="str">
        <f>Dictionnary!C405</f>
        <v>Are the Equipment SOPs complete, i.e. do they include the procedures that were developed in phase 2 such as calibration, preventive maintenance and corrective maintenance?</v>
      </c>
      <c r="D281" s="12" t="s">
        <v>1408</v>
      </c>
      <c r="E281" s="103" t="e">
        <f>(COUNTIFS('Phase2 - Fill-in'!B$1:B$1000,A281,'Phase2 - Fill-in'!E$1:E$1000,Dictionnary!C$666)+0.5*COUNTIFS('Phase2 - Fill-in'!B$1:B$1000,A281,'Phase2 - Fill-in'!E$1:E$1000,Dictionnary!C$669))/(COUNTIFS('Phase2 - Fill-in'!B$5:B$1000,A281,'Phase2 - Fill-in'!E$5:E$1000,"&lt;&gt;Dictionnary!C669"))</f>
        <v>#DIV/0!</v>
      </c>
      <c r="F281" s="13"/>
    </row>
    <row r="282" spans="1:6" s="1" customFormat="1" ht="15.75" x14ac:dyDescent="0.25">
      <c r="A282" s="207" t="str">
        <f>Dictionnary!A406</f>
        <v>CF2.1</v>
      </c>
      <c r="B282" s="14" t="str">
        <f>Dictionnary!B406</f>
        <v>Customer Focus</v>
      </c>
      <c r="C282" s="15" t="str">
        <f>Dictionnary!C406</f>
        <v>Does the laboratory have a database/register with regular customers?</v>
      </c>
      <c r="D282" s="16" t="s">
        <v>1408</v>
      </c>
      <c r="E282" s="103">
        <f>(COUNTIFS('Phase2 - Fill-in'!B$1:B$1000,A282,'Phase2 - Fill-in'!E$1:E$1000,Dictionnary!C$666)+0.5*COUNTIFS('Phase2 - Fill-in'!B$1:B$1000,A282,'Phase2 - Fill-in'!E$1:E$1000,Dictionnary!C$669))/(COUNTIFS('Phase2 - Fill-in'!B$5:B$1000,A282,'Phase2 - Fill-in'!E$5:E$1000,"&lt;&gt;Dictionnary!C669"))</f>
        <v>0</v>
      </c>
      <c r="F282" s="13"/>
    </row>
    <row r="283" spans="1:6" s="1" customFormat="1" ht="47.25" x14ac:dyDescent="0.25">
      <c r="A283" s="207" t="str">
        <f>Dictionnary!A407</f>
        <v>CF2.2</v>
      </c>
      <c r="B283" s="99" t="str">
        <f>Dictionnary!B407</f>
        <v>Customer Focus</v>
      </c>
      <c r="C283" s="17" t="str">
        <f>Dictionnary!C407</f>
        <v>Are correct biological reference intervals/decision values and alert/critical interval values included for all the examinations performed by the laboratory in the Laboratory Result Reports?</v>
      </c>
      <c r="D283" s="12" t="s">
        <v>1408</v>
      </c>
      <c r="E283" s="103">
        <f>(COUNTIFS('Phase2 - Fill-in'!B$1:B$1000,A283,'Phase2 - Fill-in'!E$1:E$1000,Dictionnary!C$666)+0.5*COUNTIFS('Phase2 - Fill-in'!B$1:B$1000,A283,'Phase2 - Fill-in'!E$1:E$1000,Dictionnary!C$669))/(COUNTIFS('Phase2 - Fill-in'!B$5:B$1000,A283,'Phase2 - Fill-in'!E$5:E$1000,"&lt;&gt;Dictionnary!C669"))</f>
        <v>0.33333333333333331</v>
      </c>
      <c r="F283" s="13"/>
    </row>
    <row r="284" spans="1:6" s="1" customFormat="1" ht="47.25" x14ac:dyDescent="0.25">
      <c r="A284" s="207" t="str">
        <f>Dictionnary!A408</f>
        <v>CF2.3</v>
      </c>
      <c r="B284" s="14" t="str">
        <f>Dictionnary!B408</f>
        <v>Customer Focus</v>
      </c>
      <c r="C284" s="15" t="str">
        <f>Dictionnary!C408</f>
        <v>Is the correctness of the biological reference intervals/diagnostic decision values and alert/critical interval values regularly verified for all the examinations performed by the laboratory?</v>
      </c>
      <c r="D284" s="16" t="s">
        <v>1408</v>
      </c>
      <c r="E284" s="103">
        <f>(COUNTIFS('Phase2 - Fill-in'!B$1:B$1000,A284,'Phase2 - Fill-in'!E$1:E$1000,Dictionnary!C$666)+0.5*COUNTIFS('Phase2 - Fill-in'!B$1:B$1000,A284,'Phase2 - Fill-in'!E$1:E$1000,Dictionnary!C$669))/(COUNTIFS('Phase2 - Fill-in'!B$5:B$1000,A284,'Phase2 - Fill-in'!E$5:E$1000,"&lt;&gt;Dictionnary!C669"))</f>
        <v>1</v>
      </c>
      <c r="F284" s="13"/>
    </row>
    <row r="285" spans="1:6" s="1" customFormat="1" ht="47.25" x14ac:dyDescent="0.25">
      <c r="A285" s="207" t="str">
        <f>Dictionnary!A409</f>
        <v>CF2.4</v>
      </c>
      <c r="B285" s="14" t="str">
        <f>Dictionnary!B409</f>
        <v>Customer Focus</v>
      </c>
      <c r="C285" s="15" t="str">
        <f>Dictionnary!C409</f>
        <v>If the methodology of an examination is changed, does the laboratory verify if the biological reference interval/diagnostic decision value and alert/critical interval value is still correct for that examination?</v>
      </c>
      <c r="D285" s="16" t="s">
        <v>1409</v>
      </c>
      <c r="E285" s="103">
        <f>(COUNTIFS('Phase2 - Fill-in'!B$1:B$1000,A285,'Phase2 - Fill-in'!E$1:E$1000,Dictionnary!C$666)+0.5*COUNTIFS('Phase2 - Fill-in'!B$1:B$1000,A285,'Phase2 - Fill-in'!E$1:E$1000,Dictionnary!C$669))/(COUNTIFS('Phase2 - Fill-in'!B$5:B$1000,A285,'Phase2 - Fill-in'!E$5:E$1000,"&lt;&gt;Dictionnary!C669"))</f>
        <v>1</v>
      </c>
      <c r="F285" s="13"/>
    </row>
    <row r="286" spans="1:6" s="1" customFormat="1" ht="31.5" x14ac:dyDescent="0.25">
      <c r="A286" s="207" t="str">
        <f>Dictionnary!A410</f>
        <v>CF2.5</v>
      </c>
      <c r="B286" s="14" t="str">
        <f>Dictionnary!B410</f>
        <v>Customer Focus</v>
      </c>
      <c r="C286" s="15" t="str">
        <f>Dictionnary!C410</f>
        <v>Does the laboratory have a service manual that includes the following: [tick-off]</v>
      </c>
      <c r="D286" s="16" t="s">
        <v>1409</v>
      </c>
      <c r="E286" s="103" t="e">
        <f>(COUNTIFS('Phase2 - Fill-in'!B$1:B$1000,A286,'Phase2 - Fill-in'!E$1:E$1000,Dictionnary!C$666)+0.5*COUNTIFS('Phase2 - Fill-in'!B$1:B$1000,A286,'Phase2 - Fill-in'!E$1:E$1000,Dictionnary!C$669))/(COUNTIFS('Phase2 - Fill-in'!B$5:B$1000,A286,'Phase2 - Fill-in'!E$5:E$1000,"&lt;&gt;Dictionnary!C669"))</f>
        <v>#DIV/0!</v>
      </c>
      <c r="F286" s="13"/>
    </row>
    <row r="287" spans="1:6" s="1" customFormat="1" ht="47.25" x14ac:dyDescent="0.25">
      <c r="A287" s="207" t="str">
        <f>Dictionnary!A411</f>
        <v>CF2.5a</v>
      </c>
      <c r="B287" s="14" t="str">
        <f>Dictionnary!B411</f>
        <v>Customer Focus</v>
      </c>
      <c r="C287" s="15" t="str">
        <f>Dictionnary!C411</f>
        <v>Description of which tests are available at the laboratory, including information on which the clinical situations require this test to be performed.</v>
      </c>
      <c r="D287" s="16" t="s">
        <v>1409</v>
      </c>
      <c r="E287" s="103" t="e">
        <f>(COUNTIFS('Phase2 - Fill-in'!B$1:B$1000,A287,'Phase2 - Fill-in'!E$1:E$1000,Dictionnary!C$666)+0.5*COUNTIFS('Phase2 - Fill-in'!B$1:B$1000,A287,'Phase2 - Fill-in'!E$1:E$1000,Dictionnary!C$669))/(COUNTIFS('Phase2 - Fill-in'!B$5:B$1000,A287,'Phase2 - Fill-in'!E$5:E$1000,"&lt;&gt;Dictionnary!C669"))</f>
        <v>#DIV/0!</v>
      </c>
      <c r="F287" s="13"/>
    </row>
    <row r="288" spans="1:6" s="1" customFormat="1" ht="31.5" x14ac:dyDescent="0.25">
      <c r="A288" s="207" t="str">
        <f>Dictionnary!A412</f>
        <v>CF2.5b</v>
      </c>
      <c r="B288" s="14" t="str">
        <f>Dictionnary!B412</f>
        <v>Customer Focus</v>
      </c>
      <c r="C288" s="15" t="str">
        <f>Dictionnary!C412</f>
        <v>What sample is needed for each test, the volume/amount needed and, if applicable, special timing of collection.</v>
      </c>
      <c r="D288" s="16" t="s">
        <v>1409</v>
      </c>
      <c r="E288" s="103" t="e">
        <f>(COUNTIFS('Phase2 - Fill-in'!B$1:B$1000,A288,'Phase2 - Fill-in'!E$1:E$1000,Dictionnary!C$666)+0.5*COUNTIFS('Phase2 - Fill-in'!B$1:B$1000,A288,'Phase2 - Fill-in'!E$1:E$1000,Dictionnary!C$669))/(COUNTIFS('Phase2 - Fill-in'!B$5:B$1000,A288,'Phase2 - Fill-in'!E$5:E$1000,"&lt;&gt;Dictionnary!C669"))</f>
        <v>#DIV/0!</v>
      </c>
      <c r="F288" s="13"/>
    </row>
    <row r="289" spans="1:6" s="1" customFormat="1" ht="15.75" x14ac:dyDescent="0.25">
      <c r="A289" s="207" t="str">
        <f>Dictionnary!A413</f>
        <v>CF2.5XX</v>
      </c>
      <c r="B289" s="14" t="str">
        <f>Dictionnary!B413</f>
        <v>Customer Focus</v>
      </c>
      <c r="C289" s="15" t="str">
        <f>Dictionnary!C413</f>
        <v>How this sample must be collected, including:</v>
      </c>
      <c r="D289" s="16" t="s">
        <v>1409</v>
      </c>
      <c r="E289" s="103" t="e">
        <f>(COUNTIFS('Phase2 - Fill-in'!B$1:B$1000,A289,'Phase2 - Fill-in'!E$1:E$1000,Dictionnary!C$666)+0.5*COUNTIFS('Phase2 - Fill-in'!B$1:B$1000,A289,'Phase2 - Fill-in'!E$1:E$1000,Dictionnary!C$669))/(COUNTIFS('Phase2 - Fill-in'!B$5:B$1000,A289,'Phase2 - Fill-in'!E$5:E$1000,"&lt;&gt;Dictionnary!C669"))</f>
        <v>#DIV/0!</v>
      </c>
      <c r="F289" s="13"/>
    </row>
    <row r="290" spans="1:6" s="1" customFormat="1" ht="47.25" x14ac:dyDescent="0.25">
      <c r="A290" s="207" t="str">
        <f>Dictionnary!A414</f>
        <v>CF2.5dc</v>
      </c>
      <c r="B290" s="14" t="str">
        <f>Dictionnary!B414</f>
        <v>Customer Focus</v>
      </c>
      <c r="C290" s="15" t="str">
        <f>Dictionnary!C414</f>
        <v>Identification of the patient and verification that the patient meets the pre-examination requirements (e.g. for some examinations the patient must be sober; the sample collector must verify that the patient is indeed sober).</v>
      </c>
      <c r="D290" s="16" t="s">
        <v>1409</v>
      </c>
      <c r="E290" s="103" t="e">
        <f>(COUNTIFS('Phase2 - Fill-in'!B$1:B$1000,A290,'Phase2 - Fill-in'!E$1:E$1000,Dictionnary!C$666)+0.5*COUNTIFS('Phase2 - Fill-in'!B$1:B$1000,A290,'Phase2 - Fill-in'!E$1:E$1000,Dictionnary!C$669))/(COUNTIFS('Phase2 - Fill-in'!B$5:B$1000,A290,'Phase2 - Fill-in'!E$5:E$1000,"&lt;&gt;Dictionnary!C669"))</f>
        <v>#DIV/0!</v>
      </c>
      <c r="F290" s="13"/>
    </row>
    <row r="291" spans="1:6" s="1" customFormat="1" ht="15.75" x14ac:dyDescent="0.25">
      <c r="A291" s="207" t="str">
        <f>Dictionnary!A415</f>
        <v>CF2.5d</v>
      </c>
      <c r="B291" s="14" t="str">
        <f>Dictionnary!B415</f>
        <v>Customer Focus</v>
      </c>
      <c r="C291" s="15" t="str">
        <f>Dictionnary!C415</f>
        <v>How to prepare the patient.</v>
      </c>
      <c r="D291" s="16" t="s">
        <v>1408</v>
      </c>
      <c r="E291" s="103" t="e">
        <f>(COUNTIFS('Phase2 - Fill-in'!B$1:B$1000,A291,'Phase2 - Fill-in'!E$1:E$1000,Dictionnary!C$666)+0.5*COUNTIFS('Phase2 - Fill-in'!B$1:B$1000,A291,'Phase2 - Fill-in'!E$1:E$1000,Dictionnary!C$669))/(COUNTIFS('Phase2 - Fill-in'!B$5:B$1000,A291,'Phase2 - Fill-in'!E$5:E$1000,"&lt;&gt;Dictionnary!C669"))</f>
        <v>#DIV/0!</v>
      </c>
      <c r="F291" s="13"/>
    </row>
    <row r="292" spans="1:6" s="1" customFormat="1" ht="15.75" x14ac:dyDescent="0.25">
      <c r="A292" s="207" t="str">
        <f>Dictionnary!A416</f>
        <v>CF2.5e</v>
      </c>
      <c r="B292" s="14" t="str">
        <f>Dictionnary!B416</f>
        <v>Customer Focus</v>
      </c>
      <c r="C292" s="15" t="str">
        <f>Dictionnary!C416</f>
        <v>How to label the patient.</v>
      </c>
      <c r="D292" s="16" t="s">
        <v>1408</v>
      </c>
      <c r="E292" s="103" t="e">
        <f>(COUNTIFS('Phase2 - Fill-in'!B$1:B$1000,A292,'Phase2 - Fill-in'!E$1:E$1000,Dictionnary!C$666)+0.5*COUNTIFS('Phase2 - Fill-in'!B$1:B$1000,A292,'Phase2 - Fill-in'!E$1:E$1000,Dictionnary!C$669))/(COUNTIFS('Phase2 - Fill-in'!B$5:B$1000,A292,'Phase2 - Fill-in'!E$5:E$1000,"&lt;&gt;Dictionnary!C669"))</f>
        <v>#DIV/0!</v>
      </c>
      <c r="F292" s="13"/>
    </row>
    <row r="293" spans="1:6" s="1" customFormat="1" ht="15.75" x14ac:dyDescent="0.25">
      <c r="A293" s="207" t="str">
        <f>Dictionnary!A417</f>
        <v>CF2.5f</v>
      </c>
      <c r="B293" s="14" t="str">
        <f>Dictionnary!B417</f>
        <v>Customer Focus</v>
      </c>
      <c r="C293" s="15" t="str">
        <f>Dictionnary!C417</f>
        <v>The type of container in which the sample must be collected.</v>
      </c>
      <c r="D293" s="16" t="s">
        <v>1408</v>
      </c>
      <c r="E293" s="103" t="e">
        <f>(COUNTIFS('Phase2 - Fill-in'!B$1:B$1000,A293,'Phase2 - Fill-in'!E$1:E$1000,Dictionnary!C$666)+0.5*COUNTIFS('Phase2 - Fill-in'!B$1:B$1000,A293,'Phase2 - Fill-in'!E$1:E$1000,Dictionnary!C$669))/(COUNTIFS('Phase2 - Fill-in'!B$5:B$1000,A293,'Phase2 - Fill-in'!E$5:E$1000,"&lt;&gt;Dictionnary!C669"))</f>
        <v>#DIV/0!</v>
      </c>
      <c r="F293" s="13"/>
    </row>
    <row r="294" spans="1:6" s="1" customFormat="1" ht="31.5" x14ac:dyDescent="0.25">
      <c r="A294" s="207" t="str">
        <f>Dictionnary!A418</f>
        <v>CF2.5XX</v>
      </c>
      <c r="B294" s="14" t="str">
        <f>Dictionnary!B418</f>
        <v>Customer Focus</v>
      </c>
      <c r="C294" s="15" t="str">
        <f>Dictionnary!C418</f>
        <v>How and under which conditions it must be packed and sent to the laboratory, including:</v>
      </c>
      <c r="D294" s="16" t="s">
        <v>1409</v>
      </c>
      <c r="E294" s="103" t="e">
        <f>(COUNTIFS('Phase2 - Fill-in'!B$1:B$1000,A294,'Phase2 - Fill-in'!E$1:E$1000,Dictionnary!C$666)+0.5*COUNTIFS('Phase2 - Fill-in'!B$1:B$1000,A294,'Phase2 - Fill-in'!E$1:E$1000,Dictionnary!C$669))/(COUNTIFS('Phase2 - Fill-in'!B$5:B$1000,A294,'Phase2 - Fill-in'!E$5:E$1000,"&lt;&gt;Dictionnary!C669"))</f>
        <v>#DIV/0!</v>
      </c>
      <c r="F294" s="13"/>
    </row>
    <row r="295" spans="1:6" s="1" customFormat="1" ht="15.75" x14ac:dyDescent="0.25">
      <c r="A295" s="207" t="str">
        <f>Dictionnary!A419</f>
        <v>CF2.5g</v>
      </c>
      <c r="B295" s="14" t="str">
        <f>Dictionnary!B419</f>
        <v>Customer Focus</v>
      </c>
      <c r="C295" s="15" t="str">
        <f>Dictionnary!C419</f>
        <v>Time frame within which the sample must be sent to the laboratory.</v>
      </c>
      <c r="D295" s="16" t="s">
        <v>1409</v>
      </c>
      <c r="E295" s="103" t="e">
        <f>(COUNTIFS('Phase2 - Fill-in'!B$1:B$1000,A295,'Phase2 - Fill-in'!E$1:E$1000,Dictionnary!C$666)+0.5*COUNTIFS('Phase2 - Fill-in'!B$1:B$1000,A295,'Phase2 - Fill-in'!E$1:E$1000,Dictionnary!C$669))/(COUNTIFS('Phase2 - Fill-in'!B$5:B$1000,A295,'Phase2 - Fill-in'!E$5:E$1000,"&lt;&gt;Dictionnary!C669"))</f>
        <v>#DIV/0!</v>
      </c>
      <c r="F295" s="13"/>
    </row>
    <row r="296" spans="1:6" s="1" customFormat="1" ht="15.75" x14ac:dyDescent="0.25">
      <c r="A296" s="207" t="str">
        <f>Dictionnary!A420</f>
        <v>CF2.5h</v>
      </c>
      <c r="B296" s="14" t="str">
        <f>Dictionnary!B420</f>
        <v>Customer Focus</v>
      </c>
      <c r="C296" s="15" t="str">
        <f>Dictionnary!C420</f>
        <v>Temperature interval in which it must be transported.</v>
      </c>
      <c r="D296" s="16" t="s">
        <v>1408</v>
      </c>
      <c r="E296" s="103" t="e">
        <f>(COUNTIFS('Phase2 - Fill-in'!B$1:B$1000,A296,'Phase2 - Fill-in'!E$1:E$1000,Dictionnary!C$666)+0.5*COUNTIFS('Phase2 - Fill-in'!B$1:B$1000,A296,'Phase2 - Fill-in'!E$1:E$1000,Dictionnary!C$669))/(COUNTIFS('Phase2 - Fill-in'!B$5:B$1000,A296,'Phase2 - Fill-in'!E$5:E$1000,"&lt;&gt;Dictionnary!C669"))</f>
        <v>#DIV/0!</v>
      </c>
      <c r="F296" s="13"/>
    </row>
    <row r="297" spans="1:6" s="1" customFormat="1" ht="15.75" x14ac:dyDescent="0.25">
      <c r="A297" s="207" t="str">
        <f>Dictionnary!A421</f>
        <v>CF2.5i</v>
      </c>
      <c r="B297" s="14" t="str">
        <f>Dictionnary!B421</f>
        <v>Customer Focus</v>
      </c>
      <c r="C297" s="15" t="str">
        <f>Dictionnary!C421</f>
        <v>The method of packing the sample container to prevent leaks.</v>
      </c>
      <c r="D297" s="16" t="s">
        <v>1409</v>
      </c>
      <c r="E297" s="103" t="e">
        <f>(COUNTIFS('Phase2 - Fill-in'!B$1:B$1000,A297,'Phase2 - Fill-in'!E$1:E$1000,Dictionnary!C$666)+0.5*COUNTIFS('Phase2 - Fill-in'!B$1:B$1000,A297,'Phase2 - Fill-in'!E$1:E$1000,Dictionnary!C$669))/(COUNTIFS('Phase2 - Fill-in'!B$5:B$1000,A297,'Phase2 - Fill-in'!E$5:E$1000,"&lt;&gt;Dictionnary!C669"))</f>
        <v>#DIV/0!</v>
      </c>
      <c r="F297" s="13"/>
    </row>
    <row r="298" spans="1:6" s="1" customFormat="1" ht="15.75" x14ac:dyDescent="0.25">
      <c r="A298" s="207" t="str">
        <f>Dictionnary!A422</f>
        <v>CF2.5j</v>
      </c>
      <c r="B298" s="14" t="str">
        <f>Dictionnary!B422</f>
        <v>Customer Focus</v>
      </c>
      <c r="C298" s="15" t="str">
        <f>Dictionnary!C422</f>
        <v>If applicable, requirements regarding patient consent.</v>
      </c>
      <c r="D298" s="16" t="s">
        <v>1408</v>
      </c>
      <c r="E298" s="103" t="e">
        <f>(COUNTIFS('Phase2 - Fill-in'!B$1:B$1000,A298,'Phase2 - Fill-in'!E$1:E$1000,Dictionnary!C$666)+0.5*COUNTIFS('Phase2 - Fill-in'!B$1:B$1000,A298,'Phase2 - Fill-in'!E$1:E$1000,Dictionnary!C$669))/(COUNTIFS('Phase2 - Fill-in'!B$5:B$1000,A298,'Phase2 - Fill-in'!E$5:E$1000,"&lt;&gt;Dictionnary!C669"))</f>
        <v>#DIV/0!</v>
      </c>
      <c r="F298" s="13"/>
    </row>
    <row r="299" spans="1:6" s="1" customFormat="1" ht="31.5" x14ac:dyDescent="0.25">
      <c r="A299" s="207" t="str">
        <f>Dictionnary!A423</f>
        <v>CF2.5k</v>
      </c>
      <c r="B299" s="14" t="str">
        <f>Dictionnary!B423</f>
        <v>Customer Focus</v>
      </c>
      <c r="C299" s="15" t="str">
        <f>Dictionnary!C423</f>
        <v>The procedure for requesting routine laboratory testing, including how to complete the Request Form.</v>
      </c>
      <c r="D299" s="16" t="s">
        <v>1408</v>
      </c>
      <c r="E299" s="103" t="e">
        <f>(COUNTIFS('Phase2 - Fill-in'!B$1:B$1000,A299,'Phase2 - Fill-in'!E$1:E$1000,Dictionnary!C$666)+0.5*COUNTIFS('Phase2 - Fill-in'!B$1:B$1000,A299,'Phase2 - Fill-in'!E$1:E$1000,Dictionnary!C$669))/(COUNTIFS('Phase2 - Fill-in'!B$5:B$1000,A299,'Phase2 - Fill-in'!E$5:E$1000,"&lt;&gt;Dictionnary!C669"))</f>
        <v>#DIV/0!</v>
      </c>
      <c r="F299" s="13"/>
    </row>
    <row r="300" spans="1:6" s="1" customFormat="1" ht="15.75" x14ac:dyDescent="0.25">
      <c r="A300" s="207" t="str">
        <f>Dictionnary!A424</f>
        <v>CF2.5l</v>
      </c>
      <c r="B300" s="14" t="str">
        <f>Dictionnary!B424</f>
        <v>Customer Focus</v>
      </c>
      <c r="C300" s="15" t="str">
        <f>Dictionnary!C424</f>
        <v>The procedure for requesting urgent laboratory testing.</v>
      </c>
      <c r="D300" s="16" t="s">
        <v>1408</v>
      </c>
      <c r="E300" s="103" t="e">
        <f>(COUNTIFS('Phase2 - Fill-in'!B$1:B$1000,A300,'Phase2 - Fill-in'!E$1:E$1000,Dictionnary!C$666)+0.5*COUNTIFS('Phase2 - Fill-in'!B$1:B$1000,A300,'Phase2 - Fill-in'!E$1:E$1000,Dictionnary!C$669))/(COUNTIFS('Phase2 - Fill-in'!B$5:B$1000,A300,'Phase2 - Fill-in'!E$5:E$1000,"&lt;&gt;Dictionnary!C669"))</f>
        <v>#DIV/0!</v>
      </c>
      <c r="F300" s="13"/>
    </row>
    <row r="301" spans="1:6" s="1" customFormat="1" ht="15.75" x14ac:dyDescent="0.25">
      <c r="A301" s="207" t="str">
        <f>Dictionnary!A425</f>
        <v>CF2.5m</v>
      </c>
      <c r="B301" s="14" t="str">
        <f>Dictionnary!B425</f>
        <v>Customer Focus</v>
      </c>
      <c r="C301" s="15" t="str">
        <f>Dictionnary!C425</f>
        <v>The normal turnaround time for each test.</v>
      </c>
      <c r="D301" s="16" t="s">
        <v>1408</v>
      </c>
      <c r="E301" s="103" t="e">
        <f>(COUNTIFS('Phase2 - Fill-in'!B$1:B$1000,A301,'Phase2 - Fill-in'!E$1:E$1000,Dictionnary!C$666)+0.5*COUNTIFS('Phase2 - Fill-in'!B$1:B$1000,A301,'Phase2 - Fill-in'!E$1:E$1000,Dictionnary!C$669))/(COUNTIFS('Phase2 - Fill-in'!B$5:B$1000,A301,'Phase2 - Fill-in'!E$5:E$1000,"&lt;&gt;Dictionnary!C669"))</f>
        <v>#DIV/0!</v>
      </c>
      <c r="F301" s="13"/>
    </row>
    <row r="302" spans="1:6" s="1" customFormat="1" ht="31.5" x14ac:dyDescent="0.25">
      <c r="A302" s="207" t="str">
        <f>Dictionnary!A426</f>
        <v>CF2.5n</v>
      </c>
      <c r="B302" s="14" t="str">
        <f>Dictionnary!B426</f>
        <v>Customer Focus</v>
      </c>
      <c r="C302" s="15" t="str">
        <f>Dictionnary!C426</f>
        <v>The biological reference intervals and, if applicable, the critical/alert values for specific tests.</v>
      </c>
      <c r="D302" s="16" t="s">
        <v>1408</v>
      </c>
      <c r="E302" s="103" t="e">
        <f>(COUNTIFS('Phase2 - Fill-in'!B$1:B$1000,A302,'Phase2 - Fill-in'!E$1:E$1000,Dictionnary!C$666)+0.5*COUNTIFS('Phase2 - Fill-in'!B$1:B$1000,A302,'Phase2 - Fill-in'!E$1:E$1000,Dictionnary!C$669))/(COUNTIFS('Phase2 - Fill-in'!B$5:B$1000,A302,'Phase2 - Fill-in'!E$5:E$1000,"&lt;&gt;Dictionnary!C669"))</f>
        <v>#DIV/0!</v>
      </c>
      <c r="F302" s="13"/>
    </row>
    <row r="303" spans="1:6" s="1" customFormat="1" ht="31.5" x14ac:dyDescent="0.25">
      <c r="A303" s="207" t="str">
        <f>Dictionnary!A427</f>
        <v>CF2.5o</v>
      </c>
      <c r="B303" s="14" t="str">
        <f>Dictionnary!B427</f>
        <v>Customer Focus</v>
      </c>
      <c r="C303" s="15" t="str">
        <f>Dictionnary!C427</f>
        <v>A list of factors known to affect the performance of the examination or the interpretation of results of each examination.</v>
      </c>
      <c r="D303" s="16" t="s">
        <v>1408</v>
      </c>
      <c r="E303" s="103" t="e">
        <f>(COUNTIFS('Phase2 - Fill-in'!B$1:B$1000,A303,'Phase2 - Fill-in'!E$1:E$1000,Dictionnary!C$666)+0.5*COUNTIFS('Phase2 - Fill-in'!B$1:B$1000,A303,'Phase2 - Fill-in'!E$1:E$1000,Dictionnary!C$669))/(COUNTIFS('Phase2 - Fill-in'!B$5:B$1000,A303,'Phase2 - Fill-in'!E$5:E$1000,"&lt;&gt;Dictionnary!C669"))</f>
        <v>#DIV/0!</v>
      </c>
      <c r="F303" s="13"/>
    </row>
    <row r="304" spans="1:6" s="1" customFormat="1" ht="15.75" x14ac:dyDescent="0.25">
      <c r="A304" s="207" t="str">
        <f>Dictionnary!A428</f>
        <v>CF2.5p</v>
      </c>
      <c r="B304" s="14" t="str">
        <f>Dictionnary!B428</f>
        <v>Customer Focus</v>
      </c>
      <c r="C304" s="15" t="str">
        <f>Dictionnary!C428</f>
        <v>The routine method of reporting.</v>
      </c>
      <c r="D304" s="16" t="s">
        <v>1408</v>
      </c>
      <c r="E304" s="103" t="e">
        <f>(COUNTIFS('Phase2 - Fill-in'!B$1:B$1000,A304,'Phase2 - Fill-in'!E$1:E$1000,Dictionnary!C$666)+0.5*COUNTIFS('Phase2 - Fill-in'!B$1:B$1000,A304,'Phase2 - Fill-in'!E$1:E$1000,Dictionnary!C$669))/(COUNTIFS('Phase2 - Fill-in'!B$5:B$1000,A304,'Phase2 - Fill-in'!E$5:E$1000,"&lt;&gt;Dictionnary!C669"))</f>
        <v>#DIV/0!</v>
      </c>
      <c r="F304" s="13"/>
    </row>
    <row r="305" spans="1:6" s="1" customFormat="1" ht="15.75" x14ac:dyDescent="0.25">
      <c r="A305" s="207" t="str">
        <f>Dictionnary!A429</f>
        <v>CF2.5q</v>
      </c>
      <c r="B305" s="14" t="str">
        <f>Dictionnary!B429</f>
        <v>Customer Focus</v>
      </c>
      <c r="C305" s="15" t="str">
        <f>Dictionnary!C429</f>
        <v>A guideline to interpreting the Result Report.</v>
      </c>
      <c r="D305" s="16" t="s">
        <v>1408</v>
      </c>
      <c r="E305" s="103" t="e">
        <f>(COUNTIFS('Phase2 - Fill-in'!B$1:B$1000,A305,'Phase2 - Fill-in'!E$1:E$1000,Dictionnary!C$666)+0.5*COUNTIFS('Phase2 - Fill-in'!B$1:B$1000,A305,'Phase2 - Fill-in'!E$1:E$1000,Dictionnary!C$669))/(COUNTIFS('Phase2 - Fill-in'!B$5:B$1000,A305,'Phase2 - Fill-in'!E$5:E$1000,"&lt;&gt;Dictionnary!C669"))</f>
        <v>#DIV/0!</v>
      </c>
      <c r="F305" s="13"/>
    </row>
    <row r="306" spans="1:6" s="1" customFormat="1" ht="15.75" x14ac:dyDescent="0.25">
      <c r="A306" s="207" t="str">
        <f>Dictionnary!A430</f>
        <v>CF2.5r</v>
      </c>
      <c r="B306" s="14" t="str">
        <f>Dictionnary!B430</f>
        <v>Customer Focus</v>
      </c>
      <c r="C306" s="15" t="str">
        <f>Dictionnary!C430</f>
        <v>The procedure for reporting urgent testing results.</v>
      </c>
      <c r="D306" s="16" t="s">
        <v>1408</v>
      </c>
      <c r="E306" s="103" t="e">
        <f>(COUNTIFS('Phase2 - Fill-in'!B$1:B$1000,A306,'Phase2 - Fill-in'!E$1:E$1000,Dictionnary!C$666)+0.5*COUNTIFS('Phase2 - Fill-in'!B$1:B$1000,A306,'Phase2 - Fill-in'!E$1:E$1000,Dictionnary!C$669))/(COUNTIFS('Phase2 - Fill-in'!B$5:B$1000,A306,'Phase2 - Fill-in'!E$5:E$1000,"&lt;&gt;Dictionnary!C669"))</f>
        <v>#DIV/0!</v>
      </c>
      <c r="F306" s="13"/>
    </row>
    <row r="307" spans="1:6" s="1" customFormat="1" ht="31.5" x14ac:dyDescent="0.25">
      <c r="A307" s="207" t="str">
        <f>Dictionnary!A431</f>
        <v>CF2.5s</v>
      </c>
      <c r="B307" s="14" t="str">
        <f>Dictionnary!B431</f>
        <v>Customer Focus</v>
      </c>
      <c r="C307" s="15" t="str">
        <f>Dictionnary!C431</f>
        <v>Requesting additional testing, including the time-frame in which this is possible.</v>
      </c>
      <c r="D307" s="16" t="s">
        <v>1409</v>
      </c>
      <c r="E307" s="103" t="e">
        <f>(COUNTIFS('Phase2 - Fill-in'!B$1:B$1000,A307,'Phase2 - Fill-in'!E$1:E$1000,Dictionnary!C$666)+0.5*COUNTIFS('Phase2 - Fill-in'!B$1:B$1000,A307,'Phase2 - Fill-in'!E$1:E$1000,Dictionnary!C$669))/(COUNTIFS('Phase2 - Fill-in'!B$5:B$1000,A307,'Phase2 - Fill-in'!E$5:E$1000,"&lt;&gt;Dictionnary!C669"))</f>
        <v>#DIV/0!</v>
      </c>
      <c r="F307" s="13"/>
    </row>
    <row r="308" spans="1:6" s="1" customFormat="1" ht="15.75" x14ac:dyDescent="0.25">
      <c r="A308" s="207" t="str">
        <f>Dictionnary!A432</f>
        <v>CF2.5t</v>
      </c>
      <c r="B308" s="14" t="str">
        <f>Dictionnary!B432</f>
        <v>Customer Focus</v>
      </c>
      <c r="C308" s="15" t="str">
        <f>Dictionnary!C432</f>
        <v>The laboratory’s policy on protection of patient information.</v>
      </c>
      <c r="D308" s="16" t="s">
        <v>1409</v>
      </c>
      <c r="E308" s="103" t="e">
        <f>(COUNTIFS('Phase2 - Fill-in'!B$1:B$1000,A308,'Phase2 - Fill-in'!E$1:E$1000,Dictionnary!C$666)+0.5*COUNTIFS('Phase2 - Fill-in'!B$1:B$1000,A308,'Phase2 - Fill-in'!E$1:E$1000,Dictionnary!C$669))/(COUNTIFS('Phase2 - Fill-in'!B$5:B$1000,A308,'Phase2 - Fill-in'!E$5:E$1000,"&lt;&gt;Dictionnary!C669"))</f>
        <v>#DIV/0!</v>
      </c>
      <c r="F308" s="13"/>
    </row>
    <row r="309" spans="1:6" s="1" customFormat="1" ht="31.5" x14ac:dyDescent="0.25">
      <c r="A309" s="207" t="str">
        <f>Dictionnary!A433</f>
        <v>CF2.5u</v>
      </c>
      <c r="B309" s="14" t="str">
        <f>Dictionnary!B433</f>
        <v>Customer Focus</v>
      </c>
      <c r="C309" s="15" t="str">
        <f>Dictionnary!C433</f>
        <v>The laboratory’s complaint procedure (this will not yet be included in phase 2 as this will be developed in phase 4).</v>
      </c>
      <c r="D309" s="16" t="s">
        <v>1408</v>
      </c>
      <c r="E309" s="103" t="e">
        <f>(COUNTIFS('Phase2 - Fill-in'!B$1:B$1000,A309,'Phase2 - Fill-in'!E$1:E$1000,Dictionnary!C$666)+0.5*COUNTIFS('Phase2 - Fill-in'!B$1:B$1000,A309,'Phase2 - Fill-in'!E$1:E$1000,Dictionnary!C$669))/(COUNTIFS('Phase2 - Fill-in'!B$5:B$1000,A309,'Phase2 - Fill-in'!E$5:E$1000,"&lt;&gt;Dictionnary!C669"))</f>
        <v>#DIV/0!</v>
      </c>
      <c r="F309" s="13"/>
    </row>
    <row r="310" spans="1:6" s="1" customFormat="1" ht="31.5" x14ac:dyDescent="0.25">
      <c r="A310" s="207" t="str">
        <f>Dictionnary!A434</f>
        <v>CF2.6</v>
      </c>
      <c r="B310" s="99" t="str">
        <f>Dictionnary!B434</f>
        <v>Customer Focus</v>
      </c>
      <c r="C310" s="17" t="str">
        <f>Dictionnary!C434</f>
        <v>Has the Laboratory Service Manual been sent to all the clients of the laboratory?</v>
      </c>
      <c r="D310" s="12" t="s">
        <v>1409</v>
      </c>
      <c r="E310" s="103">
        <f>(COUNTIFS('Phase2 - Fill-in'!B$1:B$1000,A310,'Phase2 - Fill-in'!E$1:E$1000,Dictionnary!C$666)+0.5*COUNTIFS('Phase2 - Fill-in'!B$1:B$1000,A310,'Phase2 - Fill-in'!E$1:E$1000,Dictionnary!C$669))/(COUNTIFS('Phase2 - Fill-in'!B$5:B$1000,A310,'Phase2 - Fill-in'!E$5:E$1000,"&lt;&gt;Dictionnary!C669"))</f>
        <v>0</v>
      </c>
      <c r="F310" s="13"/>
    </row>
    <row r="311" spans="1:6" s="1" customFormat="1" ht="47.25" x14ac:dyDescent="0.25">
      <c r="A311" s="207" t="str">
        <f>Dictionnary!A435</f>
        <v>CF2.7</v>
      </c>
      <c r="B311" s="14" t="str">
        <f>Dictionnary!B435</f>
        <v>Customer Focus</v>
      </c>
      <c r="C311" s="15" t="str">
        <f>Dictionnary!C435</f>
        <v>When changes are made to the service manual, is the new version directly printed and sent to the clients of the laboratory, with the note that they have to destroy the previous version?</v>
      </c>
      <c r="D311" s="16" t="s">
        <v>1409</v>
      </c>
      <c r="E311" s="103">
        <f>(COUNTIFS('Phase2 - Fill-in'!B$1:B$1000,A311,'Phase2 - Fill-in'!E$1:E$1000,Dictionnary!C$666)+0.5*COUNTIFS('Phase2 - Fill-in'!B$1:B$1000,A311,'Phase2 - Fill-in'!E$1:E$1000,Dictionnary!C$669))/(COUNTIFS('Phase2 - Fill-in'!B$5:B$1000,A311,'Phase2 - Fill-in'!E$5:E$1000,"&lt;&gt;Dictionnary!C669"))</f>
        <v>1</v>
      </c>
      <c r="F311" s="13"/>
    </row>
    <row r="312" spans="1:6" s="1" customFormat="1" ht="47.25" x14ac:dyDescent="0.25">
      <c r="A312" s="207" t="str">
        <f>Dictionnary!A436</f>
        <v>CF2.31</v>
      </c>
      <c r="B312" s="99" t="str">
        <f>Dictionnary!B436</f>
        <v>Customer Focus</v>
      </c>
      <c r="C312" s="17" t="str">
        <f>Dictionnary!C436</f>
        <v>Are correct biological reference intervals/decision values and alert/critical interval values included for all the examinations performed by the laboratory in the Laboratory Service Manual?</v>
      </c>
      <c r="D312" s="12" t="s">
        <v>1409</v>
      </c>
      <c r="E312" s="103">
        <f>(COUNTIFS('Phase2 - Fill-in'!B$1:B$1000,A312,'Phase2 - Fill-in'!E$1:E$1000,Dictionnary!C$666)+0.5*COUNTIFS('Phase2 - Fill-in'!B$1:B$1000,A312,'Phase2 - Fill-in'!E$1:E$1000,Dictionnary!C$669))/(COUNTIFS('Phase2 - Fill-in'!B$5:B$1000,A312,'Phase2 - Fill-in'!E$5:E$1000,"&lt;&gt;Dictionnary!C669"))</f>
        <v>0</v>
      </c>
      <c r="F312" s="13"/>
    </row>
    <row r="313" spans="1:6" s="1" customFormat="1" ht="94.5" x14ac:dyDescent="0.25">
      <c r="A313" s="207" t="str">
        <f>Dictionnary!A437</f>
        <v>CF2.32</v>
      </c>
      <c r="B313" s="14" t="str">
        <f>Dictionnary!B437</f>
        <v>Customer Focus</v>
      </c>
      <c r="C313" s="15" t="str">
        <f>Dictionnary!C437</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313" s="16" t="s">
        <v>1409</v>
      </c>
      <c r="E313" s="103">
        <f>(COUNTIFS('Phase2 - Fill-in'!B$1:B$1000,A313,'Phase2 - Fill-in'!E$1:E$1000,Dictionnary!C$666)+0.5*COUNTIFS('Phase2 - Fill-in'!B$1:B$1000,A313,'Phase2 - Fill-in'!E$1:E$1000,Dictionnary!C$669))/(COUNTIFS('Phase2 - Fill-in'!B$5:B$1000,A313,'Phase2 - Fill-in'!E$5:E$1000,"&lt;&gt;Dictionnary!C669"))</f>
        <v>0.66666666666666663</v>
      </c>
      <c r="F313" s="13"/>
    </row>
    <row r="314" spans="1:6" s="1" customFormat="1" ht="31.5" x14ac:dyDescent="0.25">
      <c r="A314" s="207" t="str">
        <f>Dictionnary!A438</f>
        <v>ASSESS2.1</v>
      </c>
      <c r="B314" s="99" t="str">
        <f>Dictionnary!B438</f>
        <v>Assessment</v>
      </c>
      <c r="C314" s="17" t="str">
        <f>Dictionnary!C438</f>
        <v>Does the laboratory participate in proficiency testing/inter-laboratory comparison schemes for all the examinations performed?</v>
      </c>
      <c r="D314" s="12" t="s">
        <v>1408</v>
      </c>
      <c r="E314" s="103" t="e">
        <f>(COUNTIFS('Phase2 - Fill-in'!B$1:B$1000,A314,'Phase2 - Fill-in'!E$1:E$1000,Dictionnary!C$666)+0.5*COUNTIFS('Phase2 - Fill-in'!B$1:B$1000,A314,'Phase2 - Fill-in'!E$1:E$1000,Dictionnary!C$669))/(COUNTIFS('Phase2 - Fill-in'!B$5:B$1000,A314,'Phase2 - Fill-in'!E$5:E$1000,"&lt;&gt;Dictionnary!C669"))</f>
        <v>#DIV/0!</v>
      </c>
      <c r="F314" s="13"/>
    </row>
    <row r="315" spans="1:6" s="1" customFormat="1" ht="47.25" x14ac:dyDescent="0.25">
      <c r="A315" s="207" t="str">
        <f>Dictionnary!A439</f>
        <v>ASSESS2.2</v>
      </c>
      <c r="B315" s="14" t="str">
        <f>Dictionnary!B439</f>
        <v>Assessment</v>
      </c>
      <c r="C315" s="15" t="str">
        <f>Dictionnary!C439</f>
        <v>If participation in a proficiency testing scheme or organization of an inter-laboratory comparison for a certain test is not possible: does the laboratory have a rechecking/retesting system to compare results?</v>
      </c>
      <c r="D315" s="16" t="s">
        <v>1408</v>
      </c>
      <c r="E315" s="103" t="e">
        <f>(COUNTIFS('Phase2 - Fill-in'!B$1:B$1000,A315,'Phase2 - Fill-in'!E$1:E$1000,Dictionnary!C$666)+0.5*COUNTIFS('Phase2 - Fill-in'!B$1:B$1000,A315,'Phase2 - Fill-in'!E$1:E$1000,Dictionnary!C$669))/(COUNTIFS('Phase2 - Fill-in'!B$5:B$1000,A315,'Phase2 - Fill-in'!E$5:E$1000,"&lt;&gt;Dictionnary!C669"))</f>
        <v>#DIV/0!</v>
      </c>
      <c r="F315" s="13"/>
    </row>
    <row r="316" spans="1:6" s="1" customFormat="1" ht="63" x14ac:dyDescent="0.25">
      <c r="A316" s="207" t="str">
        <f>Dictionnary!A440</f>
        <v>ASSESS2.3</v>
      </c>
      <c r="B316" s="99" t="str">
        <f>Dictionnary!B440</f>
        <v>Assessment</v>
      </c>
      <c r="C316" s="17" t="str">
        <f>Dictionnary!C440</f>
        <v>If results of proficiency testing/inter-laboratory comparisons are deviating/incorrect, does the laboratory act with performing an analysis to identify the causes of the problem and does it implement corrective actions, controls and, if possible, preventive actions?</v>
      </c>
      <c r="D316" s="12" t="s">
        <v>1408</v>
      </c>
      <c r="E316" s="103" t="e">
        <f>(COUNTIFS('Phase2 - Fill-in'!B$1:B$1000,A316,'Phase2 - Fill-in'!E$1:E$1000,Dictionnary!C$666)+0.5*COUNTIFS('Phase2 - Fill-in'!B$1:B$1000,A316,'Phase2 - Fill-in'!E$1:E$1000,Dictionnary!C$669))/(COUNTIFS('Phase2 - Fill-in'!B$5:B$1000,A316,'Phase2 - Fill-in'!E$5:E$1000,"&lt;&gt;Dictionnary!C669"))</f>
        <v>#DIV/0!</v>
      </c>
      <c r="F316" s="13"/>
    </row>
    <row r="317" spans="1:6" s="1" customFormat="1" ht="31.5" x14ac:dyDescent="0.25">
      <c r="A317" s="207" t="str">
        <f>Dictionnary!A441</f>
        <v>ASSESS2.4</v>
      </c>
      <c r="B317" s="14" t="str">
        <f>Dictionnary!B441</f>
        <v>Assessment</v>
      </c>
      <c r="C317" s="15" t="str">
        <f>Dictionnary!C441</f>
        <v>Does the laboratory have an SOP for participation in a proficiency testing scheme and/or an inter-laboratory comparison scheme?</v>
      </c>
      <c r="D317" s="16" t="s">
        <v>1409</v>
      </c>
      <c r="E317" s="103" t="e">
        <f>(COUNTIFS('Phase2 - Fill-in'!B$1:B$1000,A317,'Phase2 - Fill-in'!E$1:E$1000,Dictionnary!C$666)+0.5*COUNTIFS('Phase2 - Fill-in'!B$1:B$1000,A317,'Phase2 - Fill-in'!E$1:E$1000,Dictionnary!C$669))/(COUNTIFS('Phase2 - Fill-in'!B$5:B$1000,A317,'Phase2 - Fill-in'!E$5:E$1000,"&lt;&gt;Dictionnary!C669"))</f>
        <v>#DIV/0!</v>
      </c>
      <c r="F317" s="13"/>
    </row>
    <row r="318" spans="1:6" s="1" customFormat="1" ht="47.25" x14ac:dyDescent="0.25">
      <c r="A318" s="207" t="str">
        <f>Dictionnary!A442</f>
        <v>ASSESS2.5</v>
      </c>
      <c r="B318" s="99" t="str">
        <f>Dictionnary!B442</f>
        <v>Assessment</v>
      </c>
      <c r="C318" s="17" t="str">
        <f>Dictionnary!C442</f>
        <v>If the laboratory is the organizer of an inter-laboratory comparison scheme, does the SOP for External Quality Assessment include the procedure for organizing this?</v>
      </c>
      <c r="D318" s="12" t="s">
        <v>1409</v>
      </c>
      <c r="E318" s="103" t="e">
        <f>(COUNTIFS('Phase2 - Fill-in'!B$1:B$1000,A318,'Phase2 - Fill-in'!E$1:E$1000,Dictionnary!C$666)+0.5*COUNTIFS('Phase2 - Fill-in'!B$1:B$1000,A318,'Phase2 - Fill-in'!E$1:E$1000,Dictionnary!C$669))/(COUNTIFS('Phase2 - Fill-in'!B$5:B$1000,A318,'Phase2 - Fill-in'!E$5:E$1000,"&lt;&gt;Dictionnary!C669"))</f>
        <v>#DIV/0!</v>
      </c>
      <c r="F318" s="13"/>
    </row>
    <row r="319" spans="1:6" s="1" customFormat="1" ht="47.25" x14ac:dyDescent="0.25">
      <c r="A319" s="207" t="str">
        <f>Dictionnary!A443</f>
        <v>ASSESS2.6</v>
      </c>
      <c r="B319" s="14" t="str">
        <f>Dictionnary!B443</f>
        <v>Assessment</v>
      </c>
      <c r="C319" s="15" t="str">
        <f>Dictionnary!C443</f>
        <v>If the laboratory rechecks/retests samples for a certain test (in case no PT or inter-laboratory comparison was possible), does the SOP for External Quality Assessment include the procedure for organizing this?</v>
      </c>
      <c r="D319" s="16" t="s">
        <v>1408</v>
      </c>
      <c r="E319" s="103" t="e">
        <f>(COUNTIFS('Phase2 - Fill-in'!B$1:B$1000,A319,'Phase2 - Fill-in'!E$1:E$1000,Dictionnary!C$666)+0.5*COUNTIFS('Phase2 - Fill-in'!B$1:B$1000,A319,'Phase2 - Fill-in'!E$1:E$1000,Dictionnary!C$669))/(COUNTIFS('Phase2 - Fill-in'!B$5:B$1000,A319,'Phase2 - Fill-in'!E$5:E$1000,"&lt;&gt;Dictionnary!C669"))</f>
        <v>#DIV/0!</v>
      </c>
      <c r="F319" s="13"/>
    </row>
  </sheetData>
  <mergeCells count="2">
    <mergeCell ref="A1:D1"/>
    <mergeCell ref="B2:D2"/>
  </mergeCells>
  <conditionalFormatting sqref="A1">
    <cfRule type="dataBar" priority="163">
      <dataBar>
        <cfvo type="min"/>
        <cfvo type="max"/>
        <color theme="8" tint="-0.249977111117893"/>
      </dataBar>
      <extLst>
        <ext xmlns:x14="http://schemas.microsoft.com/office/spreadsheetml/2009/9/main" uri="{B025F937-C7B1-47D3-B67F-A62EFF666E3E}">
          <x14:id>{2848F299-C112-4C96-B495-4811A078ECB7}</x14:id>
        </ext>
      </extLst>
    </cfRule>
    <cfRule type="dataBar" priority="164">
      <dataBar>
        <cfvo type="num" val="0"/>
        <cfvo type="num" val="1"/>
        <color theme="8" tint="-0.249977111117893"/>
      </dataBar>
      <extLst>
        <ext xmlns:x14="http://schemas.microsoft.com/office/spreadsheetml/2009/9/main" uri="{B025F937-C7B1-47D3-B67F-A62EFF666E3E}">
          <x14:id>{831456F0-5A1E-4B61-A7EB-8FD4B2FC7517}</x14:id>
        </ext>
      </extLst>
    </cfRule>
  </conditionalFormatting>
  <conditionalFormatting sqref="F4:F5">
    <cfRule type="colorScale" priority="159">
      <colorScale>
        <cfvo type="num" val="0"/>
        <cfvo type="num" val="1"/>
        <color rgb="FFC00000"/>
        <color theme="9"/>
      </colorScale>
    </cfRule>
  </conditionalFormatting>
  <conditionalFormatting sqref="E4:E319">
    <cfRule type="colorScale" priority="158">
      <colorScale>
        <cfvo type="num" val="0"/>
        <cfvo type="num" val="1"/>
        <color rgb="FFFF7128"/>
        <color theme="9" tint="0.39997558519241921"/>
      </colorScale>
    </cfRule>
  </conditionalFormatting>
  <conditionalFormatting sqref="F6:F18">
    <cfRule type="colorScale" priority="157">
      <colorScale>
        <cfvo type="num" val="0"/>
        <cfvo type="num" val="1"/>
        <color rgb="FFC00000"/>
        <color theme="9"/>
      </colorScale>
    </cfRule>
  </conditionalFormatting>
  <conditionalFormatting sqref="F19:F24">
    <cfRule type="colorScale" priority="155">
      <colorScale>
        <cfvo type="num" val="0"/>
        <cfvo type="num" val="1"/>
        <color rgb="FFC00000"/>
        <color theme="9"/>
      </colorScale>
    </cfRule>
  </conditionalFormatting>
  <conditionalFormatting sqref="F25:F35">
    <cfRule type="colorScale" priority="153">
      <colorScale>
        <cfvo type="num" val="0"/>
        <cfvo type="num" val="1"/>
        <color rgb="FFC00000"/>
        <color theme="9"/>
      </colorScale>
    </cfRule>
  </conditionalFormatting>
  <conditionalFormatting sqref="F312 F314 F316 F318">
    <cfRule type="colorScale" priority="3">
      <colorScale>
        <cfvo type="num" val="0"/>
        <cfvo type="num" val="1"/>
        <color rgb="FFC00000"/>
        <color theme="9"/>
      </colorScale>
    </cfRule>
  </conditionalFormatting>
  <conditionalFormatting sqref="F36:F44">
    <cfRule type="colorScale" priority="149">
      <colorScale>
        <cfvo type="num" val="0"/>
        <cfvo type="num" val="1"/>
        <color rgb="FFC00000"/>
        <color theme="9"/>
      </colorScale>
    </cfRule>
  </conditionalFormatting>
  <conditionalFormatting sqref="F45:F54">
    <cfRule type="colorScale" priority="147">
      <colorScale>
        <cfvo type="num" val="0"/>
        <cfvo type="num" val="1"/>
        <color rgb="FFC00000"/>
        <color theme="9"/>
      </colorScale>
    </cfRule>
  </conditionalFormatting>
  <conditionalFormatting sqref="F55">
    <cfRule type="colorScale" priority="145">
      <colorScale>
        <cfvo type="num" val="0"/>
        <cfvo type="num" val="1"/>
        <color rgb="FFC00000"/>
        <color theme="9"/>
      </colorScale>
    </cfRule>
  </conditionalFormatting>
  <conditionalFormatting sqref="F56 F58 F60 F62 F64">
    <cfRule type="colorScale" priority="143">
      <colorScale>
        <cfvo type="num" val="0"/>
        <cfvo type="num" val="1"/>
        <color rgb="FFC00000"/>
        <color theme="9"/>
      </colorScale>
    </cfRule>
  </conditionalFormatting>
  <conditionalFormatting sqref="F57 F59 F61 F63 F65">
    <cfRule type="colorScale" priority="141">
      <colorScale>
        <cfvo type="num" val="0"/>
        <cfvo type="num" val="1"/>
        <color rgb="FFC00000"/>
        <color theme="9"/>
      </colorScale>
    </cfRule>
  </conditionalFormatting>
  <conditionalFormatting sqref="F66:F69">
    <cfRule type="colorScale" priority="139">
      <colorScale>
        <cfvo type="num" val="0"/>
        <cfvo type="num" val="1"/>
        <color rgb="FFC00000"/>
        <color theme="9"/>
      </colorScale>
    </cfRule>
  </conditionalFormatting>
  <conditionalFormatting sqref="F71">
    <cfRule type="colorScale" priority="137">
      <colorScale>
        <cfvo type="num" val="0"/>
        <cfvo type="num" val="1"/>
        <color rgb="FFC00000"/>
        <color theme="9"/>
      </colorScale>
    </cfRule>
  </conditionalFormatting>
  <conditionalFormatting sqref="F70">
    <cfRule type="colorScale" priority="135">
      <colorScale>
        <cfvo type="num" val="0"/>
        <cfvo type="num" val="1"/>
        <color rgb="FFC00000"/>
        <color theme="9"/>
      </colorScale>
    </cfRule>
  </conditionalFormatting>
  <conditionalFormatting sqref="F73 F75 F77 F79">
    <cfRule type="colorScale" priority="133">
      <colorScale>
        <cfvo type="num" val="0"/>
        <cfvo type="num" val="1"/>
        <color rgb="FFC00000"/>
        <color theme="9"/>
      </colorScale>
    </cfRule>
  </conditionalFormatting>
  <conditionalFormatting sqref="F72 F74 F76 F78">
    <cfRule type="colorScale" priority="131">
      <colorScale>
        <cfvo type="num" val="0"/>
        <cfvo type="num" val="1"/>
        <color rgb="FFC00000"/>
        <color theme="9"/>
      </colorScale>
    </cfRule>
  </conditionalFormatting>
  <conditionalFormatting sqref="F80:F83">
    <cfRule type="colorScale" priority="129">
      <colorScale>
        <cfvo type="num" val="0"/>
        <cfvo type="num" val="1"/>
        <color rgb="FFC00000"/>
        <color theme="9"/>
      </colorScale>
    </cfRule>
  </conditionalFormatting>
  <conditionalFormatting sqref="F84">
    <cfRule type="colorScale" priority="127">
      <colorScale>
        <cfvo type="num" val="0"/>
        <cfvo type="num" val="1"/>
        <color rgb="FFC00000"/>
        <color theme="9"/>
      </colorScale>
    </cfRule>
  </conditionalFormatting>
  <conditionalFormatting sqref="F85">
    <cfRule type="colorScale" priority="125">
      <colorScale>
        <cfvo type="num" val="0"/>
        <cfvo type="num" val="1"/>
        <color rgb="FFC00000"/>
        <color theme="9"/>
      </colorScale>
    </cfRule>
  </conditionalFormatting>
  <conditionalFormatting sqref="F86 F88 F90 F92 F94">
    <cfRule type="colorScale" priority="123">
      <colorScale>
        <cfvo type="num" val="0"/>
        <cfvo type="num" val="1"/>
        <color rgb="FFC00000"/>
        <color theme="9"/>
      </colorScale>
    </cfRule>
  </conditionalFormatting>
  <conditionalFormatting sqref="F87 F89 F91 F93">
    <cfRule type="colorScale" priority="121">
      <colorScale>
        <cfvo type="num" val="0"/>
        <cfvo type="num" val="1"/>
        <color rgb="FFC00000"/>
        <color theme="9"/>
      </colorScale>
    </cfRule>
  </conditionalFormatting>
  <conditionalFormatting sqref="F311 F313 F315 F317 F319">
    <cfRule type="colorScale" priority="5">
      <colorScale>
        <cfvo type="num" val="0"/>
        <cfvo type="num" val="1"/>
        <color rgb="FFC00000"/>
        <color theme="9"/>
      </colorScale>
    </cfRule>
  </conditionalFormatting>
  <conditionalFormatting sqref="F96">
    <cfRule type="colorScale" priority="115">
      <colorScale>
        <cfvo type="num" val="0"/>
        <cfvo type="num" val="1"/>
        <color rgb="FFC00000"/>
        <color theme="9"/>
      </colorScale>
    </cfRule>
  </conditionalFormatting>
  <conditionalFormatting sqref="F95">
    <cfRule type="colorScale" priority="113">
      <colorScale>
        <cfvo type="num" val="0"/>
        <cfvo type="num" val="1"/>
        <color rgb="FFC00000"/>
        <color theme="9"/>
      </colorScale>
    </cfRule>
  </conditionalFormatting>
  <conditionalFormatting sqref="F97:F104">
    <cfRule type="colorScale" priority="111">
      <colorScale>
        <cfvo type="num" val="0"/>
        <cfvo type="num" val="1"/>
        <color rgb="FFC00000"/>
        <color theme="9"/>
      </colorScale>
    </cfRule>
  </conditionalFormatting>
  <conditionalFormatting sqref="F105">
    <cfRule type="colorScale" priority="109">
      <colorScale>
        <cfvo type="num" val="0"/>
        <cfvo type="num" val="1"/>
        <color rgb="FFC00000"/>
        <color theme="9"/>
      </colorScale>
    </cfRule>
  </conditionalFormatting>
  <conditionalFormatting sqref="F106">
    <cfRule type="colorScale" priority="107">
      <colorScale>
        <cfvo type="num" val="0"/>
        <cfvo type="num" val="1"/>
        <color rgb="FFC00000"/>
        <color theme="9"/>
      </colorScale>
    </cfRule>
  </conditionalFormatting>
  <conditionalFormatting sqref="F107 F109">
    <cfRule type="colorScale" priority="105">
      <colorScale>
        <cfvo type="num" val="0"/>
        <cfvo type="num" val="1"/>
        <color rgb="FFC00000"/>
        <color theme="9"/>
      </colorScale>
    </cfRule>
  </conditionalFormatting>
  <conditionalFormatting sqref="F108 F110">
    <cfRule type="colorScale" priority="103">
      <colorScale>
        <cfvo type="num" val="0"/>
        <cfvo type="num" val="1"/>
        <color rgb="FFC00000"/>
        <color theme="9"/>
      </colorScale>
    </cfRule>
  </conditionalFormatting>
  <conditionalFormatting sqref="F111:F116">
    <cfRule type="colorScale" priority="101">
      <colorScale>
        <cfvo type="num" val="0"/>
        <cfvo type="num" val="1"/>
        <color rgb="FFC00000"/>
        <color theme="9"/>
      </colorScale>
    </cfRule>
  </conditionalFormatting>
  <conditionalFormatting sqref="F117 F119 F121 F123 F125 F127">
    <cfRule type="colorScale" priority="99">
      <colorScale>
        <cfvo type="num" val="0"/>
        <cfvo type="num" val="1"/>
        <color rgb="FFC00000"/>
        <color theme="9"/>
      </colorScale>
    </cfRule>
  </conditionalFormatting>
  <conditionalFormatting sqref="F118 F120 F122 F124 F126 F128">
    <cfRule type="colorScale" priority="97">
      <colorScale>
        <cfvo type="num" val="0"/>
        <cfvo type="num" val="1"/>
        <color rgb="FFC00000"/>
        <color theme="9"/>
      </colorScale>
    </cfRule>
  </conditionalFormatting>
  <conditionalFormatting sqref="F129:F143">
    <cfRule type="colorScale" priority="95">
      <colorScale>
        <cfvo type="num" val="0"/>
        <cfvo type="num" val="1"/>
        <color rgb="FFC00000"/>
        <color theme="9"/>
      </colorScale>
    </cfRule>
  </conditionalFormatting>
  <conditionalFormatting sqref="F144">
    <cfRule type="colorScale" priority="93">
      <colorScale>
        <cfvo type="num" val="0"/>
        <cfvo type="num" val="1"/>
        <color rgb="FFC00000"/>
        <color theme="9"/>
      </colorScale>
    </cfRule>
  </conditionalFormatting>
  <conditionalFormatting sqref="F145">
    <cfRule type="colorScale" priority="91">
      <colorScale>
        <cfvo type="num" val="0"/>
        <cfvo type="num" val="1"/>
        <color rgb="FFC00000"/>
        <color theme="9"/>
      </colorScale>
    </cfRule>
  </conditionalFormatting>
  <conditionalFormatting sqref="F146">
    <cfRule type="colorScale" priority="89">
      <colorScale>
        <cfvo type="num" val="0"/>
        <cfvo type="num" val="1"/>
        <color rgb="FFC00000"/>
        <color theme="9"/>
      </colorScale>
    </cfRule>
  </conditionalFormatting>
  <conditionalFormatting sqref="F147:F154">
    <cfRule type="colorScale" priority="87">
      <colorScale>
        <cfvo type="num" val="0"/>
        <cfvo type="num" val="1"/>
        <color rgb="FFC00000"/>
        <color theme="9"/>
      </colorScale>
    </cfRule>
  </conditionalFormatting>
  <conditionalFormatting sqref="F155">
    <cfRule type="colorScale" priority="77">
      <colorScale>
        <cfvo type="num" val="0"/>
        <cfvo type="num" val="1"/>
        <color rgb="FFC00000"/>
        <color theme="9"/>
      </colorScale>
    </cfRule>
  </conditionalFormatting>
  <conditionalFormatting sqref="F156">
    <cfRule type="colorScale" priority="75">
      <colorScale>
        <cfvo type="num" val="0"/>
        <cfvo type="num" val="1"/>
        <color rgb="FFC00000"/>
        <color theme="9"/>
      </colorScale>
    </cfRule>
  </conditionalFormatting>
  <conditionalFormatting sqref="F157">
    <cfRule type="colorScale" priority="69">
      <colorScale>
        <cfvo type="num" val="0"/>
        <cfvo type="num" val="1"/>
        <color rgb="FFC00000"/>
        <color theme="9"/>
      </colorScale>
    </cfRule>
  </conditionalFormatting>
  <conditionalFormatting sqref="F158:F168">
    <cfRule type="colorScale" priority="67">
      <colorScale>
        <cfvo type="num" val="0"/>
        <cfvo type="num" val="1"/>
        <color rgb="FFC00000"/>
        <color theme="9"/>
      </colorScale>
    </cfRule>
  </conditionalFormatting>
  <conditionalFormatting sqref="F169">
    <cfRule type="colorScale" priority="65">
      <colorScale>
        <cfvo type="num" val="0"/>
        <cfvo type="num" val="1"/>
        <color rgb="FFC00000"/>
        <color theme="9"/>
      </colorScale>
    </cfRule>
  </conditionalFormatting>
  <conditionalFormatting sqref="F170:F176">
    <cfRule type="colorScale" priority="63">
      <colorScale>
        <cfvo type="num" val="0"/>
        <cfvo type="num" val="1"/>
        <color rgb="FFC00000"/>
        <color theme="9"/>
      </colorScale>
    </cfRule>
  </conditionalFormatting>
  <conditionalFormatting sqref="F177">
    <cfRule type="colorScale" priority="61">
      <colorScale>
        <cfvo type="num" val="0"/>
        <cfvo type="num" val="1"/>
        <color rgb="FFC00000"/>
        <color theme="9"/>
      </colorScale>
    </cfRule>
  </conditionalFormatting>
  <conditionalFormatting sqref="F178 F180 F182">
    <cfRule type="colorScale" priority="59">
      <colorScale>
        <cfvo type="num" val="0"/>
        <cfvo type="num" val="1"/>
        <color rgb="FFC00000"/>
        <color theme="9"/>
      </colorScale>
    </cfRule>
  </conditionalFormatting>
  <conditionalFormatting sqref="F179 F181">
    <cfRule type="colorScale" priority="57">
      <colorScale>
        <cfvo type="num" val="0"/>
        <cfvo type="num" val="1"/>
        <color rgb="FFC00000"/>
        <color theme="9"/>
      </colorScale>
    </cfRule>
  </conditionalFormatting>
  <conditionalFormatting sqref="F183:F187">
    <cfRule type="colorScale" priority="55">
      <colorScale>
        <cfvo type="num" val="0"/>
        <cfvo type="num" val="1"/>
        <color rgb="FFC00000"/>
        <color theme="9"/>
      </colorScale>
    </cfRule>
  </conditionalFormatting>
  <conditionalFormatting sqref="F188">
    <cfRule type="colorScale" priority="53">
      <colorScale>
        <cfvo type="num" val="0"/>
        <cfvo type="num" val="1"/>
        <color rgb="FFC00000"/>
        <color theme="9"/>
      </colorScale>
    </cfRule>
  </conditionalFormatting>
  <conditionalFormatting sqref="F189 F191 F193 F195">
    <cfRule type="colorScale" priority="51">
      <colorScale>
        <cfvo type="num" val="0"/>
        <cfvo type="num" val="1"/>
        <color rgb="FFC00000"/>
        <color theme="9"/>
      </colorScale>
    </cfRule>
  </conditionalFormatting>
  <conditionalFormatting sqref="F190 F192 F194 F196">
    <cfRule type="colorScale" priority="49">
      <colorScale>
        <cfvo type="num" val="0"/>
        <cfvo type="num" val="1"/>
        <color rgb="FFC00000"/>
        <color theme="9"/>
      </colorScale>
    </cfRule>
  </conditionalFormatting>
  <conditionalFormatting sqref="F197:F207">
    <cfRule type="colorScale" priority="47">
      <colorScale>
        <cfvo type="num" val="0"/>
        <cfvo type="num" val="1"/>
        <color rgb="FFC00000"/>
        <color theme="9"/>
      </colorScale>
    </cfRule>
  </conditionalFormatting>
  <conditionalFormatting sqref="F208">
    <cfRule type="colorScale" priority="45">
      <colorScale>
        <cfvo type="num" val="0"/>
        <cfvo type="num" val="1"/>
        <color rgb="FFC00000"/>
        <color theme="9"/>
      </colorScale>
    </cfRule>
  </conditionalFormatting>
  <conditionalFormatting sqref="F209 F211 F213 F215 F217">
    <cfRule type="colorScale" priority="43">
      <colorScale>
        <cfvo type="num" val="0"/>
        <cfvo type="num" val="1"/>
        <color rgb="FFC00000"/>
        <color theme="9"/>
      </colorScale>
    </cfRule>
  </conditionalFormatting>
  <conditionalFormatting sqref="F210 F212 F214 F216">
    <cfRule type="colorScale" priority="41">
      <colorScale>
        <cfvo type="num" val="0"/>
        <cfvo type="num" val="1"/>
        <color rgb="FFC00000"/>
        <color theme="9"/>
      </colorScale>
    </cfRule>
  </conditionalFormatting>
  <conditionalFormatting sqref="F218:F227">
    <cfRule type="colorScale" priority="39">
      <colorScale>
        <cfvo type="num" val="0"/>
        <cfvo type="num" val="1"/>
        <color rgb="FFC00000"/>
        <color theme="9"/>
      </colorScale>
    </cfRule>
  </conditionalFormatting>
  <conditionalFormatting sqref="F228">
    <cfRule type="colorScale" priority="37">
      <colorScale>
        <cfvo type="num" val="0"/>
        <cfvo type="num" val="1"/>
        <color rgb="FFC00000"/>
        <color theme="9"/>
      </colorScale>
    </cfRule>
  </conditionalFormatting>
  <conditionalFormatting sqref="F229 F231 F233 F235">
    <cfRule type="colorScale" priority="35">
      <colorScale>
        <cfvo type="num" val="0"/>
        <cfvo type="num" val="1"/>
        <color rgb="FFC00000"/>
        <color theme="9"/>
      </colorScale>
    </cfRule>
  </conditionalFormatting>
  <conditionalFormatting sqref="F230 F232 F234 F236">
    <cfRule type="colorScale" priority="33">
      <colorScale>
        <cfvo type="num" val="0"/>
        <cfvo type="num" val="1"/>
        <color rgb="FFC00000"/>
        <color theme="9"/>
      </colorScale>
    </cfRule>
  </conditionalFormatting>
  <conditionalFormatting sqref="F237:F239">
    <cfRule type="colorScale" priority="31">
      <colorScale>
        <cfvo type="num" val="0"/>
        <cfvo type="num" val="1"/>
        <color rgb="FFC00000"/>
        <color theme="9"/>
      </colorScale>
    </cfRule>
  </conditionalFormatting>
  <conditionalFormatting sqref="F240">
    <cfRule type="colorScale" priority="29">
      <colorScale>
        <cfvo type="num" val="0"/>
        <cfvo type="num" val="1"/>
        <color rgb="FFC00000"/>
        <color theme="9"/>
      </colorScale>
    </cfRule>
  </conditionalFormatting>
  <conditionalFormatting sqref="F241 F243">
    <cfRule type="colorScale" priority="27">
      <colorScale>
        <cfvo type="num" val="0"/>
        <cfvo type="num" val="1"/>
        <color rgb="FFC00000"/>
        <color theme="9"/>
      </colorScale>
    </cfRule>
  </conditionalFormatting>
  <conditionalFormatting sqref="F242">
    <cfRule type="colorScale" priority="25">
      <colorScale>
        <cfvo type="num" val="0"/>
        <cfvo type="num" val="1"/>
        <color rgb="FFC00000"/>
        <color theme="9"/>
      </colorScale>
    </cfRule>
  </conditionalFormatting>
  <conditionalFormatting sqref="F244:F259">
    <cfRule type="colorScale" priority="23">
      <colorScale>
        <cfvo type="num" val="0"/>
        <cfvo type="num" val="1"/>
        <color rgb="FFC00000"/>
        <color theme="9"/>
      </colorScale>
    </cfRule>
  </conditionalFormatting>
  <conditionalFormatting sqref="F260">
    <cfRule type="colorScale" priority="21">
      <colorScale>
        <cfvo type="num" val="0"/>
        <cfvo type="num" val="1"/>
        <color rgb="FFC00000"/>
        <color theme="9"/>
      </colorScale>
    </cfRule>
  </conditionalFormatting>
  <conditionalFormatting sqref="F261:F270">
    <cfRule type="colorScale" priority="19">
      <colorScale>
        <cfvo type="num" val="0"/>
        <cfvo type="num" val="1"/>
        <color rgb="FFC00000"/>
        <color theme="9"/>
      </colorScale>
    </cfRule>
  </conditionalFormatting>
  <conditionalFormatting sqref="F271">
    <cfRule type="colorScale" priority="17">
      <colorScale>
        <cfvo type="num" val="0"/>
        <cfvo type="num" val="1"/>
        <color rgb="FFC00000"/>
        <color theme="9"/>
      </colorScale>
    </cfRule>
  </conditionalFormatting>
  <conditionalFormatting sqref="F272 F274 F276 F278 F280 F282 F284:F305">
    <cfRule type="colorScale" priority="15">
      <colorScale>
        <cfvo type="num" val="0"/>
        <cfvo type="num" val="1"/>
        <color rgb="FFC00000"/>
        <color theme="9"/>
      </colorScale>
    </cfRule>
  </conditionalFormatting>
  <conditionalFormatting sqref="F273 F275 F277 F279 F281 F283 F285">
    <cfRule type="colorScale" priority="13">
      <colorScale>
        <cfvo type="num" val="0"/>
        <cfvo type="num" val="1"/>
        <color rgb="FFC00000"/>
        <color theme="9"/>
      </colorScale>
    </cfRule>
  </conditionalFormatting>
  <conditionalFormatting sqref="F306:F309">
    <cfRule type="colorScale" priority="10">
      <colorScale>
        <cfvo type="num" val="0"/>
        <cfvo type="num" val="1"/>
        <color rgb="FFC00000"/>
        <color theme="9"/>
      </colorScale>
    </cfRule>
  </conditionalFormatting>
  <conditionalFormatting sqref="F310">
    <cfRule type="colorScale" priority="8">
      <colorScale>
        <cfvo type="num" val="0"/>
        <cfvo type="num" val="1"/>
        <color rgb="FFC00000"/>
        <color theme="9"/>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{BBFB7722-C523-8842-8FAE-D8C1300C65E3}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848F299-C112-4C96-B495-4811A078ECB7}">
            <x14:dataBar minLength="0" maxLength="100" gradient="0">
              <x14:cfvo type="autoMin"/>
              <x14:cfvo type="autoMax"/>
              <x14:negativeFillColor rgb="FFFF0000"/>
              <x14:axisColor rgb="FF000000"/>
            </x14:dataBar>
          </x14:cfRule>
          <x14:cfRule type="dataBar" id="{831456F0-5A1E-4B61-A7EB-8FD4B2FC7517}">
            <x14:dataBar minLength="0" maxLength="100" gradient="0">
              <x14:cfvo type="num">
                <xm:f>0</xm:f>
              </x14:cfvo>
              <x14:cfvo type="num">
                <xm:f>1</xm:f>
              </x14:cfvo>
              <x14:negativeFillColor rgb="FFFF0000"/>
              <x14:axisColor rgb="FF000000"/>
            </x14:dataBar>
          </x14:cfRule>
          <xm:sqref>A1</xm:sqref>
        </x14:conditionalFormatting>
        <x14:conditionalFormatting xmlns:xm="http://schemas.microsoft.com/office/excel/2006/main">
          <x14:cfRule type="dataBar" id="{BBFB7722-C523-8842-8FAE-D8C1300C65E3}">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D4:D319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82"/>
  <sheetViews>
    <sheetView topLeftCell="C1" zoomScale="70" zoomScaleNormal="70" workbookViewId="0">
      <selection sqref="A1:XFD2"/>
    </sheetView>
  </sheetViews>
  <sheetFormatPr defaultColWidth="8.85546875" defaultRowHeight="15" x14ac:dyDescent="0.25"/>
  <cols>
    <col min="1" max="1" width="16" style="2" customWidth="1"/>
    <col min="2" max="2" width="24.140625" style="2" bestFit="1" customWidth="1"/>
    <col min="3" max="3" width="91" style="2" customWidth="1"/>
    <col min="4" max="4" width="42.42578125" style="2" customWidth="1"/>
    <col min="5" max="5" width="36.7109375" style="2" customWidth="1"/>
    <col min="6" max="6" width="34.28515625" style="2" customWidth="1"/>
    <col min="7" max="7" width="41.42578125" style="2" customWidth="1"/>
    <col min="8" max="8" width="31" style="2" customWidth="1"/>
    <col min="9" max="9" width="26.85546875" style="2" customWidth="1"/>
    <col min="10" max="10" width="24" style="2" customWidth="1"/>
    <col min="11" max="16384" width="8.85546875" style="2"/>
  </cols>
  <sheetData>
    <row r="1" spans="1:19" s="239" customFormat="1" ht="69" customHeight="1" x14ac:dyDescent="0.25">
      <c r="B1" s="291" t="s">
        <v>3193</v>
      </c>
      <c r="C1" s="291"/>
      <c r="D1" s="291"/>
    </row>
    <row r="2" spans="1:19" s="239" customFormat="1" ht="16.5" thickBot="1" x14ac:dyDescent="0.3">
      <c r="A2" s="290"/>
      <c r="B2" s="290"/>
      <c r="C2" s="239" t="s">
        <v>1414</v>
      </c>
      <c r="D2" s="239" t="s">
        <v>1461</v>
      </c>
      <c r="E2" s="239" t="s">
        <v>1462</v>
      </c>
      <c r="F2" s="239" t="s">
        <v>1463</v>
      </c>
      <c r="G2" s="239" t="s">
        <v>1464</v>
      </c>
    </row>
    <row r="3" spans="1:19" s="42" customFormat="1" ht="15.75" x14ac:dyDescent="0.25">
      <c r="A3" s="28" t="str">
        <f>Phase3!A4</f>
        <v>FS3.1</v>
      </c>
      <c r="B3" s="29" t="str">
        <f>Phase3!B4</f>
        <v>Facilities and Safety</v>
      </c>
      <c r="C3" s="29" t="str">
        <f>Phase3!C4</f>
        <v>Is access to first aid secured at the laboratory?</v>
      </c>
    </row>
    <row r="4" spans="1:19" s="45" customFormat="1" ht="47.25" x14ac:dyDescent="0.25">
      <c r="A4" s="34" t="str">
        <f>Phase3!A5</f>
        <v>FS3.2</v>
      </c>
      <c r="B4" s="35" t="str">
        <f>Phase3!B5</f>
        <v>Facilities and Safety</v>
      </c>
      <c r="C4" s="35" t="str">
        <f>Phase3!C5</f>
        <v>In laboratories where the presence of first aid providers is necessary: have enough staff members been appointed as first aid provider such that continuous presence of at least one first aid provider is ensured?</v>
      </c>
      <c r="H4" s="46"/>
      <c r="I4" s="46"/>
      <c r="J4" s="46"/>
      <c r="K4" s="46"/>
      <c r="L4" s="46"/>
      <c r="M4" s="46"/>
      <c r="N4" s="46"/>
      <c r="O4" s="46"/>
      <c r="P4" s="46"/>
      <c r="Q4" s="46"/>
      <c r="R4" s="46"/>
      <c r="S4" s="46"/>
    </row>
    <row r="5" spans="1:19" s="45" customFormat="1" ht="15.75" x14ac:dyDescent="0.25">
      <c r="A5" s="34" t="str">
        <f>Phase3!A6</f>
        <v>FS3.3</v>
      </c>
      <c r="B5" s="35" t="str">
        <f>Phase3!B6</f>
        <v>Facilities and Safety</v>
      </c>
      <c r="C5" s="35" t="str">
        <f>Phase3!C6</f>
        <v>Is the training of the first aid providers up-to-date?</v>
      </c>
      <c r="H5" s="46"/>
      <c r="I5" s="46"/>
      <c r="J5" s="46"/>
      <c r="K5" s="46"/>
      <c r="L5" s="46"/>
      <c r="M5" s="46"/>
      <c r="N5" s="46"/>
      <c r="O5" s="46"/>
      <c r="P5" s="46"/>
      <c r="Q5" s="46"/>
      <c r="R5" s="46"/>
      <c r="S5" s="46"/>
    </row>
    <row r="6" spans="1:19" s="45" customFormat="1" ht="31.5" x14ac:dyDescent="0.25">
      <c r="A6" s="34" t="str">
        <f>Phase3!A7</f>
        <v>FS3.4</v>
      </c>
      <c r="B6" s="35" t="str">
        <f>Phase3!B7</f>
        <v>Facilities and Safety</v>
      </c>
      <c r="C6" s="35" t="str">
        <f>Phase3!C7</f>
        <v>Does the Biosafety Manual contain an explanation of the tasks and responsibilities of first aid providers?</v>
      </c>
      <c r="H6" s="46"/>
      <c r="I6" s="46"/>
      <c r="J6" s="46"/>
      <c r="K6" s="46"/>
      <c r="L6" s="46"/>
      <c r="M6" s="46"/>
      <c r="N6" s="46"/>
      <c r="O6" s="46"/>
      <c r="P6" s="46"/>
      <c r="Q6" s="46"/>
      <c r="R6" s="46"/>
      <c r="S6" s="46"/>
    </row>
    <row r="7" spans="1:19" s="45" customFormat="1" ht="15.75" x14ac:dyDescent="0.25">
      <c r="A7" s="34" t="str">
        <f>Phase3!A8</f>
        <v>FS3.5</v>
      </c>
      <c r="B7" s="35" t="str">
        <f>Phase3!B8</f>
        <v>Facilities and Safety</v>
      </c>
      <c r="C7" s="35" t="str">
        <f>Phase3!C8</f>
        <v>Is the laboratory staff aware of who the first aid providers are?</v>
      </c>
      <c r="H7" s="46"/>
      <c r="I7" s="46"/>
      <c r="J7" s="46"/>
      <c r="K7" s="46"/>
      <c r="L7" s="46"/>
      <c r="M7" s="46"/>
      <c r="N7" s="46"/>
      <c r="O7" s="46"/>
      <c r="P7" s="46"/>
      <c r="Q7" s="46"/>
      <c r="R7" s="46"/>
      <c r="S7" s="46"/>
    </row>
    <row r="8" spans="1:19" s="104" customFormat="1" ht="32.25" thickBot="1" x14ac:dyDescent="0.3">
      <c r="A8" s="30" t="str">
        <f>Phase3!A9</f>
        <v>FS3.6</v>
      </c>
      <c r="B8" s="31" t="str">
        <f>Phase3!B9</f>
        <v>Facilities and Safety</v>
      </c>
      <c r="C8" s="31" t="str">
        <f>Phase3!C9</f>
        <v>Have the Personal Job Descrptions of the first aid providers been adapted to reflect the authorizations of their position as first aid provider?</v>
      </c>
      <c r="H8" s="98"/>
      <c r="I8" s="98"/>
      <c r="J8" s="98"/>
      <c r="K8" s="98"/>
      <c r="L8" s="98"/>
      <c r="M8" s="98"/>
      <c r="N8" s="293"/>
      <c r="O8" s="293"/>
      <c r="P8" s="293"/>
      <c r="Q8" s="293"/>
      <c r="R8" s="293"/>
      <c r="S8" s="293"/>
    </row>
    <row r="9" spans="1:19" ht="15.75" thickBot="1" x14ac:dyDescent="0.3"/>
    <row r="10" spans="1:19" s="42" customFormat="1" ht="15.75" x14ac:dyDescent="0.25">
      <c r="A10" s="28" t="str">
        <f>Phase3!A10</f>
        <v>FS3.7</v>
      </c>
      <c r="B10" s="29" t="str">
        <f>Phase3!B10</f>
        <v>Facilities and Safety</v>
      </c>
      <c r="C10" s="29" t="str">
        <f>Phase3!C10</f>
        <v>Is the biosafety level III laboratory equipped with a negative pressure system?</v>
      </c>
    </row>
    <row r="11" spans="1:19" s="45" customFormat="1" ht="15.75" x14ac:dyDescent="0.25">
      <c r="A11" s="34" t="str">
        <f>Phase3!A11</f>
        <v>FS3.8</v>
      </c>
      <c r="B11" s="35" t="str">
        <f>Phase3!B11</f>
        <v>Facilities and Safety</v>
      </c>
      <c r="C11" s="35" t="str">
        <f>Phase3!C11</f>
        <v>Is the pressure of the biosafety level III regularly monitored and recorded?</v>
      </c>
      <c r="H11" s="46"/>
      <c r="I11" s="46"/>
      <c r="J11" s="46"/>
      <c r="K11" s="46"/>
      <c r="L11" s="46"/>
      <c r="M11" s="46"/>
      <c r="N11" s="46"/>
      <c r="O11" s="46"/>
      <c r="P11" s="46"/>
      <c r="Q11" s="46"/>
      <c r="R11" s="46"/>
      <c r="S11" s="46"/>
    </row>
    <row r="12" spans="1:19" s="45" customFormat="1" ht="31.5" x14ac:dyDescent="0.25">
      <c r="A12" s="34" t="str">
        <f>Phase3!A12</f>
        <v>FS3.9</v>
      </c>
      <c r="B12" s="35" t="str">
        <f>Phase3!B12</f>
        <v>Facilities and Safety</v>
      </c>
      <c r="C12" s="35" t="str">
        <f>Phase3!C12</f>
        <v>Is the negative pressure system connected to a backup electricity supply to ensure that it keeps functioning during a power failure?</v>
      </c>
      <c r="H12" s="46"/>
      <c r="I12" s="46"/>
      <c r="J12" s="46"/>
      <c r="K12" s="46"/>
      <c r="L12" s="46"/>
      <c r="M12" s="46"/>
      <c r="N12" s="46"/>
      <c r="O12" s="46"/>
      <c r="P12" s="46"/>
      <c r="Q12" s="46"/>
      <c r="R12" s="46"/>
      <c r="S12" s="46"/>
    </row>
    <row r="13" spans="1:19" s="45" customFormat="1" ht="15.75" x14ac:dyDescent="0.25">
      <c r="A13" s="34" t="str">
        <f>Phase3!A13</f>
        <v>FS3.10</v>
      </c>
      <c r="B13" s="35" t="str">
        <f>Phase3!B13</f>
        <v>Facilities and Safety</v>
      </c>
      <c r="C13" s="35" t="str">
        <f>Phase3!C13</f>
        <v>Is the negative pressure system included in the preventive maintenance program of the laboratory?</v>
      </c>
      <c r="H13" s="46"/>
      <c r="I13" s="46"/>
      <c r="J13" s="46"/>
      <c r="K13" s="46"/>
      <c r="L13" s="46"/>
      <c r="M13" s="46"/>
      <c r="N13" s="46"/>
      <c r="O13" s="46"/>
      <c r="P13" s="46"/>
      <c r="Q13" s="46"/>
      <c r="R13" s="46"/>
      <c r="S13" s="46"/>
    </row>
    <row r="14" spans="1:19" s="104" customFormat="1" ht="32.25" thickBot="1" x14ac:dyDescent="0.3">
      <c r="A14" s="30" t="str">
        <f>Phase3!A14</f>
        <v>FS3.11</v>
      </c>
      <c r="B14" s="31" t="str">
        <f>Phase3!B14</f>
        <v>Facilities and Safety</v>
      </c>
      <c r="C14" s="31" t="str">
        <f>Phase3!C14</f>
        <v>Is access into the BSL III laboratory controlled to prevent unauthorized access?</v>
      </c>
      <c r="H14" s="98"/>
      <c r="I14" s="98"/>
      <c r="J14" s="98"/>
      <c r="K14" s="98"/>
      <c r="L14" s="98"/>
      <c r="M14" s="98"/>
      <c r="N14" s="293"/>
      <c r="O14" s="293"/>
      <c r="P14" s="293"/>
      <c r="Q14" s="293"/>
      <c r="R14" s="293"/>
      <c r="S14" s="293"/>
    </row>
    <row r="15" spans="1:19" ht="15.75" thickBot="1" x14ac:dyDescent="0.3"/>
    <row r="16" spans="1:19" s="42" customFormat="1" ht="15.75" x14ac:dyDescent="0.25">
      <c r="A16" s="28" t="str">
        <f>Phase3!A15</f>
        <v>FS3.12</v>
      </c>
      <c r="B16" s="29" t="str">
        <f>Phase3!B15</f>
        <v>Facilities and Safety</v>
      </c>
      <c r="C16" s="29" t="str">
        <f>Phase3!C15</f>
        <v>Is a primary sample collection facility available and physically separate from the laboratory activities?</v>
      </c>
      <c r="D16" s="42" t="s">
        <v>2599</v>
      </c>
      <c r="E16" s="42" t="s">
        <v>2598</v>
      </c>
    </row>
    <row r="17" spans="1:19" s="45" customFormat="1" ht="31.5" x14ac:dyDescent="0.25">
      <c r="A17" s="34" t="str">
        <f>Phase3!A16</f>
        <v>FS3.13</v>
      </c>
      <c r="B17" s="35" t="str">
        <f>Phase3!B16</f>
        <v>Facilities and Safety</v>
      </c>
      <c r="C17" s="35" t="str">
        <f>Phase3!C16</f>
        <v>Are patients in the waiting area and primary sample collection facility protected against rain and direct sunlight?</v>
      </c>
      <c r="H17" s="46"/>
      <c r="I17" s="46"/>
      <c r="J17" s="46"/>
      <c r="K17" s="46"/>
      <c r="L17" s="46"/>
      <c r="M17" s="46"/>
      <c r="N17" s="46"/>
      <c r="O17" s="46"/>
      <c r="P17" s="46"/>
      <c r="Q17" s="46"/>
      <c r="R17" s="46"/>
      <c r="S17" s="46"/>
    </row>
    <row r="18" spans="1:19" s="45" customFormat="1" ht="15.75" x14ac:dyDescent="0.25">
      <c r="A18" s="34" t="str">
        <f>Phase3!A17</f>
        <v>FS3.14</v>
      </c>
      <c r="B18" s="35" t="str">
        <f>Phase3!B17</f>
        <v>Facilities and Safety</v>
      </c>
      <c r="C18" s="35" t="str">
        <f>Phase3!C17</f>
        <v>Does the patient sample collection facility allow for the protection of privacy of patients?</v>
      </c>
      <c r="H18" s="46"/>
      <c r="I18" s="46"/>
      <c r="J18" s="46"/>
      <c r="K18" s="46"/>
      <c r="L18" s="46"/>
      <c r="M18" s="46"/>
      <c r="N18" s="46"/>
      <c r="O18" s="46"/>
      <c r="P18" s="46"/>
      <c r="Q18" s="46"/>
      <c r="R18" s="46"/>
      <c r="S18" s="46"/>
    </row>
    <row r="19" spans="1:19" s="45" customFormat="1" ht="31.5" x14ac:dyDescent="0.25">
      <c r="A19" s="34" t="str">
        <f>Phase3!A18</f>
        <v>FS3.15</v>
      </c>
      <c r="B19" s="35" t="str">
        <f>Phase3!B18</f>
        <v>Facilities and Safety</v>
      </c>
      <c r="C19" s="35" t="str">
        <f>Phase3!C18</f>
        <v>Are there enough chairs in the waiting area and primary sample collection facility so that every patient can sit?</v>
      </c>
      <c r="H19" s="46"/>
      <c r="I19" s="46"/>
      <c r="J19" s="46"/>
      <c r="K19" s="46"/>
      <c r="L19" s="46"/>
      <c r="M19" s="46"/>
      <c r="N19" s="46"/>
      <c r="O19" s="46"/>
      <c r="P19" s="46"/>
      <c r="Q19" s="46"/>
      <c r="R19" s="46"/>
      <c r="S19" s="46"/>
    </row>
    <row r="20" spans="1:19" s="104" customFormat="1" ht="32.25" thickBot="1" x14ac:dyDescent="0.3">
      <c r="A20" s="30" t="str">
        <f>Phase3!A19</f>
        <v>FS3.16</v>
      </c>
      <c r="B20" s="31" t="str">
        <f>Phase3!B19</f>
        <v>Facilities and Safety</v>
      </c>
      <c r="C20" s="31" t="str">
        <f>Phase3!C19</f>
        <v>Is the waiting area and primary sample collection facility accessible for physically handicapped patients?</v>
      </c>
      <c r="D20" s="104" t="s">
        <v>2600</v>
      </c>
      <c r="H20" s="98"/>
      <c r="I20" s="98"/>
      <c r="J20" s="98"/>
      <c r="K20" s="98"/>
      <c r="L20" s="98"/>
      <c r="M20" s="98"/>
      <c r="N20" s="293"/>
      <c r="O20" s="293"/>
      <c r="P20" s="293"/>
      <c r="Q20" s="293"/>
      <c r="R20" s="293"/>
      <c r="S20" s="293"/>
    </row>
    <row r="21" spans="1:19" ht="15.75" thickBot="1" x14ac:dyDescent="0.3">
      <c r="D21" s="187"/>
    </row>
    <row r="22" spans="1:19" s="42" customFormat="1" ht="47.25" x14ac:dyDescent="0.25">
      <c r="A22" s="28" t="str">
        <f>Phase3!A20</f>
        <v>FS3.17</v>
      </c>
      <c r="B22" s="29" t="str">
        <f>Phase3!B20</f>
        <v>Facilities and Safety</v>
      </c>
      <c r="C22" s="29" t="str">
        <f>Phase3!C20</f>
        <v>Are samples stored under appropriate conditions, protected from unauthorized access and demonstrably easily retrievable?</v>
      </c>
      <c r="D22" s="42" t="s">
        <v>2602</v>
      </c>
      <c r="E22" s="42" t="s">
        <v>2603</v>
      </c>
    </row>
    <row r="23" spans="1:19" s="45" customFormat="1" ht="31.5" x14ac:dyDescent="0.25">
      <c r="A23" s="34" t="str">
        <f>Phase3!A21</f>
        <v>FS3.18</v>
      </c>
      <c r="B23" s="35" t="str">
        <f>Phase3!B21</f>
        <v>Facilities and Safety</v>
      </c>
      <c r="C23" s="35" t="str">
        <f>Phase3!C21</f>
        <v>Are all reagents and supplies stored under the proper conditions, protected from unauthorized access and easily retrievable?</v>
      </c>
      <c r="D23" s="45" t="s">
        <v>2604</v>
      </c>
      <c r="E23" s="45" t="s">
        <v>2605</v>
      </c>
      <c r="H23" s="46"/>
      <c r="I23" s="46"/>
      <c r="J23" s="46"/>
      <c r="K23" s="46"/>
      <c r="L23" s="46"/>
      <c r="M23" s="46"/>
      <c r="N23" s="46"/>
      <c r="O23" s="46"/>
      <c r="P23" s="46"/>
      <c r="Q23" s="46"/>
      <c r="R23" s="46"/>
      <c r="S23" s="46"/>
    </row>
    <row r="24" spans="1:19" s="45" customFormat="1" ht="31.5" x14ac:dyDescent="0.25">
      <c r="A24" s="34" t="str">
        <f>Phase3!A22</f>
        <v>FS3.19</v>
      </c>
      <c r="B24" s="35" t="str">
        <f>Phase3!B22</f>
        <v>Facilities and Safety</v>
      </c>
      <c r="C24" s="35" t="str">
        <f>Phase3!C22</f>
        <v>Is equipment stored under appropriate conditions protected from unauthorized use?</v>
      </c>
      <c r="D24" s="45" t="s">
        <v>2606</v>
      </c>
      <c r="E24" s="45" t="s">
        <v>2605</v>
      </c>
      <c r="H24" s="46"/>
      <c r="I24" s="46"/>
      <c r="J24" s="46"/>
      <c r="K24" s="46"/>
      <c r="L24" s="46"/>
      <c r="M24" s="46"/>
      <c r="N24" s="46"/>
      <c r="O24" s="46"/>
      <c r="P24" s="46"/>
      <c r="Q24" s="46"/>
      <c r="R24" s="46"/>
      <c r="S24" s="46"/>
    </row>
    <row r="25" spans="1:19" s="45" customFormat="1" ht="31.5" x14ac:dyDescent="0.25">
      <c r="A25" s="34" t="str">
        <f>Phase3!A23</f>
        <v>FS3.20</v>
      </c>
      <c r="B25" s="35" t="str">
        <f>Phase3!B23</f>
        <v>Facilities and Safety</v>
      </c>
      <c r="C25" s="35" t="str">
        <f>Phase3!C23</f>
        <v>Is defective equipment demonstrably contaminated and stored outside the laboratory protected from use?</v>
      </c>
      <c r="D25" s="45" t="s">
        <v>2601</v>
      </c>
      <c r="H25" s="46"/>
      <c r="I25" s="46"/>
      <c r="J25" s="46"/>
      <c r="K25" s="46"/>
      <c r="L25" s="46"/>
      <c r="M25" s="46"/>
      <c r="N25" s="46"/>
      <c r="O25" s="46"/>
      <c r="P25" s="46"/>
      <c r="Q25" s="46"/>
      <c r="R25" s="46"/>
      <c r="S25" s="46"/>
    </row>
    <row r="26" spans="1:19" s="45" customFormat="1" ht="31.5" x14ac:dyDescent="0.25">
      <c r="A26" s="34" t="str">
        <f>Phase3!A24</f>
        <v>FS3.21</v>
      </c>
      <c r="B26" s="35" t="str">
        <f>Phase3!B24</f>
        <v>Facilities and Safety</v>
      </c>
      <c r="C26" s="35" t="str">
        <f>Phase3!C24</f>
        <v>Are documents and records stored under appropriate conditions, protected from fire, insects, humidity and other harmful elements?</v>
      </c>
      <c r="D26" s="45" t="s">
        <v>2609</v>
      </c>
      <c r="E26" s="45" t="s">
        <v>2607</v>
      </c>
      <c r="F26" s="45" t="s">
        <v>2608</v>
      </c>
      <c r="H26" s="46"/>
      <c r="I26" s="46"/>
      <c r="J26" s="46"/>
      <c r="K26" s="46"/>
      <c r="L26" s="46"/>
      <c r="M26" s="46"/>
      <c r="N26" s="46"/>
      <c r="O26" s="46"/>
      <c r="P26" s="46"/>
      <c r="Q26" s="46"/>
      <c r="R26" s="46"/>
      <c r="S26" s="46"/>
    </row>
    <row r="27" spans="1:19" s="45" customFormat="1" ht="15.75" x14ac:dyDescent="0.25">
      <c r="A27" s="34" t="str">
        <f>Phase3!A25</f>
        <v>FS3.22</v>
      </c>
      <c r="B27" s="35" t="str">
        <f>Phase3!B25</f>
        <v>Facilities and Safety</v>
      </c>
      <c r="C27" s="35" t="str">
        <f>Phase3!C25</f>
        <v>Are documents and records protected from unauthorized access?</v>
      </c>
      <c r="H27" s="46"/>
      <c r="I27" s="46"/>
      <c r="J27" s="46"/>
      <c r="K27" s="46"/>
      <c r="L27" s="46"/>
      <c r="M27" s="46"/>
      <c r="N27" s="46"/>
      <c r="O27" s="46"/>
      <c r="P27" s="46"/>
      <c r="Q27" s="46"/>
      <c r="R27" s="46"/>
      <c r="S27" s="46"/>
    </row>
    <row r="28" spans="1:19" s="104" customFormat="1" ht="32.25" thickBot="1" x14ac:dyDescent="0.3">
      <c r="A28" s="30" t="str">
        <f>Phase3!A26</f>
        <v>FS3.23</v>
      </c>
      <c r="B28" s="31" t="str">
        <f>Phase3!B26</f>
        <v>Facilities and Safety</v>
      </c>
      <c r="C28" s="31" t="str">
        <f>Phase3!C26</f>
        <v>Are documents and records stored in a logical manner so that they are demonstrably easily retrievable?</v>
      </c>
      <c r="H28" s="98"/>
      <c r="I28" s="98"/>
      <c r="J28" s="98"/>
      <c r="K28" s="98"/>
      <c r="L28" s="98"/>
      <c r="M28" s="98"/>
      <c r="N28" s="293"/>
      <c r="O28" s="293"/>
      <c r="P28" s="293"/>
      <c r="Q28" s="293"/>
      <c r="R28" s="293"/>
      <c r="S28" s="293"/>
    </row>
    <row r="29" spans="1:19" ht="15.75" thickBot="1" x14ac:dyDescent="0.3"/>
    <row r="30" spans="1:19" s="42" customFormat="1" ht="31.5" x14ac:dyDescent="0.25">
      <c r="A30" s="28" t="str">
        <f>Phase3!A27</f>
        <v>FS3.24</v>
      </c>
      <c r="B30" s="29" t="str">
        <f>Phase3!B27</f>
        <v>Facilities and Safety</v>
      </c>
      <c r="C30" s="29" t="str">
        <f>Phase3!C27</f>
        <v>Does the retention schedule for storing different types of materials include the storage durations for samples and slides?</v>
      </c>
    </row>
    <row r="31" spans="1:19" s="104" customFormat="1" ht="32.25" thickBot="1" x14ac:dyDescent="0.3">
      <c r="A31" s="30" t="str">
        <f>Phase3!A28</f>
        <v>FS3.25</v>
      </c>
      <c r="B31" s="31" t="str">
        <f>Phase3!B28</f>
        <v>Facilities and Safety</v>
      </c>
      <c r="C31" s="31" t="str">
        <f>Phase3!C28</f>
        <v>Does the retention schedule for storing different types of materials include the following documents:</v>
      </c>
      <c r="H31" s="98"/>
      <c r="I31" s="98"/>
      <c r="J31" s="98"/>
      <c r="K31" s="98"/>
      <c r="L31" s="98"/>
      <c r="M31" s="98"/>
      <c r="N31" s="293"/>
      <c r="O31" s="293"/>
      <c r="P31" s="293"/>
      <c r="Q31" s="293"/>
      <c r="R31" s="293"/>
      <c r="S31" s="293"/>
    </row>
    <row r="34" spans="1:6" ht="15.75" thickBot="1" x14ac:dyDescent="0.3"/>
    <row r="35" spans="1:6" s="47" customFormat="1" ht="15.75" x14ac:dyDescent="0.25">
      <c r="A35" s="36" t="str">
        <f>Phase3!A37</f>
        <v>ORG3.1</v>
      </c>
      <c r="B35" s="37" t="str">
        <f>Phase3!B37</f>
        <v>Organization</v>
      </c>
      <c r="C35" s="37" t="str">
        <f>Phase3!C37</f>
        <v>Does the laboratory have a clear Vision?</v>
      </c>
    </row>
    <row r="36" spans="1:6" s="49" customFormat="1" ht="32.25" thickBot="1" x14ac:dyDescent="0.3">
      <c r="A36" s="40" t="str">
        <f>Phase3!A38</f>
        <v>ORG3.2</v>
      </c>
      <c r="B36" s="41" t="str">
        <f>Phase3!B38</f>
        <v>Organization</v>
      </c>
      <c r="C36" s="41" t="str">
        <f>Phase3!C38</f>
        <v>Is the Vision of the laboratory documented and stored?</v>
      </c>
      <c r="D36" s="49" t="s">
        <v>2620</v>
      </c>
      <c r="E36" s="49" t="s">
        <v>2618</v>
      </c>
      <c r="F36" s="49" t="s">
        <v>2619</v>
      </c>
    </row>
    <row r="37" spans="1:6" ht="15.75" thickBot="1" x14ac:dyDescent="0.3"/>
    <row r="38" spans="1:6" s="47" customFormat="1" ht="15.75" x14ac:dyDescent="0.25">
      <c r="A38" s="36" t="str">
        <f>Phase3!A39</f>
        <v>ORG3.3</v>
      </c>
      <c r="B38" s="37" t="str">
        <f>Phase3!B39</f>
        <v>Organization</v>
      </c>
      <c r="C38" s="37" t="str">
        <f>Phase3!C39</f>
        <v>Does the laboratory have a clear Mission?</v>
      </c>
      <c r="D38" s="47" t="s">
        <v>2621</v>
      </c>
    </row>
    <row r="39" spans="1:6" s="49" customFormat="1" ht="16.5" thickBot="1" x14ac:dyDescent="0.3">
      <c r="A39" s="40" t="str">
        <f>Phase3!A40</f>
        <v>ORG3.4</v>
      </c>
      <c r="B39" s="41" t="str">
        <f>Phase3!B40</f>
        <v>Organization</v>
      </c>
      <c r="C39" s="41" t="str">
        <f>Phase3!C40</f>
        <v>Is the Mission of the laboratory documented and stored?</v>
      </c>
    </row>
    <row r="40" spans="1:6" ht="15.75" thickBot="1" x14ac:dyDescent="0.3"/>
    <row r="41" spans="1:6" s="47" customFormat="1" ht="15.75" x14ac:dyDescent="0.25">
      <c r="A41" s="36" t="str">
        <f>Phase3!A41</f>
        <v>ORG3.5</v>
      </c>
      <c r="B41" s="37" t="str">
        <f>Phase3!B41</f>
        <v>Organization</v>
      </c>
      <c r="C41" s="37" t="str">
        <f>Phase3!C41</f>
        <v>Does the laboratory have long-term goals?</v>
      </c>
      <c r="D41" s="47" t="s">
        <v>2622</v>
      </c>
    </row>
    <row r="42" spans="1:6" s="48" customFormat="1" ht="15.75" x14ac:dyDescent="0.25">
      <c r="A42" s="38" t="str">
        <f>Phase3!A42</f>
        <v>ORG3.6</v>
      </c>
      <c r="B42" s="39" t="str">
        <f>Phase3!B42</f>
        <v>Organization</v>
      </c>
      <c r="C42" s="39" t="str">
        <f>Phase3!C42</f>
        <v>Are the long-term goals of the laboratory covering all the core-activities?</v>
      </c>
    </row>
    <row r="43" spans="1:6" s="48" customFormat="1" ht="15.75" x14ac:dyDescent="0.25">
      <c r="A43" s="38" t="str">
        <f>Phase3!A43</f>
        <v>ORG3.7</v>
      </c>
      <c r="B43" s="39" t="str">
        <f>Phase3!B43</f>
        <v>Organization</v>
      </c>
      <c r="C43" s="39" t="str">
        <f>Phase3!C43</f>
        <v>Are the long-term goals of the laboratory aimed at improvement?</v>
      </c>
    </row>
    <row r="44" spans="1:6" s="49" customFormat="1" ht="16.5" thickBot="1" x14ac:dyDescent="0.3">
      <c r="A44" s="40" t="str">
        <f>Phase3!A44</f>
        <v>ORG3.8</v>
      </c>
      <c r="B44" s="41" t="str">
        <f>Phase3!B44</f>
        <v>Organization</v>
      </c>
      <c r="C44" s="41" t="str">
        <f>Phase3!C44</f>
        <v>Are the long-term goals of the laboratory documented and stored?</v>
      </c>
    </row>
    <row r="45" spans="1:6" ht="15.75" thickBot="1" x14ac:dyDescent="0.3"/>
    <row r="46" spans="1:6" s="47" customFormat="1" ht="31.5" x14ac:dyDescent="0.25">
      <c r="A46" s="36" t="str">
        <f>Phase3!A45</f>
        <v>ORG3.9</v>
      </c>
      <c r="B46" s="37" t="str">
        <f>Phase3!B45</f>
        <v>Organization</v>
      </c>
      <c r="C46" s="37" t="str">
        <f>Phase3!C45</f>
        <v>Does the laboratory have a Quality Policy?</v>
      </c>
      <c r="D46" s="47" t="s">
        <v>2623</v>
      </c>
    </row>
    <row r="47" spans="1:6" s="48" customFormat="1" ht="31.5" x14ac:dyDescent="0.25">
      <c r="A47" s="38" t="str">
        <f>Phase3!A46</f>
        <v>ORG3.10</v>
      </c>
      <c r="B47" s="39" t="str">
        <f>Phase3!B46</f>
        <v>Organization</v>
      </c>
      <c r="C47" s="39" t="str">
        <f>Phase3!C46</f>
        <v>Does the Quality Policy describe clearly the scope of the laboratory services?</v>
      </c>
    </row>
    <row r="48" spans="1:6" s="48" customFormat="1" ht="31.5" x14ac:dyDescent="0.25">
      <c r="A48" s="38" t="str">
        <f>Phase3!A47</f>
        <v>ORG3.11</v>
      </c>
      <c r="B48" s="39" t="str">
        <f>Phase3!B47</f>
        <v>Organization</v>
      </c>
      <c r="C48" s="39" t="str">
        <f>Phase3!C47</f>
        <v>Does the Quality Policy describe clearly the Long Term Goals and what the laboratory will do to achieve these goals?</v>
      </c>
    </row>
    <row r="49" spans="1:5" s="48" customFormat="1" ht="31.5" x14ac:dyDescent="0.25">
      <c r="A49" s="38" t="str">
        <f>Phase3!A48</f>
        <v>ORG3.12</v>
      </c>
      <c r="B49" s="39" t="str">
        <f>Phase3!B48</f>
        <v>Organization</v>
      </c>
      <c r="C49" s="39" t="str">
        <f>Phase3!C48</f>
        <v>Does the Quality Policy contain a statement of the management’s commitment to implement and maintain the quality management system?</v>
      </c>
    </row>
    <row r="50" spans="1:5" s="48" customFormat="1" ht="47.25" x14ac:dyDescent="0.25">
      <c r="A50" s="38" t="str">
        <f>Phase3!A49</f>
        <v>ORG3.13</v>
      </c>
      <c r="B50" s="39" t="str">
        <f>Phase3!B49</f>
        <v>Organization</v>
      </c>
      <c r="C50" s="39" t="str">
        <f>Phase3!C49</f>
        <v>Does the Quality Policy contain a statement of the laboratory's commitment to provide good professional practice, quality examinations, in compliance with the quality management system adhering to ISO 15189?</v>
      </c>
    </row>
    <row r="51" spans="1:5" s="48" customFormat="1" ht="31.5" x14ac:dyDescent="0.25">
      <c r="A51" s="38" t="str">
        <f>Phase3!A50</f>
        <v>ORG3.14</v>
      </c>
      <c r="B51" s="39" t="str">
        <f>Phase3!B50</f>
        <v>Organization</v>
      </c>
      <c r="C51" s="39" t="str">
        <f>Phase3!C50</f>
        <v>Does the Quality Policy contain a requirement that all staff members of the laboratory must be familiar with the policies and procedures of the laboratory and implement these?</v>
      </c>
    </row>
    <row r="52" spans="1:5" s="48" customFormat="1" ht="47.25" x14ac:dyDescent="0.25">
      <c r="A52" s="38" t="str">
        <f>Phase3!A51</f>
        <v>ORG3.15</v>
      </c>
      <c r="B52" s="39" t="str">
        <f>Phase3!B51</f>
        <v>Organization</v>
      </c>
      <c r="C52" s="39" t="str">
        <f>Phase3!C51</f>
        <v>Are staff aware of existence of the Quality Policy?
Take a sample by randomly asking staff members.</v>
      </c>
    </row>
    <row r="53" spans="1:5" s="48" customFormat="1" ht="47.25" x14ac:dyDescent="0.25">
      <c r="A53" s="38" t="str">
        <f>Phase3!A52</f>
        <v>ORG3.16</v>
      </c>
      <c r="B53" s="39" t="str">
        <f>Phase3!B52</f>
        <v>Organization</v>
      </c>
      <c r="C53" s="39" t="str">
        <f>Phase3!C52</f>
        <v>Are staff familiar with the contents of the Quality Policy?
Take a sample by randomly asking staff members.</v>
      </c>
    </row>
    <row r="54" spans="1:5" s="49" customFormat="1" ht="63.75" thickBot="1" x14ac:dyDescent="0.3">
      <c r="A54" s="40" t="str">
        <f>Phase3!A53</f>
        <v>ORG3.17</v>
      </c>
      <c r="B54" s="41" t="str">
        <f>Phase3!B53</f>
        <v>Organization</v>
      </c>
      <c r="C54" s="41" t="str">
        <f>Phase3!C53</f>
        <v>Have all staff members read the Quality Policy?
Request proof such as the Read &amp; Understand List and interview staff members about the contents of the quality policy.</v>
      </c>
    </row>
    <row r="55" spans="1:5" ht="15.75" thickBot="1" x14ac:dyDescent="0.3"/>
    <row r="56" spans="1:5" s="47" customFormat="1" ht="31.5" x14ac:dyDescent="0.25">
      <c r="A56" s="36" t="str">
        <f>Phase3!A54</f>
        <v>ORG3.18</v>
      </c>
      <c r="B56" s="37" t="str">
        <f>Phase3!B54</f>
        <v>Organization</v>
      </c>
      <c r="C56" s="37" t="str">
        <f>Phase3!C54</f>
        <v>Does the laboratory have measures to prevent interruption of services due to break down of old equipment?</v>
      </c>
      <c r="D56" s="47" t="s">
        <v>2654</v>
      </c>
      <c r="E56" s="47" t="s">
        <v>2655</v>
      </c>
    </row>
    <row r="57" spans="1:5" s="48" customFormat="1" ht="31.5" x14ac:dyDescent="0.25">
      <c r="A57" s="38" t="str">
        <f>Phase3!A55</f>
        <v>ORG3.19</v>
      </c>
      <c r="B57" s="39" t="str">
        <f>Phase3!B55</f>
        <v>Organization</v>
      </c>
      <c r="C57" s="39" t="str">
        <f>Phase3!C55</f>
        <v>Is purchasing of new equipment taken into account in making the laboratory budget for the next year?</v>
      </c>
    </row>
    <row r="58" spans="1:5" s="49" customFormat="1" ht="16.5" thickBot="1" x14ac:dyDescent="0.3">
      <c r="A58" s="40" t="str">
        <f>Phase3!A56</f>
        <v>ORG3.20</v>
      </c>
      <c r="B58" s="41" t="str">
        <f>Phase3!B56</f>
        <v>Organization</v>
      </c>
      <c r="C58" s="41" t="str">
        <f>Phase3!C56</f>
        <v>Are maintenance costs (including repairs) taken into account in the laboratory budget?</v>
      </c>
    </row>
    <row r="59" spans="1:5" ht="15.75" thickBot="1" x14ac:dyDescent="0.3"/>
    <row r="60" spans="1:5" s="150" customFormat="1" ht="48" thickBot="1" x14ac:dyDescent="0.3">
      <c r="A60" s="148" t="str">
        <f>Phase3!A57</f>
        <v>ORG3.21</v>
      </c>
      <c r="B60" s="149" t="str">
        <f>Phase3!B57</f>
        <v>Organization</v>
      </c>
      <c r="C60" s="149" t="str">
        <f>Phase3!C57</f>
        <v>Did the laboratory formulate goals for the coming year prior to drafting the Quality Year Plan?</v>
      </c>
      <c r="D60" s="150" t="s">
        <v>2656</v>
      </c>
    </row>
    <row r="61" spans="1:5" ht="15.75" thickBot="1" x14ac:dyDescent="0.3"/>
    <row r="62" spans="1:5" s="47" customFormat="1" ht="31.5" x14ac:dyDescent="0.25">
      <c r="A62" s="36" t="str">
        <f>Phase3!A58</f>
        <v>ORG3.22</v>
      </c>
      <c r="B62" s="37" t="str">
        <f>Phase3!B58</f>
        <v>Organization</v>
      </c>
      <c r="C62" s="37" t="str">
        <f>Phase3!C58</f>
        <v>Does the laboratory plan its activities through a Quality Year Plan?</v>
      </c>
      <c r="D62" s="47" t="s">
        <v>2657</v>
      </c>
      <c r="E62" s="47" t="s">
        <v>2658</v>
      </c>
    </row>
    <row r="63" spans="1:5" s="48" customFormat="1" ht="31.5" x14ac:dyDescent="0.25">
      <c r="A63" s="38" t="str">
        <f>Phase3!A59</f>
        <v>ORG3.23</v>
      </c>
      <c r="B63" s="39" t="str">
        <f>Phase3!B59</f>
        <v>Organization</v>
      </c>
      <c r="C63" s="39" t="str">
        <f>Phase3!C59</f>
        <v>Is the Quality Year Plan complete (does it cover all the aspects of the quality management system)?</v>
      </c>
    </row>
    <row r="64" spans="1:5" s="48" customFormat="1" ht="47.25" x14ac:dyDescent="0.25">
      <c r="A64" s="38" t="str">
        <f>Phase3!A60</f>
        <v>ORG3.24</v>
      </c>
      <c r="B64" s="39" t="str">
        <f>Phase3!B60</f>
        <v>Organization</v>
      </c>
      <c r="C64" s="39" t="str">
        <f>Phase3!C60</f>
        <v>Has the Quality Year Plan been formulated with input from the Quality Officer?
Take a sample by asking the Quality Officer and some members of the Quality Project Team.</v>
      </c>
    </row>
    <row r="65" spans="1:7" s="48" customFormat="1" ht="15.75" x14ac:dyDescent="0.25">
      <c r="A65" s="38" t="str">
        <f>Phase3!A61</f>
        <v>ORG3.25</v>
      </c>
      <c r="B65" s="39" t="str">
        <f>Phase3!B61</f>
        <v>Organization</v>
      </c>
      <c r="C65" s="39" t="str">
        <f>Phase3!C61</f>
        <v>Is the Quality Year Plan appropriately stored and easily retrievable?</v>
      </c>
    </row>
    <row r="66" spans="1:7" s="49" customFormat="1" ht="16.5" thickBot="1" x14ac:dyDescent="0.3">
      <c r="A66" s="40" t="str">
        <f>Phase3!A62</f>
        <v>ORG3.26</v>
      </c>
      <c r="B66" s="41" t="str">
        <f>Phase3!B62</f>
        <v>Organization</v>
      </c>
      <c r="C66" s="41" t="str">
        <f>Phase3!C62</f>
        <v>Is the Quality Year Plan signed and dated by management?</v>
      </c>
    </row>
    <row r="67" spans="1:7" ht="15.75" thickBot="1" x14ac:dyDescent="0.3"/>
    <row r="68" spans="1:7" s="47" customFormat="1" ht="47.25" x14ac:dyDescent="0.25">
      <c r="A68" s="36" t="str">
        <f>Phase3!A63</f>
        <v>ORG3.27</v>
      </c>
      <c r="B68" s="37" t="str">
        <f>Phase3!B63</f>
        <v>Organization</v>
      </c>
      <c r="C68" s="37" t="str">
        <f>Phase3!C63</f>
        <v>Is the Quality Year Plan translated into an action plan?</v>
      </c>
      <c r="D68" s="47" t="s">
        <v>2659</v>
      </c>
      <c r="E68" s="47" t="s">
        <v>2660</v>
      </c>
    </row>
    <row r="69" spans="1:7" s="48" customFormat="1" ht="31.5" x14ac:dyDescent="0.25">
      <c r="A69" s="38" t="str">
        <f>Phase3!A64</f>
        <v>ORG3.28</v>
      </c>
      <c r="B69" s="39" t="str">
        <f>Phase3!B64</f>
        <v>Organization</v>
      </c>
      <c r="C69" s="39" t="str">
        <f>Phase3!C64</f>
        <v>Is this action plan of the Quality Year Plan signed and dated by the Laboratory Manager for approval?</v>
      </c>
    </row>
    <row r="70" spans="1:7" s="48" customFormat="1" ht="47.25" x14ac:dyDescent="0.25">
      <c r="A70" s="38" t="str">
        <f>Phase3!A65</f>
        <v>ORG3.29</v>
      </c>
      <c r="B70" s="39" t="str">
        <f>Phase3!B65</f>
        <v>Organization</v>
      </c>
      <c r="C70" s="39" t="str">
        <f>Phase3!C65</f>
        <v>Is staff aware of the existence of the Quality Year Plan?
Take a sample by asking some random staff member to explain what the Quality Year Plan is.</v>
      </c>
    </row>
    <row r="71" spans="1:7" s="49" customFormat="1" ht="48" thickBot="1" x14ac:dyDescent="0.3">
      <c r="A71" s="40" t="str">
        <f>Phase3!A66</f>
        <v>ORG3.30</v>
      </c>
      <c r="B71" s="41" t="str">
        <f>Phase3!B66</f>
        <v>Organization</v>
      </c>
      <c r="C71" s="41" t="str">
        <f>Phase3!C66</f>
        <v>Are staff members aware of action points assigned to them?
Take a sample by asking staff members about action points assigned to them.</v>
      </c>
    </row>
    <row r="72" spans="1:7" ht="15.75" thickBot="1" x14ac:dyDescent="0.3"/>
    <row r="73" spans="1:7" s="47" customFormat="1" ht="47.25" x14ac:dyDescent="0.25">
      <c r="A73" s="36" t="str">
        <f>Phase3!A67</f>
        <v>ORG3.31</v>
      </c>
      <c r="B73" s="37" t="str">
        <f>Phase3!B67</f>
        <v>Organization</v>
      </c>
      <c r="C73" s="37" t="str">
        <f>Phase3!C67</f>
        <v>Is the quality management system appropriately documented in a quality manual, i.e. does it include information on each of the 12 quality system essentials and how these are implemented in the laboratory?</v>
      </c>
      <c r="D73" s="47" t="s">
        <v>2661</v>
      </c>
    </row>
    <row r="74" spans="1:7" s="48" customFormat="1" ht="15.75" x14ac:dyDescent="0.25">
      <c r="A74" s="38" t="str">
        <f>Phase3!A68</f>
        <v>ORG3.32</v>
      </c>
      <c r="B74" s="39" t="str">
        <f>Phase3!B68</f>
        <v>Organization</v>
      </c>
      <c r="C74" s="39" t="str">
        <f>Phase3!C68</f>
        <v>Is the quality manual part of the document control system?</v>
      </c>
    </row>
    <row r="75" spans="1:7" s="49" customFormat="1" ht="16.5" thickBot="1" x14ac:dyDescent="0.3">
      <c r="A75" s="40" t="str">
        <f>Phase3!A69</f>
        <v>ORG3.33</v>
      </c>
      <c r="B75" s="41" t="str">
        <f>Phase3!B69</f>
        <v>Organization</v>
      </c>
      <c r="C75" s="41" t="str">
        <f>Phase3!C69</f>
        <v>Have all staff members read the quality manual?</v>
      </c>
    </row>
    <row r="76" spans="1:7" ht="15.75" thickBot="1" x14ac:dyDescent="0.3"/>
    <row r="77" spans="1:7" s="150" customFormat="1" ht="32.25" thickBot="1" x14ac:dyDescent="0.3">
      <c r="A77" s="148" t="str">
        <f>Phase3!A70</f>
        <v>ORG3.34</v>
      </c>
      <c r="B77" s="149" t="str">
        <f>Phase3!B70</f>
        <v>Organization</v>
      </c>
      <c r="C77" s="149" t="str">
        <f>Phase3!C70</f>
        <v>Is the performance of the quality management system recorded in Quarterly Reports?</v>
      </c>
      <c r="D77" s="150" t="s">
        <v>2663</v>
      </c>
      <c r="E77" s="150" t="s">
        <v>2662</v>
      </c>
    </row>
    <row r="78" spans="1:7" ht="15.75" thickBot="1" x14ac:dyDescent="0.3">
      <c r="D78" s="119"/>
    </row>
    <row r="79" spans="1:7" s="47" customFormat="1" ht="63" x14ac:dyDescent="0.25">
      <c r="A79" s="36" t="str">
        <f>Phase3!A71</f>
        <v>ORG3.35</v>
      </c>
      <c r="B79" s="37" t="str">
        <f>Phase3!B71</f>
        <v>Organization</v>
      </c>
      <c r="C79" s="37" t="str">
        <f>Phase3!C71</f>
        <v>Is the functioning of the quality management system reviewed annually by laboratory management?</v>
      </c>
      <c r="D79" s="47" t="s">
        <v>2667</v>
      </c>
      <c r="E79" s="47" t="s">
        <v>2664</v>
      </c>
      <c r="F79" s="47" t="s">
        <v>2665</v>
      </c>
      <c r="G79" s="47" t="s">
        <v>2666</v>
      </c>
    </row>
    <row r="80" spans="1:7" s="48" customFormat="1" ht="15.75" x14ac:dyDescent="0.25">
      <c r="A80" s="38" t="str">
        <f>Phase3!A72</f>
        <v>ORG3.36</v>
      </c>
      <c r="B80" s="39" t="str">
        <f>Phase3!B72</f>
        <v>Organization</v>
      </c>
      <c r="C80" s="39" t="str">
        <f>Phase3!C72</f>
        <v>Are reports drafted of management reviews?</v>
      </c>
    </row>
    <row r="81" spans="1:7" s="48" customFormat="1" ht="15.75" x14ac:dyDescent="0.25">
      <c r="A81" s="38" t="str">
        <f>Phase3!A73</f>
        <v>ORG3.37</v>
      </c>
      <c r="B81" s="39" t="str">
        <f>Phase3!B73</f>
        <v>Organization</v>
      </c>
      <c r="C81" s="39" t="str">
        <f>Phase3!C73</f>
        <v>Do Management Review Reports include action points if applicable?</v>
      </c>
    </row>
    <row r="82" spans="1:7" s="48" customFormat="1" ht="47.25" x14ac:dyDescent="0.25">
      <c r="A82" s="38" t="str">
        <f>Phase3!A74</f>
        <v>ORG3.38</v>
      </c>
      <c r="B82" s="39" t="str">
        <f>Phase3!B74</f>
        <v>Organization</v>
      </c>
      <c r="C82" s="39" t="str">
        <f>Phase3!C74</f>
        <v>Are the result of the management review presented to all staff?
See meeting minutes.</v>
      </c>
    </row>
    <row r="83" spans="1:7" s="49" customFormat="1" ht="16.5" thickBot="1" x14ac:dyDescent="0.3">
      <c r="A83" s="40" t="str">
        <f>Phase3!A75</f>
        <v>ORG3.39</v>
      </c>
      <c r="B83" s="41" t="str">
        <f>Phase3!B75</f>
        <v>Organization</v>
      </c>
      <c r="C83" s="41" t="str">
        <f>Phase3!C75</f>
        <v>Are Management Review Reports securely and orderly stored?</v>
      </c>
    </row>
    <row r="84" spans="1:7" ht="15.75" thickBot="1" x14ac:dyDescent="0.3"/>
    <row r="85" spans="1:7" s="47" customFormat="1" ht="47.25" x14ac:dyDescent="0.25">
      <c r="A85" s="36" t="str">
        <f>Phase3!A76</f>
        <v>ORG3.40</v>
      </c>
      <c r="B85" s="37" t="str">
        <f>Phase3!B76</f>
        <v>Organization</v>
      </c>
      <c r="C85" s="37" t="str">
        <f>Phase3!C76</f>
        <v>Does the Quality Year Plan include action points from the management review?</v>
      </c>
      <c r="D85" s="47" t="s">
        <v>2671</v>
      </c>
      <c r="E85" s="47" t="s">
        <v>2668</v>
      </c>
      <c r="F85" s="47" t="s">
        <v>2669</v>
      </c>
      <c r="G85" s="47" t="s">
        <v>2670</v>
      </c>
    </row>
    <row r="86" spans="1:7" s="48" customFormat="1" ht="31.5" x14ac:dyDescent="0.25">
      <c r="A86" s="38" t="str">
        <f>Phase3!A77</f>
        <v>ORG3.41</v>
      </c>
      <c r="B86" s="39" t="str">
        <f>Phase3!B77</f>
        <v>Organization</v>
      </c>
      <c r="C86" s="39" t="str">
        <f>Phase3!C77</f>
        <v>Does the Quality Year Plan take into account the Quality Policy, Long Term Goals, Core Values, Mission and Vision of the laboratory?</v>
      </c>
    </row>
    <row r="87" spans="1:7" s="48" customFormat="1" ht="15.75" x14ac:dyDescent="0.25">
      <c r="A87" s="38" t="str">
        <f>Phase3!A78</f>
        <v>ORG3.42</v>
      </c>
      <c r="B87" s="39" t="str">
        <f>Phase3!B78</f>
        <v>Organization</v>
      </c>
      <c r="C87" s="39" t="str">
        <f>Phase3!C78</f>
        <v>Is an action plan drafted based on the action points yielding from the Quality Year Plan?</v>
      </c>
    </row>
    <row r="88" spans="1:7" s="49" customFormat="1" ht="63.75" thickBot="1" x14ac:dyDescent="0.3">
      <c r="A88" s="40" t="str">
        <f>Phase3!A79</f>
        <v>ORG3.43</v>
      </c>
      <c r="B88" s="41" t="str">
        <f>Phase3!B79</f>
        <v>Organization</v>
      </c>
      <c r="C88" s="41" t="str">
        <f>Phase3!C79</f>
        <v>Has the Quality Year Plan and the action plan based on the Quality Year Plan been presented to the laboratory staff?
See minutes of that meeting.</v>
      </c>
    </row>
    <row r="89" spans="1:7" ht="15.75" thickBot="1" x14ac:dyDescent="0.3"/>
    <row r="90" spans="1:7" s="150" customFormat="1" ht="48" thickBot="1" x14ac:dyDescent="0.3">
      <c r="A90" s="148" t="str">
        <f>Phase3!A80</f>
        <v>ORG3.44</v>
      </c>
      <c r="B90" s="149" t="str">
        <f>Phase3!B80</f>
        <v>Organization</v>
      </c>
      <c r="C90" s="149" t="str">
        <f>Phase3!C80</f>
        <v>Have all the policy cycle activities been documented in an SOP (i.e. drafting a quality year plan, monitoring of performance of the quality management system and drafting quarterly reports, and performing a management review)?</v>
      </c>
      <c r="D90" s="150" t="s">
        <v>2672</v>
      </c>
    </row>
    <row r="93" spans="1:7" ht="15.75" thickBot="1" x14ac:dyDescent="0.3"/>
    <row r="94" spans="1:7" s="215" customFormat="1" ht="31.5" x14ac:dyDescent="0.25">
      <c r="A94" s="213" t="str">
        <f>Phase3!A81</f>
        <v>PERS3.1</v>
      </c>
      <c r="B94" s="214" t="str">
        <f>Phase3!B81</f>
        <v>Personnel</v>
      </c>
      <c r="C94" s="214" t="str">
        <f>Phase3!C81</f>
        <v>Has the laboratory investigated if there are potential conflicts of interest among laboratory staff?</v>
      </c>
    </row>
    <row r="95" spans="1:7" s="58" customFormat="1" ht="32.25" thickBot="1" x14ac:dyDescent="0.3">
      <c r="A95" s="55" t="str">
        <f>Phase3!A82</f>
        <v>PERS3.2</v>
      </c>
      <c r="B95" s="56" t="str">
        <f>Phase3!B82</f>
        <v>Personnel</v>
      </c>
      <c r="C95" s="56" t="str">
        <f>Phase3!C82</f>
        <v>If potential conflicts of interest among laboratory staff were identified, were they appropriately solved and documented?</v>
      </c>
    </row>
    <row r="96" spans="1:7" ht="15.75" thickBot="1" x14ac:dyDescent="0.3">
      <c r="D96" s="107"/>
    </row>
    <row r="97" spans="1:6" s="57" customFormat="1" ht="47.25" x14ac:dyDescent="0.25">
      <c r="A97" s="53" t="str">
        <f>Phase3!A83</f>
        <v>PERS3.3</v>
      </c>
      <c r="B97" s="54" t="str">
        <f>Phase3!B83</f>
        <v>Personnel</v>
      </c>
      <c r="C97" s="54" t="str">
        <f>Phase3!C83</f>
        <v>Is a personnel replacement matrix present in the laboratory?</v>
      </c>
      <c r="D97" s="57" t="s">
        <v>2675</v>
      </c>
      <c r="E97" s="57" t="s">
        <v>2673</v>
      </c>
      <c r="F97" s="57" t="s">
        <v>2674</v>
      </c>
    </row>
    <row r="98" spans="1:6" s="61" customFormat="1" ht="15.75" x14ac:dyDescent="0.25">
      <c r="A98" s="59" t="str">
        <f>Phase3!A84</f>
        <v>PERS3.4</v>
      </c>
      <c r="B98" s="60" t="str">
        <f>Phase3!B84</f>
        <v>Personnel</v>
      </c>
      <c r="C98" s="60" t="str">
        <f>Phase3!C84</f>
        <v>Is a backup staff member defined for each staff member in the laboratory?</v>
      </c>
    </row>
    <row r="99" spans="1:6" s="61" customFormat="1" ht="31.5" x14ac:dyDescent="0.25">
      <c r="A99" s="59" t="str">
        <f>Phase3!A85</f>
        <v>PERS3.5</v>
      </c>
      <c r="B99" s="60" t="str">
        <f>Phase3!B85</f>
        <v>Personnel</v>
      </c>
      <c r="C99" s="60" t="str">
        <f>Phase3!C85</f>
        <v>Is the competency of the backup staff members checked for the tasks they need to take over from absent staff members?</v>
      </c>
    </row>
    <row r="100" spans="1:6" s="58" customFormat="1" ht="63.75" thickBot="1" x14ac:dyDescent="0.3">
      <c r="A100" s="55" t="str">
        <f>Phase3!A86</f>
        <v>PERS3.6</v>
      </c>
      <c r="B100" s="56" t="str">
        <f>Phase3!B86</f>
        <v>Personnel</v>
      </c>
      <c r="C100" s="56" t="str">
        <f>Phase3!C86</f>
        <v>Is the laboratory staff aware of the existence of the personnel replacement matrix and which purpose it serves?
Take a sample by interviewing some staff members.</v>
      </c>
    </row>
    <row r="103" spans="1:6" ht="15.75" thickBot="1" x14ac:dyDescent="0.3"/>
    <row r="104" spans="1:6" s="118" customFormat="1" ht="32.25" thickBot="1" x14ac:dyDescent="0.3">
      <c r="A104" s="116" t="str">
        <f>Phase3!A87</f>
        <v>PI3.1</v>
      </c>
      <c r="B104" s="117" t="str">
        <f>Phase3!B87</f>
        <v>Puchasing and Inventory</v>
      </c>
      <c r="C104" s="117" t="str">
        <f>Phase3!C87</f>
        <v>Does the laboratory perform a financial analysis on a regular basis to anticipate income versus expenditure for the coming year?</v>
      </c>
    </row>
    <row r="105" spans="1:6" ht="15.75" thickBot="1" x14ac:dyDescent="0.3"/>
    <row r="106" spans="1:6" s="89" customFormat="1" ht="47.25" x14ac:dyDescent="0.25">
      <c r="A106" s="83" t="str">
        <f>Phase3!A88</f>
        <v>PI3.2</v>
      </c>
      <c r="B106" s="84" t="str">
        <f>Phase3!B88</f>
        <v>Puchasing and Inventory</v>
      </c>
      <c r="C106" s="84" t="str">
        <f>Phase3!C88</f>
        <v>Does the laboratory have an SOP for Selection and Evaluation of Suppliers?</v>
      </c>
      <c r="D106" s="89" t="s">
        <v>2680</v>
      </c>
    </row>
    <row r="107" spans="1:6" s="90" customFormat="1" ht="47.25" x14ac:dyDescent="0.25">
      <c r="A107" s="85" t="str">
        <f>Phase3!A89</f>
        <v>PI3.3</v>
      </c>
      <c r="B107" s="86" t="str">
        <f>Phase3!B89</f>
        <v>Puchasing and Inventory</v>
      </c>
      <c r="C107" s="86" t="str">
        <f>Phase3!C89</f>
        <v>Does the laboratory select suppliers in a standardized way and documents this procedure?</v>
      </c>
      <c r="D107" s="90" t="s">
        <v>2681</v>
      </c>
    </row>
    <row r="108" spans="1:6" s="90" customFormat="1" ht="31.5" x14ac:dyDescent="0.25">
      <c r="A108" s="85" t="str">
        <f>Phase3!A90</f>
        <v>PI3.4</v>
      </c>
      <c r="B108" s="86" t="str">
        <f>Phase3!B90</f>
        <v>Puchasing and Inventory</v>
      </c>
      <c r="C108" s="86" t="str">
        <f>Phase3!C90</f>
        <v>Does the laboratory develop contracts for reception of services in a standardized way?</v>
      </c>
      <c r="D108" s="90" t="s">
        <v>2682</v>
      </c>
    </row>
    <row r="109" spans="1:6" s="90" customFormat="1" ht="31.5" x14ac:dyDescent="0.25">
      <c r="A109" s="85" t="str">
        <f>Phase3!A91</f>
        <v>PI3.5</v>
      </c>
      <c r="B109" s="86" t="str">
        <f>Phase3!B91</f>
        <v>Puchasing and Inventory</v>
      </c>
      <c r="C109" s="86" t="str">
        <f>Phase3!C91</f>
        <v>Does the laboratory evaluate contracts for reception of services in a standardized way and documents this procedure?</v>
      </c>
      <c r="D109" s="90" t="s">
        <v>2683</v>
      </c>
    </row>
    <row r="110" spans="1:6" s="91" customFormat="1" ht="48" thickBot="1" x14ac:dyDescent="0.3">
      <c r="A110" s="87" t="str">
        <f>Phase3!A92</f>
        <v>PI3.6</v>
      </c>
      <c r="B110" s="88" t="str">
        <f>Phase3!B92</f>
        <v>Puchasing and Inventory</v>
      </c>
      <c r="C110" s="88" t="str">
        <f>Phase3!C92</f>
        <v>If contracts are amended/changed, does the laboratory have records/minutes explaining the amendments/changes and why they were made?</v>
      </c>
      <c r="D110" s="91" t="s">
        <v>2684</v>
      </c>
    </row>
    <row r="111" spans="1:6" s="212" customFormat="1" ht="16.5" thickBot="1" x14ac:dyDescent="0.3">
      <c r="A111" s="211"/>
    </row>
    <row r="112" spans="1:6" s="89" customFormat="1" ht="47.25" x14ac:dyDescent="0.25">
      <c r="A112" s="83" t="str">
        <f>Phase3!A93</f>
        <v>PI3.7</v>
      </c>
      <c r="B112" s="84" t="str">
        <f>Phase3!B93</f>
        <v>Puchasing and Inventory</v>
      </c>
      <c r="C112" s="84" t="str">
        <f>Phase3!C93</f>
        <v>Has the laboratory formulated the procedure for selecting referral laboratories? If the laboratory does not refer samples to other laboratories: is a statement included in the quality manual explaining that no samples are referred to other laboratories?</v>
      </c>
      <c r="D112" s="89" t="s">
        <v>2685</v>
      </c>
    </row>
    <row r="113" spans="1:5" s="90" customFormat="1" ht="31.5" x14ac:dyDescent="0.25">
      <c r="A113" s="85" t="str">
        <f>Phase3!A94</f>
        <v>PI3.8</v>
      </c>
      <c r="B113" s="86" t="str">
        <f>Phase3!B94</f>
        <v>Puchasing and Inventory</v>
      </c>
      <c r="C113" s="86" t="str">
        <f>Phase3!C94</f>
        <v>Has the laboratory formulated the procedure for monitoring referral laboratories on a regular basis?</v>
      </c>
    </row>
    <row r="114" spans="1:5" s="90" customFormat="1" ht="110.25" x14ac:dyDescent="0.25">
      <c r="A114" s="85" t="str">
        <f>Phase3!A95</f>
        <v>PI3.9</v>
      </c>
      <c r="B114" s="86" t="str">
        <f>Phase3!B95</f>
        <v>Puchasing and Inventory</v>
      </c>
      <c r="C114" s="86" t="str">
        <f>Phase3!C95</f>
        <v>Is a folder present containing documents with appointments between the referral laboratories and this laboratory and monitoring data?</v>
      </c>
      <c r="D114" s="90" t="s">
        <v>2686</v>
      </c>
    </row>
    <row r="115" spans="1:5" s="91" customFormat="1" ht="79.5" thickBot="1" x14ac:dyDescent="0.3">
      <c r="A115" s="87" t="str">
        <f>Phase3!A96</f>
        <v>PI3.10</v>
      </c>
      <c r="B115" s="88" t="str">
        <f>Phase3!B96</f>
        <v>Puchasing and Inventory</v>
      </c>
      <c r="C115" s="88" t="str">
        <f>Phase3!C96</f>
        <v>Is a folder present containing records of samples referred to referral laboratories, including the result reports?</v>
      </c>
      <c r="D115" s="91" t="s">
        <v>2687</v>
      </c>
    </row>
    <row r="118" spans="1:5" ht="15.75" thickBot="1" x14ac:dyDescent="0.3"/>
    <row r="119" spans="1:5" s="163" customFormat="1" ht="47.25" x14ac:dyDescent="0.25">
      <c r="A119" s="161" t="str">
        <f>Phase3!A97</f>
        <v>PM3.1</v>
      </c>
      <c r="B119" s="162" t="str">
        <f>Phase3!B97</f>
        <v>Process Management</v>
      </c>
      <c r="C119" s="162" t="str">
        <f>Phase3!C97</f>
        <v>Have the maximum allowed turnaround time been determined for each examination performed in the laboratory?</v>
      </c>
      <c r="D119" s="163" t="s">
        <v>2688</v>
      </c>
    </row>
    <row r="120" spans="1:5" s="168" customFormat="1" ht="31.5" x14ac:dyDescent="0.25">
      <c r="A120" s="160" t="str">
        <f>Phase3!A98</f>
        <v>PM3.2</v>
      </c>
      <c r="B120" s="167" t="str">
        <f>Phase3!B98</f>
        <v>Process Management</v>
      </c>
      <c r="C120" s="167" t="str">
        <f>Phase3!C98</f>
        <v>Is a table with the maximum allowed turnaround times for each examination included in the quality manual of the laboratory?</v>
      </c>
      <c r="D120" s="168" t="s">
        <v>2689</v>
      </c>
    </row>
    <row r="121" spans="1:5" s="168" customFormat="1" ht="78.75" x14ac:dyDescent="0.25">
      <c r="A121" s="160" t="str">
        <f>Phase3!A99</f>
        <v>PM3.3</v>
      </c>
      <c r="B121" s="167" t="str">
        <f>Phase3!B99</f>
        <v>Process Management</v>
      </c>
      <c r="C121" s="167" t="str">
        <f>Phase3!C99</f>
        <v>Is a table with the maximum allowed turnaround times for each examination included in the SOP on Reporting and Archiving of Results?</v>
      </c>
      <c r="D121" s="168" t="s">
        <v>2694</v>
      </c>
      <c r="E121" s="168" t="s">
        <v>2693</v>
      </c>
    </row>
    <row r="122" spans="1:5" s="168" customFormat="1" ht="47.25" x14ac:dyDescent="0.25">
      <c r="A122" s="160" t="str">
        <f>Phase3!A100</f>
        <v>PM3.4</v>
      </c>
      <c r="B122" s="167" t="str">
        <f>Phase3!B100</f>
        <v>Process Management</v>
      </c>
      <c r="C122" s="167" t="str">
        <f>Phase3!C100</f>
        <v>Does the SOP on Reporting and Archiving of Results include the procedure that the requester is immediately informed if the TAT of an examination is exceeded and this can compromise patient care?</v>
      </c>
    </row>
    <row r="123" spans="1:5" s="159" customFormat="1" ht="32.25" thickBot="1" x14ac:dyDescent="0.3">
      <c r="A123" s="157" t="str">
        <f>Phase3!A101</f>
        <v>PM3.5</v>
      </c>
      <c r="B123" s="158" t="str">
        <f>Phase3!B101</f>
        <v>Process Management</v>
      </c>
      <c r="C123" s="158" t="str">
        <f>Phase3!C101</f>
        <v>Are staff members aware of the procedure for immediately informing the requester if an examination is exceeding the turnaround time when this can compromise patient care?</v>
      </c>
    </row>
    <row r="124" spans="1:5" ht="15.75" thickBot="1" x14ac:dyDescent="0.3"/>
    <row r="125" spans="1:5" s="163" customFormat="1" ht="78.75" x14ac:dyDescent="0.25">
      <c r="A125" s="161" t="str">
        <f>Phase3!A102</f>
        <v>PM3.6</v>
      </c>
      <c r="B125" s="162" t="str">
        <f>Phase3!B102</f>
        <v>Process Management</v>
      </c>
      <c r="C125" s="162" t="str">
        <f>Phase3!C102</f>
        <v>Is the turnaround time monitored on a continuous basis for each examinations?</v>
      </c>
      <c r="D125" s="163" t="s">
        <v>2690</v>
      </c>
    </row>
    <row r="126" spans="1:5" s="168" customFormat="1" ht="31.5" x14ac:dyDescent="0.25">
      <c r="A126" s="160" t="str">
        <f>Phase3!A103</f>
        <v>PM3.7</v>
      </c>
      <c r="B126" s="167" t="str">
        <f>Phase3!B103</f>
        <v>Process Management</v>
      </c>
      <c r="C126" s="167" t="str">
        <f>Phase3!C103</f>
        <v>Is the result of turnaround time assessment included in the Quarterly Reports?</v>
      </c>
      <c r="D126" s="168" t="s">
        <v>2691</v>
      </c>
    </row>
    <row r="127" spans="1:5" s="168" customFormat="1" ht="31.5" x14ac:dyDescent="0.25">
      <c r="A127" s="160" t="str">
        <f>Phase3!A104</f>
        <v>PM3.8</v>
      </c>
      <c r="B127" s="167" t="str">
        <f>Phase3!B104</f>
        <v>Process Management</v>
      </c>
      <c r="C127" s="167" t="str">
        <f>Phase3!C104</f>
        <v>Are corrective and preventive actions implemented in an attempt to decrease the percentage of samples exceeding the turnaround time to a minimum?</v>
      </c>
      <c r="D127" s="168" t="s">
        <v>2695</v>
      </c>
      <c r="E127" s="168" t="s">
        <v>2696</v>
      </c>
    </row>
    <row r="128" spans="1:5" s="168" customFormat="1" ht="31.5" x14ac:dyDescent="0.25">
      <c r="A128" s="160" t="str">
        <f>Phase3!A105</f>
        <v>PM3.9</v>
      </c>
      <c r="B128" s="167" t="str">
        <f>Phase3!B105</f>
        <v>Process Management</v>
      </c>
      <c r="C128" s="167" t="str">
        <f>Phase3!C105</f>
        <v>When sudden increases are seen in the percentage of samples exceeding turnaround time, is an analysis performed to identify the cause and implement corrective and preventive actions?</v>
      </c>
      <c r="D128" s="168" t="s">
        <v>2695</v>
      </c>
      <c r="E128" s="168" t="s">
        <v>2696</v>
      </c>
    </row>
    <row r="129" spans="1:6" s="159" customFormat="1" ht="48" thickBot="1" x14ac:dyDescent="0.3">
      <c r="A129" s="157" t="str">
        <f>Phase3!A106</f>
        <v>PM3.10</v>
      </c>
      <c r="B129" s="158" t="str">
        <f>Phase3!B106</f>
        <v>Process Management</v>
      </c>
      <c r="C129" s="158" t="str">
        <f>Phase3!C106</f>
        <v>Is the efficacy of corrective and preventive actions to minimize/counteract increase of samples exceeding turnaround time determined in subsequent turnaround time assessments?</v>
      </c>
      <c r="D129" s="159" t="s">
        <v>2692</v>
      </c>
    </row>
    <row r="130" spans="1:6" ht="15.75" thickBot="1" x14ac:dyDescent="0.3">
      <c r="D130" s="120"/>
    </row>
    <row r="131" spans="1:6" s="171" customFormat="1" ht="79.5" thickBot="1" x14ac:dyDescent="0.3">
      <c r="A131" s="169" t="str">
        <f>Phase3!A107</f>
        <v>PM3.11</v>
      </c>
      <c r="B131" s="170" t="str">
        <f>Phase3!B107</f>
        <v>Process Management</v>
      </c>
      <c r="C131" s="170" t="str">
        <f>Phase3!C107</f>
        <v>Has the laboratory standardized the procedure of validation of examination methods and equipment in an SOP?</v>
      </c>
      <c r="D131" s="171" t="s">
        <v>2697</v>
      </c>
      <c r="E131" s="171" t="s">
        <v>2698</v>
      </c>
    </row>
    <row r="132" spans="1:6" ht="15.75" thickBot="1" x14ac:dyDescent="0.3">
      <c r="D132" s="187"/>
    </row>
    <row r="133" spans="1:6" s="156" customFormat="1" ht="47.25" x14ac:dyDescent="0.25">
      <c r="A133" s="154" t="str">
        <f>Phase3!A108</f>
        <v>PM3.12</v>
      </c>
      <c r="B133" s="155" t="str">
        <f>Phase3!B108</f>
        <v>Process Management</v>
      </c>
      <c r="C133" s="155" t="str">
        <f>Phase3!C108</f>
        <v>Has the laboratory validated all the examination methods performed in the laboratory?
Find evidence by asking for the validation reports.</v>
      </c>
      <c r="D133" s="156" t="s">
        <v>2701</v>
      </c>
      <c r="E133" s="156" t="s">
        <v>2699</v>
      </c>
      <c r="F133" s="156" t="s">
        <v>2700</v>
      </c>
    </row>
    <row r="134" spans="1:6" s="159" customFormat="1" ht="32.25" thickBot="1" x14ac:dyDescent="0.3">
      <c r="A134" s="157" t="str">
        <f>Phase3!A109</f>
        <v>PM3.13</v>
      </c>
      <c r="B134" s="158" t="str">
        <f>Phase3!B109</f>
        <v>Process Management</v>
      </c>
      <c r="C134" s="158" t="str">
        <f>Phase3!C109</f>
        <v>When the laboratory, through validation, identified the need to change an examination method, was this change made (including adaption of the SOP for that method)?</v>
      </c>
    </row>
    <row r="137" spans="1:6" ht="15.75" thickBot="1" x14ac:dyDescent="0.3"/>
    <row r="138" spans="1:6" s="186" customFormat="1" ht="47.25" x14ac:dyDescent="0.25">
      <c r="A138" s="184" t="str">
        <f>Phase3!A110</f>
        <v>INFO3.1</v>
      </c>
      <c r="B138" s="185" t="str">
        <f>Phase3!B110</f>
        <v>Information Management</v>
      </c>
      <c r="C138" s="185" t="str">
        <f>Phase3!C110</f>
        <v>Does the laboratory have an archive for laboratory records that is constructed in a logical way allowing for quick and easy access to information?</v>
      </c>
      <c r="D138" s="186" t="s">
        <v>2706</v>
      </c>
      <c r="E138" s="186" t="s">
        <v>2707</v>
      </c>
    </row>
    <row r="139" spans="1:6" s="179" customFormat="1" ht="31.5" x14ac:dyDescent="0.25">
      <c r="A139" s="174" t="str">
        <f>Phase3!A111</f>
        <v>INFO3.2</v>
      </c>
      <c r="B139" s="175" t="str">
        <f>Phase3!B111</f>
        <v>Information Management</v>
      </c>
      <c r="C139" s="175" t="str">
        <f>Phase3!C111</f>
        <v>Is the laboratory archive lockable?</v>
      </c>
      <c r="D139" s="179" t="s">
        <v>2708</v>
      </c>
    </row>
    <row r="140" spans="1:6" s="179" customFormat="1" ht="31.5" x14ac:dyDescent="0.25">
      <c r="A140" s="174" t="str">
        <f>Phase3!A112</f>
        <v>INFO3.3</v>
      </c>
      <c r="B140" s="175" t="str">
        <f>Phase3!B112</f>
        <v>Information Management</v>
      </c>
      <c r="C140" s="175" t="str">
        <f>Phase3!C112</f>
        <v>Does the laboratory archive protect records from deteriorating influences such as fire, humidity, insects, sunlight, etc.?</v>
      </c>
      <c r="D140" s="179" t="s">
        <v>2709</v>
      </c>
    </row>
    <row r="141" spans="1:6" s="180" customFormat="1" ht="32.25" thickBot="1" x14ac:dyDescent="0.3">
      <c r="A141" s="176" t="str">
        <f>Phase3!A113</f>
        <v>INFO3.4</v>
      </c>
      <c r="B141" s="177" t="str">
        <f>Phase3!B113</f>
        <v>Information Management</v>
      </c>
      <c r="C141" s="177" t="str">
        <f>Phase3!C113</f>
        <v>Is access to the laboratory archive controlled?</v>
      </c>
      <c r="D141" s="180" t="s">
        <v>2710</v>
      </c>
    </row>
    <row r="142" spans="1:6" ht="15.75" thickBot="1" x14ac:dyDescent="0.3">
      <c r="D142" s="121"/>
    </row>
    <row r="143" spans="1:6" s="186" customFormat="1" ht="63" x14ac:dyDescent="0.25">
      <c r="A143" s="184" t="str">
        <f>Phase3!A114</f>
        <v>INFO3.5</v>
      </c>
      <c r="B143" s="185" t="str">
        <f>Phase3!B114</f>
        <v>Information Management</v>
      </c>
      <c r="C143" s="185" t="str">
        <f>Phase3!C114</f>
        <v>Is the computerized system properly protected by a firewall?</v>
      </c>
      <c r="D143" s="186" t="s">
        <v>2713</v>
      </c>
      <c r="E143" s="186" t="s">
        <v>2712</v>
      </c>
      <c r="F143" s="186" t="s">
        <v>2714</v>
      </c>
    </row>
    <row r="144" spans="1:6" s="179" customFormat="1" ht="60" x14ac:dyDescent="0.25">
      <c r="A144" s="174" t="str">
        <f>Phase3!A115</f>
        <v>INFO3.6</v>
      </c>
      <c r="B144" s="175" t="str">
        <f>Phase3!B115</f>
        <v>Information Management</v>
      </c>
      <c r="C144" s="175" t="str">
        <f>Phase3!C115</f>
        <v>Is the computerized system scanned for viruses on a weekly basis by a proper, up to date virus scanner?</v>
      </c>
      <c r="D144" s="179" t="s">
        <v>2711</v>
      </c>
    </row>
    <row r="145" spans="1:6" s="179" customFormat="1" ht="141.75" x14ac:dyDescent="0.25">
      <c r="A145" s="174" t="str">
        <f>Phase3!A116</f>
        <v>INFO3.7</v>
      </c>
      <c r="B145" s="175" t="str">
        <f>Phase3!B116</f>
        <v>Information Management</v>
      </c>
      <c r="C145" s="175" t="str">
        <f>Phase3!C116</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145" s="179" t="s">
        <v>2716</v>
      </c>
      <c r="E145" s="179" t="s">
        <v>2715</v>
      </c>
      <c r="F145" s="179" t="s">
        <v>2717</v>
      </c>
    </row>
    <row r="146" spans="1:6" s="180" customFormat="1" ht="32.25" thickBot="1" x14ac:dyDescent="0.3">
      <c r="A146" s="176" t="str">
        <f>Phase3!A117</f>
        <v>INFO3.8</v>
      </c>
      <c r="B146" s="177" t="str">
        <f>Phase3!B117</f>
        <v>Information Management</v>
      </c>
      <c r="C146" s="177" t="str">
        <f>Phase3!C117</f>
        <v>Are the Personal Job Descriptions adapted of the staff members who are authorized to access or access and change laboratory information?</v>
      </c>
    </row>
    <row r="147" spans="1:6" ht="15.75" thickBot="1" x14ac:dyDescent="0.3">
      <c r="D147" s="122"/>
    </row>
    <row r="148" spans="1:6" s="183" customFormat="1" ht="79.5" thickBot="1" x14ac:dyDescent="0.3">
      <c r="A148" s="181" t="str">
        <f>Phase3!A118</f>
        <v>INFO3.9</v>
      </c>
      <c r="B148" s="182" t="str">
        <f>Phase3!B118</f>
        <v>Information Management</v>
      </c>
      <c r="C148" s="182" t="str">
        <f>Phase3!C118</f>
        <v>Is a documented contingency plan present in the laboratory that should be followed in case of downtime of the computerized information system, to ensure access to laboratory information at all times?</v>
      </c>
      <c r="D148" s="183" t="s">
        <v>2718</v>
      </c>
    </row>
    <row r="149" spans="1:6" ht="15.75" thickBot="1" x14ac:dyDescent="0.3">
      <c r="D149" s="119"/>
    </row>
    <row r="150" spans="1:6" s="186" customFormat="1" ht="31.5" x14ac:dyDescent="0.25">
      <c r="A150" s="184" t="str">
        <f>Phase3!A119</f>
        <v>INFO3.10</v>
      </c>
      <c r="B150" s="185" t="str">
        <f>Phase3!B119</f>
        <v>Information Management</v>
      </c>
      <c r="C150" s="185" t="str">
        <f>Phase3!C119</f>
        <v>Has the laboratory standardized the procedures for information management in an SOP?</v>
      </c>
      <c r="D150" s="186" t="s">
        <v>2719</v>
      </c>
    </row>
    <row r="151" spans="1:6" s="180" customFormat="1" ht="32.25" thickBot="1" x14ac:dyDescent="0.3">
      <c r="A151" s="176" t="str">
        <f>Phase3!A120</f>
        <v>INFO3.11</v>
      </c>
      <c r="B151" s="177" t="str">
        <f>Phase3!B120</f>
        <v>Information Management</v>
      </c>
      <c r="C151" s="177" t="str">
        <f>Phase3!C120</f>
        <v>Does the SOP on management of laboratory information include at least the following procedures:</v>
      </c>
    </row>
    <row r="154" spans="1:6" ht="15.75" thickBot="1" x14ac:dyDescent="0.3"/>
    <row r="155" spans="1:6" s="194" customFormat="1" ht="15.75" x14ac:dyDescent="0.25">
      <c r="A155" s="188" t="str">
        <f>Phase3!A134</f>
        <v>CF3.1</v>
      </c>
      <c r="B155" s="189" t="str">
        <f>Phase3!B134</f>
        <v>Customer Focus</v>
      </c>
      <c r="C155" s="189" t="str">
        <f>Phase3!C134</f>
        <v>Is a client satisfaction survey conducted on a two-yearly basis?</v>
      </c>
      <c r="D155" s="194" t="s">
        <v>2733</v>
      </c>
    </row>
    <row r="156" spans="1:6" s="195" customFormat="1" ht="47.25" x14ac:dyDescent="0.25">
      <c r="A156" s="190" t="str">
        <f>Phase3!A135</f>
        <v>CF3.2</v>
      </c>
      <c r="B156" s="191" t="str">
        <f>Phase3!B135</f>
        <v>Customer Focus</v>
      </c>
      <c r="C156" s="191" t="str">
        <f>Phase3!C135</f>
        <v>Is a report drafted of the client satisfaction survey that shows the main findings and points for improvement that were identified?</v>
      </c>
      <c r="D156" s="195" t="s">
        <v>2734</v>
      </c>
    </row>
    <row r="157" spans="1:6" s="196" customFormat="1" ht="48" thickBot="1" x14ac:dyDescent="0.3">
      <c r="A157" s="192" t="str">
        <f>Phase3!A136</f>
        <v>CF3.3</v>
      </c>
      <c r="B157" s="193" t="str">
        <f>Phase3!B136</f>
        <v>Customer Focus</v>
      </c>
      <c r="C157" s="193" t="str">
        <f>Phase3!C136</f>
        <v>Is a SMART action plan drafted to implement points for improvement identified in client satisfaction surveys in practice?</v>
      </c>
      <c r="D157" s="196" t="s">
        <v>2735</v>
      </c>
    </row>
    <row r="158" spans="1:6" ht="15.75" thickBot="1" x14ac:dyDescent="0.3">
      <c r="D158" s="106"/>
    </row>
    <row r="159" spans="1:6" s="194" customFormat="1" ht="63" x14ac:dyDescent="0.25">
      <c r="A159" s="188" t="str">
        <f>Phase3!A137</f>
        <v>CF3.4</v>
      </c>
      <c r="B159" s="189" t="str">
        <f>Phase3!B137</f>
        <v>Customer Focus</v>
      </c>
      <c r="C159" s="189" t="str">
        <f>Phase3!C137</f>
        <v>Does the laboratory have a standardized procedure for entering into a contract for service delivery?</v>
      </c>
      <c r="D159" s="194" t="s">
        <v>2736</v>
      </c>
    </row>
    <row r="160" spans="1:6" s="199" customFormat="1" ht="48" thickBot="1" x14ac:dyDescent="0.3">
      <c r="A160" s="197" t="str">
        <f>Phase3!A138</f>
        <v>CF3.5</v>
      </c>
      <c r="B160" s="198" t="str">
        <f>Phase3!B138</f>
        <v>Customer Focus</v>
      </c>
      <c r="C160" s="198" t="str">
        <f>Phase3!C138</f>
        <v>Does the laboratory maintain minutes of meetings to discuss the contents of the contracts for service delivery?</v>
      </c>
      <c r="D160" s="199" t="s">
        <v>2737</v>
      </c>
    </row>
    <row r="163" spans="1:10" ht="15.75" thickBot="1" x14ac:dyDescent="0.3"/>
    <row r="164" spans="1:10" s="144" customFormat="1" ht="94.5" x14ac:dyDescent="0.25">
      <c r="A164" s="139" t="str">
        <f>Phase3!A139</f>
        <v>ASSESS3.1</v>
      </c>
      <c r="B164" s="140" t="str">
        <f>Phase3!B139</f>
        <v>Assessment</v>
      </c>
      <c r="C164" s="140" t="str">
        <f>Phase3!C139</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164" s="144" t="s">
        <v>2744</v>
      </c>
      <c r="E164" s="144" t="s">
        <v>2738</v>
      </c>
      <c r="F164" s="144" t="s">
        <v>2739</v>
      </c>
      <c r="G164" s="144" t="s">
        <v>2740</v>
      </c>
      <c r="H164" s="144" t="s">
        <v>2741</v>
      </c>
      <c r="I164" s="144" t="s">
        <v>2742</v>
      </c>
      <c r="J164" s="144" t="s">
        <v>2743</v>
      </c>
    </row>
    <row r="165" spans="1:10" s="146" customFormat="1" ht="15.75" x14ac:dyDescent="0.25">
      <c r="A165" s="141" t="str">
        <f>Phase3!A140</f>
        <v>ASSESS3.2</v>
      </c>
      <c r="B165" s="142" t="str">
        <f>Phase3!B140</f>
        <v>Assessment</v>
      </c>
      <c r="C165" s="142" t="str">
        <f>Phase3!C140</f>
        <v>Is the Quality Officer appointed as Internal Auditor?</v>
      </c>
    </row>
    <row r="166" spans="1:10" s="146" customFormat="1" ht="15.75" x14ac:dyDescent="0.25">
      <c r="A166" s="141" t="str">
        <f>Phase3!A141</f>
        <v>ASSESS3.3</v>
      </c>
      <c r="B166" s="142" t="str">
        <f>Phase3!B141</f>
        <v>Assessment</v>
      </c>
      <c r="C166" s="142" t="str">
        <f>Phase3!C141</f>
        <v>Have Internal Auditors been appropriately trained and certified?</v>
      </c>
    </row>
    <row r="167" spans="1:10" s="146" customFormat="1" ht="15.75" x14ac:dyDescent="0.25">
      <c r="A167" s="141" t="str">
        <f>Phase3!A142</f>
        <v>ASSESS3.4</v>
      </c>
      <c r="B167" s="142" t="str">
        <f>Phase3!B142</f>
        <v>Assessment</v>
      </c>
      <c r="C167" s="142" t="str">
        <f>Phase3!C142</f>
        <v>Is a Position Job Description present for the position of Internal Auditor?</v>
      </c>
    </row>
    <row r="168" spans="1:10" s="146" customFormat="1" ht="31.5" x14ac:dyDescent="0.25">
      <c r="A168" s="141" t="str">
        <f>Phase3!A143</f>
        <v>ASSESS3.5</v>
      </c>
      <c r="B168" s="142" t="str">
        <f>Phase3!B143</f>
        <v>Assessment</v>
      </c>
      <c r="C168" s="142" t="str">
        <f>Phase3!C143</f>
        <v>Have the Personal Job Descriptions of the staff members appointed as Internal Auditors been adapted to include the tasks and responsibilities for their position as Internal Auditor?</v>
      </c>
    </row>
    <row r="169" spans="1:10" s="146" customFormat="1" ht="31.5" x14ac:dyDescent="0.25">
      <c r="A169" s="141" t="str">
        <f>Phase3!A144</f>
        <v>ASSESS3.6</v>
      </c>
      <c r="B169" s="142" t="str">
        <f>Phase3!B144</f>
        <v>Assessment</v>
      </c>
      <c r="C169" s="142" t="str">
        <f>Phase3!C144</f>
        <v>Does the Authorization Matrix include the tasks and responsibilities pertaining to the position of Internal Auditor?</v>
      </c>
    </row>
    <row r="170" spans="1:10" s="147" customFormat="1" ht="32.25" thickBot="1" x14ac:dyDescent="0.3">
      <c r="A170" s="137" t="str">
        <f>Phase3!A145</f>
        <v>ASSESS3.7</v>
      </c>
      <c r="B170" s="138" t="str">
        <f>Phase3!B145</f>
        <v>Assessment</v>
      </c>
      <c r="C170" s="138" t="str">
        <f>Phase3!C145</f>
        <v>Have staff adequately been informed about what internal auditing is, why it is done, and who the Internal Auditors are?</v>
      </c>
    </row>
    <row r="171" spans="1:10" ht="15.75" thickBot="1" x14ac:dyDescent="0.3"/>
    <row r="172" spans="1:10" s="144" customFormat="1" ht="47.25" x14ac:dyDescent="0.25">
      <c r="A172" s="139" t="str">
        <f>Phase3!A146</f>
        <v>ASSESS3.8</v>
      </c>
      <c r="B172" s="140" t="str">
        <f>Phase3!B146</f>
        <v>Assessment</v>
      </c>
      <c r="C172" s="140" t="str">
        <f>Phase3!C146</f>
        <v>Are internal audits planned on a yearly basis and is this audit plan communicated to all the laboratory staff involved?</v>
      </c>
      <c r="D172" s="144" t="s">
        <v>2751</v>
      </c>
      <c r="E172" s="144" t="s">
        <v>2749</v>
      </c>
      <c r="F172" s="144" t="s">
        <v>2750</v>
      </c>
    </row>
    <row r="173" spans="1:10" s="147" customFormat="1" ht="32.25" thickBot="1" x14ac:dyDescent="0.3">
      <c r="A173" s="137" t="str">
        <f>Phase3!A147</f>
        <v>ASSESS3.9</v>
      </c>
      <c r="B173" s="138" t="str">
        <f>Phase3!B147</f>
        <v>Assessment</v>
      </c>
      <c r="C173" s="138" t="str">
        <f>Phase3!C147</f>
        <v>Are internal audits carried out in such a way that the complete quality management system and all examinations are audited every 12 months?</v>
      </c>
    </row>
    <row r="174" spans="1:10" ht="15.75" thickBot="1" x14ac:dyDescent="0.3"/>
    <row r="175" spans="1:10" s="144" customFormat="1" ht="31.5" x14ac:dyDescent="0.25">
      <c r="A175" s="139" t="str">
        <f>Phase3!A148</f>
        <v>ASSESS3.10</v>
      </c>
      <c r="B175" s="140" t="str">
        <f>Phase3!B148</f>
        <v>Assessment</v>
      </c>
      <c r="C175" s="140" t="str">
        <f>Phase3!C148</f>
        <v>Are observations made during internal audits reported and are nonconformities identified and scored according to severity?</v>
      </c>
      <c r="D175" s="144" t="s">
        <v>2753</v>
      </c>
      <c r="E175" s="144" t="s">
        <v>2752</v>
      </c>
    </row>
    <row r="176" spans="1:10" s="147" customFormat="1" ht="32.25" thickBot="1" x14ac:dyDescent="0.3">
      <c r="A176" s="137" t="str">
        <f>Phase3!A149</f>
        <v>ASSESS3.11</v>
      </c>
      <c r="B176" s="138" t="str">
        <f>Phase3!B149</f>
        <v>Assessment</v>
      </c>
      <c r="C176" s="138" t="str">
        <f>Phase3!C149</f>
        <v>Is the audit report submitted to laboratory management for translation into a SMART action plan to ensure correcting/solving of all the nonconformities noted?</v>
      </c>
    </row>
    <row r="177" spans="1:5" ht="15.75" thickBot="1" x14ac:dyDescent="0.3"/>
    <row r="178" spans="1:5" s="144" customFormat="1" ht="94.5" x14ac:dyDescent="0.25">
      <c r="A178" s="139" t="str">
        <f>Phase3!A150</f>
        <v>ASSESS3.12</v>
      </c>
      <c r="B178" s="140" t="str">
        <f>Phase3!B150</f>
        <v>Assessment</v>
      </c>
      <c r="C178" s="140" t="str">
        <f>Phase3!C150</f>
        <v>Are action plans made to solve/correct the nonconformities identified in internal audits with corrective actions, control steps and preventive actions when necessary and applicable?</v>
      </c>
      <c r="D178" s="144" t="s">
        <v>2754</v>
      </c>
    </row>
    <row r="179" spans="1:5" s="145" customFormat="1" ht="94.5" x14ac:dyDescent="0.25">
      <c r="A179" s="136" t="str">
        <f>Phase3!A151</f>
        <v>ASSESS3.13</v>
      </c>
      <c r="B179" s="143" t="str">
        <f>Phase3!B151</f>
        <v>Assessment</v>
      </c>
      <c r="C179" s="143" t="str">
        <f>Phase3!C151</f>
        <v>Is timely implementation of the action plans following internal audit monitored?</v>
      </c>
      <c r="D179" s="145" t="s">
        <v>2757</v>
      </c>
      <c r="E179" s="145" t="s">
        <v>2758</v>
      </c>
    </row>
    <row r="180" spans="1:5" s="147" customFormat="1" ht="48" thickBot="1" x14ac:dyDescent="0.3">
      <c r="A180" s="137" t="str">
        <f>Phase3!A152</f>
        <v>ASSESS3.14</v>
      </c>
      <c r="B180" s="138" t="str">
        <f>Phase3!B152</f>
        <v>Assessment</v>
      </c>
      <c r="C180" s="138" t="str">
        <f>Phase3!C152</f>
        <v>Are Internal Audit Reports with action plans archived when all action points have been completed?</v>
      </c>
      <c r="D180" s="147" t="s">
        <v>2755</v>
      </c>
    </row>
    <row r="181" spans="1:5" ht="15.75" thickBot="1" x14ac:dyDescent="0.3">
      <c r="D181" s="106"/>
    </row>
    <row r="182" spans="1:5" s="135" customFormat="1" ht="32.25" thickBot="1" x14ac:dyDescent="0.3">
      <c r="A182" s="133" t="str">
        <f>Phase3!A153</f>
        <v>ASSESS3.15</v>
      </c>
      <c r="B182" s="134" t="str">
        <f>Phase3!B153</f>
        <v>Assessment</v>
      </c>
      <c r="C182" s="134" t="str">
        <f>Phase3!C153</f>
        <v>Is the procedure for planning, conducting and processing internal audits standardized in an SOP?</v>
      </c>
      <c r="D182" s="135" t="s">
        <v>2756</v>
      </c>
    </row>
  </sheetData>
  <mergeCells count="17">
    <mergeCell ref="B1:D1"/>
    <mergeCell ref="A2:B2"/>
    <mergeCell ref="N8:O8"/>
    <mergeCell ref="P8:Q8"/>
    <mergeCell ref="R8:S8"/>
    <mergeCell ref="N14:O14"/>
    <mergeCell ref="P14:Q14"/>
    <mergeCell ref="R14:S14"/>
    <mergeCell ref="N31:O31"/>
    <mergeCell ref="P31:Q31"/>
    <mergeCell ref="R31:S31"/>
    <mergeCell ref="N20:O20"/>
    <mergeCell ref="P20:Q20"/>
    <mergeCell ref="R20:S20"/>
    <mergeCell ref="N28:O28"/>
    <mergeCell ref="P28:Q28"/>
    <mergeCell ref="R28:S2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1000"/>
  <sheetViews>
    <sheetView workbookViewId="0">
      <selection activeCell="B2" sqref="B2:B4"/>
    </sheetView>
  </sheetViews>
  <sheetFormatPr defaultColWidth="8.85546875" defaultRowHeight="15.75" x14ac:dyDescent="0.25"/>
  <cols>
    <col min="1" max="1" width="8.85546875" style="12"/>
    <col min="2" max="2" width="10.7109375" style="12" customWidth="1"/>
    <col min="3" max="3" width="55.28515625" style="10" customWidth="1"/>
    <col min="4" max="4" width="111.28515625" style="10" customWidth="1"/>
    <col min="5" max="5" width="8.85546875" style="12"/>
    <col min="6" max="6" width="10.5703125" style="12" bestFit="1" customWidth="1"/>
    <col min="7" max="7" width="78.140625" style="12" customWidth="1"/>
    <col min="8" max="16384" width="8.85546875" style="12"/>
  </cols>
  <sheetData>
    <row r="1" spans="1:7" x14ac:dyDescent="0.25">
      <c r="B1" s="294">
        <f>COUNTA(E3:E1000)/COUNTIF(D3:D1000, "&lt;&gt;*     *")</f>
        <v>0.99009900990099009</v>
      </c>
      <c r="C1" s="294"/>
      <c r="D1" s="294"/>
      <c r="E1" s="294"/>
    </row>
    <row r="2" spans="1:7" ht="15" customHeight="1" x14ac:dyDescent="0.25">
      <c r="B2" s="290"/>
      <c r="C2" s="291" t="s">
        <v>3194</v>
      </c>
      <c r="D2" s="291"/>
      <c r="E2" s="290" t="s">
        <v>1460</v>
      </c>
      <c r="F2" s="323" t="s">
        <v>5654</v>
      </c>
      <c r="G2" s="323" t="s">
        <v>5655</v>
      </c>
    </row>
    <row r="3" spans="1:7" x14ac:dyDescent="0.25">
      <c r="B3" s="290"/>
      <c r="C3" s="291"/>
      <c r="D3" s="291"/>
      <c r="E3" s="290"/>
      <c r="F3" s="323"/>
      <c r="G3" s="323"/>
    </row>
    <row r="4" spans="1:7" ht="33" customHeight="1" x14ac:dyDescent="0.25">
      <c r="B4" s="290"/>
      <c r="C4" s="291"/>
      <c r="D4" s="291"/>
      <c r="E4" s="290"/>
      <c r="F4" s="323"/>
      <c r="G4" s="323"/>
    </row>
    <row r="5" spans="1:7" ht="31.5" x14ac:dyDescent="0.25">
      <c r="A5" s="12" t="s">
        <v>5501</v>
      </c>
      <c r="B5" s="10" t="str">
        <f>_xlfn.IFNA(VLOOKUP($A5,CompChecksTrans!$A:$C,2,FALSE), "")</f>
        <v>FS3.12</v>
      </c>
      <c r="C5" s="10" t="str">
        <f>_xlfn.IFNA(VLOOKUP(B5,Phase3!A$4:C$1000,3,FALSE),"")</f>
        <v>Is a primary sample collection facility available and physically separate from the laboratory activities?</v>
      </c>
      <c r="D5" s="10" t="str">
        <f>_xlfn.IFNA(VLOOKUP($A5,CompChecksTrans!$A:$C,3,FALSE), "     ")</f>
        <v xml:space="preserve">1. Presence of the sample collection area </v>
      </c>
      <c r="E5" s="12" t="s">
        <v>3198</v>
      </c>
    </row>
    <row r="6" spans="1:7" ht="31.5" x14ac:dyDescent="0.25">
      <c r="A6" s="12" t="s">
        <v>5502</v>
      </c>
      <c r="B6" s="10" t="str">
        <f>_xlfn.IFNA(VLOOKUP($A6,CompChecksTrans!$A:$C,2,FALSE), "")</f>
        <v>FS3.12</v>
      </c>
      <c r="C6" s="10" t="str">
        <f>_xlfn.IFNA(VLOOKUP(B6,Phase3!A$4:C$1000,3,FALSE),"")</f>
        <v>Is a primary sample collection facility available and physically separate from the laboratory activities?</v>
      </c>
      <c r="D6" s="10" t="str">
        <f>_xlfn.IFNA(VLOOKUP($A6,CompChecksTrans!$A:$C,3,FALSE), "     ")</f>
        <v>2. Presence of the waiting area</v>
      </c>
      <c r="E6" s="12" t="s">
        <v>3198</v>
      </c>
    </row>
    <row r="7" spans="1:7" ht="31.5" x14ac:dyDescent="0.25">
      <c r="A7" s="12" t="s">
        <v>5503</v>
      </c>
      <c r="B7" s="10" t="str">
        <f>_xlfn.IFNA(VLOOKUP($A7,CompChecksTrans!$A:$C,2,FALSE), "")</f>
        <v>FS3.16</v>
      </c>
      <c r="C7" s="10" t="str">
        <f>_xlfn.IFNA(VLOOKUP(B7,Phase3!A$4:C$1000,3,FALSE),"")</f>
        <v>Is the waiting area and primary sample collection facility accessible for physically handicapped patients?</v>
      </c>
      <c r="D7" s="10" t="str">
        <f>_xlfn.IFNA(VLOOKUP($A7,CompChecksTrans!$A:$C,3,FALSE), "     ")</f>
        <v>the sample collection area and the waiting area is accessible for disabled persons</v>
      </c>
      <c r="E7" s="12" t="s">
        <v>3199</v>
      </c>
    </row>
    <row r="8" spans="1:7" ht="47.25" x14ac:dyDescent="0.25">
      <c r="A8" s="12" t="s">
        <v>5504</v>
      </c>
      <c r="B8" s="10" t="str">
        <f>_xlfn.IFNA(VLOOKUP($A8,CompChecksTrans!$A:$C,2,FALSE), "")</f>
        <v>FS3.17</v>
      </c>
      <c r="C8" s="10" t="str">
        <f>_xlfn.IFNA(VLOOKUP(B8,Phase3!A$4:C$1000,3,FALSE),"")</f>
        <v>Are samples stored under appropriate conditions, protected from unauthorized access and demonstrably easily retrievable?</v>
      </c>
      <c r="D8" s="10" t="str">
        <f>_xlfn.IFNA(VLOOKUP($A8,CompChecksTrans!$A:$C,3,FALSE), "     ")</f>
        <v xml:space="preserve">1. Sample Storage Areas is available with good condition.
</v>
      </c>
      <c r="E8" s="12" t="s">
        <v>3199</v>
      </c>
    </row>
    <row r="9" spans="1:7" ht="47.25" x14ac:dyDescent="0.25">
      <c r="A9" s="12" t="s">
        <v>5505</v>
      </c>
      <c r="B9" s="10" t="str">
        <f>_xlfn.IFNA(VLOOKUP($A9,CompChecksTrans!$A:$C,2,FALSE), "")</f>
        <v>FS3.17</v>
      </c>
      <c r="C9" s="10" t="str">
        <f>_xlfn.IFNA(VLOOKUP(B9,Phase3!A$4:C$1000,3,FALSE),"")</f>
        <v>Are samples stored under appropriate conditions, protected from unauthorized access and demonstrably easily retrievable?</v>
      </c>
      <c r="D9" s="10" t="str">
        <f>_xlfn.IFNA(VLOOKUP($A9,CompChecksTrans!$A:$C,3,FALSE), "     ")</f>
        <v>2. Sample Inventory log is available.</v>
      </c>
      <c r="E9" s="12" t="s">
        <v>3198</v>
      </c>
    </row>
    <row r="10" spans="1:7" ht="63" x14ac:dyDescent="0.25">
      <c r="A10" s="12" t="s">
        <v>5506</v>
      </c>
      <c r="B10" s="10" t="str">
        <f>_xlfn.IFNA(VLOOKUP($A10,CompChecksTrans!$A:$C,2,FALSE), "")</f>
        <v>FS3.18</v>
      </c>
      <c r="C10" s="10" t="str">
        <f>_xlfn.IFNA(VLOOKUP(B10,Phase3!A$4:C$1000,3,FALSE),"")</f>
        <v>Are all reagents and supplies stored under the proper conditions, protected from unauthorized access and easily retrievable?</v>
      </c>
      <c r="D10" s="10" t="str">
        <f>_xlfn.IFNA(VLOOKUP($A10,CompChecksTrans!$A:$C,3,FALSE), "     ")</f>
        <v>1-Reagent and supplies Storage Areas  is available with good condition.</v>
      </c>
      <c r="E10" s="12" t="s">
        <v>1409</v>
      </c>
    </row>
    <row r="11" spans="1:7" ht="63" x14ac:dyDescent="0.25">
      <c r="A11" s="12" t="s">
        <v>5507</v>
      </c>
      <c r="B11" s="10" t="str">
        <f>_xlfn.IFNA(VLOOKUP($A11,CompChecksTrans!$A:$C,2,FALSE), "")</f>
        <v>FS3.18</v>
      </c>
      <c r="C11" s="10" t="str">
        <f>_xlfn.IFNA(VLOOKUP(B11,Phase3!A$4:C$1000,3,FALSE),"")</f>
        <v>Are all reagents and supplies stored under the proper conditions, protected from unauthorized access and easily retrievable?</v>
      </c>
      <c r="D11" s="10" t="str">
        <f>_xlfn.IFNA(VLOOKUP($A11,CompChecksTrans!$A:$C,3,FALSE), "     ")</f>
        <v>2- A register with an up-to-date overview is available</v>
      </c>
      <c r="E11" s="12" t="s">
        <v>1409</v>
      </c>
    </row>
    <row r="12" spans="1:7" ht="47.25" x14ac:dyDescent="0.25">
      <c r="A12" s="12" t="s">
        <v>5508</v>
      </c>
      <c r="B12" s="10" t="str">
        <f>_xlfn.IFNA(VLOOKUP($A12,CompChecksTrans!$A:$C,2,FALSE), "")</f>
        <v>FS3.19</v>
      </c>
      <c r="C12" s="10" t="str">
        <f>_xlfn.IFNA(VLOOKUP(B12,Phase3!A$4:C$1000,3,FALSE),"")</f>
        <v>Is equipment stored under appropriate conditions protected from unauthorized use?</v>
      </c>
      <c r="D12" s="10" t="str">
        <f>_xlfn.IFNA(VLOOKUP($A12,CompChecksTrans!$A:$C,3,FALSE), "     ")</f>
        <v>1- Equipment Storage Areas  is available with good condition.</v>
      </c>
      <c r="E12" s="12" t="s">
        <v>1408</v>
      </c>
    </row>
    <row r="13" spans="1:7" ht="47.25" x14ac:dyDescent="0.25">
      <c r="A13" s="12" t="s">
        <v>5509</v>
      </c>
      <c r="B13" s="10" t="str">
        <f>_xlfn.IFNA(VLOOKUP($A13,CompChecksTrans!$A:$C,2,FALSE), "")</f>
        <v>FS3.19</v>
      </c>
      <c r="C13" s="10" t="str">
        <f>_xlfn.IFNA(VLOOKUP(B13,Phase3!A$4:C$1000,3,FALSE),"")</f>
        <v>Is equipment stored under appropriate conditions protected from unauthorized use?</v>
      </c>
      <c r="D13" s="10" t="str">
        <f>_xlfn.IFNA(VLOOKUP($A13,CompChecksTrans!$A:$C,3,FALSE), "     ")</f>
        <v>2- A register with an up-to-date overview is available</v>
      </c>
      <c r="E13" s="12" t="s">
        <v>1409</v>
      </c>
    </row>
    <row r="14" spans="1:7" ht="47.25" x14ac:dyDescent="0.25">
      <c r="A14" s="12" t="s">
        <v>5510</v>
      </c>
      <c r="B14" s="10" t="str">
        <f>_xlfn.IFNA(VLOOKUP($A14,CompChecksTrans!$A:$C,2,FALSE), "")</f>
        <v>FS3.20</v>
      </c>
      <c r="C14" s="10" t="str">
        <f>_xlfn.IFNA(VLOOKUP(B14,Phase3!A$4:C$1000,3,FALSE),"")</f>
        <v>Is defective equipment demonstrably contaminated and stored outside the laboratory protected from use?</v>
      </c>
      <c r="D14" s="10" t="str">
        <f>_xlfn.IFNA(VLOOKUP($A14,CompChecksTrans!$A:$C,3,FALSE), "     ")</f>
        <v>No defective equipment in the laboratory.</v>
      </c>
      <c r="E14" s="12" t="s">
        <v>1408</v>
      </c>
    </row>
    <row r="15" spans="1:7" ht="47.25" x14ac:dyDescent="0.25">
      <c r="A15" s="12" t="s">
        <v>5511</v>
      </c>
      <c r="B15" s="10" t="str">
        <f>_xlfn.IFNA(VLOOKUP($A15,CompChecksTrans!$A:$C,2,FALSE), "")</f>
        <v>FS3.21</v>
      </c>
      <c r="C15" s="10" t="str">
        <f>_xlfn.IFNA(VLOOKUP(B15,Phase3!A$4:C$1000,3,FALSE),"")</f>
        <v>Are documents and records stored under appropriate conditions, protected from fire, insects, humidity and other harmful elements?</v>
      </c>
      <c r="D15" s="10" t="str">
        <f>_xlfn.IFNA(VLOOKUP($A15,CompChecksTrans!$A:$C,3,FALSE), "     ")</f>
        <v>1- Storage area for documents and records is available with good condition.</v>
      </c>
      <c r="E15" s="12" t="s">
        <v>1408</v>
      </c>
    </row>
    <row r="16" spans="1:7" ht="47.25" x14ac:dyDescent="0.25">
      <c r="A16" s="12" t="s">
        <v>5512</v>
      </c>
      <c r="B16" s="10" t="str">
        <f>_xlfn.IFNA(VLOOKUP($A16,CompChecksTrans!$A:$C,2,FALSE), "")</f>
        <v>FS3.21</v>
      </c>
      <c r="C16" s="10" t="str">
        <f>_xlfn.IFNA(VLOOKUP(B16,Phase3!A$4:C$1000,3,FALSE),"")</f>
        <v>Are documents and records stored under appropriate conditions, protected from fire, insects, humidity and other harmful elements?</v>
      </c>
      <c r="D16" s="10" t="str">
        <f>_xlfn.IFNA(VLOOKUP($A16,CompChecksTrans!$A:$C,3,FALSE), "     ")</f>
        <v>2- A fire proof cabinet is available.</v>
      </c>
      <c r="E16" s="12" t="s">
        <v>1409</v>
      </c>
    </row>
    <row r="17" spans="1:5" ht="47.25" x14ac:dyDescent="0.25">
      <c r="A17" s="12" t="s">
        <v>5513</v>
      </c>
      <c r="B17" s="10" t="str">
        <f>_xlfn.IFNA(VLOOKUP($A17,CompChecksTrans!$A:$C,2,FALSE), "")</f>
        <v>FS3.21</v>
      </c>
      <c r="C17" s="10" t="str">
        <f>_xlfn.IFNA(VLOOKUP(B17,Phase3!A$4:C$1000,3,FALSE),"")</f>
        <v>Are documents and records stored under appropriate conditions, protected from fire, insects, humidity and other harmful elements?</v>
      </c>
      <c r="D17" s="10" t="str">
        <f>_xlfn.IFNA(VLOOKUP($A17,CompChecksTrans!$A:$C,3,FALSE), "     ")</f>
        <v>3- A register with coding system is available.</v>
      </c>
      <c r="E17" s="12" t="s">
        <v>1408</v>
      </c>
    </row>
    <row r="18" spans="1:5" ht="31.5" x14ac:dyDescent="0.25">
      <c r="A18" s="12" t="s">
        <v>5514</v>
      </c>
      <c r="B18" s="10" t="str">
        <f>_xlfn.IFNA(VLOOKUP($A18,CompChecksTrans!$A:$C,2,FALSE), "")</f>
        <v>ORG3.2</v>
      </c>
      <c r="C18" s="10" t="str">
        <f>_xlfn.IFNA(VLOOKUP(B18,Phase3!A$4:C$1000,3,FALSE),"")</f>
        <v>Is the Vision of the laboratory documented and stored?</v>
      </c>
      <c r="D18" s="10" t="str">
        <f>_xlfn.IFNA(VLOOKUP($A18,CompChecksTrans!$A:$C,3,FALSE), "     ")</f>
        <v>The Vison of laboratory is available at
1- folder of Organisation</v>
      </c>
      <c r="E18" s="12" t="s">
        <v>1408</v>
      </c>
    </row>
    <row r="19" spans="1:5" ht="31.5" x14ac:dyDescent="0.25">
      <c r="A19" s="12" t="s">
        <v>5515</v>
      </c>
      <c r="B19" s="10" t="str">
        <f>_xlfn.IFNA(VLOOKUP($A19,CompChecksTrans!$A:$C,2,FALSE), "")</f>
        <v>ORG3.2</v>
      </c>
      <c r="C19" s="10" t="str">
        <f>_xlfn.IFNA(VLOOKUP(B19,Phase3!A$4:C$1000,3,FALSE),"")</f>
        <v>Is the Vision of the laboratory documented and stored?</v>
      </c>
      <c r="D19" s="10" t="str">
        <f>_xlfn.IFNA(VLOOKUP($A19,CompChecksTrans!$A:$C,3,FALSE), "     ")</f>
        <v>2- Quality Manual</v>
      </c>
      <c r="E19" s="12" t="s">
        <v>1409</v>
      </c>
    </row>
    <row r="20" spans="1:5" ht="31.5" x14ac:dyDescent="0.25">
      <c r="A20" s="12" t="s">
        <v>5516</v>
      </c>
      <c r="B20" s="10" t="str">
        <f>_xlfn.IFNA(VLOOKUP($A20,CompChecksTrans!$A:$C,2,FALSE), "")</f>
        <v>ORG3.2</v>
      </c>
      <c r="C20" s="10" t="str">
        <f>_xlfn.IFNA(VLOOKUP(B20,Phase3!A$4:C$1000,3,FALSE),"")</f>
        <v>Is the Vision of the laboratory documented and stored?</v>
      </c>
      <c r="D20" s="10" t="str">
        <f>_xlfn.IFNA(VLOOKUP($A20,CompChecksTrans!$A:$C,3,FALSE), "     ")</f>
        <v>3- On the wall such as the entrance of the lab.</v>
      </c>
      <c r="E20" s="12" t="s">
        <v>1409</v>
      </c>
    </row>
    <row r="21" spans="1:5" ht="31.5" x14ac:dyDescent="0.25">
      <c r="A21" s="12" t="s">
        <v>5517</v>
      </c>
      <c r="B21" s="10" t="str">
        <f>_xlfn.IFNA(VLOOKUP($A21,CompChecksTrans!$A:$C,2,FALSE), "")</f>
        <v>ORG3.3</v>
      </c>
      <c r="C21" s="10" t="str">
        <f>_xlfn.IFNA(VLOOKUP(B21,Phase3!A$4:C$1000,3,FALSE),"")</f>
        <v>Does the laboratory have a clear Mission?</v>
      </c>
      <c r="D21" s="10" t="str">
        <f>_xlfn.IFNA(VLOOKUP($A21,CompChecksTrans!$A:$C,3,FALSE), "     ")</f>
        <v>The Mission of the laboratory is available</v>
      </c>
      <c r="E21" s="12" t="s">
        <v>1408</v>
      </c>
    </row>
    <row r="22" spans="1:5" x14ac:dyDescent="0.25">
      <c r="A22" s="12" t="s">
        <v>5518</v>
      </c>
      <c r="B22" s="10" t="str">
        <f>_xlfn.IFNA(VLOOKUP($A22,CompChecksTrans!$A:$C,2,FALSE), "")</f>
        <v>ORG3.5</v>
      </c>
      <c r="C22" s="10" t="str">
        <f>_xlfn.IFNA(VLOOKUP(B22,Phase3!A$4:C$1000,3,FALSE),"")</f>
        <v>Does the laboratory have long-term goals?</v>
      </c>
      <c r="D22" s="10" t="str">
        <f>_xlfn.IFNA(VLOOKUP($A22,CompChecksTrans!$A:$C,3,FALSE), "     ")</f>
        <v>Presence of long-term goals.</v>
      </c>
      <c r="E22" s="12" t="s">
        <v>1409</v>
      </c>
    </row>
    <row r="23" spans="1:5" x14ac:dyDescent="0.25">
      <c r="A23" s="12" t="s">
        <v>5519</v>
      </c>
      <c r="B23" s="10" t="str">
        <f>_xlfn.IFNA(VLOOKUP($A23,CompChecksTrans!$A:$C,2,FALSE), "")</f>
        <v>ORG3.9</v>
      </c>
      <c r="C23" s="10" t="str">
        <f>_xlfn.IFNA(VLOOKUP(B23,Phase3!A$4:C$1000,3,FALSE),"")</f>
        <v>Does the laboratory have a Quality Policy?</v>
      </c>
      <c r="D23" s="10" t="str">
        <f>_xlfn.IFNA(VLOOKUP($A23,CompChecksTrans!$A:$C,3,FALSE), "     ")</f>
        <v>Presence of Quality Policy with the read and understood list signed by all staff</v>
      </c>
      <c r="E23" s="12" t="s">
        <v>1408</v>
      </c>
    </row>
    <row r="24" spans="1:5" ht="31.5" x14ac:dyDescent="0.25">
      <c r="A24" s="12" t="s">
        <v>5520</v>
      </c>
      <c r="B24" s="10" t="str">
        <f>_xlfn.IFNA(VLOOKUP($A24,CompChecksTrans!$A:$C,2,FALSE), "")</f>
        <v>ORG3.18</v>
      </c>
      <c r="C24" s="10" t="str">
        <f>_xlfn.IFNA(VLOOKUP(B24,Phase3!A$4:C$1000,3,FALSE),"")</f>
        <v>Does the laboratory have measures to prevent interruption of services due to break down of old equipment?</v>
      </c>
      <c r="D24" s="10" t="str">
        <f>_xlfn.IFNA(VLOOKUP($A24,CompChecksTrans!$A:$C,3,FALSE), "     ")</f>
        <v>1. Presence of yearly budget plan for equipment</v>
      </c>
      <c r="E24" s="12" t="s">
        <v>1408</v>
      </c>
    </row>
    <row r="25" spans="1:5" ht="31.5" x14ac:dyDescent="0.25">
      <c r="A25" s="12" t="s">
        <v>5521</v>
      </c>
      <c r="B25" s="10" t="str">
        <f>_xlfn.IFNA(VLOOKUP($A25,CompChecksTrans!$A:$C,2,FALSE), "")</f>
        <v>ORG3.18</v>
      </c>
      <c r="C25" s="10" t="str">
        <f>_xlfn.IFNA(VLOOKUP(B25,Phase3!A$4:C$1000,3,FALSE),"")</f>
        <v>Does the laboratory have measures to prevent interruption of services due to break down of old equipment?</v>
      </c>
      <c r="D25" s="10" t="str">
        <f>_xlfn.IFNA(VLOOKUP($A25,CompChecksTrans!$A:$C,3,FALSE), "     ")</f>
        <v xml:space="preserve">2.  hospital/PHD directors were informed. </v>
      </c>
      <c r="E25" s="12" t="s">
        <v>1409</v>
      </c>
    </row>
    <row r="26" spans="1:5" ht="31.5" x14ac:dyDescent="0.25">
      <c r="A26" s="12" t="s">
        <v>5522</v>
      </c>
      <c r="B26" s="10" t="str">
        <f>_xlfn.IFNA(VLOOKUP($A26,CompChecksTrans!$A:$C,2,FALSE), "")</f>
        <v>ORG3.21</v>
      </c>
      <c r="C26" s="10" t="str">
        <f>_xlfn.IFNA(VLOOKUP(B26,Phase3!A$4:C$1000,3,FALSE),"")</f>
        <v>Did the laboratory formulate goals for the coming year prior to drafting the Quality Year Plan?</v>
      </c>
      <c r="D26" s="10" t="str">
        <f>_xlfn.IFNA(VLOOKUP($A26,CompChecksTrans!$A:$C,3,FALSE), "     ")</f>
        <v>Presence of a list of goals for the coming year in the folder of organization behind the Quality Policy</v>
      </c>
      <c r="E26" s="12" t="s">
        <v>1408</v>
      </c>
    </row>
    <row r="27" spans="1:5" ht="31.5" x14ac:dyDescent="0.25">
      <c r="A27" s="12" t="s">
        <v>5523</v>
      </c>
      <c r="B27" s="10" t="str">
        <f>_xlfn.IFNA(VLOOKUP($A27,CompChecksTrans!$A:$C,2,FALSE), "")</f>
        <v>ORG3.22</v>
      </c>
      <c r="C27" s="10" t="str">
        <f>_xlfn.IFNA(VLOOKUP(B27,Phase3!A$4:C$1000,3,FALSE),"")</f>
        <v>Does the laboratory plan its activities through a Quality Year Plan?</v>
      </c>
      <c r="D27" s="10" t="str">
        <f>_xlfn.IFNA(VLOOKUP($A27,CompChecksTrans!$A:$C,3,FALSE), "     ")</f>
        <v>1. Presence of a Quality Year Plan for the coming year</v>
      </c>
      <c r="E27" s="12" t="s">
        <v>1408</v>
      </c>
    </row>
    <row r="28" spans="1:5" ht="31.5" x14ac:dyDescent="0.25">
      <c r="A28" s="12" t="s">
        <v>5524</v>
      </c>
      <c r="B28" s="10" t="str">
        <f>_xlfn.IFNA(VLOOKUP($A28,CompChecksTrans!$A:$C,2,FALSE), "")</f>
        <v>ORG3.22</v>
      </c>
      <c r="C28" s="10" t="str">
        <f>_xlfn.IFNA(VLOOKUP(B28,Phase3!A$4:C$1000,3,FALSE),"")</f>
        <v>Does the laboratory plan its activities through a Quality Year Plan?</v>
      </c>
      <c r="D28" s="10" t="str">
        <f>_xlfn.IFNA(VLOOKUP($A28,CompChecksTrans!$A:$C,3,FALSE), "     ")</f>
        <v xml:space="preserve">2. Presence of an SOP for making a Quality Year Plan. </v>
      </c>
      <c r="E28" s="12" t="s">
        <v>1409</v>
      </c>
    </row>
    <row r="29" spans="1:5" ht="31.5" x14ac:dyDescent="0.25">
      <c r="A29" s="12" t="s">
        <v>5525</v>
      </c>
      <c r="B29" s="10" t="str">
        <f>_xlfn.IFNA(VLOOKUP($A29,CompChecksTrans!$A:$C,2,FALSE), "")</f>
        <v>ORG3.27</v>
      </c>
      <c r="C29" s="10" t="str">
        <f>_xlfn.IFNA(VLOOKUP(B29,Phase3!A$4:C$1000,3,FALSE),"")</f>
        <v>Is the Quality Year Plan translated into an action plan?</v>
      </c>
      <c r="D29" s="10" t="str">
        <f>_xlfn.IFNA(VLOOKUP($A29,CompChecksTrans!$A:$C,3,FALSE), "     ")</f>
        <v>1. Presence of SMART action plan with signature of lab manager</v>
      </c>
      <c r="E29" s="12" t="s">
        <v>1409</v>
      </c>
    </row>
    <row r="30" spans="1:5" ht="31.5" x14ac:dyDescent="0.25">
      <c r="A30" s="12" t="s">
        <v>5526</v>
      </c>
      <c r="B30" s="10" t="str">
        <f>_xlfn.IFNA(VLOOKUP($A30,CompChecksTrans!$A:$C,2,FALSE), "")</f>
        <v>ORG3.27</v>
      </c>
      <c r="C30" s="10" t="str">
        <f>_xlfn.IFNA(VLOOKUP(B30,Phase3!A$4:C$1000,3,FALSE),"")</f>
        <v>Is the Quality Year Plan translated into an action plan?</v>
      </c>
      <c r="D30" s="10" t="str">
        <f>_xlfn.IFNA(VLOOKUP($A30,CompChecksTrans!$A:$C,3,FALSE), "     ")</f>
        <v>2. Copies of the Quality Year Plan and action plan are available amongst all the staff.</v>
      </c>
      <c r="E30" s="12" t="s">
        <v>1408</v>
      </c>
    </row>
    <row r="31" spans="1:5" ht="78.75" x14ac:dyDescent="0.25">
      <c r="A31" s="12" t="s">
        <v>5527</v>
      </c>
      <c r="B31" s="10" t="str">
        <f>_xlfn.IFNA(VLOOKUP($A31,CompChecksTrans!$A:$C,2,FALSE), "")</f>
        <v>ORG3.31</v>
      </c>
      <c r="C31" s="10" t="str">
        <f>_xlfn.IFNA(VLOOKUP(B31,Phase3!A$4:C$1000,3,FALSE),"")</f>
        <v>Is the quality management system appropriately documented in a quality manual, i.e. does it include information on each of the 12 quality system essentials and how these are implemented in the laboratory?</v>
      </c>
      <c r="D31" s="10" t="str">
        <f>_xlfn.IFNA(VLOOKUP($A31,CompChecksTrans!$A:$C,3,FALSE), "     ")</f>
        <v>Presence of QM</v>
      </c>
      <c r="E31" s="12" t="s">
        <v>1409</v>
      </c>
    </row>
    <row r="32" spans="1:5" ht="47.25" x14ac:dyDescent="0.25">
      <c r="A32" s="12" t="s">
        <v>5528</v>
      </c>
      <c r="B32" s="10" t="str">
        <f>_xlfn.IFNA(VLOOKUP($A32,CompChecksTrans!$A:$C,2,FALSE), "")</f>
        <v>ORG3.34</v>
      </c>
      <c r="C32" s="10" t="str">
        <f>_xlfn.IFNA(VLOOKUP(B32,Phase3!A$4:C$1000,3,FALSE),"")</f>
        <v>Is the performance of the quality management system recorded in Quarterly Reports?</v>
      </c>
      <c r="D32" s="10" t="str">
        <f>_xlfn.IFNA(VLOOKUP($A32,CompChecksTrans!$A:$C,3,FALSE), "     ")</f>
        <v>1. Presence of Quarterly Report in its folder (including corrective action)</v>
      </c>
      <c r="E32" s="12" t="s">
        <v>1408</v>
      </c>
    </row>
    <row r="33" spans="1:5" ht="47.25" x14ac:dyDescent="0.25">
      <c r="A33" s="12" t="s">
        <v>5529</v>
      </c>
      <c r="B33" s="10" t="str">
        <f>_xlfn.IFNA(VLOOKUP($A33,CompChecksTrans!$A:$C,2,FALSE), "")</f>
        <v>ORG3.34</v>
      </c>
      <c r="C33" s="10" t="str">
        <f>_xlfn.IFNA(VLOOKUP(B33,Phase3!A$4:C$1000,3,FALSE),"")</f>
        <v>Is the performance of the quality management system recorded in Quarterly Reports?</v>
      </c>
      <c r="D33" s="10" t="str">
        <f>_xlfn.IFNA(VLOOKUP($A33,CompChecksTrans!$A:$C,3,FALSE), "     ")</f>
        <v>2. Presence of an SOP for making a Quarterly Report</v>
      </c>
      <c r="E33" s="12" t="s">
        <v>1408</v>
      </c>
    </row>
    <row r="34" spans="1:5" ht="47.25" x14ac:dyDescent="0.25">
      <c r="A34" s="12" t="s">
        <v>5530</v>
      </c>
      <c r="B34" s="10" t="str">
        <f>_xlfn.IFNA(VLOOKUP($A34,CompChecksTrans!$A:$C,2,FALSE), "")</f>
        <v>ORG3.35</v>
      </c>
      <c r="C34" s="10" t="str">
        <f>_xlfn.IFNA(VLOOKUP(B34,Phase3!A$4:C$1000,3,FALSE),"")</f>
        <v>Is the functioning of the quality management system reviewed annually by laboratory management?</v>
      </c>
      <c r="D34" s="10" t="str">
        <f>_xlfn.IFNA(VLOOKUP($A34,CompChecksTrans!$A:$C,3,FALSE), "     ")</f>
        <v xml:space="preserve">1. Presence of Management Annual Review Report
</v>
      </c>
      <c r="E34" s="12" t="s">
        <v>1409</v>
      </c>
    </row>
    <row r="35" spans="1:5" ht="47.25" x14ac:dyDescent="0.25">
      <c r="A35" s="12" t="s">
        <v>5531</v>
      </c>
      <c r="B35" s="10" t="str">
        <f>_xlfn.IFNA(VLOOKUP($A35,CompChecksTrans!$A:$C,2,FALSE), "")</f>
        <v>ORG3.35</v>
      </c>
      <c r="C35" s="10" t="str">
        <f>_xlfn.IFNA(VLOOKUP(B35,Phase3!A$4:C$1000,3,FALSE),"")</f>
        <v>Is the functioning of the quality management system reviewed annually by laboratory management?</v>
      </c>
      <c r="D35" s="10" t="str">
        <f>_xlfn.IFNA(VLOOKUP($A35,CompChecksTrans!$A:$C,3,FALSE), "     ")</f>
        <v>2. Presence of minute of staff meeting informing about the Management Annual Review Report</v>
      </c>
      <c r="E35" s="12" t="s">
        <v>1408</v>
      </c>
    </row>
    <row r="36" spans="1:5" ht="47.25" x14ac:dyDescent="0.25">
      <c r="A36" s="12" t="s">
        <v>5532</v>
      </c>
      <c r="B36" s="10" t="str">
        <f>_xlfn.IFNA(VLOOKUP($A36,CompChecksTrans!$A:$C,2,FALSE), "")</f>
        <v>ORG3.35</v>
      </c>
      <c r="C36" s="10" t="str">
        <f>_xlfn.IFNA(VLOOKUP(B36,Phase3!A$4:C$1000,3,FALSE),"")</f>
        <v>Is the functioning of the quality management system reviewed annually by laboratory management?</v>
      </c>
      <c r="D36" s="10" t="str">
        <f>_xlfn.IFNA(VLOOKUP($A36,CompChecksTrans!$A:$C,3,FALSE), "     ")</f>
        <v>3. Presence of an SOP for making a Management Annual Review Report</v>
      </c>
      <c r="E36" s="12" t="s">
        <v>1408</v>
      </c>
    </row>
    <row r="37" spans="1:5" ht="47.25" x14ac:dyDescent="0.25">
      <c r="A37" s="12" t="s">
        <v>5533</v>
      </c>
      <c r="B37" s="10" t="str">
        <f>_xlfn.IFNA(VLOOKUP($A37,CompChecksTrans!$A:$C,2,FALSE), "")</f>
        <v>ORG3.35</v>
      </c>
      <c r="C37" s="10" t="str">
        <f>_xlfn.IFNA(VLOOKUP(B37,Phase3!A$4:C$1000,3,FALSE),"")</f>
        <v>Is the functioning of the quality management system reviewed annually by laboratory management?</v>
      </c>
      <c r="D37" s="10" t="str">
        <f>_xlfn.IFNA(VLOOKUP($A37,CompChecksTrans!$A:$C,3,FALSE), "     ")</f>
        <v>4. Management Review Report is available in the Management Reviews and Quality Year Plans folder (including corrective action)</v>
      </c>
      <c r="E37" s="12" t="s">
        <v>1409</v>
      </c>
    </row>
    <row r="38" spans="1:5" ht="47.25" x14ac:dyDescent="0.25">
      <c r="A38" s="12" t="s">
        <v>5534</v>
      </c>
      <c r="B38" s="10" t="str">
        <f>_xlfn.IFNA(VLOOKUP($A38,CompChecksTrans!$A:$C,2,FALSE), "")</f>
        <v>ORG3.40</v>
      </c>
      <c r="C38" s="10" t="str">
        <f>_xlfn.IFNA(VLOOKUP(B38,Phase3!A$4:C$1000,3,FALSE),"")</f>
        <v>Does the Quality Year Plan include action points from the management review?</v>
      </c>
      <c r="D38" s="10" t="str">
        <f>_xlfn.IFNA(VLOOKUP($A38,CompChecksTrans!$A:$C,3,FALSE), "     ")</f>
        <v>1. Presence of Quality Year Plan, in the folder Management Reviews and Quality Year Plans.</v>
      </c>
      <c r="E38" s="12" t="s">
        <v>1409</v>
      </c>
    </row>
    <row r="39" spans="1:5" ht="47.25" x14ac:dyDescent="0.25">
      <c r="A39" s="12" t="s">
        <v>5535</v>
      </c>
      <c r="B39" s="10" t="str">
        <f>_xlfn.IFNA(VLOOKUP($A39,CompChecksTrans!$A:$C,2,FALSE), "")</f>
        <v>ORG3.40</v>
      </c>
      <c r="C39" s="10" t="str">
        <f>_xlfn.IFNA(VLOOKUP(B39,Phase3!A$4:C$1000,3,FALSE),"")</f>
        <v>Does the Quality Year Plan include action points from the management review?</v>
      </c>
      <c r="D39" s="10" t="str">
        <f>_xlfn.IFNA(VLOOKUP($A39,CompChecksTrans!$A:$C,3,FALSE), "     ")</f>
        <v>2. Presence of Action Plan, include all the action points from the Quality Year Plan.</v>
      </c>
      <c r="E39" s="12" t="s">
        <v>1408</v>
      </c>
    </row>
    <row r="40" spans="1:5" ht="47.25" x14ac:dyDescent="0.25">
      <c r="A40" s="12" t="s">
        <v>5536</v>
      </c>
      <c r="B40" s="10" t="str">
        <f>_xlfn.IFNA(VLOOKUP($A40,CompChecksTrans!$A:$C,2,FALSE), "")</f>
        <v>ORG3.40</v>
      </c>
      <c r="C40" s="10" t="str">
        <f>_xlfn.IFNA(VLOOKUP(B40,Phase3!A$4:C$1000,3,FALSE),"")</f>
        <v>Does the Quality Year Plan include action points from the management review?</v>
      </c>
      <c r="D40" s="10" t="str">
        <f>_xlfn.IFNA(VLOOKUP($A40,CompChecksTrans!$A:$C,3,FALSE), "     ")</f>
        <v>3. Presence of Minute of meeting to present the new Quality Year Plan to the laboratory staff</v>
      </c>
      <c r="E40" s="12" t="s">
        <v>1409</v>
      </c>
    </row>
    <row r="41" spans="1:5" ht="47.25" x14ac:dyDescent="0.25">
      <c r="A41" s="12" t="s">
        <v>5537</v>
      </c>
      <c r="B41" s="10" t="str">
        <f>_xlfn.IFNA(VLOOKUP($A41,CompChecksTrans!$A:$C,2,FALSE), "")</f>
        <v>ORG3.40</v>
      </c>
      <c r="C41" s="10" t="str">
        <f>_xlfn.IFNA(VLOOKUP(B41,Phase3!A$4:C$1000,3,FALSE),"")</f>
        <v>Does the Quality Year Plan include action points from the management review?</v>
      </c>
      <c r="D41" s="10" t="str">
        <f>_xlfn.IFNA(VLOOKUP($A41,CompChecksTrans!$A:$C,3,FALSE), "     ")</f>
        <v>4. Presence of the monitoring report to the implementation of the action plan.</v>
      </c>
      <c r="E41" s="12" t="s">
        <v>1408</v>
      </c>
    </row>
    <row r="42" spans="1:5" ht="94.5" x14ac:dyDescent="0.25">
      <c r="A42" s="12" t="s">
        <v>5538</v>
      </c>
      <c r="B42" s="10" t="str">
        <f>_xlfn.IFNA(VLOOKUP($A42,CompChecksTrans!$A:$C,2,FALSE), "")</f>
        <v>ORG3.44</v>
      </c>
      <c r="C42" s="10" t="str">
        <f>_xlfn.IFNA(VLOOKUP(B42,Phase3!A$4:C$1000,3,FALSE),"")</f>
        <v>Have all the policy cycle activities been documented in an SOP (i.e. drafting a quality year plan, monitoring of performance of the quality management system and drafting quarterly reports, and performing a management review)?</v>
      </c>
      <c r="D42" s="10" t="str">
        <f>_xlfn.IFNA(VLOOKUP($A42,CompChecksTrans!$A:$C,3,FALSE), "     ")</f>
        <v>Presence of SOPs  related to the policy cycle</v>
      </c>
      <c r="E42" s="12" t="s">
        <v>1408</v>
      </c>
    </row>
    <row r="43" spans="1:5" ht="31.5" x14ac:dyDescent="0.25">
      <c r="A43" s="12" t="s">
        <v>5539</v>
      </c>
      <c r="B43" s="10" t="str">
        <f>_xlfn.IFNA(VLOOKUP($A43,CompChecksTrans!$A:$C,2,FALSE), "")</f>
        <v>PERS3.3</v>
      </c>
      <c r="C43" s="10" t="str">
        <f>_xlfn.IFNA(VLOOKUP(B43,Phase3!A$4:C$1000,3,FALSE),"")</f>
        <v>Is a personnel replacement matrix present in the laboratory?</v>
      </c>
      <c r="D43" s="10" t="str">
        <f>_xlfn.IFNA(VLOOKUP($A43,CompChecksTrans!$A:$C,3,FALSE), "     ")</f>
        <v>1. Presence of a personnel replacement matrix in a folder of Organization and at the noticeboard</v>
      </c>
      <c r="E43" s="12" t="s">
        <v>1409</v>
      </c>
    </row>
    <row r="44" spans="1:5" ht="31.5" x14ac:dyDescent="0.25">
      <c r="A44" s="12" t="s">
        <v>5540</v>
      </c>
      <c r="B44" s="10" t="str">
        <f>_xlfn.IFNA(VLOOKUP($A44,CompChecksTrans!$A:$C,2,FALSE), "")</f>
        <v>PERS3.3</v>
      </c>
      <c r="C44" s="10" t="str">
        <f>_xlfn.IFNA(VLOOKUP(B44,Phase3!A$4:C$1000,3,FALSE),"")</f>
        <v>Is a personnel replacement matrix present in the laboratory?</v>
      </c>
      <c r="D44" s="10" t="str">
        <f>_xlfn.IFNA(VLOOKUP($A44,CompChecksTrans!$A:$C,3,FALSE), "     ")</f>
        <v>2. Minute of weekly report to inform staff about the matrix and its advantage is available</v>
      </c>
      <c r="E44" s="12" t="s">
        <v>1408</v>
      </c>
    </row>
    <row r="45" spans="1:5" ht="31.5" x14ac:dyDescent="0.25">
      <c r="A45" s="12" t="s">
        <v>5541</v>
      </c>
      <c r="B45" s="10" t="str">
        <f>_xlfn.IFNA(VLOOKUP($A45,CompChecksTrans!$A:$C,2,FALSE), "")</f>
        <v>PERS3.3</v>
      </c>
      <c r="C45" s="10" t="str">
        <f>_xlfn.IFNA(VLOOKUP(B45,Phase3!A$4:C$1000,3,FALSE),"")</f>
        <v>Is a personnel replacement matrix present in the laboratory?</v>
      </c>
      <c r="D45" s="10" t="str">
        <f>_xlfn.IFNA(VLOOKUP($A45,CompChecksTrans!$A:$C,3,FALSE), "     ")</f>
        <v>3. Competency Assessment report of replaced staff is available</v>
      </c>
      <c r="E45" s="12" t="s">
        <v>1408</v>
      </c>
    </row>
    <row r="46" spans="1:5" ht="31.5" x14ac:dyDescent="0.25">
      <c r="A46" s="12" t="s">
        <v>5542</v>
      </c>
      <c r="B46" s="10" t="str">
        <f>_xlfn.IFNA(VLOOKUP($A46,CompChecksTrans!$A:$C,2,FALSE), "")</f>
        <v>PI3.2</v>
      </c>
      <c r="C46" s="10" t="str">
        <f>_xlfn.IFNA(VLOOKUP(B46,Phase3!A$4:C$1000,3,FALSE),"")</f>
        <v>Does the laboratory have an SOP for Selection and Evaluation of Suppliers?</v>
      </c>
      <c r="D46" s="10" t="str">
        <f>_xlfn.IFNA(VLOOKUP($A46,CompChecksTrans!$A:$C,3,FALSE), "     ")</f>
        <v>Presence of the SOP for Selection and Evaluation of Suppliers in a folder entitled "Contracts for Reception of Services".</v>
      </c>
      <c r="E46" s="12" t="s">
        <v>1409</v>
      </c>
    </row>
    <row r="47" spans="1:5" ht="31.5" x14ac:dyDescent="0.25">
      <c r="A47" s="12" t="s">
        <v>5543</v>
      </c>
      <c r="B47" s="10" t="str">
        <f>_xlfn.IFNA(VLOOKUP($A47,CompChecksTrans!$A:$C,2,FALSE), "")</f>
        <v>PI3.3</v>
      </c>
      <c r="C47" s="10" t="str">
        <f>_xlfn.IFNA(VLOOKUP(B47,Phase3!A$4:C$1000,3,FALSE),"")</f>
        <v>Does the laboratory select suppliers in a standardized way and documents this procedure?</v>
      </c>
      <c r="D47" s="10" t="str">
        <f>_xlfn.IFNA(VLOOKUP($A47,CompChecksTrans!$A:$C,3,FALSE), "     ")</f>
        <v>Presence of the filled checklist for selecting the supplier most closely meeting your requirements.</v>
      </c>
      <c r="E47" s="12" t="s">
        <v>1409</v>
      </c>
    </row>
    <row r="48" spans="1:5" ht="47.25" x14ac:dyDescent="0.25">
      <c r="A48" s="12" t="s">
        <v>5544</v>
      </c>
      <c r="B48" s="10" t="str">
        <f>_xlfn.IFNA(VLOOKUP($A48,CompChecksTrans!$A:$C,2,FALSE), "")</f>
        <v>PI3.4</v>
      </c>
      <c r="C48" s="10" t="str">
        <f>_xlfn.IFNA(VLOOKUP(B48,Phase3!A$4:C$1000,3,FALSE),"")</f>
        <v>Does the laboratory develop contracts for reception of services in a standardized way?</v>
      </c>
      <c r="D48" s="10" t="str">
        <f>_xlfn.IFNA(VLOOKUP($A48,CompChecksTrans!$A:$C,3,FALSE), "     ")</f>
        <v>Presence of the contract for service delivery by the supplier.</v>
      </c>
      <c r="E48" s="12" t="s">
        <v>1408</v>
      </c>
    </row>
    <row r="49" spans="1:5" ht="47.25" x14ac:dyDescent="0.25">
      <c r="A49" s="12" t="s">
        <v>5545</v>
      </c>
      <c r="B49" s="10" t="str">
        <f>_xlfn.IFNA(VLOOKUP($A49,CompChecksTrans!$A:$C,2,FALSE), "")</f>
        <v>PI3.5</v>
      </c>
      <c r="C49" s="10" t="str">
        <f>_xlfn.IFNA(VLOOKUP(B49,Phase3!A$4:C$1000,3,FALSE),"")</f>
        <v>Does the laboratory evaluate contracts for reception of services in a standardized way and documents this procedure?</v>
      </c>
      <c r="D49" s="10" t="str">
        <f>_xlfn.IFNA(VLOOKUP($A49,CompChecksTrans!$A:$C,3,FALSE), "     ")</f>
        <v>Presence of a filled checklist of evaluating the contract for service delivery.</v>
      </c>
      <c r="E49" s="12" t="s">
        <v>1409</v>
      </c>
    </row>
    <row r="50" spans="1:5" ht="63" x14ac:dyDescent="0.25">
      <c r="A50" s="12" t="s">
        <v>5546</v>
      </c>
      <c r="B50" s="10" t="str">
        <f>_xlfn.IFNA(VLOOKUP($A50,CompChecksTrans!$A:$C,2,FALSE), "")</f>
        <v>PI3.6</v>
      </c>
      <c r="C50" s="10" t="str">
        <f>_xlfn.IFNA(VLOOKUP(B50,Phase3!A$4:C$1000,3,FALSE),"")</f>
        <v>If contracts are amended/changed, does the laboratory have records/minutes explaining the amendments/changes and why they were made?</v>
      </c>
      <c r="D50" s="10" t="str">
        <f>_xlfn.IFNA(VLOOKUP($A50,CompChecksTrans!$A:$C,3,FALSE), "     ")</f>
        <v>Presence of a minute/record of the reasons for contract amended/changed if any.</v>
      </c>
      <c r="E50" s="12" t="s">
        <v>1408</v>
      </c>
    </row>
    <row r="51" spans="1:5" ht="110.25" x14ac:dyDescent="0.25">
      <c r="A51" s="12" t="s">
        <v>5547</v>
      </c>
      <c r="B51" s="10" t="str">
        <f>_xlfn.IFNA(VLOOKUP($A51,CompChecksTrans!$A:$C,2,FALSE), "")</f>
        <v>PI3.7</v>
      </c>
      <c r="C51" s="10" t="str">
        <f>_xlfn.IFNA(VLOOKUP(B51,Phase3!A$4:C$1000,3,FALSE),"")</f>
        <v>Has the laboratory formulated the procedure for selecting referral laboratories? If the laboratory does not refer samples to other laboratories: is a statement included in the quality manual explaining that no samples are referred to other laboratories?</v>
      </c>
      <c r="D51" s="10" t="str">
        <f>_xlfn.IFNA(VLOOKUP($A51,CompChecksTrans!$A:$C,3,FALSE), "     ")</f>
        <v xml:space="preserve">Presence of an SOP for selecting and monitoring referral laboratories in folder entitled “Referral Laboratory Database” </v>
      </c>
      <c r="E51" s="12" t="s">
        <v>1408</v>
      </c>
    </row>
    <row r="52" spans="1:5" ht="31.5" x14ac:dyDescent="0.25">
      <c r="A52" s="12" t="s">
        <v>5548</v>
      </c>
      <c r="B52" s="10" t="str">
        <f>_xlfn.IFNA(VLOOKUP($A52,CompChecksTrans!$A:$C,2,FALSE), "")</f>
        <v>PI3.9</v>
      </c>
      <c r="C52" s="10" t="str">
        <f>_xlfn.IFNA(VLOOKUP(B52,Phase3!A$4:C$1000,3,FALSE),"")</f>
        <v>Is a folder present containing documents with appointments between the referral laboratories and this laboratory and monitoring data?</v>
      </c>
      <c r="D52" s="10" t="str">
        <f>_xlfn.IFNA(VLOOKUP($A52,CompChecksTrans!$A:$C,3,FALSE), "     ")</f>
        <v xml:space="preserve">Presence of a folder “Referral Laboratory Database” with the overview of the referral laboratories and its quality performance (eg. results of proficiency testing), service hours, turnaround time, method of reporting
</v>
      </c>
      <c r="E52" s="12" t="s">
        <v>1409</v>
      </c>
    </row>
    <row r="53" spans="1:5" ht="31.5" x14ac:dyDescent="0.25">
      <c r="A53" s="12" t="s">
        <v>5549</v>
      </c>
      <c r="B53" s="10" t="str">
        <f>_xlfn.IFNA(VLOOKUP($A53,CompChecksTrans!$A:$C,2,FALSE), "")</f>
        <v>PI3.10</v>
      </c>
      <c r="C53" s="10" t="str">
        <f>_xlfn.IFNA(VLOOKUP(B53,Phase3!A$4:C$1000,3,FALSE),"")</f>
        <v>Is a folder present containing records of samples referred to referral laboratories, including the result reports?</v>
      </c>
      <c r="D53" s="10" t="str">
        <f>_xlfn.IFNA(VLOOKUP($A53,CompChecksTrans!$A:$C,3,FALSE), "     ")</f>
        <v>Presence of a folder entitled “Results of Referral Laboratories” in which the records of samples referred and result reports of tests referred to referral laboratories are stored.</v>
      </c>
      <c r="E53" s="12" t="s">
        <v>1408</v>
      </c>
    </row>
    <row r="54" spans="1:5" ht="31.5" x14ac:dyDescent="0.25">
      <c r="A54" s="12" t="s">
        <v>5550</v>
      </c>
      <c r="B54" s="10" t="str">
        <f>_xlfn.IFNA(VLOOKUP($A54,CompChecksTrans!$A:$C,2,FALSE), "")</f>
        <v>PM3.1</v>
      </c>
      <c r="C54" s="10" t="str">
        <f>_xlfn.IFNA(VLOOKUP(B54,Phase3!A$4:C$1000,3,FALSE),"")</f>
        <v>Have the maximum allowed turnaround time been determined for each examination performed in the laboratory?</v>
      </c>
      <c r="D54" s="10" t="str">
        <f>_xlfn.IFNA(VLOOKUP($A54,CompChecksTrans!$A:$C,3,FALSE), "     ")</f>
        <v>Presence of the turnaround time table for each examination performed in the laboratory</v>
      </c>
      <c r="E54" s="12" t="s">
        <v>1408</v>
      </c>
    </row>
    <row r="55" spans="1:5" ht="47.25" x14ac:dyDescent="0.25">
      <c r="A55" s="12" t="s">
        <v>5551</v>
      </c>
      <c r="B55" s="10" t="str">
        <f>_xlfn.IFNA(VLOOKUP($A55,CompChecksTrans!$A:$C,2,FALSE), "")</f>
        <v>PM3.2</v>
      </c>
      <c r="C55" s="10" t="str">
        <f>_xlfn.IFNA(VLOOKUP(B55,Phase3!A$4:C$1000,3,FALSE),"")</f>
        <v>Is a table with the maximum allowed turnaround times for each examination included in the quality manual of the laboratory?</v>
      </c>
      <c r="D55" s="10" t="str">
        <f>_xlfn.IFNA(VLOOKUP($A55,CompChecksTrans!$A:$C,3,FALSE), "     ")</f>
        <v>Presence of TATs table in Quality Manual And in lab handbook</v>
      </c>
      <c r="E55" s="12" t="s">
        <v>1409</v>
      </c>
    </row>
    <row r="56" spans="1:5" ht="47.25" x14ac:dyDescent="0.25">
      <c r="A56" s="12" t="s">
        <v>5552</v>
      </c>
      <c r="B56" s="10" t="str">
        <f>_xlfn.IFNA(VLOOKUP($A56,CompChecksTrans!$A:$C,2,FALSE), "")</f>
        <v>PM3.3</v>
      </c>
      <c r="C56" s="10" t="str">
        <f>_xlfn.IFNA(VLOOKUP(B56,Phase3!A$4:C$1000,3,FALSE),"")</f>
        <v>Is a table with the maximum allowed turnaround times for each examination included in the SOP on Reporting and Archiving of Results?</v>
      </c>
      <c r="D56" s="10" t="str">
        <f>_xlfn.IFNA(VLOOKUP($A56,CompChecksTrans!$A:$C,3,FALSE), "     ")</f>
        <v>1. SOP on Reporting and Archiving of Results has the table of TAT and the procedure that the requester is immediately informed in case the TAT for an examination is exceeded.</v>
      </c>
      <c r="E56" s="12" t="s">
        <v>1409</v>
      </c>
    </row>
    <row r="57" spans="1:5" ht="47.25" x14ac:dyDescent="0.25">
      <c r="A57" s="12" t="s">
        <v>5553</v>
      </c>
      <c r="B57" s="10" t="str">
        <f>_xlfn.IFNA(VLOOKUP($A57,CompChecksTrans!$A:$C,2,FALSE), "")</f>
        <v>PM3.3</v>
      </c>
      <c r="C57" s="10" t="str">
        <f>_xlfn.IFNA(VLOOKUP(B57,Phase3!A$4:C$1000,3,FALSE),"")</f>
        <v>Is a table with the maximum allowed turnaround times for each examination included in the SOP on Reporting and Archiving of Results?</v>
      </c>
      <c r="D57" s="10" t="str">
        <f>_xlfn.IFNA(VLOOKUP($A57,CompChecksTrans!$A:$C,3,FALSE), "     ")</f>
        <v>2. Presence of the Read and Understood form signed by staff and minute of meeting.</v>
      </c>
      <c r="E57" s="12" t="s">
        <v>1408</v>
      </c>
    </row>
    <row r="58" spans="1:5" ht="31.5" x14ac:dyDescent="0.25">
      <c r="A58" s="12" t="s">
        <v>5554</v>
      </c>
      <c r="B58" s="10" t="str">
        <f>_xlfn.IFNA(VLOOKUP($A58,CompChecksTrans!$A:$C,2,FALSE), "")</f>
        <v>PM3.6</v>
      </c>
      <c r="C58" s="10" t="str">
        <f>_xlfn.IFNA(VLOOKUP(B58,Phase3!A$4:C$1000,3,FALSE),"")</f>
        <v>Is the turnaround time monitored on a continuous basis for each examinations?</v>
      </c>
      <c r="D58" s="10" t="str">
        <f>_xlfn.IFNA(VLOOKUP($A58,CompChecksTrans!$A:$C,3,FALSE), "     ")</f>
        <v>Presence of a quarterly TATs table with the % of sample exceeding the TAT published (The goal is to decrease the percentage of samples exceeding the TAT to 0%).</v>
      </c>
      <c r="E58" s="12" t="s">
        <v>1409</v>
      </c>
    </row>
    <row r="59" spans="1:5" ht="31.5" x14ac:dyDescent="0.25">
      <c r="A59" s="12" t="s">
        <v>5555</v>
      </c>
      <c r="B59" s="10" t="str">
        <f>_xlfn.IFNA(VLOOKUP($A59,CompChecksTrans!$A:$C,2,FALSE), "")</f>
        <v>PM3.7</v>
      </c>
      <c r="C59" s="10" t="str">
        <f>_xlfn.IFNA(VLOOKUP(B59,Phase3!A$4:C$1000,3,FALSE),"")</f>
        <v>Is the result of turnaround time assessment included in the Quarterly Reports?</v>
      </c>
      <c r="D59" s="10" t="str">
        <f>_xlfn.IFNA(VLOOKUP($A59,CompChecksTrans!$A:$C,3,FALSE), "     ")</f>
        <v>Presence of TAT data in the Quarterly Reports</v>
      </c>
      <c r="E59" s="12" t="s">
        <v>1408</v>
      </c>
    </row>
    <row r="60" spans="1:5" ht="47.25" x14ac:dyDescent="0.25">
      <c r="A60" s="12" t="s">
        <v>5556</v>
      </c>
      <c r="B60" s="10" t="str">
        <f>_xlfn.IFNA(VLOOKUP($A60,CompChecksTrans!$A:$C,2,FALSE), "")</f>
        <v>PM3.8</v>
      </c>
      <c r="C60" s="10" t="str">
        <f>_xlfn.IFNA(VLOOKUP(B60,Phase3!A$4:C$1000,3,FALSE),"")</f>
        <v>Are corrective and preventive actions implemented in an attempt to decrease the percentage of samples exceeding the turnaround time to a minimum?</v>
      </c>
      <c r="D60" s="10" t="str">
        <f>_xlfn.IFNA(VLOOKUP($A60,CompChecksTrans!$A:$C,3,FALSE), "     ")</f>
        <v>1. Presence of a corrective and preventive actions in the format of an action plan.</v>
      </c>
      <c r="E60" s="12" t="s">
        <v>1408</v>
      </c>
    </row>
    <row r="61" spans="1:5" ht="47.25" x14ac:dyDescent="0.25">
      <c r="A61" s="12" t="s">
        <v>5557</v>
      </c>
      <c r="B61" s="10" t="str">
        <f>_xlfn.IFNA(VLOOKUP($A61,CompChecksTrans!$A:$C,2,FALSE), "")</f>
        <v>PM3.8</v>
      </c>
      <c r="C61" s="10" t="str">
        <f>_xlfn.IFNA(VLOOKUP(B61,Phase3!A$4:C$1000,3,FALSE),"")</f>
        <v>Are corrective and preventive actions implemented in an attempt to decrease the percentage of samples exceeding the turnaround time to a minimum?</v>
      </c>
      <c r="D61" s="10" t="str">
        <f>_xlfn.IFNA(VLOOKUP($A61,CompChecksTrans!$A:$C,3,FALSE), "     ")</f>
        <v>2. Presence of evidence that the above action plan is implemented.</v>
      </c>
      <c r="E61" s="12" t="s">
        <v>1409</v>
      </c>
    </row>
    <row r="62" spans="1:5" ht="63" x14ac:dyDescent="0.25">
      <c r="A62" s="12" t="s">
        <v>5558</v>
      </c>
      <c r="B62" s="10" t="str">
        <f>_xlfn.IFNA(VLOOKUP($A62,CompChecksTrans!$A:$C,2,FALSE), "")</f>
        <v>PM3.9</v>
      </c>
      <c r="C62" s="10" t="str">
        <f>_xlfn.IFNA(VLOOKUP(B62,Phase3!A$4:C$1000,3,FALSE),"")</f>
        <v>When sudden increases are seen in the percentage of samples exceeding turnaround time, is an analysis performed to identify the cause and implement corrective and preventive actions?</v>
      </c>
      <c r="D62" s="10" t="str">
        <f>_xlfn.IFNA(VLOOKUP($A62,CompChecksTrans!$A:$C,3,FALSE), "     ")</f>
        <v>1. Presence of a corrective and preventive actions in the format of an action plan.</v>
      </c>
      <c r="E62" s="12" t="s">
        <v>1408</v>
      </c>
    </row>
    <row r="63" spans="1:5" ht="63" x14ac:dyDescent="0.25">
      <c r="A63" s="12" t="s">
        <v>5559</v>
      </c>
      <c r="B63" s="10" t="str">
        <f>_xlfn.IFNA(VLOOKUP($A63,CompChecksTrans!$A:$C,2,FALSE), "")</f>
        <v>PM3.9</v>
      </c>
      <c r="C63" s="10" t="str">
        <f>_xlfn.IFNA(VLOOKUP(B63,Phase3!A$4:C$1000,3,FALSE),"")</f>
        <v>When sudden increases are seen in the percentage of samples exceeding turnaround time, is an analysis performed to identify the cause and implement corrective and preventive actions?</v>
      </c>
      <c r="D63" s="10" t="str">
        <f>_xlfn.IFNA(VLOOKUP($A63,CompChecksTrans!$A:$C,3,FALSE), "     ")</f>
        <v>2. Presence of evidence that the above action plan is implemented.</v>
      </c>
      <c r="E63" s="12" t="s">
        <v>1408</v>
      </c>
    </row>
    <row r="64" spans="1:5" ht="63" x14ac:dyDescent="0.25">
      <c r="A64" s="12" t="s">
        <v>5560</v>
      </c>
      <c r="B64" s="10" t="str">
        <f>_xlfn.IFNA(VLOOKUP($A64,CompChecksTrans!$A:$C,2,FALSE), "")</f>
        <v>PM3.10</v>
      </c>
      <c r="C64" s="10" t="str">
        <f>_xlfn.IFNA(VLOOKUP(B64,Phase3!A$4:C$1000,3,FALSE),"")</f>
        <v>Is the efficacy of corrective and preventive actions to minimize/counteract increase of samples exceeding turnaround time determined in subsequent turnaround time assessments?</v>
      </c>
      <c r="D64" s="10" t="str">
        <f>_xlfn.IFNA(VLOOKUP($A64,CompChecksTrans!$A:$C,3,FALSE), "     ")</f>
        <v>Presence of evidence in the consecutive quarterly reports that the samples exceeding TAT is decreased.</v>
      </c>
      <c r="E64" s="12" t="s">
        <v>1409</v>
      </c>
    </row>
    <row r="65" spans="1:5" ht="47.25" x14ac:dyDescent="0.25">
      <c r="A65" s="12" t="s">
        <v>5561</v>
      </c>
      <c r="B65" s="10" t="str">
        <f>_xlfn.IFNA(VLOOKUP($A65,CompChecksTrans!$A:$C,2,FALSE), "")</f>
        <v>PM3.11</v>
      </c>
      <c r="C65" s="10" t="str">
        <f>_xlfn.IFNA(VLOOKUP(B65,Phase3!A$4:C$1000,3,FALSE),"")</f>
        <v>Has the laboratory standardized the procedure of validation of examination methods and equipment in an SOP?</v>
      </c>
      <c r="D65" s="10" t="str">
        <f>_xlfn.IFNA(VLOOKUP($A65,CompChecksTrans!$A:$C,3,FALSE), "     ")</f>
        <v>1. Presence of a validation report of each examination method obtained from manufacture or established textbooks, peer-reviewed journals, or in international, national or regional guidelines.</v>
      </c>
      <c r="E65" s="12" t="s">
        <v>1409</v>
      </c>
    </row>
    <row r="66" spans="1:5" ht="47.25" x14ac:dyDescent="0.25">
      <c r="A66" s="12" t="s">
        <v>5562</v>
      </c>
      <c r="B66" s="10" t="str">
        <f>_xlfn.IFNA(VLOOKUP($A66,CompChecksTrans!$A:$C,2,FALSE), "")</f>
        <v>PM3.11</v>
      </c>
      <c r="C66" s="10" t="str">
        <f>_xlfn.IFNA(VLOOKUP(B66,Phase3!A$4:C$1000,3,FALSE),"")</f>
        <v>Has the laboratory standardized the procedure of validation of examination methods and equipment in an SOP?</v>
      </c>
      <c r="D66" s="10" t="str">
        <f>_xlfn.IFNA(VLOOKUP($A66,CompChecksTrans!$A:$C,3,FALSE), "     ")</f>
        <v>2. Presence of SOP for equipment and reagent lot verification.</v>
      </c>
      <c r="E66" s="12" t="s">
        <v>1408</v>
      </c>
    </row>
    <row r="67" spans="1:5" ht="63" x14ac:dyDescent="0.25">
      <c r="A67" s="12" t="s">
        <v>5563</v>
      </c>
      <c r="B67" s="10" t="str">
        <f>_xlfn.IFNA(VLOOKUP($A67,CompChecksTrans!$A:$C,2,FALSE), "")</f>
        <v>PM3.12</v>
      </c>
      <c r="C67" s="10" t="str">
        <f>_xlfn.IFNA(VLOOKUP(B67,Phase3!A$4:C$1000,3,FALSE),"")</f>
        <v>Has the laboratory validated all the examination methods performed in the laboratory?
Find evidence by asking for the validation reports.</v>
      </c>
      <c r="D67" s="10" t="str">
        <f>_xlfn.IFNA(VLOOKUP($A67,CompChecksTrans!$A:$C,3,FALSE), "     ")</f>
        <v>1. Presence of method validation report from manufacturer or kit insert for every test performed</v>
      </c>
      <c r="E67" s="12" t="s">
        <v>1409</v>
      </c>
    </row>
    <row r="68" spans="1:5" ht="63" x14ac:dyDescent="0.25">
      <c r="A68" s="12" t="s">
        <v>5564</v>
      </c>
      <c r="B68" s="10" t="str">
        <f>_xlfn.IFNA(VLOOKUP($A68,CompChecksTrans!$A:$C,2,FALSE), "")</f>
        <v>PM3.12</v>
      </c>
      <c r="C68" s="10" t="str">
        <f>_xlfn.IFNA(VLOOKUP(B68,Phase3!A$4:C$1000,3,FALSE),"")</f>
        <v>Has the laboratory validated all the examination methods performed in the laboratory?
Find evidence by asking for the validation reports.</v>
      </c>
      <c r="D68" s="10" t="str">
        <f>_xlfn.IFNA(VLOOKUP($A68,CompChecksTrans!$A:$C,3,FALSE), "     ")</f>
        <v>2. Presence of reports on verification of new lot or new reagent brand.</v>
      </c>
      <c r="E68" s="12" t="s">
        <v>1408</v>
      </c>
    </row>
    <row r="69" spans="1:5" ht="63" x14ac:dyDescent="0.25">
      <c r="A69" s="12" t="s">
        <v>5565</v>
      </c>
      <c r="B69" s="10" t="str">
        <f>_xlfn.IFNA(VLOOKUP($A69,CompChecksTrans!$A:$C,2,FALSE), "")</f>
        <v>PM3.12</v>
      </c>
      <c r="C69" s="10" t="str">
        <f>_xlfn.IFNA(VLOOKUP(B69,Phase3!A$4:C$1000,3,FALSE),"")</f>
        <v>Has the laboratory validated all the examination methods performed in the laboratory?
Find evidence by asking for the validation reports.</v>
      </c>
      <c r="D69" s="10" t="str">
        <f>_xlfn.IFNA(VLOOKUP($A69,CompChecksTrans!$A:$C,3,FALSE), "     ")</f>
        <v>3. Presence of report on equipment verification for each piece of equipment.</v>
      </c>
      <c r="E69" s="12" t="s">
        <v>1408</v>
      </c>
    </row>
    <row r="70" spans="1:5" ht="47.25" x14ac:dyDescent="0.25">
      <c r="A70" s="12" t="s">
        <v>5566</v>
      </c>
      <c r="B70" s="10" t="str">
        <f>_xlfn.IFNA(VLOOKUP($A70,CompChecksTrans!$A:$C,2,FALSE), "")</f>
        <v>INFO3.1</v>
      </c>
      <c r="C70" s="10" t="str">
        <f>_xlfn.IFNA(VLOOKUP(B70,Phase3!A$4:C$1000,3,FALSE),"")</f>
        <v>Does the laboratory have an archive for laboratory records that is constructed in a logical way allowing for quick and easy access to information?</v>
      </c>
      <c r="D70" s="10" t="str">
        <f>_xlfn.IFNA(VLOOKUP($A70,CompChecksTrans!$A:$C,3,FALSE), "     ")</f>
        <v>1. Presence of SMART action plan for establishing the lab archive.</v>
      </c>
      <c r="E70" s="12" t="s">
        <v>1409</v>
      </c>
    </row>
    <row r="71" spans="1:5" ht="47.25" x14ac:dyDescent="0.25">
      <c r="A71" s="12" t="s">
        <v>5567</v>
      </c>
      <c r="B71" s="10" t="str">
        <f>_xlfn.IFNA(VLOOKUP($A71,CompChecksTrans!$A:$C,2,FALSE), "")</f>
        <v>INFO3.1</v>
      </c>
      <c r="C71" s="10" t="str">
        <f>_xlfn.IFNA(VLOOKUP(B71,Phase3!A$4:C$1000,3,FALSE),"")</f>
        <v>Does the laboratory have an archive for laboratory records that is constructed in a logical way allowing for quick and easy access to information?</v>
      </c>
      <c r="D71" s="10" t="str">
        <f>_xlfn.IFNA(VLOOKUP($A71,CompChecksTrans!$A:$C,3,FALSE), "     ")</f>
        <v>2. Presence of an asigned person/role for enter and change records in the Authorization Matrix.</v>
      </c>
      <c r="E71" s="12" t="s">
        <v>1408</v>
      </c>
    </row>
    <row r="72" spans="1:5" ht="31.5" x14ac:dyDescent="0.25">
      <c r="A72" s="12" t="s">
        <v>5568</v>
      </c>
      <c r="B72" s="10" t="str">
        <f>_xlfn.IFNA(VLOOKUP($A72,CompChecksTrans!$A:$C,2,FALSE), "")</f>
        <v>INFO3.2</v>
      </c>
      <c r="C72" s="10" t="str">
        <f>_xlfn.IFNA(VLOOKUP(B72,Phase3!A$4:C$1000,3,FALSE),"")</f>
        <v>Is the laboratory archive lockable?</v>
      </c>
      <c r="D72" s="10" t="str">
        <f>_xlfn.IFNA(VLOOKUP($A72,CompChecksTrans!$A:$C,3,FALSE), "     ")</f>
        <v>All archive are locked.</v>
      </c>
      <c r="E72" s="12" t="s">
        <v>1408</v>
      </c>
    </row>
    <row r="73" spans="1:5" ht="47.25" x14ac:dyDescent="0.25">
      <c r="A73" s="12" t="s">
        <v>5569</v>
      </c>
      <c r="B73" s="10" t="str">
        <f>_xlfn.IFNA(VLOOKUP($A73,CompChecksTrans!$A:$C,2,FALSE), "")</f>
        <v>INFO3.3</v>
      </c>
      <c r="C73" s="10" t="str">
        <f>_xlfn.IFNA(VLOOKUP(B73,Phase3!A$4:C$1000,3,FALSE),"")</f>
        <v>Does the laboratory archive protect records from deteriorating influences such as fire, humidity, insects, sunlight, etc.?</v>
      </c>
      <c r="D73" s="10" t="str">
        <f>_xlfn.IFNA(VLOOKUP($A73,CompChecksTrans!$A:$C,3,FALSE), "     ")</f>
        <v>All archive are well stored.</v>
      </c>
      <c r="E73" s="12" t="s">
        <v>1409</v>
      </c>
    </row>
    <row r="74" spans="1:5" ht="31.5" x14ac:dyDescent="0.25">
      <c r="A74" s="12" t="s">
        <v>5570</v>
      </c>
      <c r="B74" s="10" t="str">
        <f>_xlfn.IFNA(VLOOKUP($A74,CompChecksTrans!$A:$C,2,FALSE), "")</f>
        <v>INFO3.4</v>
      </c>
      <c r="C74" s="10" t="str">
        <f>_xlfn.IFNA(VLOOKUP(B74,Phase3!A$4:C$1000,3,FALSE),"")</f>
        <v>Is access to the laboratory archive controlled?</v>
      </c>
      <c r="D74" s="10" t="str">
        <f>_xlfn.IFNA(VLOOKUP($A74,CompChecksTrans!$A:$C,3,FALSE), "     ")</f>
        <v>All archive are controlled.</v>
      </c>
      <c r="E74" s="12" t="s">
        <v>1409</v>
      </c>
    </row>
    <row r="75" spans="1:5" ht="31.5" x14ac:dyDescent="0.25">
      <c r="A75" s="12" t="s">
        <v>5571</v>
      </c>
      <c r="B75" s="10" t="str">
        <f>_xlfn.IFNA(VLOOKUP($A75,CompChecksTrans!$A:$C,2,FALSE), "")</f>
        <v>INFO3.5</v>
      </c>
      <c r="C75" s="10" t="str">
        <f>_xlfn.IFNA(VLOOKUP(B75,Phase3!A$4:C$1000,3,FALSE),"")</f>
        <v>Is the computerized system properly protected by a firewall?</v>
      </c>
      <c r="D75" s="10" t="str">
        <f>_xlfn.IFNA(VLOOKUP($A75,CompChecksTrans!$A:$C,3,FALSE), "     ")</f>
        <v xml:space="preserve">1. Presence of a firewall.
</v>
      </c>
      <c r="E75" s="12" t="s">
        <v>1408</v>
      </c>
    </row>
    <row r="76" spans="1:5" ht="31.5" x14ac:dyDescent="0.25">
      <c r="A76" s="12" t="s">
        <v>5572</v>
      </c>
      <c r="B76" s="10" t="str">
        <f>_xlfn.IFNA(VLOOKUP($A76,CompChecksTrans!$A:$C,2,FALSE), "")</f>
        <v>INFO3.5</v>
      </c>
      <c r="C76" s="10" t="str">
        <f>_xlfn.IFNA(VLOOKUP(B76,Phase3!A$4:C$1000,3,FALSE),"")</f>
        <v>Is the computerized system properly protected by a firewall?</v>
      </c>
      <c r="D76" s="10" t="str">
        <f>_xlfn.IFNA(VLOOKUP($A76,CompChecksTrans!$A:$C,3,FALSE), "     ")</f>
        <v xml:space="preserve">2.  Presence of a good virus scanner </v>
      </c>
      <c r="E76" s="12" t="s">
        <v>1409</v>
      </c>
    </row>
    <row r="77" spans="1:5" ht="31.5" x14ac:dyDescent="0.25">
      <c r="A77" s="12" t="s">
        <v>5573</v>
      </c>
      <c r="B77" s="10" t="str">
        <f>_xlfn.IFNA(VLOOKUP($A77,CompChecksTrans!$A:$C,2,FALSE), "")</f>
        <v>INFO3.5</v>
      </c>
      <c r="C77" s="10" t="str">
        <f>_xlfn.IFNA(VLOOKUP(B77,Phase3!A$4:C$1000,3,FALSE),"")</f>
        <v>Is the computerized system properly protected by a firewall?</v>
      </c>
      <c r="D77" s="10" t="str">
        <f>_xlfn.IFNA(VLOOKUP($A77,CompChecksTrans!$A:$C,3,FALSE), "     ")</f>
        <v>3. Presence of a document that contains the protocol for updating and running virus scans and also for performing weekly backups.</v>
      </c>
      <c r="E77" s="12" t="s">
        <v>1408</v>
      </c>
    </row>
    <row r="78" spans="1:5" ht="47.25" x14ac:dyDescent="0.25">
      <c r="A78" s="12" t="s">
        <v>5574</v>
      </c>
      <c r="B78" s="10" t="str">
        <f>_xlfn.IFNA(VLOOKUP($A78,CompChecksTrans!$A:$C,2,FALSE), "")</f>
        <v>INFO3.6</v>
      </c>
      <c r="C78" s="10" t="str">
        <f>_xlfn.IFNA(VLOOKUP(B78,Phase3!A$4:C$1000,3,FALSE),"")</f>
        <v>Is the computerized system scanned for viruses on a weekly basis by a proper, up to date virus scanner?</v>
      </c>
      <c r="D78" s="10" t="str">
        <f>_xlfn.IFNA(VLOOKUP($A78,CompChecksTrans!$A:$C,3,FALSE), "     ")</f>
        <v>the computerized system is scanned for viruses on a weekly basis by a proper, up to date virus scanner (evidence: paper copy of scan result or a checklist)</v>
      </c>
      <c r="E78" s="12" t="s">
        <v>1408</v>
      </c>
    </row>
    <row r="79" spans="1:5" ht="141.75" x14ac:dyDescent="0.25">
      <c r="A79" s="12" t="s">
        <v>5575</v>
      </c>
      <c r="B79" s="10" t="str">
        <f>_xlfn.IFNA(VLOOKUP($A79,CompChecksTrans!$A:$C,2,FALSE), "")</f>
        <v>INFO3.7</v>
      </c>
      <c r="C79" s="10" t="str">
        <f>_xlfn.IFNA(VLOOKUP(B79,Phase3!A$4:C$1000,3,FALSE),"")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79" s="10" t="str">
        <f>_xlfn.IFNA(VLOOKUP($A79,CompChecksTrans!$A:$C,3,FALSE), "     ")</f>
        <v>1. Presence of an update Authorization Matrix and Personnal Job Description of staff who have rights to:
  - Access digital laboratory information only
       - Access and enter digital laboratory information
       - Access, enter and change digital laboratory information</v>
      </c>
      <c r="E79" s="12" t="s">
        <v>1409</v>
      </c>
    </row>
    <row r="80" spans="1:5" ht="141.75" x14ac:dyDescent="0.25">
      <c r="A80" s="12" t="s">
        <v>5576</v>
      </c>
      <c r="B80" s="10" t="str">
        <f>_xlfn.IFNA(VLOOKUP($A80,CompChecksTrans!$A:$C,2,FALSE), "")</f>
        <v>INFO3.7</v>
      </c>
      <c r="C80" s="10" t="str">
        <f>_xlfn.IFNA(VLOOKUP(B80,Phase3!A$4:C$1000,3,FALSE),"")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80" s="10" t="str">
        <f>_xlfn.IFNA(VLOOKUP($A80,CompChecksTrans!$A:$C,3,FALSE), "     ")</f>
        <v>2. Presence of a computer system that the correct authorizations are set for each password.</v>
      </c>
      <c r="E80" s="12" t="s">
        <v>1408</v>
      </c>
    </row>
    <row r="81" spans="1:5" ht="141.75" x14ac:dyDescent="0.25">
      <c r="A81" s="12" t="s">
        <v>5577</v>
      </c>
      <c r="B81" s="10" t="str">
        <f>_xlfn.IFNA(VLOOKUP($A81,CompChecksTrans!$A:$C,2,FALSE), "")</f>
        <v>INFO3.7</v>
      </c>
      <c r="C81" s="10" t="str">
        <f>_xlfn.IFNA(VLOOKUP(B81,Phase3!A$4:C$1000,3,FALSE),"")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81" s="10" t="str">
        <f>_xlfn.IFNA(VLOOKUP($A81,CompChecksTrans!$A:$C,3,FALSE), "     ")</f>
        <v>3. Presence of meeting minute on  the new rules regarding accessing laboratory information and each position in the laboratory the authorizations regarding the management of laboratory information.</v>
      </c>
      <c r="E81" s="12" t="s">
        <v>1408</v>
      </c>
    </row>
    <row r="82" spans="1:5" ht="63" x14ac:dyDescent="0.25">
      <c r="A82" s="12" t="s">
        <v>5578</v>
      </c>
      <c r="B82" s="10" t="str">
        <f>_xlfn.IFNA(VLOOKUP($A82,CompChecksTrans!$A:$C,2,FALSE), "")</f>
        <v>INFO3.9</v>
      </c>
      <c r="C82" s="10" t="str">
        <f>_xlfn.IFNA(VLOOKUP(B82,Phase3!A$4:C$1000,3,FALSE),"")</f>
        <v>Is a documented contingency plan present in the laboratory that should be followed in case of downtime of the computerized information system, to ensure access to laboratory information at all times?</v>
      </c>
      <c r="D82" s="10" t="str">
        <f>_xlfn.IFNA(VLOOKUP($A82,CompChecksTrans!$A:$C,3,FALSE), "     ")</f>
        <v>Presence of a contingency plan in the laboratory that should be followed in case of downtime of the computerized information system, to ensure access to laboratory information at all times</v>
      </c>
      <c r="E82" s="12" t="s">
        <v>1409</v>
      </c>
    </row>
    <row r="83" spans="1:5" ht="31.5" x14ac:dyDescent="0.25">
      <c r="A83" s="12" t="s">
        <v>5579</v>
      </c>
      <c r="B83" s="10" t="str">
        <f>_xlfn.IFNA(VLOOKUP($A83,CompChecksTrans!$A:$C,2,FALSE), "")</f>
        <v>INFO3.10</v>
      </c>
      <c r="C83" s="10" t="str">
        <f>_xlfn.IFNA(VLOOKUP(B83,Phase3!A$4:C$1000,3,FALSE),"")</f>
        <v>Has the laboratory standardized the procedures for information management in an SOP?</v>
      </c>
      <c r="D83" s="10" t="str">
        <f>_xlfn.IFNA(VLOOKUP($A83,CompChecksTrans!$A:$C,3,FALSE), "     ")</f>
        <v>Presence of an SOP on Information Management</v>
      </c>
      <c r="E83" s="12" t="s">
        <v>1409</v>
      </c>
    </row>
    <row r="84" spans="1:5" ht="31.5" x14ac:dyDescent="0.25">
      <c r="A84" s="12" t="s">
        <v>5580</v>
      </c>
      <c r="B84" s="10" t="str">
        <f>_xlfn.IFNA(VLOOKUP($A84,CompChecksTrans!$A:$C,2,FALSE), "")</f>
        <v>CF3.1</v>
      </c>
      <c r="C84" s="10" t="str">
        <f>_xlfn.IFNA(VLOOKUP(B84,Phase3!A$4:C$1000,3,FALSE),"")</f>
        <v>Is a client satisfaction survey conducted on a two-yearly basis?</v>
      </c>
      <c r="D84" s="10" t="str">
        <f>_xlfn.IFNA(VLOOKUP($A84,CompChecksTrans!$A:$C,3,FALSE), "     ")</f>
        <v>Presence of client satisfaction survey result</v>
      </c>
      <c r="E84" s="12" t="s">
        <v>1408</v>
      </c>
    </row>
    <row r="85" spans="1:5" ht="47.25" x14ac:dyDescent="0.25">
      <c r="A85" s="12" t="s">
        <v>5581</v>
      </c>
      <c r="B85" s="10" t="str">
        <f>_xlfn.IFNA(VLOOKUP($A85,CompChecksTrans!$A:$C,2,FALSE), "")</f>
        <v>CF3.2</v>
      </c>
      <c r="C85" s="10" t="str">
        <f>_xlfn.IFNA(VLOOKUP(B85,Phase3!A$4:C$1000,3,FALSE),"")</f>
        <v>Is a report drafted of the client satisfaction survey that shows the main findings and points for improvement that were identified?</v>
      </c>
      <c r="D85" s="10" t="str">
        <f>_xlfn.IFNA(VLOOKUP($A85,CompChecksTrans!$A:$C,3,FALSE), "     ")</f>
        <v>Presence of a report of the client satisfaction survey that shows the main findings and points for improvement</v>
      </c>
      <c r="E85" s="12" t="s">
        <v>1409</v>
      </c>
    </row>
    <row r="86" spans="1:5" ht="47.25" x14ac:dyDescent="0.25">
      <c r="A86" s="12" t="s">
        <v>5582</v>
      </c>
      <c r="B86" s="10" t="str">
        <f>_xlfn.IFNA(VLOOKUP($A86,CompChecksTrans!$A:$C,2,FALSE), "")</f>
        <v>CF3.3</v>
      </c>
      <c r="C86" s="10" t="str">
        <f>_xlfn.IFNA(VLOOKUP(B86,Phase3!A$4:C$1000,3,FALSE),"")</f>
        <v>Is a SMART action plan drafted to implement points for improvement identified in client satisfaction surveys in practice?</v>
      </c>
      <c r="D86" s="10" t="str">
        <f>_xlfn.IFNA(VLOOKUP($A86,CompChecksTrans!$A:$C,3,FALSE), "     ")</f>
        <v>1. Presence of a SMART action plan
2. The action plan is implemented and monitored.</v>
      </c>
      <c r="E86" s="12" t="s">
        <v>1408</v>
      </c>
    </row>
    <row r="87" spans="1:5" ht="31.5" x14ac:dyDescent="0.25">
      <c r="A87" s="12" t="s">
        <v>5583</v>
      </c>
      <c r="B87" s="10" t="str">
        <f>_xlfn.IFNA(VLOOKUP($A87,CompChecksTrans!$A:$C,2,FALSE), "")</f>
        <v>CF3.4</v>
      </c>
      <c r="C87" s="10" t="str">
        <f>_xlfn.IFNA(VLOOKUP(B87,Phase3!A$4:C$1000,3,FALSE),"")</f>
        <v>Does the laboratory have a standardized procedure for entering into a contract for service delivery?</v>
      </c>
      <c r="D87" s="10" t="str">
        <f>_xlfn.IFNA(VLOOKUP($A87,CompChecksTrans!$A:$C,3,FALSE), "     ")</f>
        <v>Presence of the SOP Developing, Reviewing and Evaluating a Contract for Service Delivery in folder entitled "Contracts for Service Delivery".</v>
      </c>
      <c r="E87" s="12" t="s">
        <v>1408</v>
      </c>
    </row>
    <row r="88" spans="1:5" ht="47.25" x14ac:dyDescent="0.25">
      <c r="A88" s="12" t="s">
        <v>5584</v>
      </c>
      <c r="B88" s="10" t="str">
        <f>_xlfn.IFNA(VLOOKUP($A88,CompChecksTrans!$A:$C,2,FALSE), "")</f>
        <v>CF3.5</v>
      </c>
      <c r="C88" s="10" t="str">
        <f>_xlfn.IFNA(VLOOKUP(B88,Phase3!A$4:C$1000,3,FALSE),"")</f>
        <v>Does the laboratory maintain minutes of meetings to discuss the contents of the contracts for service delivery?</v>
      </c>
      <c r="D88" s="10" t="str">
        <f>_xlfn.IFNA(VLOOKUP($A88,CompChecksTrans!$A:$C,3,FALSE), "     ")</f>
        <v>Presence of minutes of meetings to discuss the contents of the contracts for service delivery</v>
      </c>
      <c r="E88" s="12" t="s">
        <v>1409</v>
      </c>
    </row>
    <row r="89" spans="1:5" ht="31.5" x14ac:dyDescent="0.25">
      <c r="A89" s="12" t="s">
        <v>5585</v>
      </c>
      <c r="B89" s="10" t="str">
        <f>_xlfn.IFNA(VLOOKUP($A89,CompChecksTrans!$A:$C,2,FALSE), "")</f>
        <v>ASSESS3.1</v>
      </c>
      <c r="C89" s="10" t="str">
        <f>_xlfn.IFNA(VLOOKUP(B89,Phase3!A$4:C$1000,3,FALSE),"")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89" s="10" t="str">
        <f>_xlfn.IFNA(VLOOKUP($A89,CompChecksTrans!$A:$C,3,FALSE), "     ")</f>
        <v>1. Presence a list of Internal Auditors  needed in the laboratory.</v>
      </c>
      <c r="E89" s="12" t="s">
        <v>1408</v>
      </c>
    </row>
    <row r="90" spans="1:5" ht="31.5" x14ac:dyDescent="0.25">
      <c r="A90" s="12" t="s">
        <v>5586</v>
      </c>
      <c r="B90" s="10" t="str">
        <f>_xlfn.IFNA(VLOOKUP($A90,CompChecksTrans!$A:$C,2,FALSE), "")</f>
        <v>ASSESS3.1</v>
      </c>
      <c r="C90" s="10" t="str">
        <f>_xlfn.IFNA(VLOOKUP(B90,Phase3!A$4:C$1000,3,FALSE),"")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0" s="10" t="str">
        <f>_xlfn.IFNA(VLOOKUP($A90,CompChecksTrans!$A:$C,3,FALSE), "     ")</f>
        <v>2. Quality Officer is also an Internal Auditor</v>
      </c>
      <c r="E90" s="12" t="s">
        <v>1408</v>
      </c>
    </row>
    <row r="91" spans="1:5" ht="31.5" x14ac:dyDescent="0.25">
      <c r="A91" s="12" t="s">
        <v>5587</v>
      </c>
      <c r="B91" s="10" t="str">
        <f>_xlfn.IFNA(VLOOKUP($A91,CompChecksTrans!$A:$C,2,FALSE), "")</f>
        <v>ASSESS3.1</v>
      </c>
      <c r="C91" s="10" t="str">
        <f>_xlfn.IFNA(VLOOKUP(B91,Phase3!A$4:C$1000,3,FALSE),"")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1" s="10" t="str">
        <f>_xlfn.IFNA(VLOOKUP($A91,CompChecksTrans!$A:$C,3,FALSE), "     ")</f>
        <v>4. Copies of the training certificates are stored in their personnel files, after staff members have completed the course on internal audit</v>
      </c>
      <c r="E91" s="12" t="s">
        <v>1409</v>
      </c>
    </row>
    <row r="92" spans="1:5" ht="31.5" x14ac:dyDescent="0.25">
      <c r="A92" s="12" t="s">
        <v>5588</v>
      </c>
      <c r="B92" s="10" t="str">
        <f>_xlfn.IFNA(VLOOKUP($A92,CompChecksTrans!$A:$C,2,FALSE), "")</f>
        <v>ASSESS3.1</v>
      </c>
      <c r="C92" s="10" t="str">
        <f>_xlfn.IFNA(VLOOKUP(B92,Phase3!A$4:C$1000,3,FALSE),"")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2" s="10" t="str">
        <f>_xlfn.IFNA(VLOOKUP($A92,CompChecksTrans!$A:$C,3,FALSE), "     ")</f>
        <v>6. Presence of a Position Job Description for Internal Auditor that describes the tasks and responsibilities of an Internal Auditor.</v>
      </c>
      <c r="E92" s="12" t="s">
        <v>1409</v>
      </c>
    </row>
    <row r="93" spans="1:5" ht="31.5" x14ac:dyDescent="0.25">
      <c r="A93" s="12" t="s">
        <v>5589</v>
      </c>
      <c r="B93" s="10" t="str">
        <f>_xlfn.IFNA(VLOOKUP($A93,CompChecksTrans!$A:$C,2,FALSE), "")</f>
        <v>ASSESS3.1</v>
      </c>
      <c r="C93" s="10" t="str">
        <f>_xlfn.IFNA(VLOOKUP(B93,Phase3!A$4:C$1000,3,FALSE),"")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3" s="10" t="str">
        <f>_xlfn.IFNA(VLOOKUP($A93,CompChecksTrans!$A:$C,3,FALSE), "     ")</f>
        <v>7. Presence of a Personal Job Descriptions of the staff members that are also in the position of Internal Auditor.</v>
      </c>
      <c r="E93" s="12" t="s">
        <v>1408</v>
      </c>
    </row>
    <row r="94" spans="1:5" ht="31.5" x14ac:dyDescent="0.25">
      <c r="A94" s="12" t="s">
        <v>5590</v>
      </c>
      <c r="B94" s="10" t="str">
        <f>_xlfn.IFNA(VLOOKUP($A94,CompChecksTrans!$A:$C,2,FALSE), "")</f>
        <v>ASSESS3.1</v>
      </c>
      <c r="C94" s="10" t="str">
        <f>_xlfn.IFNA(VLOOKUP(B94,Phase3!A$4:C$1000,3,FALSE),"")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4" s="10" t="str">
        <f>_xlfn.IFNA(VLOOKUP($A94,CompChecksTrans!$A:$C,3,FALSE), "     ")</f>
        <v>8. Presence of the Authorization Matrix with the position of Internal Auditor.</v>
      </c>
      <c r="E94" s="12" t="s">
        <v>1409</v>
      </c>
    </row>
    <row r="95" spans="1:5" ht="31.5" x14ac:dyDescent="0.25">
      <c r="A95" s="12" t="s">
        <v>5591</v>
      </c>
      <c r="B95" s="10" t="str">
        <f>_xlfn.IFNA(VLOOKUP($A95,CompChecksTrans!$A:$C,2,FALSE), "")</f>
        <v>ASSESS3.1</v>
      </c>
      <c r="C95" s="10" t="str">
        <f>_xlfn.IFNA(VLOOKUP(B95,Phase3!A$4:C$1000,3,FALSE),"")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5" s="10" t="str">
        <f>_xlfn.IFNA(VLOOKUP($A95,CompChecksTrans!$A:$C,3,FALSE), "     ")</f>
        <v>9. Presence of a weekly staff meeting minute describing the concept of internal auditing.</v>
      </c>
      <c r="E95" s="12" t="s">
        <v>1408</v>
      </c>
    </row>
    <row r="96" spans="1:5" ht="47.25" x14ac:dyDescent="0.25">
      <c r="A96" s="12" t="s">
        <v>5592</v>
      </c>
      <c r="B96" s="10" t="str">
        <f>_xlfn.IFNA(VLOOKUP($A96,CompChecksTrans!$A:$C,2,FALSE), "")</f>
        <v>ASSESS3.8</v>
      </c>
      <c r="C96" s="10" t="str">
        <f>_xlfn.IFNA(VLOOKUP(B96,Phase3!A$4:C$1000,3,FALSE),"")</f>
        <v>Are internal audits planned on a yearly basis and is this audit plan communicated to all the laboratory staff involved?</v>
      </c>
      <c r="D96" s="10" t="str">
        <f>_xlfn.IFNA(VLOOKUP($A96,CompChecksTrans!$A:$C,3,FALSE), "     ")</f>
        <v xml:space="preserve">1. Presence of a schedule in which the complete quality management system is audited in one year (12 months).  </v>
      </c>
      <c r="E96" s="12" t="s">
        <v>1408</v>
      </c>
    </row>
    <row r="97" spans="1:5" ht="47.25" x14ac:dyDescent="0.25">
      <c r="A97" s="12" t="s">
        <v>5593</v>
      </c>
      <c r="B97" s="10" t="str">
        <f>_xlfn.IFNA(VLOOKUP($A97,CompChecksTrans!$A:$C,2,FALSE), "")</f>
        <v>ASSESS3.8</v>
      </c>
      <c r="C97" s="10" t="str">
        <f>_xlfn.IFNA(VLOOKUP(B97,Phase3!A$4:C$1000,3,FALSE),"")</f>
        <v>Are internal audits planned on a yearly basis and is this audit plan communicated to all the laboratory staff involved?</v>
      </c>
      <c r="D97" s="10" t="str">
        <f>_xlfn.IFNA(VLOOKUP($A97,CompChecksTrans!$A:$C,3,FALSE), "     ")</f>
        <v xml:space="preserve">2. Presence of a workable planning. </v>
      </c>
      <c r="E97" s="12" t="s">
        <v>1409</v>
      </c>
    </row>
    <row r="98" spans="1:5" ht="47.25" x14ac:dyDescent="0.25">
      <c r="A98" s="12" t="s">
        <v>5594</v>
      </c>
      <c r="B98" s="10" t="str">
        <f>_xlfn.IFNA(VLOOKUP($A98,CompChecksTrans!$A:$C,2,FALSE), "")</f>
        <v>ASSESS3.8</v>
      </c>
      <c r="C98" s="10" t="str">
        <f>_xlfn.IFNA(VLOOKUP(B98,Phase3!A$4:C$1000,3,FALSE),"")</f>
        <v>Are internal audits planned on a yearly basis and is this audit plan communicated to all the laboratory staff involved?</v>
      </c>
      <c r="D98" s="10" t="str">
        <f>_xlfn.IFNA(VLOOKUP($A98,CompChecksTrans!$A:$C,3,FALSE), "     ")</f>
        <v>3. Presence of meeting minute for discussion the planning in a weekly staff meeting.</v>
      </c>
      <c r="E98" s="12" t="s">
        <v>1408</v>
      </c>
    </row>
    <row r="99" spans="1:5" ht="63" x14ac:dyDescent="0.25">
      <c r="A99" s="12" t="s">
        <v>5595</v>
      </c>
      <c r="B99" s="10" t="str">
        <f>_xlfn.IFNA(VLOOKUP($A99,CompChecksTrans!$A:$C,2,FALSE), "")</f>
        <v>ASSESS3.10</v>
      </c>
      <c r="C99" s="10" t="str">
        <f>_xlfn.IFNA(VLOOKUP(B99,Phase3!A$4:C$1000,3,FALSE),"")</f>
        <v>Are observations made during internal audits reported and are nonconformities identified and scored according to severity?</v>
      </c>
      <c r="D99" s="10" t="str">
        <f>_xlfn.IFNA(VLOOKUP($A99,CompChecksTrans!$A:$C,3,FALSE), "     ")</f>
        <v>1. Presence of internal auiding report</v>
      </c>
      <c r="E99" s="12" t="s">
        <v>1408</v>
      </c>
    </row>
    <row r="100" spans="1:5" ht="63" x14ac:dyDescent="0.25">
      <c r="A100" s="12" t="s">
        <v>5596</v>
      </c>
      <c r="B100" s="10" t="str">
        <f>_xlfn.IFNA(VLOOKUP($A100,CompChecksTrans!$A:$C,2,FALSE), "")</f>
        <v>ASSESS3.10</v>
      </c>
      <c r="C100" s="10" t="str">
        <f>_xlfn.IFNA(VLOOKUP(B100,Phase3!A$4:C$1000,3,FALSE),"")</f>
        <v>Are observations made during internal audits reported and are nonconformities identified and scored according to severity?</v>
      </c>
      <c r="D100" s="10" t="str">
        <f>_xlfn.IFNA(VLOOKUP($A100,CompChecksTrans!$A:$C,3,FALSE), "     ")</f>
        <v>2. internal auiding report was submitted to lab manager</v>
      </c>
      <c r="E100" s="12" t="s">
        <v>1409</v>
      </c>
    </row>
    <row r="101" spans="1:5" ht="78.75" x14ac:dyDescent="0.25">
      <c r="A101" s="12" t="s">
        <v>5597</v>
      </c>
      <c r="B101" s="10" t="str">
        <f>_xlfn.IFNA(VLOOKUP($A101,CompChecksTrans!$A:$C,2,FALSE), "")</f>
        <v>ASSESS3.12</v>
      </c>
      <c r="C101" s="10" t="str">
        <f>_xlfn.IFNA(VLOOKUP(B101,Phase3!A$4:C$1000,3,FALSE),"")</f>
        <v>Are action plans made to solve/correct the nonconformities identified in internal audits with corrective actions, control steps and preventive actions when necessary and applicable?</v>
      </c>
      <c r="D101" s="10" t="str">
        <f>_xlfn.IFNA(VLOOKUP($A101,CompChecksTrans!$A:$C,3,FALSE), "     ")</f>
        <v xml:space="preserve">Presence of a SMART action plan, within 2 weeks of receiving the internal audit report, which contain of action points for correcting/solving all the nonconformities identified.
</v>
      </c>
      <c r="E101" s="12" t="s">
        <v>1409</v>
      </c>
    </row>
    <row r="102" spans="1:5" ht="31.5" x14ac:dyDescent="0.25">
      <c r="A102" s="12" t="s">
        <v>5598</v>
      </c>
      <c r="B102" s="10" t="str">
        <f>_xlfn.IFNA(VLOOKUP($A102,CompChecksTrans!$A:$C,2,FALSE), "")</f>
        <v>ASSESS3.13</v>
      </c>
      <c r="C102" s="10" t="str">
        <f>_xlfn.IFNA(VLOOKUP(B102,Phase3!A$4:C$1000,3,FALSE),"")</f>
        <v>Is timely implementation of the action plans following internal audit monitored?</v>
      </c>
      <c r="D102" s="10" t="str">
        <f>_xlfn.IFNA(VLOOKUP($A102,CompChecksTrans!$A:$C,3,FALSE), "     ")</f>
        <v xml:space="preserve">1. Presence of a minute for discussing the action plan in a weekly staff meeting and informing the staff members of the action points that were assigned to them specifically.
</v>
      </c>
      <c r="E102" s="12" t="s">
        <v>1408</v>
      </c>
    </row>
    <row r="103" spans="1:5" ht="31.5" x14ac:dyDescent="0.25">
      <c r="A103" s="12" t="s">
        <v>5599</v>
      </c>
      <c r="B103" s="10" t="str">
        <f>_xlfn.IFNA(VLOOKUP($A103,CompChecksTrans!$A:$C,2,FALSE), "")</f>
        <v>ASSESS3.13</v>
      </c>
      <c r="C103" s="10" t="str">
        <f>_xlfn.IFNA(VLOOKUP(B103,Phase3!A$4:C$1000,3,FALSE),"")</f>
        <v>Is timely implementation of the action plans following internal audit monitored?</v>
      </c>
      <c r="D103" s="10" t="str">
        <f>_xlfn.IFNA(VLOOKUP($A103,CompChecksTrans!$A:$C,3,FALSE), "     ")</f>
        <v>2. Presence of staff signature and date to action plans that finished.</v>
      </c>
      <c r="E103" s="12" t="s">
        <v>1409</v>
      </c>
    </row>
    <row r="104" spans="1:5" ht="47.25" x14ac:dyDescent="0.25">
      <c r="A104" s="12" t="s">
        <v>5600</v>
      </c>
      <c r="B104" s="10" t="str">
        <f>_xlfn.IFNA(VLOOKUP($A104,CompChecksTrans!$A:$C,2,FALSE), "")</f>
        <v>ASSESS3.14</v>
      </c>
      <c r="C104" s="10" t="str">
        <f>_xlfn.IFNA(VLOOKUP(B104,Phase3!A$4:C$1000,3,FALSE),"")</f>
        <v>Are Internal Audit Reports with action plans archived when all action points have been completed?</v>
      </c>
      <c r="D104" s="10" t="str">
        <f>_xlfn.IFNA(VLOOKUP($A104,CompChecksTrans!$A:$C,3,FALSE), "     ")</f>
        <v>Presence of complete action plans, with signature and date of lab manager, in a folder.</v>
      </c>
      <c r="E104" s="12" t="s">
        <v>1408</v>
      </c>
    </row>
    <row r="105" spans="1:5" x14ac:dyDescent="0.25">
      <c r="A105" s="12" t="s">
        <v>6466</v>
      </c>
      <c r="B105" s="10" t="str">
        <f>_xlfn.IFNA(VLOOKUP($A105,CompChecksTrans!$A:$C,2,FALSE), "")</f>
        <v/>
      </c>
      <c r="C105" s="10" t="str">
        <f>_xlfn.IFNA(VLOOKUP(B105,Phase3!A$4:C$1000,3,FALSE),"")</f>
        <v/>
      </c>
      <c r="D105" s="10" t="str">
        <f>_xlfn.IFNA(VLOOKUP($A105,CompChecksTrans!$A:$C,3,FALSE), "     ")</f>
        <v xml:space="preserve">     </v>
      </c>
    </row>
    <row r="106" spans="1:5" x14ac:dyDescent="0.25">
      <c r="A106" s="12" t="s">
        <v>6467</v>
      </c>
      <c r="B106" s="10" t="str">
        <f>_xlfn.IFNA(VLOOKUP($A106,CompChecksTrans!$A:$C,2,FALSE), "")</f>
        <v/>
      </c>
      <c r="C106" s="10" t="str">
        <f>_xlfn.IFNA(VLOOKUP(B106,Phase3!A$4:C$1000,3,FALSE),"")</f>
        <v/>
      </c>
      <c r="D106" s="10" t="str">
        <f>_xlfn.IFNA(VLOOKUP($A106,CompChecksTrans!$A:$C,3,FALSE), "     ")</f>
        <v xml:space="preserve">     </v>
      </c>
    </row>
    <row r="107" spans="1:5" x14ac:dyDescent="0.25">
      <c r="A107" s="12" t="s">
        <v>6468</v>
      </c>
      <c r="B107" s="10" t="str">
        <f>_xlfn.IFNA(VLOOKUP($A107,CompChecksTrans!$A:$C,2,FALSE), "")</f>
        <v/>
      </c>
      <c r="C107" s="10" t="str">
        <f>_xlfn.IFNA(VLOOKUP(B107,Phase3!A$4:C$1000,3,FALSE),"")</f>
        <v/>
      </c>
      <c r="D107" s="10" t="str">
        <f>_xlfn.IFNA(VLOOKUP($A107,CompChecksTrans!$A:$C,3,FALSE), "     ")</f>
        <v xml:space="preserve">     </v>
      </c>
    </row>
    <row r="108" spans="1:5" x14ac:dyDescent="0.25">
      <c r="A108" s="12" t="s">
        <v>6469</v>
      </c>
      <c r="B108" s="10" t="str">
        <f>_xlfn.IFNA(VLOOKUP($A108,CompChecksTrans!$A:$C,2,FALSE), "")</f>
        <v/>
      </c>
      <c r="C108" s="10" t="str">
        <f>_xlfn.IFNA(VLOOKUP(B108,Phase3!A$4:C$1000,3,FALSE),"")</f>
        <v/>
      </c>
      <c r="D108" s="10" t="str">
        <f>_xlfn.IFNA(VLOOKUP($A108,CompChecksTrans!$A:$C,3,FALSE), "     ")</f>
        <v xml:space="preserve">     </v>
      </c>
    </row>
    <row r="109" spans="1:5" x14ac:dyDescent="0.25">
      <c r="A109" s="12" t="s">
        <v>6470</v>
      </c>
      <c r="B109" s="10" t="str">
        <f>_xlfn.IFNA(VLOOKUP($A109,CompChecksTrans!$A:$C,2,FALSE), "")</f>
        <v/>
      </c>
      <c r="C109" s="10" t="str">
        <f>_xlfn.IFNA(VLOOKUP(B109,Phase3!A$4:C$1000,3,FALSE),"")</f>
        <v/>
      </c>
      <c r="D109" s="10" t="str">
        <f>_xlfn.IFNA(VLOOKUP($A109,CompChecksTrans!$A:$C,3,FALSE), "     ")</f>
        <v xml:space="preserve">     </v>
      </c>
    </row>
    <row r="110" spans="1:5" x14ac:dyDescent="0.25">
      <c r="A110" s="12" t="s">
        <v>6471</v>
      </c>
      <c r="B110" s="10" t="str">
        <f>_xlfn.IFNA(VLOOKUP($A110,CompChecksTrans!$A:$C,2,FALSE), "")</f>
        <v/>
      </c>
      <c r="C110" s="10" t="str">
        <f>_xlfn.IFNA(VLOOKUP(B110,Phase3!A$4:C$1000,3,FALSE),"")</f>
        <v/>
      </c>
      <c r="D110" s="10" t="str">
        <f>_xlfn.IFNA(VLOOKUP($A110,CompChecksTrans!$A:$C,3,FALSE), "     ")</f>
        <v xml:space="preserve">     </v>
      </c>
    </row>
    <row r="111" spans="1:5" x14ac:dyDescent="0.25">
      <c r="A111" s="12" t="s">
        <v>6472</v>
      </c>
      <c r="B111" s="10" t="str">
        <f>_xlfn.IFNA(VLOOKUP($A111,CompChecksTrans!$A:$C,2,FALSE), "")</f>
        <v/>
      </c>
      <c r="C111" s="10" t="str">
        <f>_xlfn.IFNA(VLOOKUP(B111,Phase3!A$4:C$1000,3,FALSE),"")</f>
        <v/>
      </c>
      <c r="D111" s="10" t="str">
        <f>_xlfn.IFNA(VLOOKUP($A111,CompChecksTrans!$A:$C,3,FALSE), "     ")</f>
        <v xml:space="preserve">     </v>
      </c>
    </row>
    <row r="112" spans="1:5" x14ac:dyDescent="0.25">
      <c r="A112" s="12" t="s">
        <v>6473</v>
      </c>
      <c r="B112" s="10" t="str">
        <f>_xlfn.IFNA(VLOOKUP($A112,CompChecksTrans!$A:$C,2,FALSE), "")</f>
        <v/>
      </c>
      <c r="C112" s="10" t="str">
        <f>_xlfn.IFNA(VLOOKUP(B112,Phase3!A$4:C$1000,3,FALSE),"")</f>
        <v/>
      </c>
      <c r="D112" s="10" t="str">
        <f>_xlfn.IFNA(VLOOKUP($A112,CompChecksTrans!$A:$C,3,FALSE), "     ")</f>
        <v xml:space="preserve">     </v>
      </c>
    </row>
    <row r="113" spans="1:4" x14ac:dyDescent="0.25">
      <c r="A113" s="12" t="s">
        <v>6474</v>
      </c>
      <c r="B113" s="10" t="str">
        <f>_xlfn.IFNA(VLOOKUP($A113,CompChecksTrans!$A:$C,2,FALSE), "")</f>
        <v/>
      </c>
      <c r="C113" s="10" t="str">
        <f>_xlfn.IFNA(VLOOKUP(B113,Phase3!A$4:C$1000,3,FALSE),"")</f>
        <v/>
      </c>
      <c r="D113" s="10" t="str">
        <f>_xlfn.IFNA(VLOOKUP($A113,CompChecksTrans!$A:$C,3,FALSE), "     ")</f>
        <v xml:space="preserve">     </v>
      </c>
    </row>
    <row r="114" spans="1:4" x14ac:dyDescent="0.25">
      <c r="A114" s="12" t="s">
        <v>6475</v>
      </c>
      <c r="B114" s="10" t="str">
        <f>_xlfn.IFNA(VLOOKUP($A114,CompChecksTrans!$A:$C,2,FALSE), "")</f>
        <v/>
      </c>
      <c r="C114" s="10" t="str">
        <f>_xlfn.IFNA(VLOOKUP(B114,Phase3!A$4:C$1000,3,FALSE),"")</f>
        <v/>
      </c>
      <c r="D114" s="10" t="str">
        <f>_xlfn.IFNA(VLOOKUP($A114,CompChecksTrans!$A:$C,3,FALSE), "     ")</f>
        <v xml:space="preserve">     </v>
      </c>
    </row>
    <row r="115" spans="1:4" x14ac:dyDescent="0.25">
      <c r="A115" s="12" t="s">
        <v>6476</v>
      </c>
      <c r="B115" s="10" t="str">
        <f>_xlfn.IFNA(VLOOKUP($A115,CompChecksTrans!$A:$C,2,FALSE), "")</f>
        <v/>
      </c>
      <c r="C115" s="10" t="str">
        <f>_xlfn.IFNA(VLOOKUP(B115,Phase3!A$4:C$1000,3,FALSE),"")</f>
        <v/>
      </c>
      <c r="D115" s="10" t="str">
        <f>_xlfn.IFNA(VLOOKUP($A115,CompChecksTrans!$A:$C,3,FALSE), "     ")</f>
        <v xml:space="preserve">     </v>
      </c>
    </row>
    <row r="116" spans="1:4" x14ac:dyDescent="0.25">
      <c r="A116" s="12" t="s">
        <v>6477</v>
      </c>
      <c r="B116" s="10" t="str">
        <f>_xlfn.IFNA(VLOOKUP($A116,CompChecksTrans!$A:$C,2,FALSE), "")</f>
        <v/>
      </c>
      <c r="C116" s="10" t="str">
        <f>_xlfn.IFNA(VLOOKUP(B116,Phase3!A$4:C$1000,3,FALSE),"")</f>
        <v/>
      </c>
      <c r="D116" s="10" t="str">
        <f>_xlfn.IFNA(VLOOKUP($A116,CompChecksTrans!$A:$C,3,FALSE), "     ")</f>
        <v xml:space="preserve">     </v>
      </c>
    </row>
    <row r="117" spans="1:4" x14ac:dyDescent="0.25">
      <c r="A117" s="12" t="s">
        <v>6478</v>
      </c>
      <c r="B117" s="10" t="str">
        <f>_xlfn.IFNA(VLOOKUP($A117,CompChecksTrans!$A:$C,2,FALSE), "")</f>
        <v/>
      </c>
      <c r="C117" s="10" t="str">
        <f>_xlfn.IFNA(VLOOKUP(B117,Phase3!A$4:C$1000,3,FALSE),"")</f>
        <v/>
      </c>
      <c r="D117" s="10" t="str">
        <f>_xlfn.IFNA(VLOOKUP($A117,CompChecksTrans!$A:$C,3,FALSE), "     ")</f>
        <v xml:space="preserve">     </v>
      </c>
    </row>
    <row r="118" spans="1:4" x14ac:dyDescent="0.25">
      <c r="A118" s="12" t="s">
        <v>6479</v>
      </c>
      <c r="B118" s="10" t="str">
        <f>_xlfn.IFNA(VLOOKUP($A118,CompChecksTrans!$A:$C,2,FALSE), "")</f>
        <v/>
      </c>
      <c r="C118" s="10" t="str">
        <f>_xlfn.IFNA(VLOOKUP(B118,Phase3!A$4:C$1000,3,FALSE),"")</f>
        <v/>
      </c>
      <c r="D118" s="10" t="str">
        <f>_xlfn.IFNA(VLOOKUP($A118,CompChecksTrans!$A:$C,3,FALSE), "     ")</f>
        <v xml:space="preserve">     </v>
      </c>
    </row>
    <row r="119" spans="1:4" x14ac:dyDescent="0.25">
      <c r="A119" s="12" t="s">
        <v>6480</v>
      </c>
      <c r="B119" s="10" t="str">
        <f>_xlfn.IFNA(VLOOKUP($A119,CompChecksTrans!$A:$C,2,FALSE), "")</f>
        <v/>
      </c>
      <c r="C119" s="10" t="str">
        <f>_xlfn.IFNA(VLOOKUP(B119,Phase3!A$4:C$1000,3,FALSE),"")</f>
        <v/>
      </c>
      <c r="D119" s="10" t="str">
        <f>_xlfn.IFNA(VLOOKUP($A119,CompChecksTrans!$A:$C,3,FALSE), "     ")</f>
        <v xml:space="preserve">     </v>
      </c>
    </row>
    <row r="120" spans="1:4" x14ac:dyDescent="0.25">
      <c r="A120" s="12" t="s">
        <v>6481</v>
      </c>
      <c r="B120" s="10" t="str">
        <f>_xlfn.IFNA(VLOOKUP($A120,CompChecksTrans!$A:$C,2,FALSE), "")</f>
        <v/>
      </c>
      <c r="C120" s="10" t="str">
        <f>_xlfn.IFNA(VLOOKUP(B120,Phase3!A$4:C$1000,3,FALSE),"")</f>
        <v/>
      </c>
      <c r="D120" s="10" t="str">
        <f>_xlfn.IFNA(VLOOKUP($A120,CompChecksTrans!$A:$C,3,FALSE), "     ")</f>
        <v xml:space="preserve">     </v>
      </c>
    </row>
    <row r="121" spans="1:4" x14ac:dyDescent="0.25">
      <c r="A121" s="12" t="s">
        <v>6482</v>
      </c>
      <c r="B121" s="10" t="str">
        <f>_xlfn.IFNA(VLOOKUP($A121,CompChecksTrans!$A:$C,2,FALSE), "")</f>
        <v/>
      </c>
      <c r="C121" s="10" t="str">
        <f>_xlfn.IFNA(VLOOKUP(B121,Phase3!A$4:C$1000,3,FALSE),"")</f>
        <v/>
      </c>
      <c r="D121" s="10" t="str">
        <f>_xlfn.IFNA(VLOOKUP($A121,CompChecksTrans!$A:$C,3,FALSE), "     ")</f>
        <v xml:space="preserve">     </v>
      </c>
    </row>
    <row r="122" spans="1:4" x14ac:dyDescent="0.25">
      <c r="A122" s="12" t="s">
        <v>6483</v>
      </c>
      <c r="B122" s="10" t="str">
        <f>_xlfn.IFNA(VLOOKUP($A122,CompChecksTrans!$A:$C,2,FALSE), "")</f>
        <v/>
      </c>
      <c r="C122" s="10" t="str">
        <f>_xlfn.IFNA(VLOOKUP(B122,Phase3!A$4:C$1000,3,FALSE),"")</f>
        <v/>
      </c>
      <c r="D122" s="10" t="str">
        <f>_xlfn.IFNA(VLOOKUP($A122,CompChecksTrans!$A:$C,3,FALSE), "     ")</f>
        <v xml:space="preserve">     </v>
      </c>
    </row>
    <row r="123" spans="1:4" x14ac:dyDescent="0.25">
      <c r="A123" s="12" t="s">
        <v>6484</v>
      </c>
      <c r="B123" s="10" t="str">
        <f>_xlfn.IFNA(VLOOKUP($A123,CompChecksTrans!$A:$C,2,FALSE), "")</f>
        <v/>
      </c>
      <c r="C123" s="10" t="str">
        <f>_xlfn.IFNA(VLOOKUP(B123,Phase3!A$4:C$1000,3,FALSE),"")</f>
        <v/>
      </c>
      <c r="D123" s="10" t="str">
        <f>_xlfn.IFNA(VLOOKUP($A123,CompChecksTrans!$A:$C,3,FALSE), "     ")</f>
        <v xml:space="preserve">     </v>
      </c>
    </row>
    <row r="124" spans="1:4" x14ac:dyDescent="0.25">
      <c r="A124" s="12" t="s">
        <v>6485</v>
      </c>
      <c r="B124" s="10" t="str">
        <f>_xlfn.IFNA(VLOOKUP($A124,CompChecksTrans!$A:$C,2,FALSE), "")</f>
        <v/>
      </c>
      <c r="C124" s="10" t="str">
        <f>_xlfn.IFNA(VLOOKUP(B124,Phase3!A$4:C$1000,3,FALSE),"")</f>
        <v/>
      </c>
      <c r="D124" s="10" t="str">
        <f>_xlfn.IFNA(VLOOKUP($A124,CompChecksTrans!$A:$C,3,FALSE), "     ")</f>
        <v xml:space="preserve">     </v>
      </c>
    </row>
    <row r="125" spans="1:4" x14ac:dyDescent="0.25">
      <c r="A125" s="12" t="s">
        <v>6486</v>
      </c>
      <c r="B125" s="10" t="str">
        <f>_xlfn.IFNA(VLOOKUP($A125,CompChecksTrans!$A:$C,2,FALSE), "")</f>
        <v/>
      </c>
      <c r="C125" s="10" t="str">
        <f>_xlfn.IFNA(VLOOKUP(B125,Phase3!A$4:C$1000,3,FALSE),"")</f>
        <v/>
      </c>
      <c r="D125" s="10" t="str">
        <f>_xlfn.IFNA(VLOOKUP($A125,CompChecksTrans!$A:$C,3,FALSE), "     ")</f>
        <v xml:space="preserve">     </v>
      </c>
    </row>
    <row r="126" spans="1:4" x14ac:dyDescent="0.25">
      <c r="A126" s="12" t="s">
        <v>6487</v>
      </c>
      <c r="B126" s="10" t="str">
        <f>_xlfn.IFNA(VLOOKUP($A126,CompChecksTrans!$A:$C,2,FALSE), "")</f>
        <v/>
      </c>
      <c r="C126" s="10" t="str">
        <f>_xlfn.IFNA(VLOOKUP(B126,Phase3!A$4:C$1000,3,FALSE),"")</f>
        <v/>
      </c>
      <c r="D126" s="10" t="str">
        <f>_xlfn.IFNA(VLOOKUP($A126,CompChecksTrans!$A:$C,3,FALSE), "     ")</f>
        <v xml:space="preserve">     </v>
      </c>
    </row>
    <row r="127" spans="1:4" x14ac:dyDescent="0.25">
      <c r="A127" s="12" t="s">
        <v>6488</v>
      </c>
      <c r="B127" s="10" t="str">
        <f>_xlfn.IFNA(VLOOKUP($A127,CompChecksTrans!$A:$C,2,FALSE), "")</f>
        <v/>
      </c>
      <c r="C127" s="10" t="str">
        <f>_xlfn.IFNA(VLOOKUP(B127,Phase3!A$4:C$1000,3,FALSE),"")</f>
        <v/>
      </c>
      <c r="D127" s="10" t="str">
        <f>_xlfn.IFNA(VLOOKUP($A127,CompChecksTrans!$A:$C,3,FALSE), "     ")</f>
        <v xml:space="preserve">     </v>
      </c>
    </row>
    <row r="128" spans="1:4" x14ac:dyDescent="0.25">
      <c r="A128" s="12" t="s">
        <v>6489</v>
      </c>
      <c r="B128" s="10" t="str">
        <f>_xlfn.IFNA(VLOOKUP($A128,CompChecksTrans!$A:$C,2,FALSE), "")</f>
        <v/>
      </c>
      <c r="C128" s="10" t="str">
        <f>_xlfn.IFNA(VLOOKUP(B128,Phase3!A$4:C$1000,3,FALSE),"")</f>
        <v/>
      </c>
      <c r="D128" s="10" t="str">
        <f>_xlfn.IFNA(VLOOKUP($A128,CompChecksTrans!$A:$C,3,FALSE), "     ")</f>
        <v xml:space="preserve">     </v>
      </c>
    </row>
    <row r="129" spans="1:4" x14ac:dyDescent="0.25">
      <c r="A129" s="12" t="s">
        <v>6490</v>
      </c>
      <c r="B129" s="10" t="str">
        <f>_xlfn.IFNA(VLOOKUP($A129,CompChecksTrans!$A:$C,2,FALSE), "")</f>
        <v/>
      </c>
      <c r="C129" s="10" t="str">
        <f>_xlfn.IFNA(VLOOKUP(B129,Phase3!A$4:C$1000,3,FALSE),"")</f>
        <v/>
      </c>
      <c r="D129" s="10" t="str">
        <f>_xlfn.IFNA(VLOOKUP($A129,CompChecksTrans!$A:$C,3,FALSE), "     ")</f>
        <v xml:space="preserve">     </v>
      </c>
    </row>
    <row r="130" spans="1:4" x14ac:dyDescent="0.25">
      <c r="A130" s="12" t="s">
        <v>6491</v>
      </c>
      <c r="B130" s="10" t="str">
        <f>_xlfn.IFNA(VLOOKUP($A130,CompChecksTrans!$A:$C,2,FALSE), "")</f>
        <v/>
      </c>
      <c r="C130" s="10" t="str">
        <f>_xlfn.IFNA(VLOOKUP(B130,Phase3!A$4:C$1000,3,FALSE),"")</f>
        <v/>
      </c>
      <c r="D130" s="10" t="str">
        <f>_xlfn.IFNA(VLOOKUP($A130,CompChecksTrans!$A:$C,3,FALSE), "     ")</f>
        <v xml:space="preserve">     </v>
      </c>
    </row>
    <row r="131" spans="1:4" x14ac:dyDescent="0.25">
      <c r="A131" s="12" t="s">
        <v>6492</v>
      </c>
      <c r="B131" s="10" t="str">
        <f>_xlfn.IFNA(VLOOKUP($A131,CompChecksTrans!$A:$C,2,FALSE), "")</f>
        <v/>
      </c>
      <c r="C131" s="10" t="str">
        <f>_xlfn.IFNA(VLOOKUP(B131,Phase3!A$4:C$1000,3,FALSE),"")</f>
        <v/>
      </c>
      <c r="D131" s="10" t="str">
        <f>_xlfn.IFNA(VLOOKUP($A131,CompChecksTrans!$A:$C,3,FALSE), "     ")</f>
        <v xml:space="preserve">     </v>
      </c>
    </row>
    <row r="132" spans="1:4" x14ac:dyDescent="0.25">
      <c r="A132" s="12" t="s">
        <v>6493</v>
      </c>
      <c r="B132" s="10" t="str">
        <f>_xlfn.IFNA(VLOOKUP($A132,CompChecksTrans!$A:$C,2,FALSE), "")</f>
        <v/>
      </c>
      <c r="C132" s="10" t="str">
        <f>_xlfn.IFNA(VLOOKUP(B132,Phase3!A$4:C$1000,3,FALSE),"")</f>
        <v/>
      </c>
      <c r="D132" s="10" t="str">
        <f>_xlfn.IFNA(VLOOKUP($A132,CompChecksTrans!$A:$C,3,FALSE), "     ")</f>
        <v xml:space="preserve">     </v>
      </c>
    </row>
    <row r="133" spans="1:4" x14ac:dyDescent="0.25">
      <c r="A133" s="12" t="s">
        <v>6494</v>
      </c>
      <c r="B133" s="10" t="str">
        <f>_xlfn.IFNA(VLOOKUP($A133,CompChecksTrans!$A:$C,2,FALSE), "")</f>
        <v/>
      </c>
      <c r="C133" s="10" t="str">
        <f>_xlfn.IFNA(VLOOKUP(B133,Phase3!A$4:C$1000,3,FALSE),"")</f>
        <v/>
      </c>
      <c r="D133" s="10" t="str">
        <f>_xlfn.IFNA(VLOOKUP($A133,CompChecksTrans!$A:$C,3,FALSE), "     ")</f>
        <v xml:space="preserve">     </v>
      </c>
    </row>
    <row r="134" spans="1:4" x14ac:dyDescent="0.25">
      <c r="A134" s="12" t="s">
        <v>6495</v>
      </c>
      <c r="B134" s="10" t="str">
        <f>_xlfn.IFNA(VLOOKUP($A134,CompChecksTrans!$A:$C,2,FALSE), "")</f>
        <v/>
      </c>
      <c r="C134" s="10" t="str">
        <f>_xlfn.IFNA(VLOOKUP(B134,Phase3!A$4:C$1000,3,FALSE),"")</f>
        <v/>
      </c>
      <c r="D134" s="10" t="str">
        <f>_xlfn.IFNA(VLOOKUP($A134,CompChecksTrans!$A:$C,3,FALSE), "     ")</f>
        <v xml:space="preserve">     </v>
      </c>
    </row>
    <row r="135" spans="1:4" x14ac:dyDescent="0.25">
      <c r="A135" s="12" t="s">
        <v>6496</v>
      </c>
      <c r="B135" s="10" t="str">
        <f>_xlfn.IFNA(VLOOKUP($A135,CompChecksTrans!$A:$C,2,FALSE), "")</f>
        <v/>
      </c>
      <c r="C135" s="10" t="str">
        <f>_xlfn.IFNA(VLOOKUP(B135,Phase3!A$4:C$1000,3,FALSE),"")</f>
        <v/>
      </c>
      <c r="D135" s="10" t="str">
        <f>_xlfn.IFNA(VLOOKUP($A135,CompChecksTrans!$A:$C,3,FALSE), "     ")</f>
        <v xml:space="preserve">     </v>
      </c>
    </row>
    <row r="136" spans="1:4" x14ac:dyDescent="0.25">
      <c r="A136" s="12" t="s">
        <v>6497</v>
      </c>
      <c r="B136" s="10" t="str">
        <f>_xlfn.IFNA(VLOOKUP($A136,CompChecksTrans!$A:$C,2,FALSE), "")</f>
        <v/>
      </c>
      <c r="C136" s="10" t="str">
        <f>_xlfn.IFNA(VLOOKUP(B136,Phase3!A$4:C$1000,3,FALSE),"")</f>
        <v/>
      </c>
      <c r="D136" s="10" t="str">
        <f>_xlfn.IFNA(VLOOKUP($A136,CompChecksTrans!$A:$C,3,FALSE), "     ")</f>
        <v xml:space="preserve">     </v>
      </c>
    </row>
    <row r="137" spans="1:4" x14ac:dyDescent="0.25">
      <c r="A137" s="12" t="s">
        <v>6498</v>
      </c>
      <c r="B137" s="10" t="str">
        <f>_xlfn.IFNA(VLOOKUP($A137,CompChecksTrans!$A:$C,2,FALSE), "")</f>
        <v/>
      </c>
      <c r="C137" s="10" t="str">
        <f>_xlfn.IFNA(VLOOKUP(B137,Phase3!A$4:C$1000,3,FALSE),"")</f>
        <v/>
      </c>
      <c r="D137" s="10" t="str">
        <f>_xlfn.IFNA(VLOOKUP($A137,CompChecksTrans!$A:$C,3,FALSE), "     ")</f>
        <v xml:space="preserve">     </v>
      </c>
    </row>
    <row r="138" spans="1:4" x14ac:dyDescent="0.25">
      <c r="A138" s="12" t="s">
        <v>6499</v>
      </c>
      <c r="B138" s="10" t="str">
        <f>_xlfn.IFNA(VLOOKUP($A138,CompChecksTrans!$A:$C,2,FALSE), "")</f>
        <v/>
      </c>
      <c r="C138" s="10" t="str">
        <f>_xlfn.IFNA(VLOOKUP(B138,Phase3!A$4:C$1000,3,FALSE),"")</f>
        <v/>
      </c>
      <c r="D138" s="10" t="str">
        <f>_xlfn.IFNA(VLOOKUP($A138,CompChecksTrans!$A:$C,3,FALSE), "     ")</f>
        <v xml:space="preserve">     </v>
      </c>
    </row>
    <row r="139" spans="1:4" x14ac:dyDescent="0.25">
      <c r="A139" s="12" t="s">
        <v>6500</v>
      </c>
      <c r="B139" s="10" t="str">
        <f>_xlfn.IFNA(VLOOKUP($A139,CompChecksTrans!$A:$C,2,FALSE), "")</f>
        <v/>
      </c>
      <c r="C139" s="10" t="str">
        <f>_xlfn.IFNA(VLOOKUP(B139,Phase3!A$4:C$1000,3,FALSE),"")</f>
        <v/>
      </c>
      <c r="D139" s="10" t="str">
        <f>_xlfn.IFNA(VLOOKUP($A139,CompChecksTrans!$A:$C,3,FALSE), "     ")</f>
        <v xml:space="preserve">     </v>
      </c>
    </row>
    <row r="140" spans="1:4" x14ac:dyDescent="0.25">
      <c r="A140" s="12" t="s">
        <v>6501</v>
      </c>
      <c r="B140" s="10" t="str">
        <f>_xlfn.IFNA(VLOOKUP($A140,CompChecksTrans!$A:$C,2,FALSE), "")</f>
        <v/>
      </c>
      <c r="C140" s="10" t="str">
        <f>_xlfn.IFNA(VLOOKUP(B140,Phase3!A$4:C$1000,3,FALSE),"")</f>
        <v/>
      </c>
      <c r="D140" s="10" t="str">
        <f>_xlfn.IFNA(VLOOKUP($A140,CompChecksTrans!$A:$C,3,FALSE), "     ")</f>
        <v xml:space="preserve">     </v>
      </c>
    </row>
    <row r="141" spans="1:4" x14ac:dyDescent="0.25">
      <c r="A141" s="12" t="s">
        <v>6502</v>
      </c>
      <c r="B141" s="10" t="str">
        <f>_xlfn.IFNA(VLOOKUP($A141,CompChecksTrans!$A:$C,2,FALSE), "")</f>
        <v/>
      </c>
      <c r="C141" s="10" t="str">
        <f>_xlfn.IFNA(VLOOKUP(B141,Phase3!A$4:C$1000,3,FALSE),"")</f>
        <v/>
      </c>
      <c r="D141" s="10" t="str">
        <f>_xlfn.IFNA(VLOOKUP($A141,CompChecksTrans!$A:$C,3,FALSE), "     ")</f>
        <v xml:space="preserve">     </v>
      </c>
    </row>
    <row r="142" spans="1:4" x14ac:dyDescent="0.25">
      <c r="A142" s="12" t="s">
        <v>6503</v>
      </c>
      <c r="B142" s="10" t="str">
        <f>_xlfn.IFNA(VLOOKUP($A142,CompChecksTrans!$A:$C,2,FALSE), "")</f>
        <v/>
      </c>
      <c r="C142" s="10" t="str">
        <f>_xlfn.IFNA(VLOOKUP(B142,Phase3!A$4:C$1000,3,FALSE),"")</f>
        <v/>
      </c>
      <c r="D142" s="10" t="str">
        <f>_xlfn.IFNA(VLOOKUP($A142,CompChecksTrans!$A:$C,3,FALSE), "     ")</f>
        <v xml:space="preserve">     </v>
      </c>
    </row>
    <row r="143" spans="1:4" x14ac:dyDescent="0.25">
      <c r="A143" s="12" t="s">
        <v>6504</v>
      </c>
      <c r="B143" s="10" t="str">
        <f>_xlfn.IFNA(VLOOKUP($A143,CompChecksTrans!$A:$C,2,FALSE), "")</f>
        <v/>
      </c>
      <c r="C143" s="10" t="str">
        <f>_xlfn.IFNA(VLOOKUP(B143,Phase3!A$4:C$1000,3,FALSE),"")</f>
        <v/>
      </c>
      <c r="D143" s="10" t="str">
        <f>_xlfn.IFNA(VLOOKUP($A143,CompChecksTrans!$A:$C,3,FALSE), "     ")</f>
        <v xml:space="preserve">     </v>
      </c>
    </row>
    <row r="144" spans="1:4" x14ac:dyDescent="0.25">
      <c r="A144" s="12" t="s">
        <v>6505</v>
      </c>
      <c r="B144" s="10" t="str">
        <f>_xlfn.IFNA(VLOOKUP($A144,CompChecksTrans!$A:$C,2,FALSE), "")</f>
        <v/>
      </c>
      <c r="C144" s="10" t="str">
        <f>_xlfn.IFNA(VLOOKUP(B144,Phase3!A$4:C$1000,3,FALSE),"")</f>
        <v/>
      </c>
      <c r="D144" s="10" t="str">
        <f>_xlfn.IFNA(VLOOKUP($A144,CompChecksTrans!$A:$C,3,FALSE), "     ")</f>
        <v xml:space="preserve">     </v>
      </c>
    </row>
    <row r="145" spans="1:4" x14ac:dyDescent="0.25">
      <c r="A145" s="12" t="s">
        <v>6506</v>
      </c>
      <c r="B145" s="10" t="str">
        <f>_xlfn.IFNA(VLOOKUP($A145,CompChecksTrans!$A:$C,2,FALSE), "")</f>
        <v/>
      </c>
      <c r="C145" s="10" t="str">
        <f>_xlfn.IFNA(VLOOKUP(B145,Phase3!A$4:C$1000,3,FALSE),"")</f>
        <v/>
      </c>
      <c r="D145" s="10" t="str">
        <f>_xlfn.IFNA(VLOOKUP($A145,CompChecksTrans!$A:$C,3,FALSE), "     ")</f>
        <v xml:space="preserve">     </v>
      </c>
    </row>
    <row r="146" spans="1:4" x14ac:dyDescent="0.25">
      <c r="A146" s="12" t="s">
        <v>6507</v>
      </c>
      <c r="B146" s="10" t="str">
        <f>_xlfn.IFNA(VLOOKUP($A146,CompChecksTrans!$A:$C,2,FALSE), "")</f>
        <v/>
      </c>
      <c r="C146" s="10" t="str">
        <f>_xlfn.IFNA(VLOOKUP(B146,Phase3!A$4:C$1000,3,FALSE),"")</f>
        <v/>
      </c>
      <c r="D146" s="10" t="str">
        <f>_xlfn.IFNA(VLOOKUP($A146,CompChecksTrans!$A:$C,3,FALSE), "     ")</f>
        <v xml:space="preserve">     </v>
      </c>
    </row>
    <row r="147" spans="1:4" x14ac:dyDescent="0.25">
      <c r="A147" s="12" t="s">
        <v>6508</v>
      </c>
      <c r="B147" s="10" t="str">
        <f>_xlfn.IFNA(VLOOKUP($A147,CompChecksTrans!$A:$C,2,FALSE), "")</f>
        <v/>
      </c>
      <c r="C147" s="10" t="str">
        <f>_xlfn.IFNA(VLOOKUP(B147,Phase3!A$4:C$1000,3,FALSE),"")</f>
        <v/>
      </c>
      <c r="D147" s="10" t="str">
        <f>_xlfn.IFNA(VLOOKUP($A147,CompChecksTrans!$A:$C,3,FALSE), "     ")</f>
        <v xml:space="preserve">     </v>
      </c>
    </row>
    <row r="148" spans="1:4" x14ac:dyDescent="0.25">
      <c r="A148" s="12" t="s">
        <v>6509</v>
      </c>
      <c r="B148" s="10" t="str">
        <f>_xlfn.IFNA(VLOOKUP($A148,CompChecksTrans!$A:$C,2,FALSE), "")</f>
        <v/>
      </c>
      <c r="C148" s="10" t="str">
        <f>_xlfn.IFNA(VLOOKUP(B148,Phase3!A$4:C$1000,3,FALSE),"")</f>
        <v/>
      </c>
      <c r="D148" s="10" t="str">
        <f>_xlfn.IFNA(VLOOKUP($A148,CompChecksTrans!$A:$C,3,FALSE), "     ")</f>
        <v xml:space="preserve">     </v>
      </c>
    </row>
    <row r="149" spans="1:4" x14ac:dyDescent="0.25">
      <c r="A149" s="12" t="s">
        <v>6510</v>
      </c>
      <c r="B149" s="10" t="str">
        <f>_xlfn.IFNA(VLOOKUP($A149,CompChecksTrans!$A:$C,2,FALSE), "")</f>
        <v/>
      </c>
      <c r="C149" s="10" t="str">
        <f>_xlfn.IFNA(VLOOKUP(B149,Phase3!A$4:C$1000,3,FALSE),"")</f>
        <v/>
      </c>
      <c r="D149" s="10" t="str">
        <f>_xlfn.IFNA(VLOOKUP($A149,CompChecksTrans!$A:$C,3,FALSE), "     ")</f>
        <v xml:space="preserve">     </v>
      </c>
    </row>
    <row r="150" spans="1:4" x14ac:dyDescent="0.25">
      <c r="A150" s="12" t="s">
        <v>6511</v>
      </c>
      <c r="B150" s="10" t="str">
        <f>_xlfn.IFNA(VLOOKUP($A150,CompChecksTrans!$A:$C,2,FALSE), "")</f>
        <v/>
      </c>
      <c r="C150" s="10" t="str">
        <f>_xlfn.IFNA(VLOOKUP(B150,Phase3!A$4:C$1000,3,FALSE),"")</f>
        <v/>
      </c>
      <c r="D150" s="10" t="str">
        <f>_xlfn.IFNA(VLOOKUP($A150,CompChecksTrans!$A:$C,3,FALSE), "     ")</f>
        <v xml:space="preserve">     </v>
      </c>
    </row>
    <row r="151" spans="1:4" x14ac:dyDescent="0.25">
      <c r="A151" s="12" t="s">
        <v>6512</v>
      </c>
      <c r="B151" s="10" t="str">
        <f>_xlfn.IFNA(VLOOKUP($A151,CompChecksTrans!$A:$C,2,FALSE), "")</f>
        <v/>
      </c>
      <c r="C151" s="10" t="str">
        <f>_xlfn.IFNA(VLOOKUP(B151,Phase3!A$4:C$1000,3,FALSE),"")</f>
        <v/>
      </c>
      <c r="D151" s="10" t="str">
        <f>_xlfn.IFNA(VLOOKUP($A151,CompChecksTrans!$A:$C,3,FALSE), "     ")</f>
        <v xml:space="preserve">     </v>
      </c>
    </row>
    <row r="152" spans="1:4" x14ac:dyDescent="0.25">
      <c r="A152" s="12" t="s">
        <v>6513</v>
      </c>
      <c r="B152" s="10" t="str">
        <f>_xlfn.IFNA(VLOOKUP($A152,CompChecksTrans!$A:$C,2,FALSE), "")</f>
        <v/>
      </c>
      <c r="C152" s="10" t="str">
        <f>_xlfn.IFNA(VLOOKUP(B152,Phase3!A$4:C$1000,3,FALSE),"")</f>
        <v/>
      </c>
      <c r="D152" s="10" t="str">
        <f>_xlfn.IFNA(VLOOKUP($A152,CompChecksTrans!$A:$C,3,FALSE), "     ")</f>
        <v xml:space="preserve">     </v>
      </c>
    </row>
    <row r="153" spans="1:4" x14ac:dyDescent="0.25">
      <c r="A153" s="12" t="s">
        <v>6514</v>
      </c>
      <c r="B153" s="10" t="str">
        <f>_xlfn.IFNA(VLOOKUP($A153,CompChecksTrans!$A:$C,2,FALSE), "")</f>
        <v/>
      </c>
      <c r="C153" s="10" t="str">
        <f>_xlfn.IFNA(VLOOKUP(B153,Phase3!A$4:C$1000,3,FALSE),"")</f>
        <v/>
      </c>
      <c r="D153" s="10" t="str">
        <f>_xlfn.IFNA(VLOOKUP($A153,CompChecksTrans!$A:$C,3,FALSE), "     ")</f>
        <v xml:space="preserve">     </v>
      </c>
    </row>
    <row r="154" spans="1:4" x14ac:dyDescent="0.25">
      <c r="A154" s="12" t="s">
        <v>6515</v>
      </c>
      <c r="B154" s="10" t="str">
        <f>_xlfn.IFNA(VLOOKUP($A154,CompChecksTrans!$A:$C,2,FALSE), "")</f>
        <v/>
      </c>
      <c r="C154" s="10" t="str">
        <f>_xlfn.IFNA(VLOOKUP(B154,Phase3!A$4:C$1000,3,FALSE),"")</f>
        <v/>
      </c>
      <c r="D154" s="10" t="str">
        <f>_xlfn.IFNA(VLOOKUP($A154,CompChecksTrans!$A:$C,3,FALSE), "     ")</f>
        <v xml:space="preserve">     </v>
      </c>
    </row>
    <row r="155" spans="1:4" x14ac:dyDescent="0.25">
      <c r="A155" s="12" t="s">
        <v>6516</v>
      </c>
      <c r="B155" s="10" t="str">
        <f>_xlfn.IFNA(VLOOKUP($A155,CompChecksTrans!$A:$C,2,FALSE), "")</f>
        <v/>
      </c>
      <c r="C155" s="10" t="str">
        <f>_xlfn.IFNA(VLOOKUP(B155,Phase3!A$4:C$1000,3,FALSE),"")</f>
        <v/>
      </c>
      <c r="D155" s="10" t="str">
        <f>_xlfn.IFNA(VLOOKUP($A155,CompChecksTrans!$A:$C,3,FALSE), "     ")</f>
        <v xml:space="preserve">     </v>
      </c>
    </row>
    <row r="156" spans="1:4" x14ac:dyDescent="0.25">
      <c r="A156" s="12" t="s">
        <v>6517</v>
      </c>
      <c r="B156" s="10" t="str">
        <f>_xlfn.IFNA(VLOOKUP($A156,CompChecksTrans!$A:$C,2,FALSE), "")</f>
        <v/>
      </c>
      <c r="C156" s="10" t="str">
        <f>_xlfn.IFNA(VLOOKUP(B156,Phase3!A$4:C$1000,3,FALSE),"")</f>
        <v/>
      </c>
      <c r="D156" s="10" t="str">
        <f>_xlfn.IFNA(VLOOKUP($A156,CompChecksTrans!$A:$C,3,FALSE), "     ")</f>
        <v xml:space="preserve">     </v>
      </c>
    </row>
    <row r="157" spans="1:4" x14ac:dyDescent="0.25">
      <c r="A157" s="12" t="s">
        <v>6518</v>
      </c>
      <c r="B157" s="10" t="str">
        <f>_xlfn.IFNA(VLOOKUP($A157,CompChecksTrans!$A:$C,2,FALSE), "")</f>
        <v/>
      </c>
      <c r="C157" s="10" t="str">
        <f>_xlfn.IFNA(VLOOKUP(B157,Phase3!A$4:C$1000,3,FALSE),"")</f>
        <v/>
      </c>
      <c r="D157" s="10" t="str">
        <f>_xlfn.IFNA(VLOOKUP($A157,CompChecksTrans!$A:$C,3,FALSE), "     ")</f>
        <v xml:space="preserve">     </v>
      </c>
    </row>
    <row r="158" spans="1:4" x14ac:dyDescent="0.25">
      <c r="A158" s="12" t="s">
        <v>6519</v>
      </c>
      <c r="B158" s="10" t="str">
        <f>_xlfn.IFNA(VLOOKUP($A158,CompChecksTrans!$A:$C,2,FALSE), "")</f>
        <v/>
      </c>
      <c r="C158" s="10" t="str">
        <f>_xlfn.IFNA(VLOOKUP(B158,Phase3!A$4:C$1000,3,FALSE),"")</f>
        <v/>
      </c>
      <c r="D158" s="10" t="str">
        <f>_xlfn.IFNA(VLOOKUP($A158,CompChecksTrans!$A:$C,3,FALSE), "     ")</f>
        <v xml:space="preserve">     </v>
      </c>
    </row>
    <row r="159" spans="1:4" x14ac:dyDescent="0.25">
      <c r="A159" s="12" t="s">
        <v>6520</v>
      </c>
      <c r="B159" s="10" t="str">
        <f>_xlfn.IFNA(VLOOKUP($A159,CompChecksTrans!$A:$C,2,FALSE), "")</f>
        <v/>
      </c>
      <c r="C159" s="10" t="str">
        <f>_xlfn.IFNA(VLOOKUP(B159,Phase3!A$4:C$1000,3,FALSE),"")</f>
        <v/>
      </c>
      <c r="D159" s="10" t="str">
        <f>_xlfn.IFNA(VLOOKUP($A159,CompChecksTrans!$A:$C,3,FALSE), "     ")</f>
        <v xml:space="preserve">     </v>
      </c>
    </row>
    <row r="160" spans="1:4" x14ac:dyDescent="0.25">
      <c r="A160" s="12" t="s">
        <v>6521</v>
      </c>
      <c r="B160" s="10" t="str">
        <f>_xlfn.IFNA(VLOOKUP($A160,CompChecksTrans!$A:$C,2,FALSE), "")</f>
        <v/>
      </c>
      <c r="C160" s="10" t="str">
        <f>_xlfn.IFNA(VLOOKUP(B160,Phase3!A$4:C$1000,3,FALSE),"")</f>
        <v/>
      </c>
      <c r="D160" s="10" t="str">
        <f>_xlfn.IFNA(VLOOKUP($A160,CompChecksTrans!$A:$C,3,FALSE), "     ")</f>
        <v xml:space="preserve">     </v>
      </c>
    </row>
    <row r="161" spans="1:4" x14ac:dyDescent="0.25">
      <c r="A161" s="12" t="s">
        <v>6522</v>
      </c>
      <c r="B161" s="10" t="str">
        <f>_xlfn.IFNA(VLOOKUP($A161,CompChecksTrans!$A:$C,2,FALSE), "")</f>
        <v/>
      </c>
      <c r="C161" s="10" t="str">
        <f>_xlfn.IFNA(VLOOKUP(B161,Phase3!A$4:C$1000,3,FALSE),"")</f>
        <v/>
      </c>
      <c r="D161" s="10" t="str">
        <f>_xlfn.IFNA(VLOOKUP($A161,CompChecksTrans!$A:$C,3,FALSE), "     ")</f>
        <v xml:space="preserve">     </v>
      </c>
    </row>
    <row r="162" spans="1:4" x14ac:dyDescent="0.25">
      <c r="A162" s="12" t="s">
        <v>6523</v>
      </c>
      <c r="B162" s="10" t="str">
        <f>_xlfn.IFNA(VLOOKUP($A162,CompChecksTrans!$A:$C,2,FALSE), "")</f>
        <v/>
      </c>
      <c r="C162" s="10" t="str">
        <f>_xlfn.IFNA(VLOOKUP(B162,Phase3!A$4:C$1000,3,FALSE),"")</f>
        <v/>
      </c>
      <c r="D162" s="10" t="str">
        <f>_xlfn.IFNA(VLOOKUP($A162,CompChecksTrans!$A:$C,3,FALSE), "     ")</f>
        <v xml:space="preserve">     </v>
      </c>
    </row>
    <row r="163" spans="1:4" x14ac:dyDescent="0.25">
      <c r="A163" s="12" t="s">
        <v>6524</v>
      </c>
      <c r="B163" s="10" t="str">
        <f>_xlfn.IFNA(VLOOKUP($A163,CompChecksTrans!$A:$C,2,FALSE), "")</f>
        <v/>
      </c>
      <c r="C163" s="10" t="str">
        <f>_xlfn.IFNA(VLOOKUP(B163,Phase3!A$4:C$1000,3,FALSE),"")</f>
        <v/>
      </c>
      <c r="D163" s="10" t="str">
        <f>_xlfn.IFNA(VLOOKUP($A163,CompChecksTrans!$A:$C,3,FALSE), "     ")</f>
        <v xml:space="preserve">     </v>
      </c>
    </row>
    <row r="164" spans="1:4" x14ac:dyDescent="0.25">
      <c r="A164" s="12" t="s">
        <v>6525</v>
      </c>
      <c r="B164" s="10" t="str">
        <f>_xlfn.IFNA(VLOOKUP($A164,CompChecksTrans!$A:$C,2,FALSE), "")</f>
        <v/>
      </c>
      <c r="C164" s="10" t="str">
        <f>_xlfn.IFNA(VLOOKUP(B164,Phase3!A$4:C$1000,3,FALSE),"")</f>
        <v/>
      </c>
      <c r="D164" s="10" t="str">
        <f>_xlfn.IFNA(VLOOKUP($A164,CompChecksTrans!$A:$C,3,FALSE), "     ")</f>
        <v xml:space="preserve">     </v>
      </c>
    </row>
    <row r="165" spans="1:4" x14ac:dyDescent="0.25">
      <c r="A165" s="12" t="s">
        <v>6526</v>
      </c>
      <c r="B165" s="10" t="str">
        <f>_xlfn.IFNA(VLOOKUP($A165,CompChecksTrans!$A:$C,2,FALSE), "")</f>
        <v/>
      </c>
      <c r="C165" s="10" t="str">
        <f>_xlfn.IFNA(VLOOKUP(B165,Phase3!A$4:C$1000,3,FALSE),"")</f>
        <v/>
      </c>
      <c r="D165" s="10" t="str">
        <f>_xlfn.IFNA(VLOOKUP($A165,CompChecksTrans!$A:$C,3,FALSE), "     ")</f>
        <v xml:space="preserve">     </v>
      </c>
    </row>
    <row r="166" spans="1:4" x14ac:dyDescent="0.25">
      <c r="A166" s="12" t="s">
        <v>6527</v>
      </c>
      <c r="B166" s="10" t="str">
        <f>_xlfn.IFNA(VLOOKUP($A166,CompChecksTrans!$A:$C,2,FALSE), "")</f>
        <v/>
      </c>
      <c r="C166" s="10" t="str">
        <f>_xlfn.IFNA(VLOOKUP(B166,Phase3!A$4:C$1000,3,FALSE),"")</f>
        <v/>
      </c>
      <c r="D166" s="10" t="str">
        <f>_xlfn.IFNA(VLOOKUP($A166,CompChecksTrans!$A:$C,3,FALSE), "     ")</f>
        <v xml:space="preserve">     </v>
      </c>
    </row>
    <row r="167" spans="1:4" x14ac:dyDescent="0.25">
      <c r="A167" s="12" t="s">
        <v>6528</v>
      </c>
      <c r="B167" s="10" t="str">
        <f>_xlfn.IFNA(VLOOKUP($A167,CompChecksTrans!$A:$C,2,FALSE), "")</f>
        <v/>
      </c>
      <c r="C167" s="10" t="str">
        <f>_xlfn.IFNA(VLOOKUP(B167,Phase3!A$4:C$1000,3,FALSE),"")</f>
        <v/>
      </c>
      <c r="D167" s="10" t="str">
        <f>_xlfn.IFNA(VLOOKUP($A167,CompChecksTrans!$A:$C,3,FALSE), "     ")</f>
        <v xml:space="preserve">     </v>
      </c>
    </row>
    <row r="168" spans="1:4" x14ac:dyDescent="0.25">
      <c r="A168" s="12" t="s">
        <v>6529</v>
      </c>
      <c r="B168" s="10" t="str">
        <f>_xlfn.IFNA(VLOOKUP($A168,CompChecksTrans!$A:$C,2,FALSE), "")</f>
        <v/>
      </c>
      <c r="C168" s="10" t="str">
        <f>_xlfn.IFNA(VLOOKUP(B168,Phase3!A$4:C$1000,3,FALSE),"")</f>
        <v/>
      </c>
      <c r="D168" s="10" t="str">
        <f>_xlfn.IFNA(VLOOKUP($A168,CompChecksTrans!$A:$C,3,FALSE), "     ")</f>
        <v xml:space="preserve">     </v>
      </c>
    </row>
    <row r="169" spans="1:4" x14ac:dyDescent="0.25">
      <c r="A169" s="12" t="s">
        <v>6530</v>
      </c>
      <c r="B169" s="10" t="str">
        <f>_xlfn.IFNA(VLOOKUP($A169,CompChecksTrans!$A:$C,2,FALSE), "")</f>
        <v/>
      </c>
      <c r="C169" s="10" t="str">
        <f>_xlfn.IFNA(VLOOKUP(B169,Phase3!A$4:C$1000,3,FALSE),"")</f>
        <v/>
      </c>
      <c r="D169" s="10" t="str">
        <f>_xlfn.IFNA(VLOOKUP($A169,CompChecksTrans!$A:$C,3,FALSE), "     ")</f>
        <v xml:space="preserve">     </v>
      </c>
    </row>
    <row r="170" spans="1:4" x14ac:dyDescent="0.25">
      <c r="A170" s="12" t="s">
        <v>6531</v>
      </c>
      <c r="B170" s="10" t="str">
        <f>_xlfn.IFNA(VLOOKUP($A170,CompChecksTrans!$A:$C,2,FALSE), "")</f>
        <v/>
      </c>
      <c r="C170" s="10" t="str">
        <f>_xlfn.IFNA(VLOOKUP(B170,Phase3!A$4:C$1000,3,FALSE),"")</f>
        <v/>
      </c>
      <c r="D170" s="10" t="str">
        <f>_xlfn.IFNA(VLOOKUP($A170,CompChecksTrans!$A:$C,3,FALSE), "     ")</f>
        <v xml:space="preserve">     </v>
      </c>
    </row>
    <row r="171" spans="1:4" x14ac:dyDescent="0.25">
      <c r="A171" s="12" t="s">
        <v>6532</v>
      </c>
      <c r="B171" s="10" t="str">
        <f>_xlfn.IFNA(VLOOKUP($A171,CompChecksTrans!$A:$C,2,FALSE), "")</f>
        <v/>
      </c>
      <c r="C171" s="10" t="str">
        <f>_xlfn.IFNA(VLOOKUP(B171,Phase3!A$4:C$1000,3,FALSE),"")</f>
        <v/>
      </c>
      <c r="D171" s="10" t="str">
        <f>_xlfn.IFNA(VLOOKUP($A171,CompChecksTrans!$A:$C,3,FALSE), "     ")</f>
        <v xml:space="preserve">     </v>
      </c>
    </row>
    <row r="172" spans="1:4" x14ac:dyDescent="0.25">
      <c r="A172" s="12" t="s">
        <v>6533</v>
      </c>
      <c r="B172" s="10" t="str">
        <f>_xlfn.IFNA(VLOOKUP($A172,CompChecksTrans!$A:$C,2,FALSE), "")</f>
        <v/>
      </c>
      <c r="C172" s="10" t="str">
        <f>_xlfn.IFNA(VLOOKUP(B172,Phase3!A$4:C$1000,3,FALSE),"")</f>
        <v/>
      </c>
      <c r="D172" s="10" t="str">
        <f>_xlfn.IFNA(VLOOKUP($A172,CompChecksTrans!$A:$C,3,FALSE), "     ")</f>
        <v xml:space="preserve">     </v>
      </c>
    </row>
    <row r="173" spans="1:4" x14ac:dyDescent="0.25">
      <c r="A173" s="12" t="s">
        <v>6534</v>
      </c>
      <c r="B173" s="10" t="str">
        <f>_xlfn.IFNA(VLOOKUP($A173,CompChecksTrans!$A:$C,2,FALSE), "")</f>
        <v/>
      </c>
      <c r="C173" s="10" t="str">
        <f>_xlfn.IFNA(VLOOKUP(B173,Phase3!A$4:C$1000,3,FALSE),"")</f>
        <v/>
      </c>
      <c r="D173" s="10" t="str">
        <f>_xlfn.IFNA(VLOOKUP($A173,CompChecksTrans!$A:$C,3,FALSE), "     ")</f>
        <v xml:space="preserve">     </v>
      </c>
    </row>
    <row r="174" spans="1:4" x14ac:dyDescent="0.25">
      <c r="A174" s="12" t="s">
        <v>6535</v>
      </c>
      <c r="B174" s="10" t="str">
        <f>_xlfn.IFNA(VLOOKUP($A174,CompChecksTrans!$A:$C,2,FALSE), "")</f>
        <v/>
      </c>
      <c r="C174" s="10" t="str">
        <f>_xlfn.IFNA(VLOOKUP(B174,Phase3!A$4:C$1000,3,FALSE),"")</f>
        <v/>
      </c>
      <c r="D174" s="10" t="str">
        <f>_xlfn.IFNA(VLOOKUP($A174,CompChecksTrans!$A:$C,3,FALSE), "     ")</f>
        <v xml:space="preserve">     </v>
      </c>
    </row>
    <row r="175" spans="1:4" x14ac:dyDescent="0.25">
      <c r="A175" s="12" t="s">
        <v>6536</v>
      </c>
      <c r="B175" s="10" t="str">
        <f>_xlfn.IFNA(VLOOKUP($A175,CompChecksTrans!$A:$C,2,FALSE), "")</f>
        <v/>
      </c>
      <c r="C175" s="10" t="str">
        <f>_xlfn.IFNA(VLOOKUP(B175,Phase3!A$4:C$1000,3,FALSE),"")</f>
        <v/>
      </c>
      <c r="D175" s="10" t="str">
        <f>_xlfn.IFNA(VLOOKUP($A175,CompChecksTrans!$A:$C,3,FALSE), "     ")</f>
        <v xml:space="preserve">     </v>
      </c>
    </row>
    <row r="176" spans="1:4" x14ac:dyDescent="0.25">
      <c r="A176" s="12" t="s">
        <v>6537</v>
      </c>
      <c r="B176" s="10" t="str">
        <f>_xlfn.IFNA(VLOOKUP($A176,CompChecksTrans!$A:$C,2,FALSE), "")</f>
        <v/>
      </c>
      <c r="C176" s="10" t="str">
        <f>_xlfn.IFNA(VLOOKUP(B176,Phase3!A$4:C$1000,3,FALSE),"")</f>
        <v/>
      </c>
      <c r="D176" s="10" t="str">
        <f>_xlfn.IFNA(VLOOKUP($A176,CompChecksTrans!$A:$C,3,FALSE), "     ")</f>
        <v xml:space="preserve">     </v>
      </c>
    </row>
    <row r="177" spans="1:4" x14ac:dyDescent="0.25">
      <c r="A177" s="12" t="s">
        <v>6538</v>
      </c>
      <c r="B177" s="10" t="str">
        <f>_xlfn.IFNA(VLOOKUP($A177,CompChecksTrans!$A:$C,2,FALSE), "")</f>
        <v/>
      </c>
      <c r="C177" s="10" t="str">
        <f>_xlfn.IFNA(VLOOKUP(B177,Phase3!A$4:C$1000,3,FALSE),"")</f>
        <v/>
      </c>
      <c r="D177" s="10" t="str">
        <f>_xlfn.IFNA(VLOOKUP($A177,CompChecksTrans!$A:$C,3,FALSE), "     ")</f>
        <v xml:space="preserve">     </v>
      </c>
    </row>
    <row r="178" spans="1:4" x14ac:dyDescent="0.25">
      <c r="A178" s="12" t="s">
        <v>6539</v>
      </c>
      <c r="B178" s="10" t="str">
        <f>_xlfn.IFNA(VLOOKUP($A178,CompChecksTrans!$A:$C,2,FALSE), "")</f>
        <v/>
      </c>
      <c r="C178" s="10" t="str">
        <f>_xlfn.IFNA(VLOOKUP(B178,Phase3!A$4:C$1000,3,FALSE),"")</f>
        <v/>
      </c>
      <c r="D178" s="10" t="str">
        <f>_xlfn.IFNA(VLOOKUP($A178,CompChecksTrans!$A:$C,3,FALSE), "     ")</f>
        <v xml:space="preserve">     </v>
      </c>
    </row>
    <row r="179" spans="1:4" x14ac:dyDescent="0.25">
      <c r="A179" s="12" t="s">
        <v>6540</v>
      </c>
      <c r="B179" s="10" t="str">
        <f>_xlfn.IFNA(VLOOKUP($A179,CompChecksTrans!$A:$C,2,FALSE), "")</f>
        <v/>
      </c>
      <c r="C179" s="10" t="str">
        <f>_xlfn.IFNA(VLOOKUP(B179,Phase3!A$4:C$1000,3,FALSE),"")</f>
        <v/>
      </c>
      <c r="D179" s="10" t="str">
        <f>_xlfn.IFNA(VLOOKUP($A179,CompChecksTrans!$A:$C,3,FALSE), "     ")</f>
        <v xml:space="preserve">     </v>
      </c>
    </row>
    <row r="180" spans="1:4" x14ac:dyDescent="0.25">
      <c r="A180" s="12" t="s">
        <v>6541</v>
      </c>
      <c r="B180" s="10" t="str">
        <f>_xlfn.IFNA(VLOOKUP($A180,CompChecksTrans!$A:$C,2,FALSE), "")</f>
        <v/>
      </c>
      <c r="C180" s="10" t="str">
        <f>_xlfn.IFNA(VLOOKUP(B180,Phase3!A$4:C$1000,3,FALSE),"")</f>
        <v/>
      </c>
      <c r="D180" s="10" t="str">
        <f>_xlfn.IFNA(VLOOKUP($A180,CompChecksTrans!$A:$C,3,FALSE), "     ")</f>
        <v xml:space="preserve">     </v>
      </c>
    </row>
    <row r="181" spans="1:4" x14ac:dyDescent="0.25">
      <c r="A181" s="12" t="s">
        <v>6542</v>
      </c>
      <c r="B181" s="10" t="str">
        <f>_xlfn.IFNA(VLOOKUP($A181,CompChecksTrans!$A:$C,2,FALSE), "")</f>
        <v/>
      </c>
      <c r="C181" s="10" t="str">
        <f>_xlfn.IFNA(VLOOKUP(B181,Phase3!A$4:C$1000,3,FALSE),"")</f>
        <v/>
      </c>
      <c r="D181" s="10" t="str">
        <f>_xlfn.IFNA(VLOOKUP($A181,CompChecksTrans!$A:$C,3,FALSE), "     ")</f>
        <v xml:space="preserve">     </v>
      </c>
    </row>
    <row r="182" spans="1:4" x14ac:dyDescent="0.25">
      <c r="A182" s="12" t="s">
        <v>6543</v>
      </c>
      <c r="B182" s="10" t="str">
        <f>_xlfn.IFNA(VLOOKUP($A182,CompChecksTrans!$A:$C,2,FALSE), "")</f>
        <v/>
      </c>
      <c r="C182" s="10" t="str">
        <f>_xlfn.IFNA(VLOOKUP(B182,Phase3!A$4:C$1000,3,FALSE),"")</f>
        <v/>
      </c>
      <c r="D182" s="10" t="str">
        <f>_xlfn.IFNA(VLOOKUP($A182,CompChecksTrans!$A:$C,3,FALSE), "     ")</f>
        <v xml:space="preserve">     </v>
      </c>
    </row>
    <row r="183" spans="1:4" x14ac:dyDescent="0.25">
      <c r="A183" s="12" t="s">
        <v>6544</v>
      </c>
      <c r="B183" s="10" t="str">
        <f>_xlfn.IFNA(VLOOKUP($A183,CompChecksTrans!$A:$C,2,FALSE), "")</f>
        <v/>
      </c>
      <c r="C183" s="10" t="str">
        <f>_xlfn.IFNA(VLOOKUP(B183,Phase3!A$4:C$1000,3,FALSE),"")</f>
        <v/>
      </c>
      <c r="D183" s="10" t="str">
        <f>_xlfn.IFNA(VLOOKUP($A183,CompChecksTrans!$A:$C,3,FALSE), "     ")</f>
        <v xml:space="preserve">     </v>
      </c>
    </row>
    <row r="184" spans="1:4" x14ac:dyDescent="0.25">
      <c r="A184" s="12" t="s">
        <v>6545</v>
      </c>
      <c r="B184" s="10" t="str">
        <f>_xlfn.IFNA(VLOOKUP($A184,CompChecksTrans!$A:$C,2,FALSE), "")</f>
        <v/>
      </c>
      <c r="C184" s="10" t="str">
        <f>_xlfn.IFNA(VLOOKUP(B184,Phase3!A$4:C$1000,3,FALSE),"")</f>
        <v/>
      </c>
      <c r="D184" s="10" t="str">
        <f>_xlfn.IFNA(VLOOKUP($A184,CompChecksTrans!$A:$C,3,FALSE), "     ")</f>
        <v xml:space="preserve">     </v>
      </c>
    </row>
    <row r="185" spans="1:4" x14ac:dyDescent="0.25">
      <c r="A185" s="12" t="s">
        <v>6546</v>
      </c>
      <c r="B185" s="10" t="str">
        <f>_xlfn.IFNA(VLOOKUP($A185,CompChecksTrans!$A:$C,2,FALSE), "")</f>
        <v/>
      </c>
      <c r="C185" s="10" t="str">
        <f>_xlfn.IFNA(VLOOKUP(B185,Phase3!A$4:C$1000,3,FALSE),"")</f>
        <v/>
      </c>
      <c r="D185" s="10" t="str">
        <f>_xlfn.IFNA(VLOOKUP($A185,CompChecksTrans!$A:$C,3,FALSE), "     ")</f>
        <v xml:space="preserve">     </v>
      </c>
    </row>
    <row r="186" spans="1:4" x14ac:dyDescent="0.25">
      <c r="A186" s="12" t="s">
        <v>6547</v>
      </c>
      <c r="B186" s="10" t="str">
        <f>_xlfn.IFNA(VLOOKUP($A186,CompChecksTrans!$A:$C,2,FALSE), "")</f>
        <v/>
      </c>
      <c r="C186" s="10" t="str">
        <f>_xlfn.IFNA(VLOOKUP(B186,Phase3!A$4:C$1000,3,FALSE),"")</f>
        <v/>
      </c>
      <c r="D186" s="10" t="str">
        <f>_xlfn.IFNA(VLOOKUP($A186,CompChecksTrans!$A:$C,3,FALSE), "     ")</f>
        <v xml:space="preserve">     </v>
      </c>
    </row>
    <row r="187" spans="1:4" x14ac:dyDescent="0.25">
      <c r="A187" s="12" t="s">
        <v>6548</v>
      </c>
      <c r="B187" s="10" t="str">
        <f>_xlfn.IFNA(VLOOKUP($A187,CompChecksTrans!$A:$C,2,FALSE), "")</f>
        <v/>
      </c>
      <c r="C187" s="10" t="str">
        <f>_xlfn.IFNA(VLOOKUP(B187,Phase3!A$4:C$1000,3,FALSE),"")</f>
        <v/>
      </c>
      <c r="D187" s="10" t="str">
        <f>_xlfn.IFNA(VLOOKUP($A187,CompChecksTrans!$A:$C,3,FALSE), "     ")</f>
        <v xml:space="preserve">     </v>
      </c>
    </row>
    <row r="188" spans="1:4" x14ac:dyDescent="0.25">
      <c r="A188" s="12" t="s">
        <v>6549</v>
      </c>
      <c r="B188" s="10" t="str">
        <f>_xlfn.IFNA(VLOOKUP($A188,CompChecksTrans!$A:$C,2,FALSE), "")</f>
        <v/>
      </c>
      <c r="C188" s="10" t="str">
        <f>_xlfn.IFNA(VLOOKUP(B188,Phase3!A$4:C$1000,3,FALSE),"")</f>
        <v/>
      </c>
      <c r="D188" s="10" t="str">
        <f>_xlfn.IFNA(VLOOKUP($A188,CompChecksTrans!$A:$C,3,FALSE), "     ")</f>
        <v xml:space="preserve">     </v>
      </c>
    </row>
    <row r="189" spans="1:4" x14ac:dyDescent="0.25">
      <c r="A189" s="12" t="s">
        <v>6550</v>
      </c>
      <c r="B189" s="10" t="str">
        <f>_xlfn.IFNA(VLOOKUP($A189,CompChecksTrans!$A:$C,2,FALSE), "")</f>
        <v/>
      </c>
      <c r="C189" s="10" t="str">
        <f>_xlfn.IFNA(VLOOKUP(B189,Phase3!A$4:C$1000,3,FALSE),"")</f>
        <v/>
      </c>
      <c r="D189" s="10" t="str">
        <f>_xlfn.IFNA(VLOOKUP($A189,CompChecksTrans!$A:$C,3,FALSE), "     ")</f>
        <v xml:space="preserve">     </v>
      </c>
    </row>
    <row r="190" spans="1:4" x14ac:dyDescent="0.25">
      <c r="A190" s="12" t="s">
        <v>6551</v>
      </c>
      <c r="B190" s="10" t="str">
        <f>_xlfn.IFNA(VLOOKUP($A190,CompChecksTrans!$A:$C,2,FALSE), "")</f>
        <v/>
      </c>
      <c r="C190" s="10" t="str">
        <f>_xlfn.IFNA(VLOOKUP(B190,Phase3!A$4:C$1000,3,FALSE),"")</f>
        <v/>
      </c>
      <c r="D190" s="10" t="str">
        <f>_xlfn.IFNA(VLOOKUP($A190,CompChecksTrans!$A:$C,3,FALSE), "     ")</f>
        <v xml:space="preserve">     </v>
      </c>
    </row>
    <row r="191" spans="1:4" x14ac:dyDescent="0.25">
      <c r="A191" s="12" t="s">
        <v>6552</v>
      </c>
      <c r="B191" s="10" t="str">
        <f>_xlfn.IFNA(VLOOKUP($A191,CompChecksTrans!$A:$C,2,FALSE), "")</f>
        <v/>
      </c>
      <c r="C191" s="10" t="str">
        <f>_xlfn.IFNA(VLOOKUP(B191,Phase3!A$4:C$1000,3,FALSE),"")</f>
        <v/>
      </c>
      <c r="D191" s="10" t="str">
        <f>_xlfn.IFNA(VLOOKUP($A191,CompChecksTrans!$A:$C,3,FALSE), "     ")</f>
        <v xml:space="preserve">     </v>
      </c>
    </row>
    <row r="192" spans="1:4" x14ac:dyDescent="0.25">
      <c r="A192" s="12" t="s">
        <v>6553</v>
      </c>
      <c r="B192" s="10" t="str">
        <f>_xlfn.IFNA(VLOOKUP($A192,CompChecksTrans!$A:$C,2,FALSE), "")</f>
        <v/>
      </c>
      <c r="C192" s="10" t="str">
        <f>_xlfn.IFNA(VLOOKUP(B192,Phase3!A$4:C$1000,3,FALSE),"")</f>
        <v/>
      </c>
      <c r="D192" s="10" t="str">
        <f>_xlfn.IFNA(VLOOKUP($A192,CompChecksTrans!$A:$C,3,FALSE), "     ")</f>
        <v xml:space="preserve">     </v>
      </c>
    </row>
    <row r="193" spans="1:4" x14ac:dyDescent="0.25">
      <c r="A193" s="12" t="s">
        <v>6554</v>
      </c>
      <c r="B193" s="10" t="str">
        <f>_xlfn.IFNA(VLOOKUP($A193,CompChecksTrans!$A:$C,2,FALSE), "")</f>
        <v/>
      </c>
      <c r="C193" s="10" t="str">
        <f>_xlfn.IFNA(VLOOKUP(B193,Phase3!A$4:C$1000,3,FALSE),"")</f>
        <v/>
      </c>
      <c r="D193" s="10" t="str">
        <f>_xlfn.IFNA(VLOOKUP($A193,CompChecksTrans!$A:$C,3,FALSE), "     ")</f>
        <v xml:space="preserve">     </v>
      </c>
    </row>
    <row r="194" spans="1:4" x14ac:dyDescent="0.25">
      <c r="A194" s="12" t="s">
        <v>6555</v>
      </c>
      <c r="B194" s="10" t="str">
        <f>_xlfn.IFNA(VLOOKUP($A194,CompChecksTrans!$A:$C,2,FALSE), "")</f>
        <v/>
      </c>
      <c r="C194" s="10" t="str">
        <f>_xlfn.IFNA(VLOOKUP(B194,Phase3!A$4:C$1000,3,FALSE),"")</f>
        <v/>
      </c>
      <c r="D194" s="10" t="str">
        <f>_xlfn.IFNA(VLOOKUP($A194,CompChecksTrans!$A:$C,3,FALSE), "     ")</f>
        <v xml:space="preserve">     </v>
      </c>
    </row>
    <row r="195" spans="1:4" x14ac:dyDescent="0.25">
      <c r="A195" s="12" t="s">
        <v>6556</v>
      </c>
      <c r="B195" s="10" t="str">
        <f>_xlfn.IFNA(VLOOKUP($A195,CompChecksTrans!$A:$C,2,FALSE), "")</f>
        <v/>
      </c>
      <c r="C195" s="10" t="str">
        <f>_xlfn.IFNA(VLOOKUP(B195,Phase3!A$4:C$1000,3,FALSE),"")</f>
        <v/>
      </c>
      <c r="D195" s="10" t="str">
        <f>_xlfn.IFNA(VLOOKUP($A195,CompChecksTrans!$A:$C,3,FALSE), "     ")</f>
        <v xml:space="preserve">     </v>
      </c>
    </row>
    <row r="196" spans="1:4" x14ac:dyDescent="0.25">
      <c r="A196" s="12" t="s">
        <v>6557</v>
      </c>
      <c r="B196" s="10" t="str">
        <f>_xlfn.IFNA(VLOOKUP($A196,CompChecksTrans!$A:$C,2,FALSE), "")</f>
        <v/>
      </c>
      <c r="C196" s="10" t="str">
        <f>_xlfn.IFNA(VLOOKUP(B196,Phase3!A$4:C$1000,3,FALSE),"")</f>
        <v/>
      </c>
      <c r="D196" s="10" t="str">
        <f>_xlfn.IFNA(VLOOKUP($A196,CompChecksTrans!$A:$C,3,FALSE), "     ")</f>
        <v xml:space="preserve">     </v>
      </c>
    </row>
    <row r="197" spans="1:4" x14ac:dyDescent="0.25">
      <c r="A197" s="12" t="s">
        <v>6558</v>
      </c>
      <c r="B197" s="10" t="str">
        <f>_xlfn.IFNA(VLOOKUP($A197,CompChecksTrans!$A:$C,2,FALSE), "")</f>
        <v/>
      </c>
      <c r="C197" s="10" t="str">
        <f>_xlfn.IFNA(VLOOKUP(B197,Phase3!A$4:C$1000,3,FALSE),"")</f>
        <v/>
      </c>
      <c r="D197" s="10" t="str">
        <f>_xlfn.IFNA(VLOOKUP($A197,CompChecksTrans!$A:$C,3,FALSE), "     ")</f>
        <v xml:space="preserve">     </v>
      </c>
    </row>
    <row r="198" spans="1:4" x14ac:dyDescent="0.25">
      <c r="A198" s="12" t="s">
        <v>6559</v>
      </c>
      <c r="B198" s="10" t="str">
        <f>_xlfn.IFNA(VLOOKUP($A198,CompChecksTrans!$A:$C,2,FALSE), "")</f>
        <v/>
      </c>
      <c r="C198" s="10" t="str">
        <f>_xlfn.IFNA(VLOOKUP(B198,Phase3!A$4:C$1000,3,FALSE),"")</f>
        <v/>
      </c>
      <c r="D198" s="10" t="str">
        <f>_xlfn.IFNA(VLOOKUP($A198,CompChecksTrans!$A:$C,3,FALSE), "     ")</f>
        <v xml:space="preserve">     </v>
      </c>
    </row>
    <row r="199" spans="1:4" x14ac:dyDescent="0.25">
      <c r="A199" s="12" t="s">
        <v>6560</v>
      </c>
      <c r="B199" s="10" t="str">
        <f>_xlfn.IFNA(VLOOKUP($A199,CompChecksTrans!$A:$C,2,FALSE), "")</f>
        <v/>
      </c>
      <c r="C199" s="10" t="str">
        <f>_xlfn.IFNA(VLOOKUP(B199,Phase3!A$4:C$1000,3,FALSE),"")</f>
        <v/>
      </c>
      <c r="D199" s="10" t="str">
        <f>_xlfn.IFNA(VLOOKUP($A199,CompChecksTrans!$A:$C,3,FALSE), "     ")</f>
        <v xml:space="preserve">     </v>
      </c>
    </row>
    <row r="200" spans="1:4" x14ac:dyDescent="0.25">
      <c r="A200" s="12" t="s">
        <v>6561</v>
      </c>
      <c r="B200" s="10" t="str">
        <f>_xlfn.IFNA(VLOOKUP($A200,CompChecksTrans!$A:$C,2,FALSE), "")</f>
        <v/>
      </c>
      <c r="C200" s="10" t="str">
        <f>_xlfn.IFNA(VLOOKUP(B200,Phase3!A$4:C$1000,3,FALSE),"")</f>
        <v/>
      </c>
      <c r="D200" s="10" t="str">
        <f>_xlfn.IFNA(VLOOKUP($A200,CompChecksTrans!$A:$C,3,FALSE), "     ")</f>
        <v xml:space="preserve">     </v>
      </c>
    </row>
    <row r="201" spans="1:4" x14ac:dyDescent="0.25">
      <c r="A201" s="12" t="s">
        <v>6562</v>
      </c>
      <c r="B201" s="10" t="str">
        <f>_xlfn.IFNA(VLOOKUP($A201,CompChecksTrans!$A:$C,2,FALSE), "")</f>
        <v/>
      </c>
      <c r="C201" s="10" t="str">
        <f>_xlfn.IFNA(VLOOKUP(B201,Phase3!A$4:C$1000,3,FALSE),"")</f>
        <v/>
      </c>
      <c r="D201" s="10" t="str">
        <f>_xlfn.IFNA(VLOOKUP($A201,CompChecksTrans!$A:$C,3,FALSE), "     ")</f>
        <v xml:space="preserve">     </v>
      </c>
    </row>
    <row r="202" spans="1:4" x14ac:dyDescent="0.25">
      <c r="A202" s="12" t="s">
        <v>6563</v>
      </c>
      <c r="B202" s="10" t="str">
        <f>_xlfn.IFNA(VLOOKUP($A202,CompChecksTrans!$A:$C,2,FALSE), "")</f>
        <v/>
      </c>
      <c r="C202" s="10" t="str">
        <f>_xlfn.IFNA(VLOOKUP(B202,Phase3!A$4:C$1000,3,FALSE),"")</f>
        <v/>
      </c>
      <c r="D202" s="10" t="str">
        <f>_xlfn.IFNA(VLOOKUP($A202,CompChecksTrans!$A:$C,3,FALSE), "     ")</f>
        <v xml:space="preserve">     </v>
      </c>
    </row>
    <row r="203" spans="1:4" x14ac:dyDescent="0.25">
      <c r="A203" s="12" t="s">
        <v>6564</v>
      </c>
      <c r="B203" s="10" t="str">
        <f>_xlfn.IFNA(VLOOKUP($A203,CompChecksTrans!$A:$C,2,FALSE), "")</f>
        <v/>
      </c>
      <c r="C203" s="10" t="str">
        <f>_xlfn.IFNA(VLOOKUP(B203,Phase3!A$4:C$1000,3,FALSE),"")</f>
        <v/>
      </c>
      <c r="D203" s="10" t="str">
        <f>_xlfn.IFNA(VLOOKUP($A203,CompChecksTrans!$A:$C,3,FALSE), "     ")</f>
        <v xml:space="preserve">     </v>
      </c>
    </row>
    <row r="204" spans="1:4" x14ac:dyDescent="0.25">
      <c r="A204" s="12" t="s">
        <v>6565</v>
      </c>
      <c r="B204" s="10" t="str">
        <f>_xlfn.IFNA(VLOOKUP($A204,CompChecksTrans!$A:$C,2,FALSE), "")</f>
        <v/>
      </c>
      <c r="C204" s="10" t="str">
        <f>_xlfn.IFNA(VLOOKUP(B204,Phase3!A$4:C$1000,3,FALSE),"")</f>
        <v/>
      </c>
      <c r="D204" s="10" t="str">
        <f>_xlfn.IFNA(VLOOKUP($A204,CompChecksTrans!$A:$C,3,FALSE), "     ")</f>
        <v xml:space="preserve">     </v>
      </c>
    </row>
    <row r="205" spans="1:4" x14ac:dyDescent="0.25">
      <c r="A205" s="12" t="s">
        <v>6566</v>
      </c>
      <c r="B205" s="10" t="str">
        <f>_xlfn.IFNA(VLOOKUP($A205,CompChecksTrans!$A:$C,2,FALSE), "")</f>
        <v/>
      </c>
      <c r="C205" s="10" t="str">
        <f>_xlfn.IFNA(VLOOKUP(B205,Phase3!A$4:C$1000,3,FALSE),"")</f>
        <v/>
      </c>
      <c r="D205" s="10" t="str">
        <f>_xlfn.IFNA(VLOOKUP($A205,CompChecksTrans!$A:$C,3,FALSE), "     ")</f>
        <v xml:space="preserve">     </v>
      </c>
    </row>
    <row r="206" spans="1:4" x14ac:dyDescent="0.25">
      <c r="A206" s="12" t="s">
        <v>6567</v>
      </c>
      <c r="B206" s="10" t="str">
        <f>_xlfn.IFNA(VLOOKUP($A206,CompChecksTrans!$A:$C,2,FALSE), "")</f>
        <v/>
      </c>
      <c r="C206" s="10" t="str">
        <f>_xlfn.IFNA(VLOOKUP(B206,Phase3!A$4:C$1000,3,FALSE),"")</f>
        <v/>
      </c>
      <c r="D206" s="10" t="str">
        <f>_xlfn.IFNA(VLOOKUP($A206,CompChecksTrans!$A:$C,3,FALSE), "     ")</f>
        <v xml:space="preserve">     </v>
      </c>
    </row>
    <row r="207" spans="1:4" x14ac:dyDescent="0.25">
      <c r="A207" s="12" t="s">
        <v>6568</v>
      </c>
      <c r="B207" s="10" t="str">
        <f>_xlfn.IFNA(VLOOKUP($A207,CompChecksTrans!$A:$C,2,FALSE), "")</f>
        <v/>
      </c>
      <c r="C207" s="10" t="str">
        <f>_xlfn.IFNA(VLOOKUP(B207,Phase3!A$4:C$1000,3,FALSE),"")</f>
        <v/>
      </c>
      <c r="D207" s="10" t="str">
        <f>_xlfn.IFNA(VLOOKUP($A207,CompChecksTrans!$A:$C,3,FALSE), "     ")</f>
        <v xml:space="preserve">     </v>
      </c>
    </row>
    <row r="208" spans="1:4" x14ac:dyDescent="0.25">
      <c r="A208" s="12" t="s">
        <v>6569</v>
      </c>
      <c r="B208" s="10" t="str">
        <f>_xlfn.IFNA(VLOOKUP($A208,CompChecksTrans!$A:$C,2,FALSE), "")</f>
        <v/>
      </c>
      <c r="C208" s="10" t="str">
        <f>_xlfn.IFNA(VLOOKUP(B208,Phase3!A$4:C$1000,3,FALSE),"")</f>
        <v/>
      </c>
      <c r="D208" s="10" t="str">
        <f>_xlfn.IFNA(VLOOKUP($A208,CompChecksTrans!$A:$C,3,FALSE), "     ")</f>
        <v xml:space="preserve">     </v>
      </c>
    </row>
    <row r="209" spans="1:4" x14ac:dyDescent="0.25">
      <c r="A209" s="12" t="s">
        <v>6570</v>
      </c>
      <c r="B209" s="10" t="str">
        <f>_xlfn.IFNA(VLOOKUP($A209,CompChecksTrans!$A:$C,2,FALSE), "")</f>
        <v/>
      </c>
      <c r="C209" s="10" t="str">
        <f>_xlfn.IFNA(VLOOKUP(B209,Phase3!A$4:C$1000,3,FALSE),"")</f>
        <v/>
      </c>
      <c r="D209" s="10" t="str">
        <f>_xlfn.IFNA(VLOOKUP($A209,CompChecksTrans!$A:$C,3,FALSE), "     ")</f>
        <v xml:space="preserve">     </v>
      </c>
    </row>
    <row r="210" spans="1:4" x14ac:dyDescent="0.25">
      <c r="A210" s="12" t="s">
        <v>6571</v>
      </c>
      <c r="B210" s="10" t="str">
        <f>_xlfn.IFNA(VLOOKUP($A210,CompChecksTrans!$A:$C,2,FALSE), "")</f>
        <v/>
      </c>
      <c r="C210" s="10" t="str">
        <f>_xlfn.IFNA(VLOOKUP(B210,Phase3!A$4:C$1000,3,FALSE),"")</f>
        <v/>
      </c>
      <c r="D210" s="10" t="str">
        <f>_xlfn.IFNA(VLOOKUP($A210,CompChecksTrans!$A:$C,3,FALSE), "     ")</f>
        <v xml:space="preserve">     </v>
      </c>
    </row>
    <row r="211" spans="1:4" x14ac:dyDescent="0.25">
      <c r="A211" s="12" t="s">
        <v>6572</v>
      </c>
      <c r="B211" s="10" t="str">
        <f>_xlfn.IFNA(VLOOKUP($A211,CompChecksTrans!$A:$C,2,FALSE), "")</f>
        <v/>
      </c>
      <c r="C211" s="10" t="str">
        <f>_xlfn.IFNA(VLOOKUP(B211,Phase3!A$4:C$1000,3,FALSE),"")</f>
        <v/>
      </c>
      <c r="D211" s="10" t="str">
        <f>_xlfn.IFNA(VLOOKUP($A211,CompChecksTrans!$A:$C,3,FALSE), "     ")</f>
        <v xml:space="preserve">     </v>
      </c>
    </row>
    <row r="212" spans="1:4" x14ac:dyDescent="0.25">
      <c r="A212" s="12" t="s">
        <v>6573</v>
      </c>
      <c r="B212" s="10" t="str">
        <f>_xlfn.IFNA(VLOOKUP($A212,CompChecksTrans!$A:$C,2,FALSE), "")</f>
        <v/>
      </c>
      <c r="C212" s="10" t="str">
        <f>_xlfn.IFNA(VLOOKUP(B212,Phase3!A$4:C$1000,3,FALSE),"")</f>
        <v/>
      </c>
      <c r="D212" s="10" t="str">
        <f>_xlfn.IFNA(VLOOKUP($A212,CompChecksTrans!$A:$C,3,FALSE), "     ")</f>
        <v xml:space="preserve">     </v>
      </c>
    </row>
    <row r="213" spans="1:4" x14ac:dyDescent="0.25">
      <c r="A213" s="12" t="s">
        <v>6574</v>
      </c>
      <c r="B213" s="10" t="str">
        <f>_xlfn.IFNA(VLOOKUP($A213,CompChecksTrans!$A:$C,2,FALSE), "")</f>
        <v/>
      </c>
      <c r="C213" s="10" t="str">
        <f>_xlfn.IFNA(VLOOKUP(B213,Phase3!A$4:C$1000,3,FALSE),"")</f>
        <v/>
      </c>
      <c r="D213" s="10" t="str">
        <f>_xlfn.IFNA(VLOOKUP($A213,CompChecksTrans!$A:$C,3,FALSE), "     ")</f>
        <v xml:space="preserve">     </v>
      </c>
    </row>
    <row r="214" spans="1:4" x14ac:dyDescent="0.25">
      <c r="A214" s="12" t="s">
        <v>6575</v>
      </c>
      <c r="B214" s="10" t="str">
        <f>_xlfn.IFNA(VLOOKUP($A214,CompChecksTrans!$A:$C,2,FALSE), "")</f>
        <v/>
      </c>
      <c r="C214" s="10" t="str">
        <f>_xlfn.IFNA(VLOOKUP(B214,Phase3!A$4:C$1000,3,FALSE),"")</f>
        <v/>
      </c>
      <c r="D214" s="10" t="str">
        <f>_xlfn.IFNA(VLOOKUP($A214,CompChecksTrans!$A:$C,3,FALSE), "     ")</f>
        <v xml:space="preserve">     </v>
      </c>
    </row>
    <row r="215" spans="1:4" x14ac:dyDescent="0.25">
      <c r="A215" s="12" t="s">
        <v>6576</v>
      </c>
      <c r="B215" s="10" t="str">
        <f>_xlfn.IFNA(VLOOKUP($A215,CompChecksTrans!$A:$C,2,FALSE), "")</f>
        <v/>
      </c>
      <c r="C215" s="10" t="str">
        <f>_xlfn.IFNA(VLOOKUP(B215,Phase3!A$4:C$1000,3,FALSE),"")</f>
        <v/>
      </c>
      <c r="D215" s="10" t="str">
        <f>_xlfn.IFNA(VLOOKUP($A215,CompChecksTrans!$A:$C,3,FALSE), "     ")</f>
        <v xml:space="preserve">     </v>
      </c>
    </row>
    <row r="216" spans="1:4" x14ac:dyDescent="0.25">
      <c r="A216" s="12" t="s">
        <v>6577</v>
      </c>
      <c r="B216" s="10" t="str">
        <f>_xlfn.IFNA(VLOOKUP($A216,CompChecksTrans!$A:$C,2,FALSE), "")</f>
        <v/>
      </c>
      <c r="C216" s="10" t="str">
        <f>_xlfn.IFNA(VLOOKUP(B216,Phase3!A$4:C$1000,3,FALSE),"")</f>
        <v/>
      </c>
      <c r="D216" s="10" t="str">
        <f>_xlfn.IFNA(VLOOKUP($A216,CompChecksTrans!$A:$C,3,FALSE), "     ")</f>
        <v xml:space="preserve">     </v>
      </c>
    </row>
    <row r="217" spans="1:4" x14ac:dyDescent="0.25">
      <c r="A217" s="12" t="s">
        <v>6578</v>
      </c>
      <c r="B217" s="10" t="str">
        <f>_xlfn.IFNA(VLOOKUP($A217,CompChecksTrans!$A:$C,2,FALSE), "")</f>
        <v/>
      </c>
      <c r="C217" s="10" t="str">
        <f>_xlfn.IFNA(VLOOKUP(B217,Phase3!A$4:C$1000,3,FALSE),"")</f>
        <v/>
      </c>
      <c r="D217" s="10" t="str">
        <f>_xlfn.IFNA(VLOOKUP($A217,CompChecksTrans!$A:$C,3,FALSE), "     ")</f>
        <v xml:space="preserve">     </v>
      </c>
    </row>
    <row r="218" spans="1:4" x14ac:dyDescent="0.25">
      <c r="A218" s="12" t="s">
        <v>6579</v>
      </c>
      <c r="B218" s="10" t="str">
        <f>_xlfn.IFNA(VLOOKUP($A218,CompChecksTrans!$A:$C,2,FALSE), "")</f>
        <v/>
      </c>
      <c r="C218" s="10" t="str">
        <f>_xlfn.IFNA(VLOOKUP(B218,Phase3!A$4:C$1000,3,FALSE),"")</f>
        <v/>
      </c>
      <c r="D218" s="10" t="str">
        <f>_xlfn.IFNA(VLOOKUP($A218,CompChecksTrans!$A:$C,3,FALSE), "     ")</f>
        <v xml:space="preserve">     </v>
      </c>
    </row>
    <row r="219" spans="1:4" x14ac:dyDescent="0.25">
      <c r="A219" s="12" t="s">
        <v>6580</v>
      </c>
      <c r="B219" s="10" t="str">
        <f>_xlfn.IFNA(VLOOKUP($A219,CompChecksTrans!$A:$C,2,FALSE), "")</f>
        <v/>
      </c>
      <c r="C219" s="10" t="str">
        <f>_xlfn.IFNA(VLOOKUP(B219,Phase3!A$4:C$1000,3,FALSE),"")</f>
        <v/>
      </c>
      <c r="D219" s="10" t="str">
        <f>_xlfn.IFNA(VLOOKUP($A219,CompChecksTrans!$A:$C,3,FALSE), "     ")</f>
        <v xml:space="preserve">     </v>
      </c>
    </row>
    <row r="220" spans="1:4" x14ac:dyDescent="0.25">
      <c r="A220" s="12" t="s">
        <v>6581</v>
      </c>
      <c r="B220" s="10" t="str">
        <f>_xlfn.IFNA(VLOOKUP($A220,CompChecksTrans!$A:$C,2,FALSE), "")</f>
        <v/>
      </c>
      <c r="C220" s="10" t="str">
        <f>_xlfn.IFNA(VLOOKUP(B220,Phase3!A$4:C$1000,3,FALSE),"")</f>
        <v/>
      </c>
      <c r="D220" s="10" t="str">
        <f>_xlfn.IFNA(VLOOKUP($A220,CompChecksTrans!$A:$C,3,FALSE), "     ")</f>
        <v xml:space="preserve">     </v>
      </c>
    </row>
    <row r="221" spans="1:4" x14ac:dyDescent="0.25">
      <c r="A221" s="12" t="s">
        <v>6582</v>
      </c>
      <c r="B221" s="10" t="str">
        <f>_xlfn.IFNA(VLOOKUP($A221,CompChecksTrans!$A:$C,2,FALSE), "")</f>
        <v/>
      </c>
      <c r="C221" s="10" t="str">
        <f>_xlfn.IFNA(VLOOKUP(B221,Phase3!A$4:C$1000,3,FALSE),"")</f>
        <v/>
      </c>
      <c r="D221" s="10" t="str">
        <f>_xlfn.IFNA(VLOOKUP($A221,CompChecksTrans!$A:$C,3,FALSE), "     ")</f>
        <v xml:space="preserve">     </v>
      </c>
    </row>
    <row r="222" spans="1:4" x14ac:dyDescent="0.25">
      <c r="A222" s="12" t="s">
        <v>6583</v>
      </c>
      <c r="B222" s="10" t="str">
        <f>_xlfn.IFNA(VLOOKUP($A222,CompChecksTrans!$A:$C,2,FALSE), "")</f>
        <v/>
      </c>
      <c r="C222" s="10" t="str">
        <f>_xlfn.IFNA(VLOOKUP(B222,Phase3!A$4:C$1000,3,FALSE),"")</f>
        <v/>
      </c>
      <c r="D222" s="10" t="str">
        <f>_xlfn.IFNA(VLOOKUP($A222,CompChecksTrans!$A:$C,3,FALSE), "     ")</f>
        <v xml:space="preserve">     </v>
      </c>
    </row>
    <row r="223" spans="1:4" x14ac:dyDescent="0.25">
      <c r="A223" s="12" t="s">
        <v>6584</v>
      </c>
      <c r="B223" s="10" t="str">
        <f>_xlfn.IFNA(VLOOKUP($A223,CompChecksTrans!$A:$C,2,FALSE), "")</f>
        <v/>
      </c>
      <c r="C223" s="10" t="str">
        <f>_xlfn.IFNA(VLOOKUP(B223,Phase3!A$4:C$1000,3,FALSE),"")</f>
        <v/>
      </c>
      <c r="D223" s="10" t="str">
        <f>_xlfn.IFNA(VLOOKUP($A223,CompChecksTrans!$A:$C,3,FALSE), "     ")</f>
        <v xml:space="preserve">     </v>
      </c>
    </row>
    <row r="224" spans="1:4" x14ac:dyDescent="0.25">
      <c r="A224" s="12" t="s">
        <v>6585</v>
      </c>
      <c r="B224" s="10" t="str">
        <f>_xlfn.IFNA(VLOOKUP($A224,CompChecksTrans!$A:$C,2,FALSE), "")</f>
        <v/>
      </c>
      <c r="C224" s="10" t="str">
        <f>_xlfn.IFNA(VLOOKUP(B224,Phase3!A$4:C$1000,3,FALSE),"")</f>
        <v/>
      </c>
      <c r="D224" s="10" t="str">
        <f>_xlfn.IFNA(VLOOKUP($A224,CompChecksTrans!$A:$C,3,FALSE), "     ")</f>
        <v xml:space="preserve">     </v>
      </c>
    </row>
    <row r="225" spans="1:4" x14ac:dyDescent="0.25">
      <c r="A225" s="12" t="s">
        <v>6586</v>
      </c>
      <c r="B225" s="10" t="str">
        <f>_xlfn.IFNA(VLOOKUP($A225,CompChecksTrans!$A:$C,2,FALSE), "")</f>
        <v/>
      </c>
      <c r="C225" s="10" t="str">
        <f>_xlfn.IFNA(VLOOKUP(B225,Phase3!A$4:C$1000,3,FALSE),"")</f>
        <v/>
      </c>
      <c r="D225" s="10" t="str">
        <f>_xlfn.IFNA(VLOOKUP($A225,CompChecksTrans!$A:$C,3,FALSE), "     ")</f>
        <v xml:space="preserve">     </v>
      </c>
    </row>
    <row r="226" spans="1:4" x14ac:dyDescent="0.25">
      <c r="A226" s="12" t="s">
        <v>6587</v>
      </c>
      <c r="B226" s="10" t="str">
        <f>_xlfn.IFNA(VLOOKUP($A226,CompChecksTrans!$A:$C,2,FALSE), "")</f>
        <v/>
      </c>
      <c r="C226" s="10" t="str">
        <f>_xlfn.IFNA(VLOOKUP(B226,Phase3!A$4:C$1000,3,FALSE),"")</f>
        <v/>
      </c>
      <c r="D226" s="10" t="str">
        <f>_xlfn.IFNA(VLOOKUP($A226,CompChecksTrans!$A:$C,3,FALSE), "     ")</f>
        <v xml:space="preserve">     </v>
      </c>
    </row>
    <row r="227" spans="1:4" x14ac:dyDescent="0.25">
      <c r="A227" s="12" t="s">
        <v>6588</v>
      </c>
      <c r="B227" s="10" t="str">
        <f>_xlfn.IFNA(VLOOKUP($A227,CompChecksTrans!$A:$C,2,FALSE), "")</f>
        <v/>
      </c>
      <c r="C227" s="10" t="str">
        <f>_xlfn.IFNA(VLOOKUP(B227,Phase3!A$4:C$1000,3,FALSE),"")</f>
        <v/>
      </c>
      <c r="D227" s="10" t="str">
        <f>_xlfn.IFNA(VLOOKUP($A227,CompChecksTrans!$A:$C,3,FALSE), "     ")</f>
        <v xml:space="preserve">     </v>
      </c>
    </row>
    <row r="228" spans="1:4" x14ac:dyDescent="0.25">
      <c r="A228" s="12" t="s">
        <v>6589</v>
      </c>
      <c r="B228" s="10" t="str">
        <f>_xlfn.IFNA(VLOOKUP($A228,CompChecksTrans!$A:$C,2,FALSE), "")</f>
        <v/>
      </c>
      <c r="C228" s="10" t="str">
        <f>_xlfn.IFNA(VLOOKUP(B228,Phase3!A$4:C$1000,3,FALSE),"")</f>
        <v/>
      </c>
      <c r="D228" s="10" t="str">
        <f>_xlfn.IFNA(VLOOKUP($A228,CompChecksTrans!$A:$C,3,FALSE), "     ")</f>
        <v xml:space="preserve">     </v>
      </c>
    </row>
    <row r="229" spans="1:4" x14ac:dyDescent="0.25">
      <c r="A229" s="12" t="s">
        <v>6590</v>
      </c>
      <c r="B229" s="10" t="str">
        <f>_xlfn.IFNA(VLOOKUP($A229,CompChecksTrans!$A:$C,2,FALSE), "")</f>
        <v/>
      </c>
      <c r="C229" s="10" t="str">
        <f>_xlfn.IFNA(VLOOKUP(B229,Phase3!A$4:C$1000,3,FALSE),"")</f>
        <v/>
      </c>
      <c r="D229" s="10" t="str">
        <f>_xlfn.IFNA(VLOOKUP($A229,CompChecksTrans!$A:$C,3,FALSE), "     ")</f>
        <v xml:space="preserve">     </v>
      </c>
    </row>
    <row r="230" spans="1:4" x14ac:dyDescent="0.25">
      <c r="A230" s="12" t="s">
        <v>6591</v>
      </c>
      <c r="B230" s="10" t="str">
        <f>_xlfn.IFNA(VLOOKUP($A230,CompChecksTrans!$A:$C,2,FALSE), "")</f>
        <v/>
      </c>
      <c r="C230" s="10" t="str">
        <f>_xlfn.IFNA(VLOOKUP(B230,Phase3!A$4:C$1000,3,FALSE),"")</f>
        <v/>
      </c>
      <c r="D230" s="10" t="str">
        <f>_xlfn.IFNA(VLOOKUP($A230,CompChecksTrans!$A:$C,3,FALSE), "     ")</f>
        <v xml:space="preserve">     </v>
      </c>
    </row>
    <row r="231" spans="1:4" x14ac:dyDescent="0.25">
      <c r="A231" s="12" t="s">
        <v>6592</v>
      </c>
      <c r="B231" s="10" t="str">
        <f>_xlfn.IFNA(VLOOKUP($A231,CompChecksTrans!$A:$C,2,FALSE), "")</f>
        <v/>
      </c>
      <c r="C231" s="10" t="str">
        <f>_xlfn.IFNA(VLOOKUP(B231,Phase3!A$4:C$1000,3,FALSE),"")</f>
        <v/>
      </c>
      <c r="D231" s="10" t="str">
        <f>_xlfn.IFNA(VLOOKUP($A231,CompChecksTrans!$A:$C,3,FALSE), "     ")</f>
        <v xml:space="preserve">     </v>
      </c>
    </row>
    <row r="232" spans="1:4" x14ac:dyDescent="0.25">
      <c r="A232" s="12" t="s">
        <v>6593</v>
      </c>
      <c r="B232" s="10" t="str">
        <f>_xlfn.IFNA(VLOOKUP($A232,CompChecksTrans!$A:$C,2,FALSE), "")</f>
        <v/>
      </c>
      <c r="C232" s="10" t="str">
        <f>_xlfn.IFNA(VLOOKUP(B232,Phase3!A$4:C$1000,3,FALSE),"")</f>
        <v/>
      </c>
      <c r="D232" s="10" t="str">
        <f>_xlfn.IFNA(VLOOKUP($A232,CompChecksTrans!$A:$C,3,FALSE), "     ")</f>
        <v xml:space="preserve">     </v>
      </c>
    </row>
    <row r="233" spans="1:4" x14ac:dyDescent="0.25">
      <c r="A233" s="12" t="s">
        <v>6594</v>
      </c>
      <c r="B233" s="10" t="str">
        <f>_xlfn.IFNA(VLOOKUP($A233,CompChecksTrans!$A:$C,2,FALSE), "")</f>
        <v/>
      </c>
      <c r="C233" s="10" t="str">
        <f>_xlfn.IFNA(VLOOKUP(B233,Phase3!A$4:C$1000,3,FALSE),"")</f>
        <v/>
      </c>
      <c r="D233" s="10" t="str">
        <f>_xlfn.IFNA(VLOOKUP($A233,CompChecksTrans!$A:$C,3,FALSE), "     ")</f>
        <v xml:space="preserve">     </v>
      </c>
    </row>
    <row r="234" spans="1:4" x14ac:dyDescent="0.25">
      <c r="A234" s="12" t="s">
        <v>6595</v>
      </c>
      <c r="B234" s="10" t="str">
        <f>_xlfn.IFNA(VLOOKUP($A234,CompChecksTrans!$A:$C,2,FALSE), "")</f>
        <v/>
      </c>
      <c r="C234" s="10" t="str">
        <f>_xlfn.IFNA(VLOOKUP(B234,Phase3!A$4:C$1000,3,FALSE),"")</f>
        <v/>
      </c>
      <c r="D234" s="10" t="str">
        <f>_xlfn.IFNA(VLOOKUP($A234,CompChecksTrans!$A:$C,3,FALSE), "     ")</f>
        <v xml:space="preserve">     </v>
      </c>
    </row>
    <row r="235" spans="1:4" x14ac:dyDescent="0.25">
      <c r="A235" s="12" t="s">
        <v>6596</v>
      </c>
      <c r="B235" s="10" t="str">
        <f>_xlfn.IFNA(VLOOKUP($A235,CompChecksTrans!$A:$C,2,FALSE), "")</f>
        <v/>
      </c>
      <c r="C235" s="10" t="str">
        <f>_xlfn.IFNA(VLOOKUP(B235,Phase3!A$4:C$1000,3,FALSE),"")</f>
        <v/>
      </c>
      <c r="D235" s="10" t="str">
        <f>_xlfn.IFNA(VLOOKUP($A235,CompChecksTrans!$A:$C,3,FALSE), "     ")</f>
        <v xml:space="preserve">     </v>
      </c>
    </row>
    <row r="236" spans="1:4" x14ac:dyDescent="0.25">
      <c r="A236" s="12" t="s">
        <v>6597</v>
      </c>
      <c r="B236" s="10" t="str">
        <f>_xlfn.IFNA(VLOOKUP($A236,CompChecksTrans!$A:$C,2,FALSE), "")</f>
        <v/>
      </c>
      <c r="C236" s="10" t="str">
        <f>_xlfn.IFNA(VLOOKUP(B236,Phase3!A$4:C$1000,3,FALSE),"")</f>
        <v/>
      </c>
      <c r="D236" s="10" t="str">
        <f>_xlfn.IFNA(VLOOKUP($A236,CompChecksTrans!$A:$C,3,FALSE), "     ")</f>
        <v xml:space="preserve">     </v>
      </c>
    </row>
    <row r="237" spans="1:4" x14ac:dyDescent="0.25">
      <c r="A237" s="12" t="s">
        <v>6598</v>
      </c>
      <c r="B237" s="10" t="str">
        <f>_xlfn.IFNA(VLOOKUP($A237,CompChecksTrans!$A:$C,2,FALSE), "")</f>
        <v/>
      </c>
      <c r="C237" s="10" t="str">
        <f>_xlfn.IFNA(VLOOKUP(B237,Phase3!A$4:C$1000,3,FALSE),"")</f>
        <v/>
      </c>
      <c r="D237" s="10" t="str">
        <f>_xlfn.IFNA(VLOOKUP($A237,CompChecksTrans!$A:$C,3,FALSE), "     ")</f>
        <v xml:space="preserve">     </v>
      </c>
    </row>
    <row r="238" spans="1:4" x14ac:dyDescent="0.25">
      <c r="A238" s="12" t="s">
        <v>6599</v>
      </c>
      <c r="B238" s="10" t="str">
        <f>_xlfn.IFNA(VLOOKUP($A238,CompChecksTrans!$A:$C,2,FALSE), "")</f>
        <v/>
      </c>
      <c r="C238" s="10" t="str">
        <f>_xlfn.IFNA(VLOOKUP(B238,Phase3!A$4:C$1000,3,FALSE),"")</f>
        <v/>
      </c>
      <c r="D238" s="10" t="str">
        <f>_xlfn.IFNA(VLOOKUP($A238,CompChecksTrans!$A:$C,3,FALSE), "     ")</f>
        <v xml:space="preserve">     </v>
      </c>
    </row>
    <row r="239" spans="1:4" x14ac:dyDescent="0.25">
      <c r="A239" s="12" t="s">
        <v>6600</v>
      </c>
      <c r="B239" s="10" t="str">
        <f>_xlfn.IFNA(VLOOKUP($A239,CompChecksTrans!$A:$C,2,FALSE), "")</f>
        <v/>
      </c>
      <c r="C239" s="10" t="str">
        <f>_xlfn.IFNA(VLOOKUP(B239,Phase3!A$4:C$1000,3,FALSE),"")</f>
        <v/>
      </c>
      <c r="D239" s="10" t="str">
        <f>_xlfn.IFNA(VLOOKUP($A239,CompChecksTrans!$A:$C,3,FALSE), "     ")</f>
        <v xml:space="preserve">     </v>
      </c>
    </row>
    <row r="240" spans="1:4" x14ac:dyDescent="0.25">
      <c r="A240" s="12" t="s">
        <v>6601</v>
      </c>
      <c r="B240" s="10" t="str">
        <f>_xlfn.IFNA(VLOOKUP($A240,CompChecksTrans!$A:$C,2,FALSE), "")</f>
        <v/>
      </c>
      <c r="C240" s="10" t="str">
        <f>_xlfn.IFNA(VLOOKUP(B240,Phase3!A$4:C$1000,3,FALSE),"")</f>
        <v/>
      </c>
      <c r="D240" s="10" t="str">
        <f>_xlfn.IFNA(VLOOKUP($A240,CompChecksTrans!$A:$C,3,FALSE), "     ")</f>
        <v xml:space="preserve">     </v>
      </c>
    </row>
    <row r="241" spans="1:4" x14ac:dyDescent="0.25">
      <c r="A241" s="12" t="s">
        <v>6602</v>
      </c>
      <c r="B241" s="10" t="str">
        <f>_xlfn.IFNA(VLOOKUP($A241,CompChecksTrans!$A:$C,2,FALSE), "")</f>
        <v/>
      </c>
      <c r="C241" s="10" t="str">
        <f>_xlfn.IFNA(VLOOKUP(B241,Phase3!A$4:C$1000,3,FALSE),"")</f>
        <v/>
      </c>
      <c r="D241" s="10" t="str">
        <f>_xlfn.IFNA(VLOOKUP($A241,CompChecksTrans!$A:$C,3,FALSE), "     ")</f>
        <v xml:space="preserve">     </v>
      </c>
    </row>
    <row r="242" spans="1:4" x14ac:dyDescent="0.25">
      <c r="A242" s="12" t="s">
        <v>6603</v>
      </c>
      <c r="B242" s="10" t="str">
        <f>_xlfn.IFNA(VLOOKUP($A242,CompChecksTrans!$A:$C,2,FALSE), "")</f>
        <v/>
      </c>
      <c r="C242" s="10" t="str">
        <f>_xlfn.IFNA(VLOOKUP(B242,Phase3!A$4:C$1000,3,FALSE),"")</f>
        <v/>
      </c>
      <c r="D242" s="10" t="str">
        <f>_xlfn.IFNA(VLOOKUP($A242,CompChecksTrans!$A:$C,3,FALSE), "     ")</f>
        <v xml:space="preserve">     </v>
      </c>
    </row>
    <row r="243" spans="1:4" x14ac:dyDescent="0.25">
      <c r="A243" s="12" t="s">
        <v>6604</v>
      </c>
      <c r="B243" s="10" t="str">
        <f>_xlfn.IFNA(VLOOKUP($A243,CompChecksTrans!$A:$C,2,FALSE), "")</f>
        <v/>
      </c>
      <c r="C243" s="10" t="str">
        <f>_xlfn.IFNA(VLOOKUP(B243,Phase3!A$4:C$1000,3,FALSE),"")</f>
        <v/>
      </c>
      <c r="D243" s="10" t="str">
        <f>_xlfn.IFNA(VLOOKUP($A243,CompChecksTrans!$A:$C,3,FALSE), "     ")</f>
        <v xml:space="preserve">     </v>
      </c>
    </row>
    <row r="244" spans="1:4" x14ac:dyDescent="0.25">
      <c r="A244" s="12" t="s">
        <v>6605</v>
      </c>
      <c r="B244" s="10" t="str">
        <f>_xlfn.IFNA(VLOOKUP($A244,CompChecksTrans!$A:$C,2,FALSE), "")</f>
        <v/>
      </c>
      <c r="C244" s="10" t="str">
        <f>_xlfn.IFNA(VLOOKUP(B244,Phase3!A$4:C$1000,3,FALSE),"")</f>
        <v/>
      </c>
      <c r="D244" s="10" t="str">
        <f>_xlfn.IFNA(VLOOKUP($A244,CompChecksTrans!$A:$C,3,FALSE), "     ")</f>
        <v xml:space="preserve">     </v>
      </c>
    </row>
    <row r="245" spans="1:4" x14ac:dyDescent="0.25">
      <c r="A245" s="12" t="s">
        <v>6606</v>
      </c>
      <c r="B245" s="10" t="str">
        <f>_xlfn.IFNA(VLOOKUP($A245,CompChecksTrans!$A:$C,2,FALSE), "")</f>
        <v/>
      </c>
      <c r="C245" s="10" t="str">
        <f>_xlfn.IFNA(VLOOKUP(B245,Phase3!A$4:C$1000,3,FALSE),"")</f>
        <v/>
      </c>
      <c r="D245" s="10" t="str">
        <f>_xlfn.IFNA(VLOOKUP($A245,CompChecksTrans!$A:$C,3,FALSE), "     ")</f>
        <v xml:space="preserve">     </v>
      </c>
    </row>
    <row r="246" spans="1:4" x14ac:dyDescent="0.25">
      <c r="A246" s="12" t="s">
        <v>6607</v>
      </c>
      <c r="B246" s="10" t="str">
        <f>_xlfn.IFNA(VLOOKUP($A246,CompChecksTrans!$A:$C,2,FALSE), "")</f>
        <v/>
      </c>
      <c r="C246" s="10" t="str">
        <f>_xlfn.IFNA(VLOOKUP(B246,Phase3!A$4:C$1000,3,FALSE),"")</f>
        <v/>
      </c>
      <c r="D246" s="10" t="str">
        <f>_xlfn.IFNA(VLOOKUP($A246,CompChecksTrans!$A:$C,3,FALSE), "     ")</f>
        <v xml:space="preserve">     </v>
      </c>
    </row>
    <row r="247" spans="1:4" x14ac:dyDescent="0.25">
      <c r="A247" s="12" t="s">
        <v>6608</v>
      </c>
      <c r="B247" s="10" t="str">
        <f>_xlfn.IFNA(VLOOKUP($A247,CompChecksTrans!$A:$C,2,FALSE), "")</f>
        <v/>
      </c>
      <c r="C247" s="10" t="str">
        <f>_xlfn.IFNA(VLOOKUP(B247,Phase3!A$4:C$1000,3,FALSE),"")</f>
        <v/>
      </c>
      <c r="D247" s="10" t="str">
        <f>_xlfn.IFNA(VLOOKUP($A247,CompChecksTrans!$A:$C,3,FALSE), "     ")</f>
        <v xml:space="preserve">     </v>
      </c>
    </row>
    <row r="248" spans="1:4" x14ac:dyDescent="0.25">
      <c r="A248" s="12" t="s">
        <v>6609</v>
      </c>
      <c r="B248" s="10" t="str">
        <f>_xlfn.IFNA(VLOOKUP($A248,CompChecksTrans!$A:$C,2,FALSE), "")</f>
        <v/>
      </c>
      <c r="C248" s="10" t="str">
        <f>_xlfn.IFNA(VLOOKUP(B248,Phase3!A$4:C$1000,3,FALSE),"")</f>
        <v/>
      </c>
      <c r="D248" s="10" t="str">
        <f>_xlfn.IFNA(VLOOKUP($A248,CompChecksTrans!$A:$C,3,FALSE), "     ")</f>
        <v xml:space="preserve">     </v>
      </c>
    </row>
    <row r="249" spans="1:4" x14ac:dyDescent="0.25">
      <c r="A249" s="12" t="s">
        <v>6610</v>
      </c>
      <c r="B249" s="10" t="str">
        <f>_xlfn.IFNA(VLOOKUP($A249,CompChecksTrans!$A:$C,2,FALSE), "")</f>
        <v/>
      </c>
      <c r="C249" s="10" t="str">
        <f>_xlfn.IFNA(VLOOKUP(B249,Phase3!A$4:C$1000,3,FALSE),"")</f>
        <v/>
      </c>
      <c r="D249" s="10" t="str">
        <f>_xlfn.IFNA(VLOOKUP($A249,CompChecksTrans!$A:$C,3,FALSE), "     ")</f>
        <v xml:space="preserve">     </v>
      </c>
    </row>
    <row r="250" spans="1:4" x14ac:dyDescent="0.25">
      <c r="A250" s="12" t="s">
        <v>6611</v>
      </c>
      <c r="B250" s="10" t="str">
        <f>_xlfn.IFNA(VLOOKUP($A250,CompChecksTrans!$A:$C,2,FALSE), "")</f>
        <v/>
      </c>
      <c r="C250" s="10" t="str">
        <f>_xlfn.IFNA(VLOOKUP(B250,Phase3!A$4:C$1000,3,FALSE),"")</f>
        <v/>
      </c>
      <c r="D250" s="10" t="str">
        <f>_xlfn.IFNA(VLOOKUP($A250,CompChecksTrans!$A:$C,3,FALSE), "     ")</f>
        <v xml:space="preserve">     </v>
      </c>
    </row>
    <row r="251" spans="1:4" x14ac:dyDescent="0.25">
      <c r="A251" s="12" t="s">
        <v>6612</v>
      </c>
      <c r="B251" s="10" t="str">
        <f>_xlfn.IFNA(VLOOKUP($A251,CompChecksTrans!$A:$C,2,FALSE), "")</f>
        <v/>
      </c>
      <c r="C251" s="10" t="str">
        <f>_xlfn.IFNA(VLOOKUP(B251,Phase3!A$4:C$1000,3,FALSE),"")</f>
        <v/>
      </c>
      <c r="D251" s="10" t="str">
        <f>_xlfn.IFNA(VLOOKUP($A251,CompChecksTrans!$A:$C,3,FALSE), "     ")</f>
        <v xml:space="preserve">     </v>
      </c>
    </row>
    <row r="252" spans="1:4" x14ac:dyDescent="0.25">
      <c r="A252" s="12" t="s">
        <v>6613</v>
      </c>
      <c r="B252" s="10" t="str">
        <f>_xlfn.IFNA(VLOOKUP($A252,CompChecksTrans!$A:$C,2,FALSE), "")</f>
        <v/>
      </c>
      <c r="C252" s="10" t="str">
        <f>_xlfn.IFNA(VLOOKUP(B252,Phase3!A$4:C$1000,3,FALSE),"")</f>
        <v/>
      </c>
      <c r="D252" s="10" t="str">
        <f>_xlfn.IFNA(VLOOKUP($A252,CompChecksTrans!$A:$C,3,FALSE), "     ")</f>
        <v xml:space="preserve">     </v>
      </c>
    </row>
    <row r="253" spans="1:4" x14ac:dyDescent="0.25">
      <c r="A253" s="12" t="s">
        <v>6614</v>
      </c>
      <c r="B253" s="10" t="str">
        <f>_xlfn.IFNA(VLOOKUP($A253,CompChecksTrans!$A:$C,2,FALSE), "")</f>
        <v/>
      </c>
      <c r="C253" s="10" t="str">
        <f>_xlfn.IFNA(VLOOKUP(B253,Phase3!A$4:C$1000,3,FALSE),"")</f>
        <v/>
      </c>
      <c r="D253" s="10" t="str">
        <f>_xlfn.IFNA(VLOOKUP($A253,CompChecksTrans!$A:$C,3,FALSE), "     ")</f>
        <v xml:space="preserve">     </v>
      </c>
    </row>
    <row r="254" spans="1:4" x14ac:dyDescent="0.25">
      <c r="A254" s="12" t="s">
        <v>6615</v>
      </c>
      <c r="B254" s="10" t="str">
        <f>_xlfn.IFNA(VLOOKUP($A254,CompChecksTrans!$A:$C,2,FALSE), "")</f>
        <v/>
      </c>
      <c r="C254" s="10" t="str">
        <f>_xlfn.IFNA(VLOOKUP(B254,Phase3!A$4:C$1000,3,FALSE),"")</f>
        <v/>
      </c>
      <c r="D254" s="10" t="str">
        <f>_xlfn.IFNA(VLOOKUP($A254,CompChecksTrans!$A:$C,3,FALSE), "     ")</f>
        <v xml:space="preserve">     </v>
      </c>
    </row>
    <row r="255" spans="1:4" x14ac:dyDescent="0.25">
      <c r="A255" s="12" t="s">
        <v>6616</v>
      </c>
      <c r="B255" s="10" t="str">
        <f>_xlfn.IFNA(VLOOKUP($A255,CompChecksTrans!$A:$C,2,FALSE), "")</f>
        <v/>
      </c>
      <c r="C255" s="10" t="str">
        <f>_xlfn.IFNA(VLOOKUP(B255,Phase3!A$4:C$1000,3,FALSE),"")</f>
        <v/>
      </c>
      <c r="D255" s="10" t="str">
        <f>_xlfn.IFNA(VLOOKUP($A255,CompChecksTrans!$A:$C,3,FALSE), "     ")</f>
        <v xml:space="preserve">     </v>
      </c>
    </row>
    <row r="256" spans="1:4" x14ac:dyDescent="0.25">
      <c r="A256" s="12" t="s">
        <v>6617</v>
      </c>
      <c r="B256" s="10" t="str">
        <f>_xlfn.IFNA(VLOOKUP($A256,CompChecksTrans!$A:$C,2,FALSE), "")</f>
        <v/>
      </c>
      <c r="C256" s="10" t="str">
        <f>_xlfn.IFNA(VLOOKUP(B256,Phase3!A$4:C$1000,3,FALSE),"")</f>
        <v/>
      </c>
      <c r="D256" s="10" t="str">
        <f>_xlfn.IFNA(VLOOKUP($A256,CompChecksTrans!$A:$C,3,FALSE), "     ")</f>
        <v xml:space="preserve">     </v>
      </c>
    </row>
    <row r="257" spans="1:4" x14ac:dyDescent="0.25">
      <c r="A257" s="12" t="s">
        <v>6618</v>
      </c>
      <c r="B257" s="10" t="str">
        <f>_xlfn.IFNA(VLOOKUP($A257,CompChecksTrans!$A:$C,2,FALSE), "")</f>
        <v/>
      </c>
      <c r="C257" s="10" t="str">
        <f>_xlfn.IFNA(VLOOKUP(B257,Phase3!A$4:C$1000,3,FALSE),"")</f>
        <v/>
      </c>
      <c r="D257" s="10" t="str">
        <f>_xlfn.IFNA(VLOOKUP($A257,CompChecksTrans!$A:$C,3,FALSE), "     ")</f>
        <v xml:space="preserve">     </v>
      </c>
    </row>
    <row r="258" spans="1:4" x14ac:dyDescent="0.25">
      <c r="A258" s="12" t="s">
        <v>6619</v>
      </c>
      <c r="B258" s="10" t="str">
        <f>_xlfn.IFNA(VLOOKUP($A258,CompChecksTrans!$A:$C,2,FALSE), "")</f>
        <v/>
      </c>
      <c r="C258" s="10" t="str">
        <f>_xlfn.IFNA(VLOOKUP(B258,Phase3!A$4:C$1000,3,FALSE),"")</f>
        <v/>
      </c>
      <c r="D258" s="10" t="str">
        <f>_xlfn.IFNA(VLOOKUP($A258,CompChecksTrans!$A:$C,3,FALSE), "     ")</f>
        <v xml:space="preserve">     </v>
      </c>
    </row>
    <row r="259" spans="1:4" x14ac:dyDescent="0.25">
      <c r="A259" s="12" t="s">
        <v>6620</v>
      </c>
      <c r="B259" s="10" t="str">
        <f>_xlfn.IFNA(VLOOKUP($A259,CompChecksTrans!$A:$C,2,FALSE), "")</f>
        <v/>
      </c>
      <c r="C259" s="10" t="str">
        <f>_xlfn.IFNA(VLOOKUP(B259,Phase3!A$4:C$1000,3,FALSE),"")</f>
        <v/>
      </c>
      <c r="D259" s="10" t="str">
        <f>_xlfn.IFNA(VLOOKUP($A259,CompChecksTrans!$A:$C,3,FALSE), "     ")</f>
        <v xml:space="preserve">     </v>
      </c>
    </row>
    <row r="260" spans="1:4" x14ac:dyDescent="0.25">
      <c r="A260" s="12" t="s">
        <v>6621</v>
      </c>
      <c r="B260" s="10" t="str">
        <f>_xlfn.IFNA(VLOOKUP($A260,CompChecksTrans!$A:$C,2,FALSE), "")</f>
        <v/>
      </c>
      <c r="C260" s="10" t="str">
        <f>_xlfn.IFNA(VLOOKUP(B260,Phase3!A$4:C$1000,3,FALSE),"")</f>
        <v/>
      </c>
      <c r="D260" s="10" t="str">
        <f>_xlfn.IFNA(VLOOKUP($A260,CompChecksTrans!$A:$C,3,FALSE), "     ")</f>
        <v xml:space="preserve">     </v>
      </c>
    </row>
    <row r="261" spans="1:4" x14ac:dyDescent="0.25">
      <c r="A261" s="12" t="s">
        <v>6622</v>
      </c>
      <c r="B261" s="10" t="str">
        <f>_xlfn.IFNA(VLOOKUP($A261,CompChecksTrans!$A:$C,2,FALSE), "")</f>
        <v/>
      </c>
      <c r="C261" s="10" t="str">
        <f>_xlfn.IFNA(VLOOKUP(B261,Phase3!A$4:C$1000,3,FALSE),"")</f>
        <v/>
      </c>
      <c r="D261" s="10" t="str">
        <f>_xlfn.IFNA(VLOOKUP($A261,CompChecksTrans!$A:$C,3,FALSE), "     ")</f>
        <v xml:space="preserve">     </v>
      </c>
    </row>
    <row r="262" spans="1:4" x14ac:dyDescent="0.25">
      <c r="A262" s="12" t="s">
        <v>6623</v>
      </c>
      <c r="B262" s="10" t="str">
        <f>_xlfn.IFNA(VLOOKUP($A262,CompChecksTrans!$A:$C,2,FALSE), "")</f>
        <v/>
      </c>
      <c r="C262" s="10" t="str">
        <f>_xlfn.IFNA(VLOOKUP(B262,Phase3!A$4:C$1000,3,FALSE),"")</f>
        <v/>
      </c>
      <c r="D262" s="10" t="str">
        <f>_xlfn.IFNA(VLOOKUP($A262,CompChecksTrans!$A:$C,3,FALSE), "     ")</f>
        <v xml:space="preserve">     </v>
      </c>
    </row>
    <row r="263" spans="1:4" x14ac:dyDescent="0.25">
      <c r="A263" s="12" t="s">
        <v>6624</v>
      </c>
      <c r="B263" s="10" t="str">
        <f>_xlfn.IFNA(VLOOKUP($A263,CompChecksTrans!$A:$C,2,FALSE), "")</f>
        <v/>
      </c>
      <c r="C263" s="10" t="str">
        <f>_xlfn.IFNA(VLOOKUP(B263,Phase3!A$4:C$1000,3,FALSE),"")</f>
        <v/>
      </c>
      <c r="D263" s="10" t="str">
        <f>_xlfn.IFNA(VLOOKUP($A263,CompChecksTrans!$A:$C,3,FALSE), "     ")</f>
        <v xml:space="preserve">     </v>
      </c>
    </row>
    <row r="264" spans="1:4" x14ac:dyDescent="0.25">
      <c r="A264" s="12" t="s">
        <v>6625</v>
      </c>
      <c r="B264" s="10" t="str">
        <f>_xlfn.IFNA(VLOOKUP($A264,CompChecksTrans!$A:$C,2,FALSE), "")</f>
        <v/>
      </c>
      <c r="C264" s="10" t="str">
        <f>_xlfn.IFNA(VLOOKUP(B264,Phase3!A$4:C$1000,3,FALSE),"")</f>
        <v/>
      </c>
      <c r="D264" s="10" t="str">
        <f>_xlfn.IFNA(VLOOKUP($A264,CompChecksTrans!$A:$C,3,FALSE), "     ")</f>
        <v xml:space="preserve">     </v>
      </c>
    </row>
    <row r="265" spans="1:4" x14ac:dyDescent="0.25">
      <c r="A265" s="12" t="s">
        <v>6626</v>
      </c>
      <c r="B265" s="10" t="str">
        <f>_xlfn.IFNA(VLOOKUP($A265,CompChecksTrans!$A:$C,2,FALSE), "")</f>
        <v/>
      </c>
      <c r="C265" s="10" t="str">
        <f>_xlfn.IFNA(VLOOKUP(B265,Phase3!A$4:C$1000,3,FALSE),"")</f>
        <v/>
      </c>
      <c r="D265" s="10" t="str">
        <f>_xlfn.IFNA(VLOOKUP($A265,CompChecksTrans!$A:$C,3,FALSE), "     ")</f>
        <v xml:space="preserve">     </v>
      </c>
    </row>
    <row r="266" spans="1:4" x14ac:dyDescent="0.25">
      <c r="A266" s="12" t="s">
        <v>6627</v>
      </c>
      <c r="B266" s="10" t="str">
        <f>_xlfn.IFNA(VLOOKUP($A266,CompChecksTrans!$A:$C,2,FALSE), "")</f>
        <v/>
      </c>
      <c r="C266" s="10" t="str">
        <f>_xlfn.IFNA(VLOOKUP(B266,Phase3!A$4:C$1000,3,FALSE),"")</f>
        <v/>
      </c>
      <c r="D266" s="10" t="str">
        <f>_xlfn.IFNA(VLOOKUP($A266,CompChecksTrans!$A:$C,3,FALSE), "     ")</f>
        <v xml:space="preserve">     </v>
      </c>
    </row>
    <row r="267" spans="1:4" x14ac:dyDescent="0.25">
      <c r="A267" s="12" t="s">
        <v>6628</v>
      </c>
      <c r="B267" s="10" t="str">
        <f>_xlfn.IFNA(VLOOKUP($A267,CompChecksTrans!$A:$C,2,FALSE), "")</f>
        <v/>
      </c>
      <c r="C267" s="10" t="str">
        <f>_xlfn.IFNA(VLOOKUP(B267,Phase3!A$4:C$1000,3,FALSE),"")</f>
        <v/>
      </c>
      <c r="D267" s="10" t="str">
        <f>_xlfn.IFNA(VLOOKUP($A267,CompChecksTrans!$A:$C,3,FALSE), "     ")</f>
        <v xml:space="preserve">     </v>
      </c>
    </row>
    <row r="268" spans="1:4" x14ac:dyDescent="0.25">
      <c r="A268" s="12" t="s">
        <v>6629</v>
      </c>
      <c r="B268" s="10" t="str">
        <f>_xlfn.IFNA(VLOOKUP($A268,CompChecksTrans!$A:$C,2,FALSE), "")</f>
        <v/>
      </c>
      <c r="C268" s="10" t="str">
        <f>_xlfn.IFNA(VLOOKUP(B268,Phase3!A$4:C$1000,3,FALSE),"")</f>
        <v/>
      </c>
      <c r="D268" s="10" t="str">
        <f>_xlfn.IFNA(VLOOKUP($A268,CompChecksTrans!$A:$C,3,FALSE), "     ")</f>
        <v xml:space="preserve">     </v>
      </c>
    </row>
    <row r="269" spans="1:4" x14ac:dyDescent="0.25">
      <c r="A269" s="12" t="s">
        <v>6630</v>
      </c>
      <c r="B269" s="10" t="str">
        <f>_xlfn.IFNA(VLOOKUP($A269,CompChecksTrans!$A:$C,2,FALSE), "")</f>
        <v/>
      </c>
      <c r="C269" s="10" t="str">
        <f>_xlfn.IFNA(VLOOKUP(B269,Phase3!A$4:C$1000,3,FALSE),"")</f>
        <v/>
      </c>
      <c r="D269" s="10" t="str">
        <f>_xlfn.IFNA(VLOOKUP($A269,CompChecksTrans!$A:$C,3,FALSE), "     ")</f>
        <v xml:space="preserve">     </v>
      </c>
    </row>
    <row r="270" spans="1:4" x14ac:dyDescent="0.25">
      <c r="A270" s="12" t="s">
        <v>6631</v>
      </c>
      <c r="B270" s="10" t="str">
        <f>_xlfn.IFNA(VLOOKUP($A270,CompChecksTrans!$A:$C,2,FALSE), "")</f>
        <v/>
      </c>
      <c r="C270" s="10" t="str">
        <f>_xlfn.IFNA(VLOOKUP(B270,Phase3!A$4:C$1000,3,FALSE),"")</f>
        <v/>
      </c>
      <c r="D270" s="10" t="str">
        <f>_xlfn.IFNA(VLOOKUP($A270,CompChecksTrans!$A:$C,3,FALSE), "     ")</f>
        <v xml:space="preserve">     </v>
      </c>
    </row>
    <row r="271" spans="1:4" x14ac:dyDescent="0.25">
      <c r="A271" s="12" t="s">
        <v>6632</v>
      </c>
      <c r="B271" s="10" t="str">
        <f>_xlfn.IFNA(VLOOKUP($A271,CompChecksTrans!$A:$C,2,FALSE), "")</f>
        <v/>
      </c>
      <c r="C271" s="10" t="str">
        <f>_xlfn.IFNA(VLOOKUP(B271,Phase3!A$4:C$1000,3,FALSE),"")</f>
        <v/>
      </c>
      <c r="D271" s="10" t="str">
        <f>_xlfn.IFNA(VLOOKUP($A271,CompChecksTrans!$A:$C,3,FALSE), "     ")</f>
        <v xml:space="preserve">     </v>
      </c>
    </row>
    <row r="272" spans="1:4" x14ac:dyDescent="0.25">
      <c r="A272" s="12" t="s">
        <v>6633</v>
      </c>
      <c r="B272" s="10" t="str">
        <f>_xlfn.IFNA(VLOOKUP($A272,CompChecksTrans!$A:$C,2,FALSE), "")</f>
        <v/>
      </c>
      <c r="C272" s="10" t="str">
        <f>_xlfn.IFNA(VLOOKUP(B272,Phase3!A$4:C$1000,3,FALSE),"")</f>
        <v/>
      </c>
      <c r="D272" s="10" t="str">
        <f>_xlfn.IFNA(VLOOKUP($A272,CompChecksTrans!$A:$C,3,FALSE), "     ")</f>
        <v xml:space="preserve">     </v>
      </c>
    </row>
    <row r="273" spans="1:4" x14ac:dyDescent="0.25">
      <c r="A273" s="12" t="s">
        <v>6634</v>
      </c>
      <c r="B273" s="10" t="str">
        <f>_xlfn.IFNA(VLOOKUP($A273,CompChecksTrans!$A:$C,2,FALSE), "")</f>
        <v/>
      </c>
      <c r="C273" s="10" t="str">
        <f>_xlfn.IFNA(VLOOKUP(B273,Phase3!A$4:C$1000,3,FALSE),"")</f>
        <v/>
      </c>
      <c r="D273" s="10" t="str">
        <f>_xlfn.IFNA(VLOOKUP($A273,CompChecksTrans!$A:$C,3,FALSE), "     ")</f>
        <v xml:space="preserve">     </v>
      </c>
    </row>
    <row r="274" spans="1:4" x14ac:dyDescent="0.25">
      <c r="A274" s="12" t="s">
        <v>6635</v>
      </c>
      <c r="B274" s="10" t="str">
        <f>_xlfn.IFNA(VLOOKUP($A274,CompChecksTrans!$A:$C,2,FALSE), "")</f>
        <v/>
      </c>
      <c r="C274" s="10" t="str">
        <f>_xlfn.IFNA(VLOOKUP(B274,Phase3!A$4:C$1000,3,FALSE),"")</f>
        <v/>
      </c>
      <c r="D274" s="10" t="str">
        <f>_xlfn.IFNA(VLOOKUP($A274,CompChecksTrans!$A:$C,3,FALSE), "     ")</f>
        <v xml:space="preserve">     </v>
      </c>
    </row>
    <row r="275" spans="1:4" x14ac:dyDescent="0.25">
      <c r="A275" s="12" t="s">
        <v>6636</v>
      </c>
      <c r="B275" s="10" t="str">
        <f>_xlfn.IFNA(VLOOKUP($A275,CompChecksTrans!$A:$C,2,FALSE), "")</f>
        <v/>
      </c>
      <c r="C275" s="10" t="str">
        <f>_xlfn.IFNA(VLOOKUP(B275,Phase3!A$4:C$1000,3,FALSE),"")</f>
        <v/>
      </c>
      <c r="D275" s="10" t="str">
        <f>_xlfn.IFNA(VLOOKUP($A275,CompChecksTrans!$A:$C,3,FALSE), "     ")</f>
        <v xml:space="preserve">     </v>
      </c>
    </row>
    <row r="276" spans="1:4" x14ac:dyDescent="0.25">
      <c r="A276" s="12" t="s">
        <v>6637</v>
      </c>
      <c r="B276" s="10" t="str">
        <f>_xlfn.IFNA(VLOOKUP($A276,CompChecksTrans!$A:$C,2,FALSE), "")</f>
        <v/>
      </c>
      <c r="C276" s="10" t="str">
        <f>_xlfn.IFNA(VLOOKUP(B276,Phase3!A$4:C$1000,3,FALSE),"")</f>
        <v/>
      </c>
      <c r="D276" s="10" t="str">
        <f>_xlfn.IFNA(VLOOKUP($A276,CompChecksTrans!$A:$C,3,FALSE), "     ")</f>
        <v xml:space="preserve">     </v>
      </c>
    </row>
    <row r="277" spans="1:4" x14ac:dyDescent="0.25">
      <c r="A277" s="12" t="s">
        <v>6638</v>
      </c>
      <c r="B277" s="10" t="str">
        <f>_xlfn.IFNA(VLOOKUP($A277,CompChecksTrans!$A:$C,2,FALSE), "")</f>
        <v/>
      </c>
      <c r="C277" s="10" t="str">
        <f>_xlfn.IFNA(VLOOKUP(B277,Phase3!A$4:C$1000,3,FALSE),"")</f>
        <v/>
      </c>
      <c r="D277" s="10" t="str">
        <f>_xlfn.IFNA(VLOOKUP($A277,CompChecksTrans!$A:$C,3,FALSE), "     ")</f>
        <v xml:space="preserve">     </v>
      </c>
    </row>
    <row r="278" spans="1:4" x14ac:dyDescent="0.25">
      <c r="A278" s="12" t="s">
        <v>6639</v>
      </c>
      <c r="B278" s="10" t="str">
        <f>_xlfn.IFNA(VLOOKUP($A278,CompChecksTrans!$A:$C,2,FALSE), "")</f>
        <v/>
      </c>
      <c r="C278" s="10" t="str">
        <f>_xlfn.IFNA(VLOOKUP(B278,Phase3!A$4:C$1000,3,FALSE),"")</f>
        <v/>
      </c>
      <c r="D278" s="10" t="str">
        <f>_xlfn.IFNA(VLOOKUP($A278,CompChecksTrans!$A:$C,3,FALSE), "     ")</f>
        <v xml:space="preserve">     </v>
      </c>
    </row>
    <row r="279" spans="1:4" x14ac:dyDescent="0.25">
      <c r="A279" s="12" t="s">
        <v>6640</v>
      </c>
      <c r="B279" s="10" t="str">
        <f>_xlfn.IFNA(VLOOKUP($A279,CompChecksTrans!$A:$C,2,FALSE), "")</f>
        <v/>
      </c>
      <c r="C279" s="10" t="str">
        <f>_xlfn.IFNA(VLOOKUP(B279,Phase3!A$4:C$1000,3,FALSE),"")</f>
        <v/>
      </c>
      <c r="D279" s="10" t="str">
        <f>_xlfn.IFNA(VLOOKUP($A279,CompChecksTrans!$A:$C,3,FALSE), "     ")</f>
        <v xml:space="preserve">     </v>
      </c>
    </row>
    <row r="280" spans="1:4" x14ac:dyDescent="0.25">
      <c r="A280" s="12" t="s">
        <v>6641</v>
      </c>
      <c r="B280" s="10" t="str">
        <f>_xlfn.IFNA(VLOOKUP($A280,CompChecksTrans!$A:$C,2,FALSE), "")</f>
        <v/>
      </c>
      <c r="C280" s="10" t="str">
        <f>_xlfn.IFNA(VLOOKUP(B280,Phase3!A$4:C$1000,3,FALSE),"")</f>
        <v/>
      </c>
      <c r="D280" s="10" t="str">
        <f>_xlfn.IFNA(VLOOKUP($A280,CompChecksTrans!$A:$C,3,FALSE), "     ")</f>
        <v xml:space="preserve">     </v>
      </c>
    </row>
    <row r="281" spans="1:4" x14ac:dyDescent="0.25">
      <c r="A281" s="12" t="s">
        <v>6642</v>
      </c>
      <c r="B281" s="10" t="str">
        <f>_xlfn.IFNA(VLOOKUP($A281,CompChecksTrans!$A:$C,2,FALSE), "")</f>
        <v/>
      </c>
      <c r="C281" s="10" t="str">
        <f>_xlfn.IFNA(VLOOKUP(B281,Phase3!A$4:C$1000,3,FALSE),"")</f>
        <v/>
      </c>
      <c r="D281" s="10" t="str">
        <f>_xlfn.IFNA(VLOOKUP($A281,CompChecksTrans!$A:$C,3,FALSE), "     ")</f>
        <v xml:space="preserve">     </v>
      </c>
    </row>
    <row r="282" spans="1:4" x14ac:dyDescent="0.25">
      <c r="A282" s="12" t="s">
        <v>6643</v>
      </c>
      <c r="B282" s="10" t="str">
        <f>_xlfn.IFNA(VLOOKUP($A282,CompChecksTrans!$A:$C,2,FALSE), "")</f>
        <v/>
      </c>
      <c r="C282" s="10" t="str">
        <f>_xlfn.IFNA(VLOOKUP(B282,Phase3!A$4:C$1000,3,FALSE),"")</f>
        <v/>
      </c>
      <c r="D282" s="10" t="str">
        <f>_xlfn.IFNA(VLOOKUP($A282,CompChecksTrans!$A:$C,3,FALSE), "     ")</f>
        <v xml:space="preserve">     </v>
      </c>
    </row>
    <row r="283" spans="1:4" x14ac:dyDescent="0.25">
      <c r="A283" s="12" t="s">
        <v>6644</v>
      </c>
      <c r="B283" s="10" t="str">
        <f>_xlfn.IFNA(VLOOKUP($A283,CompChecksTrans!$A:$C,2,FALSE), "")</f>
        <v/>
      </c>
      <c r="C283" s="10" t="str">
        <f>_xlfn.IFNA(VLOOKUP(B283,Phase3!A$4:C$1000,3,FALSE),"")</f>
        <v/>
      </c>
      <c r="D283" s="10" t="str">
        <f>_xlfn.IFNA(VLOOKUP($A283,CompChecksTrans!$A:$C,3,FALSE), "     ")</f>
        <v xml:space="preserve">     </v>
      </c>
    </row>
    <row r="284" spans="1:4" x14ac:dyDescent="0.25">
      <c r="A284" s="12" t="s">
        <v>6645</v>
      </c>
      <c r="B284" s="10" t="str">
        <f>_xlfn.IFNA(VLOOKUP($A284,CompChecksTrans!$A:$C,2,FALSE), "")</f>
        <v/>
      </c>
      <c r="C284" s="10" t="str">
        <f>_xlfn.IFNA(VLOOKUP(B284,Phase3!A$4:C$1000,3,FALSE),"")</f>
        <v/>
      </c>
      <c r="D284" s="10" t="str">
        <f>_xlfn.IFNA(VLOOKUP($A284,CompChecksTrans!$A:$C,3,FALSE), "     ")</f>
        <v xml:space="preserve">     </v>
      </c>
    </row>
    <row r="285" spans="1:4" x14ac:dyDescent="0.25">
      <c r="A285" s="12" t="s">
        <v>6646</v>
      </c>
      <c r="B285" s="10" t="str">
        <f>_xlfn.IFNA(VLOOKUP($A285,CompChecksTrans!$A:$C,2,FALSE), "")</f>
        <v/>
      </c>
      <c r="C285" s="10" t="str">
        <f>_xlfn.IFNA(VLOOKUP(B285,Phase3!A$4:C$1000,3,FALSE),"")</f>
        <v/>
      </c>
      <c r="D285" s="10" t="str">
        <f>_xlfn.IFNA(VLOOKUP($A285,CompChecksTrans!$A:$C,3,FALSE), "     ")</f>
        <v xml:space="preserve">     </v>
      </c>
    </row>
    <row r="286" spans="1:4" x14ac:dyDescent="0.25">
      <c r="A286" s="12" t="s">
        <v>6647</v>
      </c>
      <c r="B286" s="10" t="str">
        <f>_xlfn.IFNA(VLOOKUP($A286,CompChecksTrans!$A:$C,2,FALSE), "")</f>
        <v/>
      </c>
      <c r="C286" s="10" t="str">
        <f>_xlfn.IFNA(VLOOKUP(B286,Phase3!A$4:C$1000,3,FALSE),"")</f>
        <v/>
      </c>
      <c r="D286" s="10" t="str">
        <f>_xlfn.IFNA(VLOOKUP($A286,CompChecksTrans!$A:$C,3,FALSE), "     ")</f>
        <v xml:space="preserve">     </v>
      </c>
    </row>
    <row r="287" spans="1:4" x14ac:dyDescent="0.25">
      <c r="A287" s="12" t="s">
        <v>6648</v>
      </c>
      <c r="B287" s="10" t="str">
        <f>_xlfn.IFNA(VLOOKUP($A287,CompChecksTrans!$A:$C,2,FALSE), "")</f>
        <v/>
      </c>
      <c r="C287" s="10" t="str">
        <f>_xlfn.IFNA(VLOOKUP(B287,Phase3!A$4:C$1000,3,FALSE),"")</f>
        <v/>
      </c>
      <c r="D287" s="10" t="str">
        <f>_xlfn.IFNA(VLOOKUP($A287,CompChecksTrans!$A:$C,3,FALSE), "     ")</f>
        <v xml:space="preserve">     </v>
      </c>
    </row>
    <row r="288" spans="1:4" x14ac:dyDescent="0.25">
      <c r="A288" s="12" t="s">
        <v>6649</v>
      </c>
      <c r="B288" s="10" t="str">
        <f>_xlfn.IFNA(VLOOKUP($A288,CompChecksTrans!$A:$C,2,FALSE), "")</f>
        <v/>
      </c>
      <c r="C288" s="10" t="str">
        <f>_xlfn.IFNA(VLOOKUP(B288,Phase3!A$4:C$1000,3,FALSE),"")</f>
        <v/>
      </c>
      <c r="D288" s="10" t="str">
        <f>_xlfn.IFNA(VLOOKUP($A288,CompChecksTrans!$A:$C,3,FALSE), "     ")</f>
        <v xml:space="preserve">     </v>
      </c>
    </row>
    <row r="289" spans="1:4" x14ac:dyDescent="0.25">
      <c r="A289" s="12" t="s">
        <v>6650</v>
      </c>
      <c r="B289" s="10" t="str">
        <f>_xlfn.IFNA(VLOOKUP($A289,CompChecksTrans!$A:$C,2,FALSE), "")</f>
        <v/>
      </c>
      <c r="C289" s="10" t="str">
        <f>_xlfn.IFNA(VLOOKUP(B289,Phase3!A$4:C$1000,3,FALSE),"")</f>
        <v/>
      </c>
      <c r="D289" s="10" t="str">
        <f>_xlfn.IFNA(VLOOKUP($A289,CompChecksTrans!$A:$C,3,FALSE), "     ")</f>
        <v xml:space="preserve">     </v>
      </c>
    </row>
    <row r="290" spans="1:4" x14ac:dyDescent="0.25">
      <c r="A290" s="12" t="s">
        <v>6651</v>
      </c>
      <c r="B290" s="10" t="str">
        <f>_xlfn.IFNA(VLOOKUP($A290,CompChecksTrans!$A:$C,2,FALSE), "")</f>
        <v/>
      </c>
      <c r="C290" s="10" t="str">
        <f>_xlfn.IFNA(VLOOKUP(B290,Phase3!A$4:C$1000,3,FALSE),"")</f>
        <v/>
      </c>
      <c r="D290" s="10" t="str">
        <f>_xlfn.IFNA(VLOOKUP($A290,CompChecksTrans!$A:$C,3,FALSE), "     ")</f>
        <v xml:space="preserve">     </v>
      </c>
    </row>
    <row r="291" spans="1:4" x14ac:dyDescent="0.25">
      <c r="A291" s="12" t="s">
        <v>6652</v>
      </c>
      <c r="B291" s="10" t="str">
        <f>_xlfn.IFNA(VLOOKUP($A291,CompChecksTrans!$A:$C,2,FALSE), "")</f>
        <v/>
      </c>
      <c r="C291" s="10" t="str">
        <f>_xlfn.IFNA(VLOOKUP(B291,Phase3!A$4:C$1000,3,FALSE),"")</f>
        <v/>
      </c>
      <c r="D291" s="10" t="str">
        <f>_xlfn.IFNA(VLOOKUP($A291,CompChecksTrans!$A:$C,3,FALSE), "     ")</f>
        <v xml:space="preserve">     </v>
      </c>
    </row>
    <row r="292" spans="1:4" x14ac:dyDescent="0.25">
      <c r="A292" s="12" t="s">
        <v>6653</v>
      </c>
      <c r="B292" s="10" t="str">
        <f>_xlfn.IFNA(VLOOKUP($A292,CompChecksTrans!$A:$C,2,FALSE), "")</f>
        <v/>
      </c>
      <c r="C292" s="10" t="str">
        <f>_xlfn.IFNA(VLOOKUP(B292,Phase3!A$4:C$1000,3,FALSE),"")</f>
        <v/>
      </c>
      <c r="D292" s="10" t="str">
        <f>_xlfn.IFNA(VLOOKUP($A292,CompChecksTrans!$A:$C,3,FALSE), "     ")</f>
        <v xml:space="preserve">     </v>
      </c>
    </row>
    <row r="293" spans="1:4" x14ac:dyDescent="0.25">
      <c r="A293" s="12" t="s">
        <v>6654</v>
      </c>
      <c r="B293" s="10" t="str">
        <f>_xlfn.IFNA(VLOOKUP($A293,CompChecksTrans!$A:$C,2,FALSE), "")</f>
        <v/>
      </c>
      <c r="C293" s="10" t="str">
        <f>_xlfn.IFNA(VLOOKUP(B293,Phase3!A$4:C$1000,3,FALSE),"")</f>
        <v/>
      </c>
      <c r="D293" s="10" t="str">
        <f>_xlfn.IFNA(VLOOKUP($A293,CompChecksTrans!$A:$C,3,FALSE), "     ")</f>
        <v xml:space="preserve">     </v>
      </c>
    </row>
    <row r="294" spans="1:4" x14ac:dyDescent="0.25">
      <c r="A294" s="12" t="s">
        <v>6655</v>
      </c>
      <c r="B294" s="10" t="str">
        <f>_xlfn.IFNA(VLOOKUP($A294,CompChecksTrans!$A:$C,2,FALSE), "")</f>
        <v/>
      </c>
      <c r="C294" s="10" t="str">
        <f>_xlfn.IFNA(VLOOKUP(B294,Phase3!A$4:C$1000,3,FALSE),"")</f>
        <v/>
      </c>
      <c r="D294" s="10" t="str">
        <f>_xlfn.IFNA(VLOOKUP($A294,CompChecksTrans!$A:$C,3,FALSE), "     ")</f>
        <v xml:space="preserve">     </v>
      </c>
    </row>
    <row r="295" spans="1:4" x14ac:dyDescent="0.25">
      <c r="A295" s="12" t="s">
        <v>6656</v>
      </c>
      <c r="B295" s="10" t="str">
        <f>_xlfn.IFNA(VLOOKUP($A295,CompChecksTrans!$A:$C,2,FALSE), "")</f>
        <v/>
      </c>
      <c r="C295" s="10" t="str">
        <f>_xlfn.IFNA(VLOOKUP(B295,Phase3!A$4:C$1000,3,FALSE),"")</f>
        <v/>
      </c>
      <c r="D295" s="10" t="str">
        <f>_xlfn.IFNA(VLOOKUP($A295,CompChecksTrans!$A:$C,3,FALSE), "     ")</f>
        <v xml:space="preserve">     </v>
      </c>
    </row>
    <row r="296" spans="1:4" x14ac:dyDescent="0.25">
      <c r="A296" s="12" t="s">
        <v>6657</v>
      </c>
      <c r="B296" s="10" t="str">
        <f>_xlfn.IFNA(VLOOKUP($A296,CompChecksTrans!$A:$C,2,FALSE), "")</f>
        <v/>
      </c>
      <c r="C296" s="10" t="str">
        <f>_xlfn.IFNA(VLOOKUP(B296,Phase3!A$4:C$1000,3,FALSE),"")</f>
        <v/>
      </c>
      <c r="D296" s="10" t="str">
        <f>_xlfn.IFNA(VLOOKUP($A296,CompChecksTrans!$A:$C,3,FALSE), "     ")</f>
        <v xml:space="preserve">     </v>
      </c>
    </row>
    <row r="297" spans="1:4" x14ac:dyDescent="0.25">
      <c r="A297" s="12" t="s">
        <v>6658</v>
      </c>
      <c r="B297" s="10" t="str">
        <f>_xlfn.IFNA(VLOOKUP($A297,CompChecksTrans!$A:$C,2,FALSE), "")</f>
        <v/>
      </c>
      <c r="C297" s="10" t="str">
        <f>_xlfn.IFNA(VLOOKUP(B297,Phase3!A$4:C$1000,3,FALSE),"")</f>
        <v/>
      </c>
      <c r="D297" s="10" t="str">
        <f>_xlfn.IFNA(VLOOKUP($A297,CompChecksTrans!$A:$C,3,FALSE), "     ")</f>
        <v xml:space="preserve">     </v>
      </c>
    </row>
    <row r="298" spans="1:4" x14ac:dyDescent="0.25">
      <c r="A298" s="12" t="s">
        <v>6659</v>
      </c>
      <c r="B298" s="10" t="str">
        <f>_xlfn.IFNA(VLOOKUP($A298,CompChecksTrans!$A:$C,2,FALSE), "")</f>
        <v/>
      </c>
      <c r="C298" s="10" t="str">
        <f>_xlfn.IFNA(VLOOKUP(B298,Phase3!A$4:C$1000,3,FALSE),"")</f>
        <v/>
      </c>
      <c r="D298" s="10" t="str">
        <f>_xlfn.IFNA(VLOOKUP($A298,CompChecksTrans!$A:$C,3,FALSE), "     ")</f>
        <v xml:space="preserve">     </v>
      </c>
    </row>
    <row r="299" spans="1:4" x14ac:dyDescent="0.25">
      <c r="A299" s="12" t="s">
        <v>6660</v>
      </c>
      <c r="B299" s="10" t="str">
        <f>_xlfn.IFNA(VLOOKUP($A299,CompChecksTrans!$A:$C,2,FALSE), "")</f>
        <v/>
      </c>
      <c r="C299" s="10" t="str">
        <f>_xlfn.IFNA(VLOOKUP(B299,Phase3!A$4:C$1000,3,FALSE),"")</f>
        <v/>
      </c>
      <c r="D299" s="10" t="str">
        <f>_xlfn.IFNA(VLOOKUP($A299,CompChecksTrans!$A:$C,3,FALSE), "     ")</f>
        <v xml:space="preserve">     </v>
      </c>
    </row>
    <row r="300" spans="1:4" x14ac:dyDescent="0.25">
      <c r="A300" s="12" t="s">
        <v>6661</v>
      </c>
      <c r="B300" s="10" t="str">
        <f>_xlfn.IFNA(VLOOKUP($A300,CompChecksTrans!$A:$C,2,FALSE), "")</f>
        <v/>
      </c>
      <c r="C300" s="10" t="str">
        <f>_xlfn.IFNA(VLOOKUP(B300,Phase3!A$4:C$1000,3,FALSE),"")</f>
        <v/>
      </c>
      <c r="D300" s="10" t="str">
        <f>_xlfn.IFNA(VLOOKUP($A300,CompChecksTrans!$A:$C,3,FALSE), "     ")</f>
        <v xml:space="preserve">     </v>
      </c>
    </row>
    <row r="301" spans="1:4" x14ac:dyDescent="0.25">
      <c r="A301" s="12" t="s">
        <v>6662</v>
      </c>
      <c r="B301" s="10" t="str">
        <f>_xlfn.IFNA(VLOOKUP($A301,CompChecksTrans!$A:$C,2,FALSE), "")</f>
        <v/>
      </c>
      <c r="C301" s="10" t="str">
        <f>_xlfn.IFNA(VLOOKUP(B301,Phase3!A$4:C$1000,3,FALSE),"")</f>
        <v/>
      </c>
      <c r="D301" s="10" t="str">
        <f>_xlfn.IFNA(VLOOKUP($A301,CompChecksTrans!$A:$C,3,FALSE), "     ")</f>
        <v xml:space="preserve">     </v>
      </c>
    </row>
    <row r="302" spans="1:4" x14ac:dyDescent="0.25">
      <c r="A302" s="12" t="s">
        <v>6663</v>
      </c>
      <c r="B302" s="10" t="str">
        <f>_xlfn.IFNA(VLOOKUP($A302,CompChecksTrans!$A:$C,2,FALSE), "")</f>
        <v/>
      </c>
      <c r="C302" s="10" t="str">
        <f>_xlfn.IFNA(VLOOKUP(B302,Phase3!A$4:C$1000,3,FALSE),"")</f>
        <v/>
      </c>
      <c r="D302" s="10" t="str">
        <f>_xlfn.IFNA(VLOOKUP($A302,CompChecksTrans!$A:$C,3,FALSE), "     ")</f>
        <v xml:space="preserve">     </v>
      </c>
    </row>
    <row r="303" spans="1:4" x14ac:dyDescent="0.25">
      <c r="A303" s="12" t="s">
        <v>6664</v>
      </c>
      <c r="B303" s="10" t="str">
        <f>_xlfn.IFNA(VLOOKUP($A303,CompChecksTrans!$A:$C,2,FALSE), "")</f>
        <v/>
      </c>
      <c r="C303" s="10" t="str">
        <f>_xlfn.IFNA(VLOOKUP(B303,Phase3!A$4:C$1000,3,FALSE),"")</f>
        <v/>
      </c>
      <c r="D303" s="10" t="str">
        <f>_xlfn.IFNA(VLOOKUP($A303,CompChecksTrans!$A:$C,3,FALSE), "     ")</f>
        <v xml:space="preserve">     </v>
      </c>
    </row>
    <row r="304" spans="1:4" x14ac:dyDescent="0.25">
      <c r="A304" s="12" t="s">
        <v>6665</v>
      </c>
      <c r="B304" s="10" t="str">
        <f>_xlfn.IFNA(VLOOKUP($A304,CompChecksTrans!$A:$C,2,FALSE), "")</f>
        <v/>
      </c>
      <c r="C304" s="10" t="str">
        <f>_xlfn.IFNA(VLOOKUP(B304,Phase3!A$4:C$1000,3,FALSE),"")</f>
        <v/>
      </c>
      <c r="D304" s="10" t="str">
        <f>_xlfn.IFNA(VLOOKUP($A304,CompChecksTrans!$A:$C,3,FALSE), "     ")</f>
        <v xml:space="preserve">     </v>
      </c>
    </row>
    <row r="305" spans="1:4" x14ac:dyDescent="0.25">
      <c r="A305" s="12" t="s">
        <v>6666</v>
      </c>
      <c r="B305" s="10" t="str">
        <f>_xlfn.IFNA(VLOOKUP($A305,CompChecksTrans!$A:$C,2,FALSE), "")</f>
        <v/>
      </c>
      <c r="C305" s="10" t="str">
        <f>_xlfn.IFNA(VLOOKUP(B305,Phase3!A$4:C$1000,3,FALSE),"")</f>
        <v/>
      </c>
      <c r="D305" s="10" t="str">
        <f>_xlfn.IFNA(VLOOKUP($A305,CompChecksTrans!$A:$C,3,FALSE), "     ")</f>
        <v xml:space="preserve">     </v>
      </c>
    </row>
    <row r="306" spans="1:4" x14ac:dyDescent="0.25">
      <c r="A306" s="12" t="s">
        <v>6667</v>
      </c>
      <c r="B306" s="10" t="str">
        <f>_xlfn.IFNA(VLOOKUP($A306,CompChecksTrans!$A:$C,2,FALSE), "")</f>
        <v/>
      </c>
      <c r="C306" s="10" t="str">
        <f>_xlfn.IFNA(VLOOKUP(B306,Phase3!A$4:C$1000,3,FALSE),"")</f>
        <v/>
      </c>
      <c r="D306" s="10" t="str">
        <f>_xlfn.IFNA(VLOOKUP($A306,CompChecksTrans!$A:$C,3,FALSE), "     ")</f>
        <v xml:space="preserve">     </v>
      </c>
    </row>
    <row r="307" spans="1:4" x14ac:dyDescent="0.25">
      <c r="A307" s="12" t="s">
        <v>6668</v>
      </c>
      <c r="B307" s="10" t="str">
        <f>_xlfn.IFNA(VLOOKUP($A307,CompChecksTrans!$A:$C,2,FALSE), "")</f>
        <v/>
      </c>
      <c r="C307" s="10" t="str">
        <f>_xlfn.IFNA(VLOOKUP(B307,Phase3!A$4:C$1000,3,FALSE),"")</f>
        <v/>
      </c>
      <c r="D307" s="10" t="str">
        <f>_xlfn.IFNA(VLOOKUP($A307,CompChecksTrans!$A:$C,3,FALSE), "     ")</f>
        <v xml:space="preserve">     </v>
      </c>
    </row>
    <row r="308" spans="1:4" x14ac:dyDescent="0.25">
      <c r="A308" s="12" t="s">
        <v>6669</v>
      </c>
      <c r="B308" s="10" t="str">
        <f>_xlfn.IFNA(VLOOKUP($A308,CompChecksTrans!$A:$C,2,FALSE), "")</f>
        <v/>
      </c>
      <c r="C308" s="10" t="str">
        <f>_xlfn.IFNA(VLOOKUP(B308,Phase3!A$4:C$1000,3,FALSE),"")</f>
        <v/>
      </c>
      <c r="D308" s="10" t="str">
        <f>_xlfn.IFNA(VLOOKUP($A308,CompChecksTrans!$A:$C,3,FALSE), "     ")</f>
        <v xml:space="preserve">     </v>
      </c>
    </row>
    <row r="309" spans="1:4" x14ac:dyDescent="0.25">
      <c r="A309" s="12" t="s">
        <v>6670</v>
      </c>
      <c r="B309" s="10" t="str">
        <f>_xlfn.IFNA(VLOOKUP($A309,CompChecksTrans!$A:$C,2,FALSE), "")</f>
        <v/>
      </c>
      <c r="C309" s="10" t="str">
        <f>_xlfn.IFNA(VLOOKUP(B309,Phase3!A$4:C$1000,3,FALSE),"")</f>
        <v/>
      </c>
      <c r="D309" s="10" t="str">
        <f>_xlfn.IFNA(VLOOKUP($A309,CompChecksTrans!$A:$C,3,FALSE), "     ")</f>
        <v xml:space="preserve">     </v>
      </c>
    </row>
    <row r="310" spans="1:4" x14ac:dyDescent="0.25">
      <c r="A310" s="12" t="s">
        <v>6671</v>
      </c>
      <c r="B310" s="10" t="str">
        <f>_xlfn.IFNA(VLOOKUP($A310,CompChecksTrans!$A:$C,2,FALSE), "")</f>
        <v/>
      </c>
      <c r="C310" s="10" t="str">
        <f>_xlfn.IFNA(VLOOKUP(B310,Phase3!A$4:C$1000,3,FALSE),"")</f>
        <v/>
      </c>
      <c r="D310" s="10" t="str">
        <f>_xlfn.IFNA(VLOOKUP($A310,CompChecksTrans!$A:$C,3,FALSE), "     ")</f>
        <v xml:space="preserve">     </v>
      </c>
    </row>
    <row r="311" spans="1:4" x14ac:dyDescent="0.25">
      <c r="A311" s="12" t="s">
        <v>6672</v>
      </c>
      <c r="B311" s="10" t="str">
        <f>_xlfn.IFNA(VLOOKUP($A311,CompChecksTrans!$A:$C,2,FALSE), "")</f>
        <v/>
      </c>
      <c r="C311" s="10" t="str">
        <f>_xlfn.IFNA(VLOOKUP(B311,Phase3!A$4:C$1000,3,FALSE),"")</f>
        <v/>
      </c>
      <c r="D311" s="10" t="str">
        <f>_xlfn.IFNA(VLOOKUP($A311,CompChecksTrans!$A:$C,3,FALSE), "     ")</f>
        <v xml:space="preserve">     </v>
      </c>
    </row>
    <row r="312" spans="1:4" x14ac:dyDescent="0.25">
      <c r="A312" s="12" t="s">
        <v>6673</v>
      </c>
      <c r="B312" s="10" t="str">
        <f>_xlfn.IFNA(VLOOKUP($A312,CompChecksTrans!$A:$C,2,FALSE), "")</f>
        <v/>
      </c>
      <c r="C312" s="10" t="str">
        <f>_xlfn.IFNA(VLOOKUP(B312,Phase3!A$4:C$1000,3,FALSE),"")</f>
        <v/>
      </c>
      <c r="D312" s="10" t="str">
        <f>_xlfn.IFNA(VLOOKUP($A312,CompChecksTrans!$A:$C,3,FALSE), "     ")</f>
        <v xml:space="preserve">     </v>
      </c>
    </row>
    <row r="313" spans="1:4" x14ac:dyDescent="0.25">
      <c r="A313" s="12" t="s">
        <v>6674</v>
      </c>
      <c r="B313" s="10" t="str">
        <f>_xlfn.IFNA(VLOOKUP($A313,CompChecksTrans!$A:$C,2,FALSE), "")</f>
        <v/>
      </c>
      <c r="C313" s="10" t="str">
        <f>_xlfn.IFNA(VLOOKUP(B313,Phase3!A$4:C$1000,3,FALSE),"")</f>
        <v/>
      </c>
      <c r="D313" s="10" t="str">
        <f>_xlfn.IFNA(VLOOKUP($A313,CompChecksTrans!$A:$C,3,FALSE), "     ")</f>
        <v xml:space="preserve">     </v>
      </c>
    </row>
    <row r="314" spans="1:4" x14ac:dyDescent="0.25">
      <c r="A314" s="12" t="s">
        <v>6675</v>
      </c>
      <c r="B314" s="10" t="str">
        <f>_xlfn.IFNA(VLOOKUP($A314,CompChecksTrans!$A:$C,2,FALSE), "")</f>
        <v/>
      </c>
      <c r="C314" s="10" t="str">
        <f>_xlfn.IFNA(VLOOKUP(B314,Phase3!A$4:C$1000,3,FALSE),"")</f>
        <v/>
      </c>
      <c r="D314" s="10" t="str">
        <f>_xlfn.IFNA(VLOOKUP($A314,CompChecksTrans!$A:$C,3,FALSE), "     ")</f>
        <v xml:space="preserve">     </v>
      </c>
    </row>
    <row r="315" spans="1:4" x14ac:dyDescent="0.25">
      <c r="A315" s="12" t="s">
        <v>6676</v>
      </c>
      <c r="B315" s="10" t="str">
        <f>_xlfn.IFNA(VLOOKUP($A315,CompChecksTrans!$A:$C,2,FALSE), "")</f>
        <v/>
      </c>
      <c r="C315" s="10" t="str">
        <f>_xlfn.IFNA(VLOOKUP(B315,Phase3!A$4:C$1000,3,FALSE),"")</f>
        <v/>
      </c>
      <c r="D315" s="10" t="str">
        <f>_xlfn.IFNA(VLOOKUP($A315,CompChecksTrans!$A:$C,3,FALSE), "     ")</f>
        <v xml:space="preserve">     </v>
      </c>
    </row>
    <row r="316" spans="1:4" x14ac:dyDescent="0.25">
      <c r="A316" s="12" t="s">
        <v>6677</v>
      </c>
      <c r="B316" s="10" t="str">
        <f>_xlfn.IFNA(VLOOKUP($A316,CompChecksTrans!$A:$C,2,FALSE), "")</f>
        <v/>
      </c>
      <c r="C316" s="10" t="str">
        <f>_xlfn.IFNA(VLOOKUP(B316,Phase3!A$4:C$1000,3,FALSE),"")</f>
        <v/>
      </c>
      <c r="D316" s="10" t="str">
        <f>_xlfn.IFNA(VLOOKUP($A316,CompChecksTrans!$A:$C,3,FALSE), "     ")</f>
        <v xml:space="preserve">     </v>
      </c>
    </row>
    <row r="317" spans="1:4" x14ac:dyDescent="0.25">
      <c r="A317" s="12" t="s">
        <v>6678</v>
      </c>
      <c r="B317" s="10" t="str">
        <f>_xlfn.IFNA(VLOOKUP($A317,CompChecksTrans!$A:$C,2,FALSE), "")</f>
        <v/>
      </c>
      <c r="C317" s="10" t="str">
        <f>_xlfn.IFNA(VLOOKUP(B317,Phase3!A$4:C$1000,3,FALSE),"")</f>
        <v/>
      </c>
      <c r="D317" s="10" t="str">
        <f>_xlfn.IFNA(VLOOKUP($A317,CompChecksTrans!$A:$C,3,FALSE), "     ")</f>
        <v xml:space="preserve">     </v>
      </c>
    </row>
    <row r="318" spans="1:4" x14ac:dyDescent="0.25">
      <c r="A318" s="12" t="s">
        <v>6679</v>
      </c>
      <c r="B318" s="10" t="str">
        <f>_xlfn.IFNA(VLOOKUP($A318,CompChecksTrans!$A:$C,2,FALSE), "")</f>
        <v/>
      </c>
      <c r="C318" s="10" t="str">
        <f>_xlfn.IFNA(VLOOKUP(B318,Phase3!A$4:C$1000,3,FALSE),"")</f>
        <v/>
      </c>
      <c r="D318" s="10" t="str">
        <f>_xlfn.IFNA(VLOOKUP($A318,CompChecksTrans!$A:$C,3,FALSE), "     ")</f>
        <v xml:space="preserve">     </v>
      </c>
    </row>
    <row r="319" spans="1:4" x14ac:dyDescent="0.25">
      <c r="A319" s="12" t="s">
        <v>6680</v>
      </c>
      <c r="B319" s="10" t="str">
        <f>_xlfn.IFNA(VLOOKUP($A319,CompChecksTrans!$A:$C,2,FALSE), "")</f>
        <v/>
      </c>
      <c r="C319" s="10" t="str">
        <f>_xlfn.IFNA(VLOOKUP(B319,Phase3!A$4:C$1000,3,FALSE),"")</f>
        <v/>
      </c>
      <c r="D319" s="10" t="str">
        <f>_xlfn.IFNA(VLOOKUP($A319,CompChecksTrans!$A:$C,3,FALSE), "     ")</f>
        <v xml:space="preserve">     </v>
      </c>
    </row>
    <row r="320" spans="1:4" x14ac:dyDescent="0.25">
      <c r="A320" s="12" t="s">
        <v>6681</v>
      </c>
      <c r="B320" s="10" t="str">
        <f>_xlfn.IFNA(VLOOKUP($A320,CompChecksTrans!$A:$C,2,FALSE), "")</f>
        <v/>
      </c>
      <c r="C320" s="10" t="str">
        <f>_xlfn.IFNA(VLOOKUP(B320,Phase3!A$4:C$1000,3,FALSE),"")</f>
        <v/>
      </c>
      <c r="D320" s="10" t="str">
        <f>_xlfn.IFNA(VLOOKUP($A320,CompChecksTrans!$A:$C,3,FALSE), "     ")</f>
        <v xml:space="preserve">     </v>
      </c>
    </row>
    <row r="321" spans="1:4" x14ac:dyDescent="0.25">
      <c r="A321" s="12" t="s">
        <v>6682</v>
      </c>
      <c r="B321" s="10" t="str">
        <f>_xlfn.IFNA(VLOOKUP($A321,CompChecksTrans!$A:$C,2,FALSE), "")</f>
        <v/>
      </c>
      <c r="C321" s="10" t="str">
        <f>_xlfn.IFNA(VLOOKUP(B321,Phase3!A$4:C$1000,3,FALSE),"")</f>
        <v/>
      </c>
      <c r="D321" s="10" t="str">
        <f>_xlfn.IFNA(VLOOKUP($A321,CompChecksTrans!$A:$C,3,FALSE), "     ")</f>
        <v xml:space="preserve">     </v>
      </c>
    </row>
    <row r="322" spans="1:4" x14ac:dyDescent="0.25">
      <c r="A322" s="12" t="s">
        <v>6683</v>
      </c>
      <c r="B322" s="10" t="str">
        <f>_xlfn.IFNA(VLOOKUP($A322,CompChecksTrans!$A:$C,2,FALSE), "")</f>
        <v/>
      </c>
      <c r="C322" s="10" t="str">
        <f>_xlfn.IFNA(VLOOKUP(B322,Phase3!A$4:C$1000,3,FALSE),"")</f>
        <v/>
      </c>
      <c r="D322" s="10" t="str">
        <f>_xlfn.IFNA(VLOOKUP($A322,CompChecksTrans!$A:$C,3,FALSE), "     ")</f>
        <v xml:space="preserve">     </v>
      </c>
    </row>
    <row r="323" spans="1:4" x14ac:dyDescent="0.25">
      <c r="A323" s="12" t="s">
        <v>6684</v>
      </c>
      <c r="B323" s="10" t="str">
        <f>_xlfn.IFNA(VLOOKUP($A323,CompChecksTrans!$A:$C,2,FALSE), "")</f>
        <v/>
      </c>
      <c r="C323" s="10" t="str">
        <f>_xlfn.IFNA(VLOOKUP(B323,Phase3!A$4:C$1000,3,FALSE),"")</f>
        <v/>
      </c>
      <c r="D323" s="10" t="str">
        <f>_xlfn.IFNA(VLOOKUP($A323,CompChecksTrans!$A:$C,3,FALSE), "     ")</f>
        <v xml:space="preserve">     </v>
      </c>
    </row>
    <row r="324" spans="1:4" x14ac:dyDescent="0.25">
      <c r="A324" s="12" t="s">
        <v>6685</v>
      </c>
      <c r="B324" s="10" t="str">
        <f>_xlfn.IFNA(VLOOKUP($A324,CompChecksTrans!$A:$C,2,FALSE), "")</f>
        <v/>
      </c>
      <c r="C324" s="10" t="str">
        <f>_xlfn.IFNA(VLOOKUP(B324,Phase3!A$4:C$1000,3,FALSE),"")</f>
        <v/>
      </c>
      <c r="D324" s="10" t="str">
        <f>_xlfn.IFNA(VLOOKUP($A324,CompChecksTrans!$A:$C,3,FALSE), "     ")</f>
        <v xml:space="preserve">     </v>
      </c>
    </row>
    <row r="325" spans="1:4" x14ac:dyDescent="0.25">
      <c r="A325" s="12" t="s">
        <v>6686</v>
      </c>
      <c r="B325" s="10" t="str">
        <f>_xlfn.IFNA(VLOOKUP($A325,CompChecksTrans!$A:$C,2,FALSE), "")</f>
        <v/>
      </c>
      <c r="C325" s="10" t="str">
        <f>_xlfn.IFNA(VLOOKUP(B325,Phase3!A$4:C$1000,3,FALSE),"")</f>
        <v/>
      </c>
      <c r="D325" s="10" t="str">
        <f>_xlfn.IFNA(VLOOKUP($A325,CompChecksTrans!$A:$C,3,FALSE), "     ")</f>
        <v xml:space="preserve">     </v>
      </c>
    </row>
    <row r="326" spans="1:4" x14ac:dyDescent="0.25">
      <c r="A326" s="12" t="s">
        <v>6687</v>
      </c>
      <c r="B326" s="10" t="str">
        <f>_xlfn.IFNA(VLOOKUP($A326,CompChecksTrans!$A:$C,2,FALSE), "")</f>
        <v/>
      </c>
      <c r="C326" s="10" t="str">
        <f>_xlfn.IFNA(VLOOKUP(B326,Phase3!A$4:C$1000,3,FALSE),"")</f>
        <v/>
      </c>
      <c r="D326" s="10" t="str">
        <f>_xlfn.IFNA(VLOOKUP($A326,CompChecksTrans!$A:$C,3,FALSE), "     ")</f>
        <v xml:space="preserve">     </v>
      </c>
    </row>
    <row r="327" spans="1:4" x14ac:dyDescent="0.25">
      <c r="A327" s="12" t="s">
        <v>6688</v>
      </c>
      <c r="B327" s="10" t="str">
        <f>_xlfn.IFNA(VLOOKUP($A327,CompChecksTrans!$A:$C,2,FALSE), "")</f>
        <v/>
      </c>
      <c r="C327" s="10" t="str">
        <f>_xlfn.IFNA(VLOOKUP(B327,Phase3!A$4:C$1000,3,FALSE),"")</f>
        <v/>
      </c>
      <c r="D327" s="10" t="str">
        <f>_xlfn.IFNA(VLOOKUP($A327,CompChecksTrans!$A:$C,3,FALSE), "     ")</f>
        <v xml:space="preserve">     </v>
      </c>
    </row>
    <row r="328" spans="1:4" x14ac:dyDescent="0.25">
      <c r="A328" s="12" t="s">
        <v>6689</v>
      </c>
      <c r="B328" s="10" t="str">
        <f>_xlfn.IFNA(VLOOKUP($A328,CompChecksTrans!$A:$C,2,FALSE), "")</f>
        <v/>
      </c>
      <c r="C328" s="10" t="str">
        <f>_xlfn.IFNA(VLOOKUP(B328,Phase3!A$4:C$1000,3,FALSE),"")</f>
        <v/>
      </c>
      <c r="D328" s="10" t="str">
        <f>_xlfn.IFNA(VLOOKUP($A328,CompChecksTrans!$A:$C,3,FALSE), "     ")</f>
        <v xml:space="preserve">     </v>
      </c>
    </row>
    <row r="329" spans="1:4" x14ac:dyDescent="0.25">
      <c r="A329" s="12" t="s">
        <v>6690</v>
      </c>
      <c r="B329" s="10" t="str">
        <f>_xlfn.IFNA(VLOOKUP($A329,CompChecksTrans!$A:$C,2,FALSE), "")</f>
        <v/>
      </c>
      <c r="C329" s="10" t="str">
        <f>_xlfn.IFNA(VLOOKUP(B329,Phase3!A$4:C$1000,3,FALSE),"")</f>
        <v/>
      </c>
      <c r="D329" s="10" t="str">
        <f>_xlfn.IFNA(VLOOKUP($A329,CompChecksTrans!$A:$C,3,FALSE), "     ")</f>
        <v xml:space="preserve">     </v>
      </c>
    </row>
    <row r="330" spans="1:4" x14ac:dyDescent="0.25">
      <c r="A330" s="12" t="s">
        <v>6691</v>
      </c>
      <c r="B330" s="10" t="str">
        <f>_xlfn.IFNA(VLOOKUP($A330,CompChecksTrans!$A:$C,2,FALSE), "")</f>
        <v/>
      </c>
      <c r="C330" s="10" t="str">
        <f>_xlfn.IFNA(VLOOKUP(B330,Phase3!A$4:C$1000,3,FALSE),"")</f>
        <v/>
      </c>
      <c r="D330" s="10" t="str">
        <f>_xlfn.IFNA(VLOOKUP($A330,CompChecksTrans!$A:$C,3,FALSE), "     ")</f>
        <v xml:space="preserve">     </v>
      </c>
    </row>
    <row r="331" spans="1:4" x14ac:dyDescent="0.25">
      <c r="A331" s="12" t="s">
        <v>6692</v>
      </c>
      <c r="B331" s="10" t="str">
        <f>_xlfn.IFNA(VLOOKUP($A331,CompChecksTrans!$A:$C,2,FALSE), "")</f>
        <v/>
      </c>
      <c r="C331" s="10" t="str">
        <f>_xlfn.IFNA(VLOOKUP(B331,Phase3!A$4:C$1000,3,FALSE),"")</f>
        <v/>
      </c>
      <c r="D331" s="10" t="str">
        <f>_xlfn.IFNA(VLOOKUP($A331,CompChecksTrans!$A:$C,3,FALSE), "     ")</f>
        <v xml:space="preserve">     </v>
      </c>
    </row>
    <row r="332" spans="1:4" x14ac:dyDescent="0.25">
      <c r="A332" s="12" t="s">
        <v>6693</v>
      </c>
      <c r="B332" s="10" t="str">
        <f>_xlfn.IFNA(VLOOKUP($A332,CompChecksTrans!$A:$C,2,FALSE), "")</f>
        <v/>
      </c>
      <c r="C332" s="10" t="str">
        <f>_xlfn.IFNA(VLOOKUP(B332,Phase3!A$4:C$1000,3,FALSE),"")</f>
        <v/>
      </c>
      <c r="D332" s="10" t="str">
        <f>_xlfn.IFNA(VLOOKUP($A332,CompChecksTrans!$A:$C,3,FALSE), "     ")</f>
        <v xml:space="preserve">     </v>
      </c>
    </row>
    <row r="333" spans="1:4" x14ac:dyDescent="0.25">
      <c r="A333" s="12" t="s">
        <v>6694</v>
      </c>
      <c r="B333" s="10" t="str">
        <f>_xlfn.IFNA(VLOOKUP($A333,CompChecksTrans!$A:$C,2,FALSE), "")</f>
        <v/>
      </c>
      <c r="C333" s="10" t="str">
        <f>_xlfn.IFNA(VLOOKUP(B333,Phase3!A$4:C$1000,3,FALSE),"")</f>
        <v/>
      </c>
      <c r="D333" s="10" t="str">
        <f>_xlfn.IFNA(VLOOKUP($A333,CompChecksTrans!$A:$C,3,FALSE), "     ")</f>
        <v xml:space="preserve">     </v>
      </c>
    </row>
    <row r="334" spans="1:4" x14ac:dyDescent="0.25">
      <c r="A334" s="12" t="s">
        <v>6695</v>
      </c>
      <c r="B334" s="10" t="str">
        <f>_xlfn.IFNA(VLOOKUP($A334,CompChecksTrans!$A:$C,2,FALSE), "")</f>
        <v/>
      </c>
      <c r="C334" s="10" t="str">
        <f>_xlfn.IFNA(VLOOKUP(B334,Phase3!A$4:C$1000,3,FALSE),"")</f>
        <v/>
      </c>
      <c r="D334" s="10" t="str">
        <f>_xlfn.IFNA(VLOOKUP($A334,CompChecksTrans!$A:$C,3,FALSE), "     ")</f>
        <v xml:space="preserve">     </v>
      </c>
    </row>
    <row r="335" spans="1:4" x14ac:dyDescent="0.25">
      <c r="A335" s="12" t="s">
        <v>6696</v>
      </c>
      <c r="B335" s="10" t="str">
        <f>_xlfn.IFNA(VLOOKUP($A335,CompChecksTrans!$A:$C,2,FALSE), "")</f>
        <v/>
      </c>
      <c r="C335" s="10" t="str">
        <f>_xlfn.IFNA(VLOOKUP(B335,Phase3!A$4:C$1000,3,FALSE),"")</f>
        <v/>
      </c>
      <c r="D335" s="10" t="str">
        <f>_xlfn.IFNA(VLOOKUP($A335,CompChecksTrans!$A:$C,3,FALSE), "     ")</f>
        <v xml:space="preserve">     </v>
      </c>
    </row>
    <row r="336" spans="1:4" x14ac:dyDescent="0.25">
      <c r="A336" s="12" t="s">
        <v>6697</v>
      </c>
      <c r="B336" s="10" t="str">
        <f>_xlfn.IFNA(VLOOKUP($A336,CompChecksTrans!$A:$C,2,FALSE), "")</f>
        <v/>
      </c>
      <c r="C336" s="10" t="str">
        <f>_xlfn.IFNA(VLOOKUP(B336,Phase3!A$4:C$1000,3,FALSE),"")</f>
        <v/>
      </c>
      <c r="D336" s="10" t="str">
        <f>_xlfn.IFNA(VLOOKUP($A336,CompChecksTrans!$A:$C,3,FALSE), "     ")</f>
        <v xml:space="preserve">     </v>
      </c>
    </row>
    <row r="337" spans="1:4" x14ac:dyDescent="0.25">
      <c r="A337" s="12" t="s">
        <v>6698</v>
      </c>
      <c r="B337" s="10" t="str">
        <f>_xlfn.IFNA(VLOOKUP($A337,CompChecksTrans!$A:$C,2,FALSE), "")</f>
        <v/>
      </c>
      <c r="C337" s="10" t="str">
        <f>_xlfn.IFNA(VLOOKUP(B337,Phase3!A$4:C$1000,3,FALSE),"")</f>
        <v/>
      </c>
      <c r="D337" s="10" t="str">
        <f>_xlfn.IFNA(VLOOKUP($A337,CompChecksTrans!$A:$C,3,FALSE), "     ")</f>
        <v xml:space="preserve">     </v>
      </c>
    </row>
    <row r="338" spans="1:4" x14ac:dyDescent="0.25">
      <c r="A338" s="12" t="s">
        <v>6699</v>
      </c>
      <c r="B338" s="10" t="str">
        <f>_xlfn.IFNA(VLOOKUP($A338,CompChecksTrans!$A:$C,2,FALSE), "")</f>
        <v/>
      </c>
      <c r="C338" s="10" t="str">
        <f>_xlfn.IFNA(VLOOKUP(B338,Phase3!A$4:C$1000,3,FALSE),"")</f>
        <v/>
      </c>
      <c r="D338" s="10" t="str">
        <f>_xlfn.IFNA(VLOOKUP($A338,CompChecksTrans!$A:$C,3,FALSE), "     ")</f>
        <v xml:space="preserve">     </v>
      </c>
    </row>
    <row r="339" spans="1:4" x14ac:dyDescent="0.25">
      <c r="A339" s="12" t="s">
        <v>6700</v>
      </c>
      <c r="B339" s="10" t="str">
        <f>_xlfn.IFNA(VLOOKUP($A339,CompChecksTrans!$A:$C,2,FALSE), "")</f>
        <v/>
      </c>
      <c r="C339" s="10" t="str">
        <f>_xlfn.IFNA(VLOOKUP(B339,Phase3!A$4:C$1000,3,FALSE),"")</f>
        <v/>
      </c>
      <c r="D339" s="10" t="str">
        <f>_xlfn.IFNA(VLOOKUP($A339,CompChecksTrans!$A:$C,3,FALSE), "     ")</f>
        <v xml:space="preserve">     </v>
      </c>
    </row>
    <row r="340" spans="1:4" x14ac:dyDescent="0.25">
      <c r="A340" s="12" t="s">
        <v>6701</v>
      </c>
      <c r="B340" s="10" t="str">
        <f>_xlfn.IFNA(VLOOKUP($A340,CompChecksTrans!$A:$C,2,FALSE), "")</f>
        <v/>
      </c>
      <c r="C340" s="10" t="str">
        <f>_xlfn.IFNA(VLOOKUP(B340,Phase3!A$4:C$1000,3,FALSE),"")</f>
        <v/>
      </c>
      <c r="D340" s="10" t="str">
        <f>_xlfn.IFNA(VLOOKUP($A340,CompChecksTrans!$A:$C,3,FALSE), "     ")</f>
        <v xml:space="preserve">     </v>
      </c>
    </row>
    <row r="341" spans="1:4" x14ac:dyDescent="0.25">
      <c r="A341" s="12" t="s">
        <v>6702</v>
      </c>
      <c r="B341" s="10" t="str">
        <f>_xlfn.IFNA(VLOOKUP($A341,CompChecksTrans!$A:$C,2,FALSE), "")</f>
        <v/>
      </c>
      <c r="C341" s="10" t="str">
        <f>_xlfn.IFNA(VLOOKUP(B341,Phase3!A$4:C$1000,3,FALSE),"")</f>
        <v/>
      </c>
      <c r="D341" s="10" t="str">
        <f>_xlfn.IFNA(VLOOKUP($A341,CompChecksTrans!$A:$C,3,FALSE), "     ")</f>
        <v xml:space="preserve">     </v>
      </c>
    </row>
    <row r="342" spans="1:4" x14ac:dyDescent="0.25">
      <c r="A342" s="12" t="s">
        <v>6703</v>
      </c>
      <c r="B342" s="10" t="str">
        <f>_xlfn.IFNA(VLOOKUP($A342,CompChecksTrans!$A:$C,2,FALSE), "")</f>
        <v/>
      </c>
      <c r="C342" s="10" t="str">
        <f>_xlfn.IFNA(VLOOKUP(B342,Phase3!A$4:C$1000,3,FALSE),"")</f>
        <v/>
      </c>
      <c r="D342" s="10" t="str">
        <f>_xlfn.IFNA(VLOOKUP($A342,CompChecksTrans!$A:$C,3,FALSE), "     ")</f>
        <v xml:space="preserve">     </v>
      </c>
    </row>
    <row r="343" spans="1:4" x14ac:dyDescent="0.25">
      <c r="A343" s="12" t="s">
        <v>6704</v>
      </c>
      <c r="B343" s="10" t="str">
        <f>_xlfn.IFNA(VLOOKUP($A343,CompChecksTrans!$A:$C,2,FALSE), "")</f>
        <v/>
      </c>
      <c r="C343" s="10" t="str">
        <f>_xlfn.IFNA(VLOOKUP(B343,Phase3!A$4:C$1000,3,FALSE),"")</f>
        <v/>
      </c>
      <c r="D343" s="10" t="str">
        <f>_xlfn.IFNA(VLOOKUP($A343,CompChecksTrans!$A:$C,3,FALSE), "     ")</f>
        <v xml:space="preserve">     </v>
      </c>
    </row>
    <row r="344" spans="1:4" x14ac:dyDescent="0.25">
      <c r="A344" s="12" t="s">
        <v>6705</v>
      </c>
      <c r="B344" s="10" t="str">
        <f>_xlfn.IFNA(VLOOKUP($A344,CompChecksTrans!$A:$C,2,FALSE), "")</f>
        <v/>
      </c>
      <c r="C344" s="10" t="str">
        <f>_xlfn.IFNA(VLOOKUP(B344,Phase3!A$4:C$1000,3,FALSE),"")</f>
        <v/>
      </c>
      <c r="D344" s="10" t="str">
        <f>_xlfn.IFNA(VLOOKUP($A344,CompChecksTrans!$A:$C,3,FALSE), "     ")</f>
        <v xml:space="preserve">     </v>
      </c>
    </row>
    <row r="345" spans="1:4" x14ac:dyDescent="0.25">
      <c r="A345" s="12" t="s">
        <v>6706</v>
      </c>
      <c r="B345" s="10" t="str">
        <f>_xlfn.IFNA(VLOOKUP($A345,CompChecksTrans!$A:$C,2,FALSE), "")</f>
        <v/>
      </c>
      <c r="C345" s="10" t="str">
        <f>_xlfn.IFNA(VLOOKUP(B345,Phase3!A$4:C$1000,3,FALSE),"")</f>
        <v/>
      </c>
      <c r="D345" s="10" t="str">
        <f>_xlfn.IFNA(VLOOKUP($A345,CompChecksTrans!$A:$C,3,FALSE), "     ")</f>
        <v xml:space="preserve">     </v>
      </c>
    </row>
    <row r="346" spans="1:4" x14ac:dyDescent="0.25">
      <c r="A346" s="12" t="s">
        <v>6707</v>
      </c>
      <c r="B346" s="10" t="str">
        <f>_xlfn.IFNA(VLOOKUP($A346,CompChecksTrans!$A:$C,2,FALSE), "")</f>
        <v/>
      </c>
      <c r="C346" s="10" t="str">
        <f>_xlfn.IFNA(VLOOKUP(B346,Phase3!A$4:C$1000,3,FALSE),"")</f>
        <v/>
      </c>
      <c r="D346" s="10" t="str">
        <f>_xlfn.IFNA(VLOOKUP($A346,CompChecksTrans!$A:$C,3,FALSE), "     ")</f>
        <v xml:space="preserve">     </v>
      </c>
    </row>
    <row r="347" spans="1:4" x14ac:dyDescent="0.25">
      <c r="A347" s="12" t="s">
        <v>6708</v>
      </c>
      <c r="B347" s="10" t="str">
        <f>_xlfn.IFNA(VLOOKUP($A347,CompChecksTrans!$A:$C,2,FALSE), "")</f>
        <v/>
      </c>
      <c r="C347" s="10" t="str">
        <f>_xlfn.IFNA(VLOOKUP(B347,Phase3!A$4:C$1000,3,FALSE),"")</f>
        <v/>
      </c>
      <c r="D347" s="10" t="str">
        <f>_xlfn.IFNA(VLOOKUP($A347,CompChecksTrans!$A:$C,3,FALSE), "     ")</f>
        <v xml:space="preserve">     </v>
      </c>
    </row>
    <row r="348" spans="1:4" x14ac:dyDescent="0.25">
      <c r="A348" s="12" t="s">
        <v>6709</v>
      </c>
      <c r="B348" s="10" t="str">
        <f>_xlfn.IFNA(VLOOKUP($A348,CompChecksTrans!$A:$C,2,FALSE), "")</f>
        <v/>
      </c>
      <c r="C348" s="10" t="str">
        <f>_xlfn.IFNA(VLOOKUP(B348,Phase3!A$4:C$1000,3,FALSE),"")</f>
        <v/>
      </c>
      <c r="D348" s="10" t="str">
        <f>_xlfn.IFNA(VLOOKUP($A348,CompChecksTrans!$A:$C,3,FALSE), "     ")</f>
        <v xml:space="preserve">     </v>
      </c>
    </row>
    <row r="349" spans="1:4" x14ac:dyDescent="0.25">
      <c r="A349" s="12" t="s">
        <v>6710</v>
      </c>
      <c r="B349" s="10" t="str">
        <f>_xlfn.IFNA(VLOOKUP($A349,CompChecksTrans!$A:$C,2,FALSE), "")</f>
        <v/>
      </c>
      <c r="C349" s="10" t="str">
        <f>_xlfn.IFNA(VLOOKUP(B349,Phase3!A$4:C$1000,3,FALSE),"")</f>
        <v/>
      </c>
      <c r="D349" s="10" t="str">
        <f>_xlfn.IFNA(VLOOKUP($A349,CompChecksTrans!$A:$C,3,FALSE), "     ")</f>
        <v xml:space="preserve">     </v>
      </c>
    </row>
    <row r="350" spans="1:4" x14ac:dyDescent="0.25">
      <c r="A350" s="12" t="s">
        <v>6711</v>
      </c>
      <c r="B350" s="10" t="str">
        <f>_xlfn.IFNA(VLOOKUP($A350,CompChecksTrans!$A:$C,2,FALSE), "")</f>
        <v/>
      </c>
      <c r="C350" s="10" t="str">
        <f>_xlfn.IFNA(VLOOKUP(B350,Phase3!A$4:C$1000,3,FALSE),"")</f>
        <v/>
      </c>
      <c r="D350" s="10" t="str">
        <f>_xlfn.IFNA(VLOOKUP($A350,CompChecksTrans!$A:$C,3,FALSE), "     ")</f>
        <v xml:space="preserve">     </v>
      </c>
    </row>
    <row r="351" spans="1:4" x14ac:dyDescent="0.25">
      <c r="A351" s="12" t="s">
        <v>6712</v>
      </c>
      <c r="B351" s="10" t="str">
        <f>_xlfn.IFNA(VLOOKUP($A351,CompChecksTrans!$A:$C,2,FALSE), "")</f>
        <v/>
      </c>
      <c r="C351" s="10" t="str">
        <f>_xlfn.IFNA(VLOOKUP(B351,Phase3!A$4:C$1000,3,FALSE),"")</f>
        <v/>
      </c>
      <c r="D351" s="10" t="str">
        <f>_xlfn.IFNA(VLOOKUP($A351,CompChecksTrans!$A:$C,3,FALSE), "     ")</f>
        <v xml:space="preserve">     </v>
      </c>
    </row>
    <row r="352" spans="1:4" x14ac:dyDescent="0.25">
      <c r="A352" s="12" t="s">
        <v>6713</v>
      </c>
      <c r="B352" s="10" t="str">
        <f>_xlfn.IFNA(VLOOKUP($A352,CompChecksTrans!$A:$C,2,FALSE), "")</f>
        <v/>
      </c>
      <c r="C352" s="10" t="str">
        <f>_xlfn.IFNA(VLOOKUP(B352,Phase3!A$4:C$1000,3,FALSE),"")</f>
        <v/>
      </c>
      <c r="D352" s="10" t="str">
        <f>_xlfn.IFNA(VLOOKUP($A352,CompChecksTrans!$A:$C,3,FALSE), "     ")</f>
        <v xml:space="preserve">     </v>
      </c>
    </row>
    <row r="353" spans="1:4" x14ac:dyDescent="0.25">
      <c r="A353" s="12" t="s">
        <v>6714</v>
      </c>
      <c r="B353" s="10" t="str">
        <f>_xlfn.IFNA(VLOOKUP($A353,CompChecksTrans!$A:$C,2,FALSE), "")</f>
        <v/>
      </c>
      <c r="C353" s="10" t="str">
        <f>_xlfn.IFNA(VLOOKUP(B353,Phase3!A$4:C$1000,3,FALSE),"")</f>
        <v/>
      </c>
      <c r="D353" s="10" t="str">
        <f>_xlfn.IFNA(VLOOKUP($A353,CompChecksTrans!$A:$C,3,FALSE), "     ")</f>
        <v xml:space="preserve">     </v>
      </c>
    </row>
    <row r="354" spans="1:4" x14ac:dyDescent="0.25">
      <c r="A354" s="12" t="s">
        <v>6715</v>
      </c>
      <c r="B354" s="10" t="str">
        <f>_xlfn.IFNA(VLOOKUP($A354,CompChecksTrans!$A:$C,2,FALSE), "")</f>
        <v/>
      </c>
      <c r="C354" s="10" t="str">
        <f>_xlfn.IFNA(VLOOKUP(B354,Phase3!A$4:C$1000,3,FALSE),"")</f>
        <v/>
      </c>
      <c r="D354" s="10" t="str">
        <f>_xlfn.IFNA(VLOOKUP($A354,CompChecksTrans!$A:$C,3,FALSE), "     ")</f>
        <v xml:space="preserve">     </v>
      </c>
    </row>
    <row r="355" spans="1:4" x14ac:dyDescent="0.25">
      <c r="A355" s="12" t="s">
        <v>6716</v>
      </c>
      <c r="B355" s="10" t="str">
        <f>_xlfn.IFNA(VLOOKUP($A355,CompChecksTrans!$A:$C,2,FALSE), "")</f>
        <v/>
      </c>
      <c r="C355" s="10" t="str">
        <f>_xlfn.IFNA(VLOOKUP(B355,Phase3!A$4:C$1000,3,FALSE),"")</f>
        <v/>
      </c>
      <c r="D355" s="10" t="str">
        <f>_xlfn.IFNA(VLOOKUP($A355,CompChecksTrans!$A:$C,3,FALSE), "     ")</f>
        <v xml:space="preserve">     </v>
      </c>
    </row>
    <row r="356" spans="1:4" x14ac:dyDescent="0.25">
      <c r="A356" s="12" t="s">
        <v>6717</v>
      </c>
      <c r="B356" s="10" t="str">
        <f>_xlfn.IFNA(VLOOKUP($A356,CompChecksTrans!$A:$C,2,FALSE), "")</f>
        <v/>
      </c>
      <c r="C356" s="10" t="str">
        <f>_xlfn.IFNA(VLOOKUP(B356,Phase3!A$4:C$1000,3,FALSE),"")</f>
        <v/>
      </c>
      <c r="D356" s="10" t="str">
        <f>_xlfn.IFNA(VLOOKUP($A356,CompChecksTrans!$A:$C,3,FALSE), "     ")</f>
        <v xml:space="preserve">     </v>
      </c>
    </row>
    <row r="357" spans="1:4" x14ac:dyDescent="0.25">
      <c r="A357" s="12" t="s">
        <v>6718</v>
      </c>
      <c r="B357" s="10" t="str">
        <f>_xlfn.IFNA(VLOOKUP($A357,CompChecksTrans!$A:$C,2,FALSE), "")</f>
        <v/>
      </c>
      <c r="C357" s="10" t="str">
        <f>_xlfn.IFNA(VLOOKUP(B357,Phase3!A$4:C$1000,3,FALSE),"")</f>
        <v/>
      </c>
      <c r="D357" s="10" t="str">
        <f>_xlfn.IFNA(VLOOKUP($A357,CompChecksTrans!$A:$C,3,FALSE), "     ")</f>
        <v xml:space="preserve">     </v>
      </c>
    </row>
    <row r="358" spans="1:4" x14ac:dyDescent="0.25">
      <c r="A358" s="12" t="s">
        <v>6719</v>
      </c>
      <c r="B358" s="10" t="str">
        <f>_xlfn.IFNA(VLOOKUP($A358,CompChecksTrans!$A:$C,2,FALSE), "")</f>
        <v/>
      </c>
      <c r="C358" s="10" t="str">
        <f>_xlfn.IFNA(VLOOKUP(B358,Phase3!A$4:C$1000,3,FALSE),"")</f>
        <v/>
      </c>
      <c r="D358" s="10" t="str">
        <f>_xlfn.IFNA(VLOOKUP($A358,CompChecksTrans!$A:$C,3,FALSE), "     ")</f>
        <v xml:space="preserve">     </v>
      </c>
    </row>
    <row r="359" spans="1:4" x14ac:dyDescent="0.25">
      <c r="A359" s="12" t="s">
        <v>6720</v>
      </c>
      <c r="B359" s="10" t="str">
        <f>_xlfn.IFNA(VLOOKUP($A359,CompChecksTrans!$A:$C,2,FALSE), "")</f>
        <v/>
      </c>
      <c r="C359" s="10" t="str">
        <f>_xlfn.IFNA(VLOOKUP(B359,Phase3!A$4:C$1000,3,FALSE),"")</f>
        <v/>
      </c>
      <c r="D359" s="10" t="str">
        <f>_xlfn.IFNA(VLOOKUP($A359,CompChecksTrans!$A:$C,3,FALSE), "     ")</f>
        <v xml:space="preserve">     </v>
      </c>
    </row>
    <row r="360" spans="1:4" x14ac:dyDescent="0.25">
      <c r="A360" s="12" t="s">
        <v>6721</v>
      </c>
      <c r="B360" s="10" t="str">
        <f>_xlfn.IFNA(VLOOKUP($A360,CompChecksTrans!$A:$C,2,FALSE), "")</f>
        <v/>
      </c>
      <c r="C360" s="10" t="str">
        <f>_xlfn.IFNA(VLOOKUP(B360,Phase3!A$4:C$1000,3,FALSE),"")</f>
        <v/>
      </c>
      <c r="D360" s="10" t="str">
        <f>_xlfn.IFNA(VLOOKUP($A360,CompChecksTrans!$A:$C,3,FALSE), "     ")</f>
        <v xml:space="preserve">     </v>
      </c>
    </row>
    <row r="361" spans="1:4" x14ac:dyDescent="0.25">
      <c r="A361" s="12" t="s">
        <v>6722</v>
      </c>
      <c r="B361" s="10" t="str">
        <f>_xlfn.IFNA(VLOOKUP($A361,CompChecksTrans!$A:$C,2,FALSE), "")</f>
        <v/>
      </c>
      <c r="C361" s="10" t="str">
        <f>_xlfn.IFNA(VLOOKUP(B361,Phase3!A$4:C$1000,3,FALSE),"")</f>
        <v/>
      </c>
      <c r="D361" s="10" t="str">
        <f>_xlfn.IFNA(VLOOKUP($A361,CompChecksTrans!$A:$C,3,FALSE), "     ")</f>
        <v xml:space="preserve">     </v>
      </c>
    </row>
    <row r="362" spans="1:4" x14ac:dyDescent="0.25">
      <c r="A362" s="12" t="s">
        <v>6723</v>
      </c>
      <c r="B362" s="10" t="str">
        <f>_xlfn.IFNA(VLOOKUP($A362,CompChecksTrans!$A:$C,2,FALSE), "")</f>
        <v/>
      </c>
      <c r="C362" s="10" t="str">
        <f>_xlfn.IFNA(VLOOKUP(B362,Phase3!A$4:C$1000,3,FALSE),"")</f>
        <v/>
      </c>
      <c r="D362" s="10" t="str">
        <f>_xlfn.IFNA(VLOOKUP($A362,CompChecksTrans!$A:$C,3,FALSE), "     ")</f>
        <v xml:space="preserve">     </v>
      </c>
    </row>
    <row r="363" spans="1:4" x14ac:dyDescent="0.25">
      <c r="A363" s="12" t="s">
        <v>6724</v>
      </c>
      <c r="B363" s="10" t="str">
        <f>_xlfn.IFNA(VLOOKUP($A363,CompChecksTrans!$A:$C,2,FALSE), "")</f>
        <v/>
      </c>
      <c r="C363" s="10" t="str">
        <f>_xlfn.IFNA(VLOOKUP(B363,Phase3!A$4:C$1000,3,FALSE),"")</f>
        <v/>
      </c>
      <c r="D363" s="10" t="str">
        <f>_xlfn.IFNA(VLOOKUP($A363,CompChecksTrans!$A:$C,3,FALSE), "     ")</f>
        <v xml:space="preserve">     </v>
      </c>
    </row>
    <row r="364" spans="1:4" x14ac:dyDescent="0.25">
      <c r="A364" s="12" t="s">
        <v>6725</v>
      </c>
      <c r="B364" s="10" t="str">
        <f>_xlfn.IFNA(VLOOKUP($A364,CompChecksTrans!$A:$C,2,FALSE), "")</f>
        <v/>
      </c>
      <c r="C364" s="10" t="str">
        <f>_xlfn.IFNA(VLOOKUP(B364,Phase3!A$4:C$1000,3,FALSE),"")</f>
        <v/>
      </c>
      <c r="D364" s="10" t="str">
        <f>_xlfn.IFNA(VLOOKUP($A364,CompChecksTrans!$A:$C,3,FALSE), "     ")</f>
        <v xml:space="preserve">     </v>
      </c>
    </row>
    <row r="365" spans="1:4" x14ac:dyDescent="0.25">
      <c r="A365" s="12" t="s">
        <v>6726</v>
      </c>
      <c r="B365" s="10" t="str">
        <f>_xlfn.IFNA(VLOOKUP($A365,CompChecksTrans!$A:$C,2,FALSE), "")</f>
        <v/>
      </c>
      <c r="C365" s="10" t="str">
        <f>_xlfn.IFNA(VLOOKUP(B365,Phase3!A$4:C$1000,3,FALSE),"")</f>
        <v/>
      </c>
      <c r="D365" s="10" t="str">
        <f>_xlfn.IFNA(VLOOKUP($A365,CompChecksTrans!$A:$C,3,FALSE), "     ")</f>
        <v xml:space="preserve">     </v>
      </c>
    </row>
    <row r="366" spans="1:4" x14ac:dyDescent="0.25">
      <c r="A366" s="12" t="s">
        <v>6727</v>
      </c>
      <c r="B366" s="10" t="str">
        <f>_xlfn.IFNA(VLOOKUP($A366,CompChecksTrans!$A:$C,2,FALSE), "")</f>
        <v/>
      </c>
      <c r="C366" s="10" t="str">
        <f>_xlfn.IFNA(VLOOKUP(B366,Phase3!A$4:C$1000,3,FALSE),"")</f>
        <v/>
      </c>
      <c r="D366" s="10" t="str">
        <f>_xlfn.IFNA(VLOOKUP($A366,CompChecksTrans!$A:$C,3,FALSE), "     ")</f>
        <v xml:space="preserve">     </v>
      </c>
    </row>
    <row r="367" spans="1:4" x14ac:dyDescent="0.25">
      <c r="A367" s="12" t="s">
        <v>6728</v>
      </c>
      <c r="B367" s="10" t="str">
        <f>_xlfn.IFNA(VLOOKUP($A367,CompChecksTrans!$A:$C,2,FALSE), "")</f>
        <v/>
      </c>
      <c r="C367" s="10" t="str">
        <f>_xlfn.IFNA(VLOOKUP(B367,Phase3!A$4:C$1000,3,FALSE),"")</f>
        <v/>
      </c>
      <c r="D367" s="10" t="str">
        <f>_xlfn.IFNA(VLOOKUP($A367,CompChecksTrans!$A:$C,3,FALSE), "     ")</f>
        <v xml:space="preserve">     </v>
      </c>
    </row>
    <row r="368" spans="1:4" x14ac:dyDescent="0.25">
      <c r="A368" s="12" t="s">
        <v>6729</v>
      </c>
      <c r="B368" s="10" t="str">
        <f>_xlfn.IFNA(VLOOKUP($A368,CompChecksTrans!$A:$C,2,FALSE), "")</f>
        <v/>
      </c>
      <c r="C368" s="10" t="str">
        <f>_xlfn.IFNA(VLOOKUP(B368,Phase3!A$4:C$1000,3,FALSE),"")</f>
        <v/>
      </c>
      <c r="D368" s="10" t="str">
        <f>_xlfn.IFNA(VLOOKUP($A368,CompChecksTrans!$A:$C,3,FALSE), "     ")</f>
        <v xml:space="preserve">     </v>
      </c>
    </row>
    <row r="369" spans="1:4" x14ac:dyDescent="0.25">
      <c r="A369" s="12" t="s">
        <v>6730</v>
      </c>
      <c r="B369" s="10" t="str">
        <f>_xlfn.IFNA(VLOOKUP($A369,CompChecksTrans!$A:$C,2,FALSE), "")</f>
        <v/>
      </c>
      <c r="C369" s="10" t="str">
        <f>_xlfn.IFNA(VLOOKUP(B369,Phase3!A$4:C$1000,3,FALSE),"")</f>
        <v/>
      </c>
      <c r="D369" s="10" t="str">
        <f>_xlfn.IFNA(VLOOKUP($A369,CompChecksTrans!$A:$C,3,FALSE), "     ")</f>
        <v xml:space="preserve">     </v>
      </c>
    </row>
    <row r="370" spans="1:4" x14ac:dyDescent="0.25">
      <c r="A370" s="12" t="s">
        <v>6731</v>
      </c>
      <c r="B370" s="10" t="str">
        <f>_xlfn.IFNA(VLOOKUP($A370,CompChecksTrans!$A:$C,2,FALSE), "")</f>
        <v/>
      </c>
      <c r="C370" s="10" t="str">
        <f>_xlfn.IFNA(VLOOKUP(B370,Phase3!A$4:C$1000,3,FALSE),"")</f>
        <v/>
      </c>
      <c r="D370" s="10" t="str">
        <f>_xlfn.IFNA(VLOOKUP($A370,CompChecksTrans!$A:$C,3,FALSE), "     ")</f>
        <v xml:space="preserve">     </v>
      </c>
    </row>
    <row r="371" spans="1:4" x14ac:dyDescent="0.25">
      <c r="A371" s="12" t="s">
        <v>6732</v>
      </c>
      <c r="B371" s="10" t="str">
        <f>_xlfn.IFNA(VLOOKUP($A371,CompChecksTrans!$A:$C,2,FALSE), "")</f>
        <v/>
      </c>
      <c r="C371" s="10" t="str">
        <f>_xlfn.IFNA(VLOOKUP(B371,Phase3!A$4:C$1000,3,FALSE),"")</f>
        <v/>
      </c>
      <c r="D371" s="10" t="str">
        <f>_xlfn.IFNA(VLOOKUP($A371,CompChecksTrans!$A:$C,3,FALSE), "     ")</f>
        <v xml:space="preserve">     </v>
      </c>
    </row>
    <row r="372" spans="1:4" x14ac:dyDescent="0.25">
      <c r="A372" s="12" t="s">
        <v>6733</v>
      </c>
      <c r="B372" s="10" t="str">
        <f>_xlfn.IFNA(VLOOKUP($A372,CompChecksTrans!$A:$C,2,FALSE), "")</f>
        <v/>
      </c>
      <c r="C372" s="10" t="str">
        <f>_xlfn.IFNA(VLOOKUP(B372,Phase3!A$4:C$1000,3,FALSE),"")</f>
        <v/>
      </c>
      <c r="D372" s="10" t="str">
        <f>_xlfn.IFNA(VLOOKUP($A372,CompChecksTrans!$A:$C,3,FALSE), "     ")</f>
        <v xml:space="preserve">     </v>
      </c>
    </row>
    <row r="373" spans="1:4" x14ac:dyDescent="0.25">
      <c r="A373" s="12" t="s">
        <v>6734</v>
      </c>
      <c r="B373" s="10" t="str">
        <f>_xlfn.IFNA(VLOOKUP($A373,CompChecksTrans!$A:$C,2,FALSE), "")</f>
        <v/>
      </c>
      <c r="C373" s="10" t="str">
        <f>_xlfn.IFNA(VLOOKUP(B373,Phase3!A$4:C$1000,3,FALSE),"")</f>
        <v/>
      </c>
      <c r="D373" s="10" t="str">
        <f>_xlfn.IFNA(VLOOKUP($A373,CompChecksTrans!$A:$C,3,FALSE), "     ")</f>
        <v xml:space="preserve">     </v>
      </c>
    </row>
    <row r="374" spans="1:4" x14ac:dyDescent="0.25">
      <c r="A374" s="12" t="s">
        <v>6735</v>
      </c>
      <c r="B374" s="10" t="str">
        <f>_xlfn.IFNA(VLOOKUP($A374,CompChecksTrans!$A:$C,2,FALSE), "")</f>
        <v/>
      </c>
      <c r="C374" s="10" t="str">
        <f>_xlfn.IFNA(VLOOKUP(B374,Phase3!A$4:C$1000,3,FALSE),"")</f>
        <v/>
      </c>
      <c r="D374" s="10" t="str">
        <f>_xlfn.IFNA(VLOOKUP($A374,CompChecksTrans!$A:$C,3,FALSE), "     ")</f>
        <v xml:space="preserve">     </v>
      </c>
    </row>
    <row r="375" spans="1:4" x14ac:dyDescent="0.25">
      <c r="A375" s="12" t="s">
        <v>6736</v>
      </c>
      <c r="B375" s="10" t="str">
        <f>_xlfn.IFNA(VLOOKUP($A375,CompChecksTrans!$A:$C,2,FALSE), "")</f>
        <v/>
      </c>
      <c r="C375" s="10" t="str">
        <f>_xlfn.IFNA(VLOOKUP(B375,Phase3!A$4:C$1000,3,FALSE),"")</f>
        <v/>
      </c>
      <c r="D375" s="10" t="str">
        <f>_xlfn.IFNA(VLOOKUP($A375,CompChecksTrans!$A:$C,3,FALSE), "     ")</f>
        <v xml:space="preserve">     </v>
      </c>
    </row>
    <row r="376" spans="1:4" x14ac:dyDescent="0.25">
      <c r="A376" s="12" t="s">
        <v>6737</v>
      </c>
      <c r="B376" s="10" t="str">
        <f>_xlfn.IFNA(VLOOKUP($A376,CompChecksTrans!$A:$C,2,FALSE), "")</f>
        <v/>
      </c>
      <c r="C376" s="10" t="str">
        <f>_xlfn.IFNA(VLOOKUP(B376,Phase3!A$4:C$1000,3,FALSE),"")</f>
        <v/>
      </c>
      <c r="D376" s="10" t="str">
        <f>_xlfn.IFNA(VLOOKUP($A376,CompChecksTrans!$A:$C,3,FALSE), "     ")</f>
        <v xml:space="preserve">     </v>
      </c>
    </row>
    <row r="377" spans="1:4" x14ac:dyDescent="0.25">
      <c r="A377" s="12" t="s">
        <v>6738</v>
      </c>
      <c r="B377" s="10" t="str">
        <f>_xlfn.IFNA(VLOOKUP($A377,CompChecksTrans!$A:$C,2,FALSE), "")</f>
        <v/>
      </c>
      <c r="C377" s="10" t="str">
        <f>_xlfn.IFNA(VLOOKUP(B377,Phase3!A$4:C$1000,3,FALSE),"")</f>
        <v/>
      </c>
      <c r="D377" s="10" t="str">
        <f>_xlfn.IFNA(VLOOKUP($A377,CompChecksTrans!$A:$C,3,FALSE), "     ")</f>
        <v xml:space="preserve">     </v>
      </c>
    </row>
    <row r="378" spans="1:4" x14ac:dyDescent="0.25">
      <c r="A378" s="12" t="s">
        <v>6739</v>
      </c>
      <c r="B378" s="10" t="str">
        <f>_xlfn.IFNA(VLOOKUP($A378,CompChecksTrans!$A:$C,2,FALSE), "")</f>
        <v/>
      </c>
      <c r="C378" s="10" t="str">
        <f>_xlfn.IFNA(VLOOKUP(B378,Phase3!A$4:C$1000,3,FALSE),"")</f>
        <v/>
      </c>
      <c r="D378" s="10" t="str">
        <f>_xlfn.IFNA(VLOOKUP($A378,CompChecksTrans!$A:$C,3,FALSE), "     ")</f>
        <v xml:space="preserve">     </v>
      </c>
    </row>
    <row r="379" spans="1:4" x14ac:dyDescent="0.25">
      <c r="A379" s="12" t="s">
        <v>6740</v>
      </c>
      <c r="B379" s="10" t="str">
        <f>_xlfn.IFNA(VLOOKUP($A379,CompChecksTrans!$A:$C,2,FALSE), "")</f>
        <v/>
      </c>
      <c r="C379" s="10" t="str">
        <f>_xlfn.IFNA(VLOOKUP(B379,Phase3!A$4:C$1000,3,FALSE),"")</f>
        <v/>
      </c>
      <c r="D379" s="10" t="str">
        <f>_xlfn.IFNA(VLOOKUP($A379,CompChecksTrans!$A:$C,3,FALSE), "     ")</f>
        <v xml:space="preserve">     </v>
      </c>
    </row>
    <row r="380" spans="1:4" x14ac:dyDescent="0.25">
      <c r="A380" s="12" t="s">
        <v>6741</v>
      </c>
      <c r="B380" s="10" t="str">
        <f>_xlfn.IFNA(VLOOKUP($A380,CompChecksTrans!$A:$C,2,FALSE), "")</f>
        <v/>
      </c>
      <c r="C380" s="10" t="str">
        <f>_xlfn.IFNA(VLOOKUP(B380,Phase3!A$4:C$1000,3,FALSE),"")</f>
        <v/>
      </c>
      <c r="D380" s="10" t="str">
        <f>_xlfn.IFNA(VLOOKUP($A380,CompChecksTrans!$A:$C,3,FALSE), "     ")</f>
        <v xml:space="preserve">     </v>
      </c>
    </row>
    <row r="381" spans="1:4" x14ac:dyDescent="0.25">
      <c r="A381" s="12" t="s">
        <v>6742</v>
      </c>
      <c r="B381" s="10" t="str">
        <f>_xlfn.IFNA(VLOOKUP($A381,CompChecksTrans!$A:$C,2,FALSE), "")</f>
        <v/>
      </c>
      <c r="C381" s="10" t="str">
        <f>_xlfn.IFNA(VLOOKUP(B381,Phase3!A$4:C$1000,3,FALSE),"")</f>
        <v/>
      </c>
      <c r="D381" s="10" t="str">
        <f>_xlfn.IFNA(VLOOKUP($A381,CompChecksTrans!$A:$C,3,FALSE), "     ")</f>
        <v xml:space="preserve">     </v>
      </c>
    </row>
    <row r="382" spans="1:4" x14ac:dyDescent="0.25">
      <c r="A382" s="12" t="s">
        <v>6743</v>
      </c>
      <c r="B382" s="10" t="str">
        <f>_xlfn.IFNA(VLOOKUP($A382,CompChecksTrans!$A:$C,2,FALSE), "")</f>
        <v/>
      </c>
      <c r="C382" s="10" t="str">
        <f>_xlfn.IFNA(VLOOKUP(B382,Phase3!A$4:C$1000,3,FALSE),"")</f>
        <v/>
      </c>
      <c r="D382" s="10" t="str">
        <f>_xlfn.IFNA(VLOOKUP($A382,CompChecksTrans!$A:$C,3,FALSE), "     ")</f>
        <v xml:space="preserve">     </v>
      </c>
    </row>
    <row r="383" spans="1:4" x14ac:dyDescent="0.25">
      <c r="A383" s="12" t="s">
        <v>6744</v>
      </c>
      <c r="B383" s="10" t="str">
        <f>_xlfn.IFNA(VLOOKUP($A383,CompChecksTrans!$A:$C,2,FALSE), "")</f>
        <v/>
      </c>
      <c r="C383" s="10" t="str">
        <f>_xlfn.IFNA(VLOOKUP(B383,Phase3!A$4:C$1000,3,FALSE),"")</f>
        <v/>
      </c>
      <c r="D383" s="10" t="str">
        <f>_xlfn.IFNA(VLOOKUP($A383,CompChecksTrans!$A:$C,3,FALSE), "     ")</f>
        <v xml:space="preserve">     </v>
      </c>
    </row>
    <row r="384" spans="1:4" x14ac:dyDescent="0.25">
      <c r="A384" s="12" t="s">
        <v>6745</v>
      </c>
      <c r="B384" s="10" t="str">
        <f>_xlfn.IFNA(VLOOKUP($A384,CompChecksTrans!$A:$C,2,FALSE), "")</f>
        <v/>
      </c>
      <c r="C384" s="10" t="str">
        <f>_xlfn.IFNA(VLOOKUP(B384,Phase3!A$4:C$1000,3,FALSE),"")</f>
        <v/>
      </c>
      <c r="D384" s="10" t="str">
        <f>_xlfn.IFNA(VLOOKUP($A384,CompChecksTrans!$A:$C,3,FALSE), "     ")</f>
        <v xml:space="preserve">     </v>
      </c>
    </row>
    <row r="385" spans="1:4" x14ac:dyDescent="0.25">
      <c r="A385" s="12" t="s">
        <v>6746</v>
      </c>
      <c r="B385" s="10" t="str">
        <f>_xlfn.IFNA(VLOOKUP($A385,CompChecksTrans!$A:$C,2,FALSE), "")</f>
        <v/>
      </c>
      <c r="C385" s="10" t="str">
        <f>_xlfn.IFNA(VLOOKUP(B385,Phase3!A$4:C$1000,3,FALSE),"")</f>
        <v/>
      </c>
      <c r="D385" s="10" t="str">
        <f>_xlfn.IFNA(VLOOKUP($A385,CompChecksTrans!$A:$C,3,FALSE), "     ")</f>
        <v xml:space="preserve">     </v>
      </c>
    </row>
    <row r="386" spans="1:4" x14ac:dyDescent="0.25">
      <c r="A386" s="12" t="s">
        <v>6747</v>
      </c>
      <c r="B386" s="10" t="str">
        <f>_xlfn.IFNA(VLOOKUP($A386,CompChecksTrans!$A:$C,2,FALSE), "")</f>
        <v/>
      </c>
      <c r="C386" s="10" t="str">
        <f>_xlfn.IFNA(VLOOKUP(B386,Phase3!A$4:C$1000,3,FALSE),"")</f>
        <v/>
      </c>
      <c r="D386" s="10" t="str">
        <f>_xlfn.IFNA(VLOOKUP($A386,CompChecksTrans!$A:$C,3,FALSE), "     ")</f>
        <v xml:space="preserve">     </v>
      </c>
    </row>
    <row r="387" spans="1:4" x14ac:dyDescent="0.25">
      <c r="A387" s="12" t="s">
        <v>6748</v>
      </c>
      <c r="B387" s="10" t="str">
        <f>_xlfn.IFNA(VLOOKUP($A387,CompChecksTrans!$A:$C,2,FALSE), "")</f>
        <v/>
      </c>
      <c r="C387" s="10" t="str">
        <f>_xlfn.IFNA(VLOOKUP(B387,Phase3!A$4:C$1000,3,FALSE),"")</f>
        <v/>
      </c>
      <c r="D387" s="10" t="str">
        <f>_xlfn.IFNA(VLOOKUP($A387,CompChecksTrans!$A:$C,3,FALSE), "     ")</f>
        <v xml:space="preserve">     </v>
      </c>
    </row>
    <row r="388" spans="1:4" x14ac:dyDescent="0.25">
      <c r="A388" s="12" t="s">
        <v>6749</v>
      </c>
      <c r="B388" s="10" t="str">
        <f>_xlfn.IFNA(VLOOKUP($A388,CompChecksTrans!$A:$C,2,FALSE), "")</f>
        <v/>
      </c>
      <c r="C388" s="10" t="str">
        <f>_xlfn.IFNA(VLOOKUP(B388,Phase3!A$4:C$1000,3,FALSE),"")</f>
        <v/>
      </c>
      <c r="D388" s="10" t="str">
        <f>_xlfn.IFNA(VLOOKUP($A388,CompChecksTrans!$A:$C,3,FALSE), "     ")</f>
        <v xml:space="preserve">     </v>
      </c>
    </row>
    <row r="389" spans="1:4" x14ac:dyDescent="0.25">
      <c r="A389" s="12" t="s">
        <v>6750</v>
      </c>
      <c r="B389" s="10" t="str">
        <f>_xlfn.IFNA(VLOOKUP($A389,CompChecksTrans!$A:$C,2,FALSE), "")</f>
        <v/>
      </c>
      <c r="C389" s="10" t="str">
        <f>_xlfn.IFNA(VLOOKUP(B389,Phase3!A$4:C$1000,3,FALSE),"")</f>
        <v/>
      </c>
      <c r="D389" s="10" t="str">
        <f>_xlfn.IFNA(VLOOKUP($A389,CompChecksTrans!$A:$C,3,FALSE), "     ")</f>
        <v xml:space="preserve">     </v>
      </c>
    </row>
    <row r="390" spans="1:4" x14ac:dyDescent="0.25">
      <c r="A390" s="12" t="s">
        <v>6751</v>
      </c>
      <c r="B390" s="10" t="str">
        <f>_xlfn.IFNA(VLOOKUP($A390,CompChecksTrans!$A:$C,2,FALSE), "")</f>
        <v/>
      </c>
      <c r="C390" s="10" t="str">
        <f>_xlfn.IFNA(VLOOKUP(B390,Phase3!A$4:C$1000,3,FALSE),"")</f>
        <v/>
      </c>
      <c r="D390" s="10" t="str">
        <f>_xlfn.IFNA(VLOOKUP($A390,CompChecksTrans!$A:$C,3,FALSE), "     ")</f>
        <v xml:space="preserve">     </v>
      </c>
    </row>
    <row r="391" spans="1:4" x14ac:dyDescent="0.25">
      <c r="A391" s="12" t="s">
        <v>6752</v>
      </c>
      <c r="B391" s="10" t="str">
        <f>_xlfn.IFNA(VLOOKUP($A391,CompChecksTrans!$A:$C,2,FALSE), "")</f>
        <v/>
      </c>
      <c r="C391" s="10" t="str">
        <f>_xlfn.IFNA(VLOOKUP(B391,Phase3!A$4:C$1000,3,FALSE),"")</f>
        <v/>
      </c>
      <c r="D391" s="10" t="str">
        <f>_xlfn.IFNA(VLOOKUP($A391,CompChecksTrans!$A:$C,3,FALSE), "     ")</f>
        <v xml:space="preserve">     </v>
      </c>
    </row>
    <row r="392" spans="1:4" x14ac:dyDescent="0.25">
      <c r="A392" s="12" t="s">
        <v>6753</v>
      </c>
      <c r="B392" s="10" t="str">
        <f>_xlfn.IFNA(VLOOKUP($A392,CompChecksTrans!$A:$C,2,FALSE), "")</f>
        <v/>
      </c>
      <c r="C392" s="10" t="str">
        <f>_xlfn.IFNA(VLOOKUP(B392,Phase3!A$4:C$1000,3,FALSE),"")</f>
        <v/>
      </c>
      <c r="D392" s="10" t="str">
        <f>_xlfn.IFNA(VLOOKUP($A392,CompChecksTrans!$A:$C,3,FALSE), "     ")</f>
        <v xml:space="preserve">     </v>
      </c>
    </row>
    <row r="393" spans="1:4" x14ac:dyDescent="0.25">
      <c r="A393" s="12" t="s">
        <v>6754</v>
      </c>
      <c r="B393" s="10" t="str">
        <f>_xlfn.IFNA(VLOOKUP($A393,CompChecksTrans!$A:$C,2,FALSE), "")</f>
        <v/>
      </c>
      <c r="C393" s="10" t="str">
        <f>_xlfn.IFNA(VLOOKUP(B393,Phase3!A$4:C$1000,3,FALSE),"")</f>
        <v/>
      </c>
      <c r="D393" s="10" t="str">
        <f>_xlfn.IFNA(VLOOKUP($A393,CompChecksTrans!$A:$C,3,FALSE), "     ")</f>
        <v xml:space="preserve">     </v>
      </c>
    </row>
    <row r="394" spans="1:4" x14ac:dyDescent="0.25">
      <c r="A394" s="12" t="s">
        <v>6755</v>
      </c>
      <c r="B394" s="10" t="str">
        <f>_xlfn.IFNA(VLOOKUP($A394,CompChecksTrans!$A:$C,2,FALSE), "")</f>
        <v/>
      </c>
      <c r="C394" s="10" t="str">
        <f>_xlfn.IFNA(VLOOKUP(B394,Phase3!A$4:C$1000,3,FALSE),"")</f>
        <v/>
      </c>
      <c r="D394" s="10" t="str">
        <f>_xlfn.IFNA(VLOOKUP($A394,CompChecksTrans!$A:$C,3,FALSE), "     ")</f>
        <v xml:space="preserve">     </v>
      </c>
    </row>
    <row r="395" spans="1:4" x14ac:dyDescent="0.25">
      <c r="A395" s="12" t="s">
        <v>6756</v>
      </c>
      <c r="B395" s="10" t="str">
        <f>_xlfn.IFNA(VLOOKUP($A395,CompChecksTrans!$A:$C,2,FALSE), "")</f>
        <v/>
      </c>
      <c r="C395" s="10" t="str">
        <f>_xlfn.IFNA(VLOOKUP(B395,Phase3!A$4:C$1000,3,FALSE),"")</f>
        <v/>
      </c>
      <c r="D395" s="10" t="str">
        <f>_xlfn.IFNA(VLOOKUP($A395,CompChecksTrans!$A:$C,3,FALSE), "     ")</f>
        <v xml:space="preserve">     </v>
      </c>
    </row>
    <row r="396" spans="1:4" x14ac:dyDescent="0.25">
      <c r="A396" s="12" t="s">
        <v>6757</v>
      </c>
      <c r="B396" s="10" t="str">
        <f>_xlfn.IFNA(VLOOKUP($A396,CompChecksTrans!$A:$C,2,FALSE), "")</f>
        <v/>
      </c>
      <c r="C396" s="10" t="str">
        <f>_xlfn.IFNA(VLOOKUP(B396,Phase3!A$4:C$1000,3,FALSE),"")</f>
        <v/>
      </c>
      <c r="D396" s="10" t="str">
        <f>_xlfn.IFNA(VLOOKUP($A396,CompChecksTrans!$A:$C,3,FALSE), "     ")</f>
        <v xml:space="preserve">     </v>
      </c>
    </row>
    <row r="397" spans="1:4" x14ac:dyDescent="0.25">
      <c r="A397" s="12" t="s">
        <v>6758</v>
      </c>
      <c r="B397" s="10" t="str">
        <f>_xlfn.IFNA(VLOOKUP($A397,CompChecksTrans!$A:$C,2,FALSE), "")</f>
        <v/>
      </c>
      <c r="C397" s="10" t="str">
        <f>_xlfn.IFNA(VLOOKUP(B397,Phase3!A$4:C$1000,3,FALSE),"")</f>
        <v/>
      </c>
      <c r="D397" s="10" t="str">
        <f>_xlfn.IFNA(VLOOKUP($A397,CompChecksTrans!$A:$C,3,FALSE), "     ")</f>
        <v xml:space="preserve">     </v>
      </c>
    </row>
    <row r="398" spans="1:4" x14ac:dyDescent="0.25">
      <c r="A398" s="12" t="s">
        <v>6759</v>
      </c>
      <c r="B398" s="10" t="str">
        <f>_xlfn.IFNA(VLOOKUP($A398,CompChecksTrans!$A:$C,2,FALSE), "")</f>
        <v/>
      </c>
      <c r="C398" s="10" t="str">
        <f>_xlfn.IFNA(VLOOKUP(B398,Phase3!A$4:C$1000,3,FALSE),"")</f>
        <v/>
      </c>
      <c r="D398" s="10" t="str">
        <f>_xlfn.IFNA(VLOOKUP($A398,CompChecksTrans!$A:$C,3,FALSE), "     ")</f>
        <v xml:space="preserve">     </v>
      </c>
    </row>
    <row r="399" spans="1:4" x14ac:dyDescent="0.25">
      <c r="A399" s="12" t="s">
        <v>6760</v>
      </c>
      <c r="B399" s="10" t="str">
        <f>_xlfn.IFNA(VLOOKUP($A399,CompChecksTrans!$A:$C,2,FALSE), "")</f>
        <v/>
      </c>
      <c r="C399" s="10" t="str">
        <f>_xlfn.IFNA(VLOOKUP(B399,Phase3!A$4:C$1000,3,FALSE),"")</f>
        <v/>
      </c>
      <c r="D399" s="10" t="str">
        <f>_xlfn.IFNA(VLOOKUP($A399,CompChecksTrans!$A:$C,3,FALSE), "     ")</f>
        <v xml:space="preserve">     </v>
      </c>
    </row>
    <row r="400" spans="1:4" x14ac:dyDescent="0.25">
      <c r="A400" s="12" t="s">
        <v>6761</v>
      </c>
      <c r="B400" s="10" t="str">
        <f>_xlfn.IFNA(VLOOKUP($A400,CompChecksTrans!$A:$C,2,FALSE), "")</f>
        <v/>
      </c>
      <c r="C400" s="10" t="str">
        <f>_xlfn.IFNA(VLOOKUP(B400,Phase3!A$4:C$1000,3,FALSE),"")</f>
        <v/>
      </c>
      <c r="D400" s="10" t="str">
        <f>_xlfn.IFNA(VLOOKUP($A400,CompChecksTrans!$A:$C,3,FALSE), "     ")</f>
        <v xml:space="preserve">     </v>
      </c>
    </row>
    <row r="401" spans="1:4" x14ac:dyDescent="0.25">
      <c r="A401" s="12" t="s">
        <v>6762</v>
      </c>
      <c r="B401" s="10" t="str">
        <f>_xlfn.IFNA(VLOOKUP($A401,CompChecksTrans!$A:$C,2,FALSE), "")</f>
        <v/>
      </c>
      <c r="C401" s="10" t="str">
        <f>_xlfn.IFNA(VLOOKUP(B401,Phase3!A$4:C$1000,3,FALSE),"")</f>
        <v/>
      </c>
      <c r="D401" s="10" t="str">
        <f>_xlfn.IFNA(VLOOKUP($A401,CompChecksTrans!$A:$C,3,FALSE), "     ")</f>
        <v xml:space="preserve">     </v>
      </c>
    </row>
    <row r="402" spans="1:4" x14ac:dyDescent="0.25">
      <c r="A402" s="12" t="s">
        <v>6763</v>
      </c>
      <c r="B402" s="10" t="str">
        <f>_xlfn.IFNA(VLOOKUP($A402,CompChecksTrans!$A:$C,2,FALSE), "")</f>
        <v/>
      </c>
      <c r="C402" s="10" t="str">
        <f>_xlfn.IFNA(VLOOKUP(B402,Phase3!A$4:C$1000,3,FALSE),"")</f>
        <v/>
      </c>
      <c r="D402" s="10" t="str">
        <f>_xlfn.IFNA(VLOOKUP($A402,CompChecksTrans!$A:$C,3,FALSE), "     ")</f>
        <v xml:space="preserve">     </v>
      </c>
    </row>
    <row r="403" spans="1:4" x14ac:dyDescent="0.25">
      <c r="A403" s="12" t="s">
        <v>6764</v>
      </c>
      <c r="B403" s="10" t="str">
        <f>_xlfn.IFNA(VLOOKUP($A403,CompChecksTrans!$A:$C,2,FALSE), "")</f>
        <v/>
      </c>
      <c r="C403" s="10" t="str">
        <f>_xlfn.IFNA(VLOOKUP(B403,Phase3!A$4:C$1000,3,FALSE),"")</f>
        <v/>
      </c>
      <c r="D403" s="10" t="str">
        <f>_xlfn.IFNA(VLOOKUP($A403,CompChecksTrans!$A:$C,3,FALSE), "     ")</f>
        <v xml:space="preserve">     </v>
      </c>
    </row>
    <row r="404" spans="1:4" x14ac:dyDescent="0.25">
      <c r="A404" s="12" t="s">
        <v>6765</v>
      </c>
      <c r="B404" s="10" t="str">
        <f>_xlfn.IFNA(VLOOKUP($A404,CompChecksTrans!$A:$C,2,FALSE), "")</f>
        <v/>
      </c>
      <c r="C404" s="10" t="str">
        <f>_xlfn.IFNA(VLOOKUP(B404,Phase3!A$4:C$1000,3,FALSE),"")</f>
        <v/>
      </c>
      <c r="D404" s="10" t="str">
        <f>_xlfn.IFNA(VLOOKUP($A404,CompChecksTrans!$A:$C,3,FALSE), "     ")</f>
        <v xml:space="preserve">     </v>
      </c>
    </row>
    <row r="405" spans="1:4" x14ac:dyDescent="0.25">
      <c r="A405" s="12" t="s">
        <v>6766</v>
      </c>
      <c r="B405" s="10" t="str">
        <f>_xlfn.IFNA(VLOOKUP($A405,CompChecksTrans!$A:$C,2,FALSE), "")</f>
        <v/>
      </c>
      <c r="C405" s="10" t="str">
        <f>_xlfn.IFNA(VLOOKUP(B405,Phase3!A$4:C$1000,3,FALSE),"")</f>
        <v/>
      </c>
      <c r="D405" s="10" t="str">
        <f>_xlfn.IFNA(VLOOKUP($A405,CompChecksTrans!$A:$C,3,FALSE), "     ")</f>
        <v xml:space="preserve">     </v>
      </c>
    </row>
    <row r="406" spans="1:4" x14ac:dyDescent="0.25">
      <c r="A406" s="12" t="s">
        <v>6767</v>
      </c>
      <c r="B406" s="10" t="str">
        <f>_xlfn.IFNA(VLOOKUP($A406,CompChecksTrans!$A:$C,2,FALSE), "")</f>
        <v/>
      </c>
      <c r="C406" s="10" t="str">
        <f>_xlfn.IFNA(VLOOKUP(B406,Phase3!A$4:C$1000,3,FALSE),"")</f>
        <v/>
      </c>
      <c r="D406" s="10" t="str">
        <f>_xlfn.IFNA(VLOOKUP($A406,CompChecksTrans!$A:$C,3,FALSE), "     ")</f>
        <v xml:space="preserve">     </v>
      </c>
    </row>
    <row r="407" spans="1:4" x14ac:dyDescent="0.25">
      <c r="A407" s="12" t="s">
        <v>6768</v>
      </c>
      <c r="B407" s="10" t="str">
        <f>_xlfn.IFNA(VLOOKUP($A407,CompChecksTrans!$A:$C,2,FALSE), "")</f>
        <v/>
      </c>
      <c r="C407" s="10" t="str">
        <f>_xlfn.IFNA(VLOOKUP(B407,Phase3!A$4:C$1000,3,FALSE),"")</f>
        <v/>
      </c>
      <c r="D407" s="10" t="str">
        <f>_xlfn.IFNA(VLOOKUP($A407,CompChecksTrans!$A:$C,3,FALSE), "     ")</f>
        <v xml:space="preserve">     </v>
      </c>
    </row>
    <row r="408" spans="1:4" x14ac:dyDescent="0.25">
      <c r="A408" s="12" t="s">
        <v>6769</v>
      </c>
      <c r="B408" s="10" t="str">
        <f>_xlfn.IFNA(VLOOKUP($A408,CompChecksTrans!$A:$C,2,FALSE), "")</f>
        <v/>
      </c>
      <c r="C408" s="10" t="str">
        <f>_xlfn.IFNA(VLOOKUP(B408,Phase3!A$4:C$1000,3,FALSE),"")</f>
        <v/>
      </c>
      <c r="D408" s="10" t="str">
        <f>_xlfn.IFNA(VLOOKUP($A408,CompChecksTrans!$A:$C,3,FALSE), "     ")</f>
        <v xml:space="preserve">     </v>
      </c>
    </row>
    <row r="409" spans="1:4" x14ac:dyDescent="0.25">
      <c r="A409" s="12" t="s">
        <v>6770</v>
      </c>
      <c r="B409" s="10" t="str">
        <f>_xlfn.IFNA(VLOOKUP($A409,CompChecksTrans!$A:$C,2,FALSE), "")</f>
        <v/>
      </c>
      <c r="C409" s="10" t="str">
        <f>_xlfn.IFNA(VLOOKUP(B409,Phase3!A$4:C$1000,3,FALSE),"")</f>
        <v/>
      </c>
      <c r="D409" s="10" t="str">
        <f>_xlfn.IFNA(VLOOKUP($A409,CompChecksTrans!$A:$C,3,FALSE), "     ")</f>
        <v xml:space="preserve">     </v>
      </c>
    </row>
    <row r="410" spans="1:4" x14ac:dyDescent="0.25">
      <c r="A410" s="12" t="s">
        <v>6771</v>
      </c>
      <c r="B410" s="10" t="str">
        <f>_xlfn.IFNA(VLOOKUP($A410,CompChecksTrans!$A:$C,2,FALSE), "")</f>
        <v/>
      </c>
      <c r="C410" s="10" t="str">
        <f>_xlfn.IFNA(VLOOKUP(B410,Phase3!A$4:C$1000,3,FALSE),"")</f>
        <v/>
      </c>
      <c r="D410" s="10" t="str">
        <f>_xlfn.IFNA(VLOOKUP($A410,CompChecksTrans!$A:$C,3,FALSE), "     ")</f>
        <v xml:space="preserve">     </v>
      </c>
    </row>
    <row r="411" spans="1:4" x14ac:dyDescent="0.25">
      <c r="A411" s="12" t="s">
        <v>6772</v>
      </c>
      <c r="B411" s="10" t="str">
        <f>_xlfn.IFNA(VLOOKUP($A411,CompChecksTrans!$A:$C,2,FALSE), "")</f>
        <v/>
      </c>
      <c r="C411" s="10" t="str">
        <f>_xlfn.IFNA(VLOOKUP(B411,Phase3!A$4:C$1000,3,FALSE),"")</f>
        <v/>
      </c>
      <c r="D411" s="10" t="str">
        <f>_xlfn.IFNA(VLOOKUP($A411,CompChecksTrans!$A:$C,3,FALSE), "     ")</f>
        <v xml:space="preserve">     </v>
      </c>
    </row>
    <row r="412" spans="1:4" x14ac:dyDescent="0.25">
      <c r="A412" s="12" t="s">
        <v>6773</v>
      </c>
      <c r="B412" s="10" t="str">
        <f>_xlfn.IFNA(VLOOKUP($A412,CompChecksTrans!$A:$C,2,FALSE), "")</f>
        <v/>
      </c>
      <c r="C412" s="10" t="str">
        <f>_xlfn.IFNA(VLOOKUP(B412,Phase3!A$4:C$1000,3,FALSE),"")</f>
        <v/>
      </c>
      <c r="D412" s="10" t="str">
        <f>_xlfn.IFNA(VLOOKUP($A412,CompChecksTrans!$A:$C,3,FALSE), "     ")</f>
        <v xml:space="preserve">     </v>
      </c>
    </row>
    <row r="413" spans="1:4" x14ac:dyDescent="0.25">
      <c r="A413" s="12" t="s">
        <v>6774</v>
      </c>
      <c r="B413" s="10" t="str">
        <f>_xlfn.IFNA(VLOOKUP($A413,CompChecksTrans!$A:$C,2,FALSE), "")</f>
        <v/>
      </c>
      <c r="C413" s="10" t="str">
        <f>_xlfn.IFNA(VLOOKUP(B413,Phase3!A$4:C$1000,3,FALSE),"")</f>
        <v/>
      </c>
      <c r="D413" s="10" t="str">
        <f>_xlfn.IFNA(VLOOKUP($A413,CompChecksTrans!$A:$C,3,FALSE), "     ")</f>
        <v xml:space="preserve">     </v>
      </c>
    </row>
    <row r="414" spans="1:4" x14ac:dyDescent="0.25">
      <c r="A414" s="12" t="s">
        <v>6775</v>
      </c>
      <c r="B414" s="10" t="str">
        <f>_xlfn.IFNA(VLOOKUP($A414,CompChecksTrans!$A:$C,2,FALSE), "")</f>
        <v/>
      </c>
      <c r="C414" s="10" t="str">
        <f>_xlfn.IFNA(VLOOKUP(B414,Phase3!A$4:C$1000,3,FALSE),"")</f>
        <v/>
      </c>
      <c r="D414" s="10" t="str">
        <f>_xlfn.IFNA(VLOOKUP($A414,CompChecksTrans!$A:$C,3,FALSE), "     ")</f>
        <v xml:space="preserve">     </v>
      </c>
    </row>
    <row r="415" spans="1:4" x14ac:dyDescent="0.25">
      <c r="A415" s="12" t="s">
        <v>6776</v>
      </c>
      <c r="B415" s="10" t="str">
        <f>_xlfn.IFNA(VLOOKUP($A415,CompChecksTrans!$A:$C,2,FALSE), "")</f>
        <v/>
      </c>
      <c r="C415" s="10" t="str">
        <f>_xlfn.IFNA(VLOOKUP(B415,Phase3!A$4:C$1000,3,FALSE),"")</f>
        <v/>
      </c>
      <c r="D415" s="10" t="str">
        <f>_xlfn.IFNA(VLOOKUP($A415,CompChecksTrans!$A:$C,3,FALSE), "     ")</f>
        <v xml:space="preserve">     </v>
      </c>
    </row>
    <row r="416" spans="1:4" x14ac:dyDescent="0.25">
      <c r="A416" s="12" t="s">
        <v>6777</v>
      </c>
      <c r="B416" s="10" t="str">
        <f>_xlfn.IFNA(VLOOKUP($A416,CompChecksTrans!$A:$C,2,FALSE), "")</f>
        <v/>
      </c>
      <c r="C416" s="10" t="str">
        <f>_xlfn.IFNA(VLOOKUP(B416,Phase3!A$4:C$1000,3,FALSE),"")</f>
        <v/>
      </c>
      <c r="D416" s="10" t="str">
        <f>_xlfn.IFNA(VLOOKUP($A416,CompChecksTrans!$A:$C,3,FALSE), "     ")</f>
        <v xml:space="preserve">     </v>
      </c>
    </row>
    <row r="417" spans="1:4" x14ac:dyDescent="0.25">
      <c r="A417" s="12" t="s">
        <v>6778</v>
      </c>
      <c r="B417" s="10" t="str">
        <f>_xlfn.IFNA(VLOOKUP($A417,CompChecksTrans!$A:$C,2,FALSE), "")</f>
        <v/>
      </c>
      <c r="C417" s="10" t="str">
        <f>_xlfn.IFNA(VLOOKUP(B417,Phase3!A$4:C$1000,3,FALSE),"")</f>
        <v/>
      </c>
      <c r="D417" s="10" t="str">
        <f>_xlfn.IFNA(VLOOKUP($A417,CompChecksTrans!$A:$C,3,FALSE), "     ")</f>
        <v xml:space="preserve">     </v>
      </c>
    </row>
    <row r="418" spans="1:4" x14ac:dyDescent="0.25">
      <c r="A418" s="12" t="s">
        <v>6779</v>
      </c>
      <c r="B418" s="10" t="str">
        <f>_xlfn.IFNA(VLOOKUP($A418,CompChecksTrans!$A:$C,2,FALSE), "")</f>
        <v/>
      </c>
      <c r="C418" s="10" t="str">
        <f>_xlfn.IFNA(VLOOKUP(B418,Phase3!A$4:C$1000,3,FALSE),"")</f>
        <v/>
      </c>
      <c r="D418" s="10" t="str">
        <f>_xlfn.IFNA(VLOOKUP($A418,CompChecksTrans!$A:$C,3,FALSE), "     ")</f>
        <v xml:space="preserve">     </v>
      </c>
    </row>
    <row r="419" spans="1:4" x14ac:dyDescent="0.25">
      <c r="A419" s="12" t="s">
        <v>6780</v>
      </c>
      <c r="B419" s="10" t="str">
        <f>_xlfn.IFNA(VLOOKUP($A419,CompChecksTrans!$A:$C,2,FALSE), "")</f>
        <v/>
      </c>
      <c r="C419" s="10" t="str">
        <f>_xlfn.IFNA(VLOOKUP(B419,Phase3!A$4:C$1000,3,FALSE),"")</f>
        <v/>
      </c>
      <c r="D419" s="10" t="str">
        <f>_xlfn.IFNA(VLOOKUP($A419,CompChecksTrans!$A:$C,3,FALSE), "     ")</f>
        <v xml:space="preserve">     </v>
      </c>
    </row>
    <row r="420" spans="1:4" x14ac:dyDescent="0.25">
      <c r="A420" s="12" t="s">
        <v>6781</v>
      </c>
      <c r="B420" s="10" t="str">
        <f>_xlfn.IFNA(VLOOKUP($A420,CompChecksTrans!$A:$C,2,FALSE), "")</f>
        <v/>
      </c>
      <c r="C420" s="10" t="str">
        <f>_xlfn.IFNA(VLOOKUP(B420,Phase3!A$4:C$1000,3,FALSE),"")</f>
        <v/>
      </c>
      <c r="D420" s="10" t="str">
        <f>_xlfn.IFNA(VLOOKUP($A420,CompChecksTrans!$A:$C,3,FALSE), "     ")</f>
        <v xml:space="preserve">     </v>
      </c>
    </row>
    <row r="421" spans="1:4" x14ac:dyDescent="0.25">
      <c r="A421" s="12" t="s">
        <v>6782</v>
      </c>
      <c r="B421" s="10" t="str">
        <f>_xlfn.IFNA(VLOOKUP($A421,CompChecksTrans!$A:$C,2,FALSE), "")</f>
        <v/>
      </c>
      <c r="C421" s="10" t="str">
        <f>_xlfn.IFNA(VLOOKUP(B421,Phase3!A$4:C$1000,3,FALSE),"")</f>
        <v/>
      </c>
      <c r="D421" s="10" t="str">
        <f>_xlfn.IFNA(VLOOKUP($A421,CompChecksTrans!$A:$C,3,FALSE), "     ")</f>
        <v xml:space="preserve">     </v>
      </c>
    </row>
    <row r="422" spans="1:4" x14ac:dyDescent="0.25">
      <c r="A422" s="12" t="s">
        <v>6783</v>
      </c>
      <c r="B422" s="10" t="str">
        <f>_xlfn.IFNA(VLOOKUP($A422,CompChecksTrans!$A:$C,2,FALSE), "")</f>
        <v/>
      </c>
      <c r="C422" s="10" t="str">
        <f>_xlfn.IFNA(VLOOKUP(B422,Phase3!A$4:C$1000,3,FALSE),"")</f>
        <v/>
      </c>
      <c r="D422" s="10" t="str">
        <f>_xlfn.IFNA(VLOOKUP($A422,CompChecksTrans!$A:$C,3,FALSE), "     ")</f>
        <v xml:space="preserve">     </v>
      </c>
    </row>
    <row r="423" spans="1:4" x14ac:dyDescent="0.25">
      <c r="A423" s="12" t="s">
        <v>6784</v>
      </c>
      <c r="B423" s="10" t="str">
        <f>_xlfn.IFNA(VLOOKUP($A423,CompChecksTrans!$A:$C,2,FALSE), "")</f>
        <v/>
      </c>
      <c r="C423" s="10" t="str">
        <f>_xlfn.IFNA(VLOOKUP(B423,Phase3!A$4:C$1000,3,FALSE),"")</f>
        <v/>
      </c>
      <c r="D423" s="10" t="str">
        <f>_xlfn.IFNA(VLOOKUP($A423,CompChecksTrans!$A:$C,3,FALSE), "     ")</f>
        <v xml:space="preserve">     </v>
      </c>
    </row>
    <row r="424" spans="1:4" x14ac:dyDescent="0.25">
      <c r="A424" s="12" t="s">
        <v>6785</v>
      </c>
      <c r="B424" s="10" t="str">
        <f>_xlfn.IFNA(VLOOKUP($A424,CompChecksTrans!$A:$C,2,FALSE), "")</f>
        <v/>
      </c>
      <c r="C424" s="10" t="str">
        <f>_xlfn.IFNA(VLOOKUP(B424,Phase3!A$4:C$1000,3,FALSE),"")</f>
        <v/>
      </c>
      <c r="D424" s="10" t="str">
        <f>_xlfn.IFNA(VLOOKUP($A424,CompChecksTrans!$A:$C,3,FALSE), "     ")</f>
        <v xml:space="preserve">     </v>
      </c>
    </row>
    <row r="425" spans="1:4" x14ac:dyDescent="0.25">
      <c r="A425" s="12" t="s">
        <v>6786</v>
      </c>
      <c r="B425" s="10" t="str">
        <f>_xlfn.IFNA(VLOOKUP($A425,CompChecksTrans!$A:$C,2,FALSE), "")</f>
        <v/>
      </c>
      <c r="C425" s="10" t="str">
        <f>_xlfn.IFNA(VLOOKUP(B425,Phase3!A$4:C$1000,3,FALSE),"")</f>
        <v/>
      </c>
      <c r="D425" s="10" t="str">
        <f>_xlfn.IFNA(VLOOKUP($A425,CompChecksTrans!$A:$C,3,FALSE), "     ")</f>
        <v xml:space="preserve">     </v>
      </c>
    </row>
    <row r="426" spans="1:4" x14ac:dyDescent="0.25">
      <c r="A426" s="12" t="s">
        <v>6787</v>
      </c>
      <c r="B426" s="10" t="str">
        <f>_xlfn.IFNA(VLOOKUP($A426,CompChecksTrans!$A:$C,2,FALSE), "")</f>
        <v/>
      </c>
      <c r="C426" s="10" t="str">
        <f>_xlfn.IFNA(VLOOKUP(B426,Phase3!A$4:C$1000,3,FALSE),"")</f>
        <v/>
      </c>
      <c r="D426" s="10" t="str">
        <f>_xlfn.IFNA(VLOOKUP($A426,CompChecksTrans!$A:$C,3,FALSE), "     ")</f>
        <v xml:space="preserve">     </v>
      </c>
    </row>
    <row r="427" spans="1:4" x14ac:dyDescent="0.25">
      <c r="A427" s="12" t="s">
        <v>6788</v>
      </c>
      <c r="B427" s="10" t="str">
        <f>_xlfn.IFNA(VLOOKUP($A427,CompChecksTrans!$A:$C,2,FALSE), "")</f>
        <v/>
      </c>
      <c r="C427" s="10" t="str">
        <f>_xlfn.IFNA(VLOOKUP(B427,Phase3!A$4:C$1000,3,FALSE),"")</f>
        <v/>
      </c>
      <c r="D427" s="10" t="str">
        <f>_xlfn.IFNA(VLOOKUP($A427,CompChecksTrans!$A:$C,3,FALSE), "     ")</f>
        <v xml:space="preserve">     </v>
      </c>
    </row>
    <row r="428" spans="1:4" x14ac:dyDescent="0.25">
      <c r="A428" s="12" t="s">
        <v>6789</v>
      </c>
      <c r="B428" s="10" t="str">
        <f>_xlfn.IFNA(VLOOKUP($A428,CompChecksTrans!$A:$C,2,FALSE), "")</f>
        <v/>
      </c>
      <c r="C428" s="10" t="str">
        <f>_xlfn.IFNA(VLOOKUP(B428,Phase3!A$4:C$1000,3,FALSE),"")</f>
        <v/>
      </c>
      <c r="D428" s="10" t="str">
        <f>_xlfn.IFNA(VLOOKUP($A428,CompChecksTrans!$A:$C,3,FALSE), "     ")</f>
        <v xml:space="preserve">     </v>
      </c>
    </row>
    <row r="429" spans="1:4" x14ac:dyDescent="0.25">
      <c r="A429" s="12" t="s">
        <v>6790</v>
      </c>
      <c r="B429" s="10" t="str">
        <f>_xlfn.IFNA(VLOOKUP($A429,CompChecksTrans!$A:$C,2,FALSE), "")</f>
        <v/>
      </c>
      <c r="C429" s="10" t="str">
        <f>_xlfn.IFNA(VLOOKUP(B429,Phase3!A$4:C$1000,3,FALSE),"")</f>
        <v/>
      </c>
      <c r="D429" s="10" t="str">
        <f>_xlfn.IFNA(VLOOKUP($A429,CompChecksTrans!$A:$C,3,FALSE), "     ")</f>
        <v xml:space="preserve">     </v>
      </c>
    </row>
    <row r="430" spans="1:4" x14ac:dyDescent="0.25">
      <c r="A430" s="12" t="s">
        <v>6791</v>
      </c>
      <c r="B430" s="10" t="str">
        <f>_xlfn.IFNA(VLOOKUP($A430,CompChecksTrans!$A:$C,2,FALSE), "")</f>
        <v/>
      </c>
      <c r="C430" s="10" t="str">
        <f>_xlfn.IFNA(VLOOKUP(B430,Phase3!A$4:C$1000,3,FALSE),"")</f>
        <v/>
      </c>
      <c r="D430" s="10" t="str">
        <f>_xlfn.IFNA(VLOOKUP($A430,CompChecksTrans!$A:$C,3,FALSE), "     ")</f>
        <v xml:space="preserve">     </v>
      </c>
    </row>
    <row r="431" spans="1:4" x14ac:dyDescent="0.25">
      <c r="A431" s="12" t="s">
        <v>6792</v>
      </c>
      <c r="B431" s="10" t="str">
        <f>_xlfn.IFNA(VLOOKUP($A431,CompChecksTrans!$A:$C,2,FALSE), "")</f>
        <v/>
      </c>
      <c r="C431" s="10" t="str">
        <f>_xlfn.IFNA(VLOOKUP(B431,Phase3!A$4:C$1000,3,FALSE),"")</f>
        <v/>
      </c>
      <c r="D431" s="10" t="str">
        <f>_xlfn.IFNA(VLOOKUP($A431,CompChecksTrans!$A:$C,3,FALSE), "     ")</f>
        <v xml:space="preserve">     </v>
      </c>
    </row>
    <row r="432" spans="1:4" x14ac:dyDescent="0.25">
      <c r="A432" s="12" t="s">
        <v>6793</v>
      </c>
      <c r="B432" s="10" t="str">
        <f>_xlfn.IFNA(VLOOKUP($A432,CompChecksTrans!$A:$C,2,FALSE), "")</f>
        <v/>
      </c>
      <c r="C432" s="10" t="str">
        <f>_xlfn.IFNA(VLOOKUP(B432,Phase3!A$4:C$1000,3,FALSE),"")</f>
        <v/>
      </c>
      <c r="D432" s="10" t="str">
        <f>_xlfn.IFNA(VLOOKUP($A432,CompChecksTrans!$A:$C,3,FALSE), "     ")</f>
        <v xml:space="preserve">     </v>
      </c>
    </row>
    <row r="433" spans="1:4" x14ac:dyDescent="0.25">
      <c r="A433" s="12" t="s">
        <v>6794</v>
      </c>
      <c r="B433" s="10" t="str">
        <f>_xlfn.IFNA(VLOOKUP($A433,CompChecksTrans!$A:$C,2,FALSE), "")</f>
        <v/>
      </c>
      <c r="C433" s="10" t="str">
        <f>_xlfn.IFNA(VLOOKUP(B433,Phase3!A$4:C$1000,3,FALSE),"")</f>
        <v/>
      </c>
      <c r="D433" s="10" t="str">
        <f>_xlfn.IFNA(VLOOKUP($A433,CompChecksTrans!$A:$C,3,FALSE), "     ")</f>
        <v xml:space="preserve">     </v>
      </c>
    </row>
    <row r="434" spans="1:4" x14ac:dyDescent="0.25">
      <c r="A434" s="12" t="s">
        <v>6795</v>
      </c>
      <c r="B434" s="10" t="str">
        <f>_xlfn.IFNA(VLOOKUP($A434,CompChecksTrans!$A:$C,2,FALSE), "")</f>
        <v/>
      </c>
      <c r="C434" s="10" t="str">
        <f>_xlfn.IFNA(VLOOKUP(B434,Phase3!A$4:C$1000,3,FALSE),"")</f>
        <v/>
      </c>
      <c r="D434" s="10" t="str">
        <f>_xlfn.IFNA(VLOOKUP($A434,CompChecksTrans!$A:$C,3,FALSE), "     ")</f>
        <v xml:space="preserve">     </v>
      </c>
    </row>
    <row r="435" spans="1:4" x14ac:dyDescent="0.25">
      <c r="A435" s="12" t="s">
        <v>6796</v>
      </c>
      <c r="B435" s="10" t="str">
        <f>_xlfn.IFNA(VLOOKUP($A435,CompChecksTrans!$A:$C,2,FALSE), "")</f>
        <v/>
      </c>
      <c r="C435" s="10" t="str">
        <f>_xlfn.IFNA(VLOOKUP(B435,Phase3!A$4:C$1000,3,FALSE),"")</f>
        <v/>
      </c>
      <c r="D435" s="10" t="str">
        <f>_xlfn.IFNA(VLOOKUP($A435,CompChecksTrans!$A:$C,3,FALSE), "     ")</f>
        <v xml:space="preserve">     </v>
      </c>
    </row>
    <row r="436" spans="1:4" x14ac:dyDescent="0.25">
      <c r="A436" s="12" t="s">
        <v>6797</v>
      </c>
      <c r="B436" s="10" t="str">
        <f>_xlfn.IFNA(VLOOKUP($A436,CompChecksTrans!$A:$C,2,FALSE), "")</f>
        <v/>
      </c>
      <c r="C436" s="10" t="str">
        <f>_xlfn.IFNA(VLOOKUP(B436,Phase3!A$4:C$1000,3,FALSE),"")</f>
        <v/>
      </c>
      <c r="D436" s="10" t="str">
        <f>_xlfn.IFNA(VLOOKUP($A436,CompChecksTrans!$A:$C,3,FALSE), "     ")</f>
        <v xml:space="preserve">     </v>
      </c>
    </row>
    <row r="437" spans="1:4" x14ac:dyDescent="0.25">
      <c r="A437" s="12" t="s">
        <v>6798</v>
      </c>
      <c r="B437" s="10" t="str">
        <f>_xlfn.IFNA(VLOOKUP($A437,CompChecksTrans!$A:$C,2,FALSE), "")</f>
        <v/>
      </c>
      <c r="C437" s="10" t="str">
        <f>_xlfn.IFNA(VLOOKUP(B437,Phase3!A$4:C$1000,3,FALSE),"")</f>
        <v/>
      </c>
      <c r="D437" s="10" t="str">
        <f>_xlfn.IFNA(VLOOKUP($A437,CompChecksTrans!$A:$C,3,FALSE), "     ")</f>
        <v xml:space="preserve">     </v>
      </c>
    </row>
    <row r="438" spans="1:4" x14ac:dyDescent="0.25">
      <c r="A438" s="12" t="s">
        <v>6799</v>
      </c>
      <c r="B438" s="10" t="str">
        <f>_xlfn.IFNA(VLOOKUP($A438,CompChecksTrans!$A:$C,2,FALSE), "")</f>
        <v/>
      </c>
      <c r="C438" s="10" t="str">
        <f>_xlfn.IFNA(VLOOKUP(B438,Phase3!A$4:C$1000,3,FALSE),"")</f>
        <v/>
      </c>
      <c r="D438" s="10" t="str">
        <f>_xlfn.IFNA(VLOOKUP($A438,CompChecksTrans!$A:$C,3,FALSE), "     ")</f>
        <v xml:space="preserve">     </v>
      </c>
    </row>
    <row r="439" spans="1:4" x14ac:dyDescent="0.25">
      <c r="A439" s="12" t="s">
        <v>6800</v>
      </c>
      <c r="B439" s="10" t="str">
        <f>_xlfn.IFNA(VLOOKUP($A439,CompChecksTrans!$A:$C,2,FALSE), "")</f>
        <v/>
      </c>
      <c r="C439" s="10" t="str">
        <f>_xlfn.IFNA(VLOOKUP(B439,Phase3!A$4:C$1000,3,FALSE),"")</f>
        <v/>
      </c>
      <c r="D439" s="10" t="str">
        <f>_xlfn.IFNA(VLOOKUP($A439,CompChecksTrans!$A:$C,3,FALSE), "     ")</f>
        <v xml:space="preserve">     </v>
      </c>
    </row>
    <row r="440" spans="1:4" x14ac:dyDescent="0.25">
      <c r="A440" s="12" t="s">
        <v>6801</v>
      </c>
      <c r="B440" s="10" t="str">
        <f>_xlfn.IFNA(VLOOKUP($A440,CompChecksTrans!$A:$C,2,FALSE), "")</f>
        <v/>
      </c>
      <c r="C440" s="10" t="str">
        <f>_xlfn.IFNA(VLOOKUP(B440,Phase3!A$4:C$1000,3,FALSE),"")</f>
        <v/>
      </c>
      <c r="D440" s="10" t="str">
        <f>_xlfn.IFNA(VLOOKUP($A440,CompChecksTrans!$A:$C,3,FALSE), "     ")</f>
        <v xml:space="preserve">     </v>
      </c>
    </row>
    <row r="441" spans="1:4" x14ac:dyDescent="0.25">
      <c r="A441" s="12" t="s">
        <v>6802</v>
      </c>
      <c r="B441" s="10" t="str">
        <f>_xlfn.IFNA(VLOOKUP($A441,CompChecksTrans!$A:$C,2,FALSE), "")</f>
        <v/>
      </c>
      <c r="C441" s="10" t="str">
        <f>_xlfn.IFNA(VLOOKUP(B441,Phase3!A$4:C$1000,3,FALSE),"")</f>
        <v/>
      </c>
      <c r="D441" s="10" t="str">
        <f>_xlfn.IFNA(VLOOKUP($A441,CompChecksTrans!$A:$C,3,FALSE), "     ")</f>
        <v xml:space="preserve">     </v>
      </c>
    </row>
    <row r="442" spans="1:4" x14ac:dyDescent="0.25">
      <c r="A442" s="12" t="s">
        <v>6803</v>
      </c>
      <c r="B442" s="10" t="str">
        <f>_xlfn.IFNA(VLOOKUP($A442,CompChecksTrans!$A:$C,2,FALSE), "")</f>
        <v/>
      </c>
      <c r="C442" s="10" t="str">
        <f>_xlfn.IFNA(VLOOKUP(B442,Phase3!A$4:C$1000,3,FALSE),"")</f>
        <v/>
      </c>
      <c r="D442" s="10" t="str">
        <f>_xlfn.IFNA(VLOOKUP($A442,CompChecksTrans!$A:$C,3,FALSE), "     ")</f>
        <v xml:space="preserve">     </v>
      </c>
    </row>
    <row r="443" spans="1:4" x14ac:dyDescent="0.25">
      <c r="A443" s="12" t="s">
        <v>6804</v>
      </c>
      <c r="B443" s="10" t="str">
        <f>_xlfn.IFNA(VLOOKUP($A443,CompChecksTrans!$A:$C,2,FALSE), "")</f>
        <v/>
      </c>
      <c r="C443" s="10" t="str">
        <f>_xlfn.IFNA(VLOOKUP(B443,Phase3!A$4:C$1000,3,FALSE),"")</f>
        <v/>
      </c>
      <c r="D443" s="10" t="str">
        <f>_xlfn.IFNA(VLOOKUP($A443,CompChecksTrans!$A:$C,3,FALSE), "     ")</f>
        <v xml:space="preserve">     </v>
      </c>
    </row>
    <row r="444" spans="1:4" x14ac:dyDescent="0.25">
      <c r="A444" s="12" t="s">
        <v>6805</v>
      </c>
      <c r="B444" s="10" t="str">
        <f>_xlfn.IFNA(VLOOKUP($A444,CompChecksTrans!$A:$C,2,FALSE), "")</f>
        <v/>
      </c>
      <c r="C444" s="10" t="str">
        <f>_xlfn.IFNA(VLOOKUP(B444,Phase3!A$4:C$1000,3,FALSE),"")</f>
        <v/>
      </c>
      <c r="D444" s="10" t="str">
        <f>_xlfn.IFNA(VLOOKUP($A444,CompChecksTrans!$A:$C,3,FALSE), "     ")</f>
        <v xml:space="preserve">     </v>
      </c>
    </row>
    <row r="445" spans="1:4" x14ac:dyDescent="0.25">
      <c r="A445" s="12" t="s">
        <v>6806</v>
      </c>
      <c r="B445" s="10" t="str">
        <f>_xlfn.IFNA(VLOOKUP($A445,CompChecksTrans!$A:$C,2,FALSE), "")</f>
        <v/>
      </c>
      <c r="C445" s="10" t="str">
        <f>_xlfn.IFNA(VLOOKUP(B445,Phase3!A$4:C$1000,3,FALSE),"")</f>
        <v/>
      </c>
      <c r="D445" s="10" t="str">
        <f>_xlfn.IFNA(VLOOKUP($A445,CompChecksTrans!$A:$C,3,FALSE), "     ")</f>
        <v xml:space="preserve">     </v>
      </c>
    </row>
    <row r="446" spans="1:4" x14ac:dyDescent="0.25">
      <c r="A446" s="12" t="s">
        <v>6807</v>
      </c>
      <c r="B446" s="10" t="str">
        <f>_xlfn.IFNA(VLOOKUP($A446,CompChecksTrans!$A:$C,2,FALSE), "")</f>
        <v/>
      </c>
      <c r="C446" s="10" t="str">
        <f>_xlfn.IFNA(VLOOKUP(B446,Phase3!A$4:C$1000,3,FALSE),"")</f>
        <v/>
      </c>
      <c r="D446" s="10" t="str">
        <f>_xlfn.IFNA(VLOOKUP($A446,CompChecksTrans!$A:$C,3,FALSE), "     ")</f>
        <v xml:space="preserve">     </v>
      </c>
    </row>
    <row r="447" spans="1:4" x14ac:dyDescent="0.25">
      <c r="A447" s="12" t="s">
        <v>6808</v>
      </c>
      <c r="B447" s="10" t="str">
        <f>_xlfn.IFNA(VLOOKUP($A447,CompChecksTrans!$A:$C,2,FALSE), "")</f>
        <v/>
      </c>
      <c r="C447" s="10" t="str">
        <f>_xlfn.IFNA(VLOOKUP(B447,Phase3!A$4:C$1000,3,FALSE),"")</f>
        <v/>
      </c>
      <c r="D447" s="10" t="str">
        <f>_xlfn.IFNA(VLOOKUP($A447,CompChecksTrans!$A:$C,3,FALSE), "     ")</f>
        <v xml:space="preserve">     </v>
      </c>
    </row>
    <row r="448" spans="1:4" x14ac:dyDescent="0.25">
      <c r="A448" s="12" t="s">
        <v>6809</v>
      </c>
      <c r="B448" s="10" t="str">
        <f>_xlfn.IFNA(VLOOKUP($A448,CompChecksTrans!$A:$C,2,FALSE), "")</f>
        <v/>
      </c>
      <c r="C448" s="10" t="str">
        <f>_xlfn.IFNA(VLOOKUP(B448,Phase3!A$4:C$1000,3,FALSE),"")</f>
        <v/>
      </c>
      <c r="D448" s="10" t="str">
        <f>_xlfn.IFNA(VLOOKUP($A448,CompChecksTrans!$A:$C,3,FALSE), "     ")</f>
        <v xml:space="preserve">     </v>
      </c>
    </row>
    <row r="449" spans="1:4" x14ac:dyDescent="0.25">
      <c r="A449" s="12" t="s">
        <v>6810</v>
      </c>
      <c r="B449" s="10" t="str">
        <f>_xlfn.IFNA(VLOOKUP($A449,CompChecksTrans!$A:$C,2,FALSE), "")</f>
        <v/>
      </c>
      <c r="C449" s="10" t="str">
        <f>_xlfn.IFNA(VLOOKUP(B449,Phase3!A$4:C$1000,3,FALSE),"")</f>
        <v/>
      </c>
      <c r="D449" s="10" t="str">
        <f>_xlfn.IFNA(VLOOKUP($A449,CompChecksTrans!$A:$C,3,FALSE), "     ")</f>
        <v xml:space="preserve">     </v>
      </c>
    </row>
    <row r="450" spans="1:4" x14ac:dyDescent="0.25">
      <c r="A450" s="12" t="s">
        <v>6811</v>
      </c>
      <c r="B450" s="10" t="str">
        <f>_xlfn.IFNA(VLOOKUP($A450,CompChecksTrans!$A:$C,2,FALSE), "")</f>
        <v/>
      </c>
      <c r="C450" s="10" t="str">
        <f>_xlfn.IFNA(VLOOKUP(B450,Phase3!A$4:C$1000,3,FALSE),"")</f>
        <v/>
      </c>
      <c r="D450" s="10" t="str">
        <f>_xlfn.IFNA(VLOOKUP($A450,CompChecksTrans!$A:$C,3,FALSE), "     ")</f>
        <v xml:space="preserve">     </v>
      </c>
    </row>
    <row r="451" spans="1:4" x14ac:dyDescent="0.25">
      <c r="A451" s="12" t="s">
        <v>6812</v>
      </c>
      <c r="B451" s="10" t="str">
        <f>_xlfn.IFNA(VLOOKUP($A451,CompChecksTrans!$A:$C,2,FALSE), "")</f>
        <v/>
      </c>
      <c r="C451" s="10" t="str">
        <f>_xlfn.IFNA(VLOOKUP(B451,Phase3!A$4:C$1000,3,FALSE),"")</f>
        <v/>
      </c>
      <c r="D451" s="10" t="str">
        <f>_xlfn.IFNA(VLOOKUP($A451,CompChecksTrans!$A:$C,3,FALSE), "     ")</f>
        <v xml:space="preserve">     </v>
      </c>
    </row>
    <row r="452" spans="1:4" x14ac:dyDescent="0.25">
      <c r="A452" s="12" t="s">
        <v>6813</v>
      </c>
      <c r="B452" s="10" t="str">
        <f>_xlfn.IFNA(VLOOKUP($A452,CompChecksTrans!$A:$C,2,FALSE), "")</f>
        <v/>
      </c>
      <c r="C452" s="10" t="str">
        <f>_xlfn.IFNA(VLOOKUP(B452,Phase3!A$4:C$1000,3,FALSE),"")</f>
        <v/>
      </c>
      <c r="D452" s="10" t="str">
        <f>_xlfn.IFNA(VLOOKUP($A452,CompChecksTrans!$A:$C,3,FALSE), "     ")</f>
        <v xml:space="preserve">     </v>
      </c>
    </row>
    <row r="453" spans="1:4" x14ac:dyDescent="0.25">
      <c r="A453" s="12" t="s">
        <v>6814</v>
      </c>
      <c r="B453" s="10" t="str">
        <f>_xlfn.IFNA(VLOOKUP($A453,CompChecksTrans!$A:$C,2,FALSE), "")</f>
        <v/>
      </c>
      <c r="C453" s="10" t="str">
        <f>_xlfn.IFNA(VLOOKUP(B453,Phase3!A$4:C$1000,3,FALSE),"")</f>
        <v/>
      </c>
      <c r="D453" s="10" t="str">
        <f>_xlfn.IFNA(VLOOKUP($A453,CompChecksTrans!$A:$C,3,FALSE), "     ")</f>
        <v xml:space="preserve">     </v>
      </c>
    </row>
    <row r="454" spans="1:4" x14ac:dyDescent="0.25">
      <c r="A454" s="12" t="s">
        <v>6815</v>
      </c>
      <c r="B454" s="10" t="str">
        <f>_xlfn.IFNA(VLOOKUP($A454,CompChecksTrans!$A:$C,2,FALSE), "")</f>
        <v/>
      </c>
      <c r="C454" s="10" t="str">
        <f>_xlfn.IFNA(VLOOKUP(B454,Phase3!A$4:C$1000,3,FALSE),"")</f>
        <v/>
      </c>
      <c r="D454" s="10" t="str">
        <f>_xlfn.IFNA(VLOOKUP($A454,CompChecksTrans!$A:$C,3,FALSE), "     ")</f>
        <v xml:space="preserve">     </v>
      </c>
    </row>
    <row r="455" spans="1:4" x14ac:dyDescent="0.25">
      <c r="A455" s="12" t="s">
        <v>6816</v>
      </c>
      <c r="B455" s="10" t="str">
        <f>_xlfn.IFNA(VLOOKUP($A455,CompChecksTrans!$A:$C,2,FALSE), "")</f>
        <v/>
      </c>
      <c r="C455" s="10" t="str">
        <f>_xlfn.IFNA(VLOOKUP(B455,Phase3!A$4:C$1000,3,FALSE),"")</f>
        <v/>
      </c>
      <c r="D455" s="10" t="str">
        <f>_xlfn.IFNA(VLOOKUP($A455,CompChecksTrans!$A:$C,3,FALSE), "     ")</f>
        <v xml:space="preserve">     </v>
      </c>
    </row>
    <row r="456" spans="1:4" x14ac:dyDescent="0.25">
      <c r="A456" s="12" t="s">
        <v>6817</v>
      </c>
      <c r="B456" s="10" t="str">
        <f>_xlfn.IFNA(VLOOKUP($A456,CompChecksTrans!$A:$C,2,FALSE), "")</f>
        <v/>
      </c>
      <c r="C456" s="10" t="str">
        <f>_xlfn.IFNA(VLOOKUP(B456,Phase3!A$4:C$1000,3,FALSE),"")</f>
        <v/>
      </c>
      <c r="D456" s="10" t="str">
        <f>_xlfn.IFNA(VLOOKUP($A456,CompChecksTrans!$A:$C,3,FALSE), "     ")</f>
        <v xml:space="preserve">     </v>
      </c>
    </row>
    <row r="457" spans="1:4" x14ac:dyDescent="0.25">
      <c r="A457" s="12" t="s">
        <v>6818</v>
      </c>
      <c r="B457" s="10" t="str">
        <f>_xlfn.IFNA(VLOOKUP($A457,CompChecksTrans!$A:$C,2,FALSE), "")</f>
        <v/>
      </c>
      <c r="C457" s="10" t="str">
        <f>_xlfn.IFNA(VLOOKUP(B457,Phase3!A$4:C$1000,3,FALSE),"")</f>
        <v/>
      </c>
      <c r="D457" s="10" t="str">
        <f>_xlfn.IFNA(VLOOKUP($A457,CompChecksTrans!$A:$C,3,FALSE), "     ")</f>
        <v xml:space="preserve">     </v>
      </c>
    </row>
    <row r="458" spans="1:4" x14ac:dyDescent="0.25">
      <c r="A458" s="12" t="s">
        <v>6819</v>
      </c>
      <c r="B458" s="10" t="str">
        <f>_xlfn.IFNA(VLOOKUP($A458,CompChecksTrans!$A:$C,2,FALSE), "")</f>
        <v/>
      </c>
      <c r="C458" s="10" t="str">
        <f>_xlfn.IFNA(VLOOKUP(B458,Phase3!A$4:C$1000,3,FALSE),"")</f>
        <v/>
      </c>
      <c r="D458" s="10" t="str">
        <f>_xlfn.IFNA(VLOOKUP($A458,CompChecksTrans!$A:$C,3,FALSE), "     ")</f>
        <v xml:space="preserve">     </v>
      </c>
    </row>
    <row r="459" spans="1:4" x14ac:dyDescent="0.25">
      <c r="A459" s="12" t="s">
        <v>6820</v>
      </c>
      <c r="B459" s="10" t="str">
        <f>_xlfn.IFNA(VLOOKUP($A459,CompChecksTrans!$A:$C,2,FALSE), "")</f>
        <v/>
      </c>
      <c r="C459" s="10" t="str">
        <f>_xlfn.IFNA(VLOOKUP(B459,Phase3!A$4:C$1000,3,FALSE),"")</f>
        <v/>
      </c>
      <c r="D459" s="10" t="str">
        <f>_xlfn.IFNA(VLOOKUP($A459,CompChecksTrans!$A:$C,3,FALSE), "     ")</f>
        <v xml:space="preserve">     </v>
      </c>
    </row>
    <row r="460" spans="1:4" x14ac:dyDescent="0.25">
      <c r="A460" s="12" t="s">
        <v>6821</v>
      </c>
      <c r="B460" s="10" t="str">
        <f>_xlfn.IFNA(VLOOKUP($A460,CompChecksTrans!$A:$C,2,FALSE), "")</f>
        <v/>
      </c>
      <c r="C460" s="10" t="str">
        <f>_xlfn.IFNA(VLOOKUP(B460,Phase3!A$4:C$1000,3,FALSE),"")</f>
        <v/>
      </c>
      <c r="D460" s="10" t="str">
        <f>_xlfn.IFNA(VLOOKUP($A460,CompChecksTrans!$A:$C,3,FALSE), "     ")</f>
        <v xml:space="preserve">     </v>
      </c>
    </row>
    <row r="461" spans="1:4" x14ac:dyDescent="0.25">
      <c r="A461" s="12" t="s">
        <v>6822</v>
      </c>
      <c r="B461" s="10" t="str">
        <f>_xlfn.IFNA(VLOOKUP($A461,CompChecksTrans!$A:$C,2,FALSE), "")</f>
        <v/>
      </c>
      <c r="C461" s="10" t="str">
        <f>_xlfn.IFNA(VLOOKUP(B461,Phase3!A$4:C$1000,3,FALSE),"")</f>
        <v/>
      </c>
      <c r="D461" s="10" t="str">
        <f>_xlfn.IFNA(VLOOKUP($A461,CompChecksTrans!$A:$C,3,FALSE), "     ")</f>
        <v xml:space="preserve">     </v>
      </c>
    </row>
    <row r="462" spans="1:4" x14ac:dyDescent="0.25">
      <c r="A462" s="12" t="s">
        <v>6823</v>
      </c>
      <c r="B462" s="10" t="str">
        <f>_xlfn.IFNA(VLOOKUP($A462,CompChecksTrans!$A:$C,2,FALSE), "")</f>
        <v/>
      </c>
      <c r="C462" s="10" t="str">
        <f>_xlfn.IFNA(VLOOKUP(B462,Phase3!A$4:C$1000,3,FALSE),"")</f>
        <v/>
      </c>
      <c r="D462" s="10" t="str">
        <f>_xlfn.IFNA(VLOOKUP($A462,CompChecksTrans!$A:$C,3,FALSE), "     ")</f>
        <v xml:space="preserve">     </v>
      </c>
    </row>
    <row r="463" spans="1:4" x14ac:dyDescent="0.25">
      <c r="A463" s="12" t="s">
        <v>6824</v>
      </c>
      <c r="B463" s="10" t="str">
        <f>_xlfn.IFNA(VLOOKUP($A463,CompChecksTrans!$A:$C,2,FALSE), "")</f>
        <v/>
      </c>
      <c r="C463" s="10" t="str">
        <f>_xlfn.IFNA(VLOOKUP(B463,Phase3!A$4:C$1000,3,FALSE),"")</f>
        <v/>
      </c>
      <c r="D463" s="10" t="str">
        <f>_xlfn.IFNA(VLOOKUP($A463,CompChecksTrans!$A:$C,3,FALSE), "     ")</f>
        <v xml:space="preserve">     </v>
      </c>
    </row>
    <row r="464" spans="1:4" x14ac:dyDescent="0.25">
      <c r="A464" s="12" t="s">
        <v>6825</v>
      </c>
      <c r="B464" s="10" t="str">
        <f>_xlfn.IFNA(VLOOKUP($A464,CompChecksTrans!$A:$C,2,FALSE), "")</f>
        <v/>
      </c>
      <c r="C464" s="10" t="str">
        <f>_xlfn.IFNA(VLOOKUP(B464,Phase3!A$4:C$1000,3,FALSE),"")</f>
        <v/>
      </c>
      <c r="D464" s="10" t="str">
        <f>_xlfn.IFNA(VLOOKUP($A464,CompChecksTrans!$A:$C,3,FALSE), "     ")</f>
        <v xml:space="preserve">     </v>
      </c>
    </row>
    <row r="465" spans="1:4" x14ac:dyDescent="0.25">
      <c r="A465" s="12" t="s">
        <v>6826</v>
      </c>
      <c r="B465" s="10" t="str">
        <f>_xlfn.IFNA(VLOOKUP($A465,CompChecksTrans!$A:$C,2,FALSE), "")</f>
        <v/>
      </c>
      <c r="C465" s="10" t="str">
        <f>_xlfn.IFNA(VLOOKUP(B465,Phase3!A$4:C$1000,3,FALSE),"")</f>
        <v/>
      </c>
      <c r="D465" s="10" t="str">
        <f>_xlfn.IFNA(VLOOKUP($A465,CompChecksTrans!$A:$C,3,FALSE), "     ")</f>
        <v xml:space="preserve">     </v>
      </c>
    </row>
    <row r="466" spans="1:4" x14ac:dyDescent="0.25">
      <c r="A466" s="12" t="s">
        <v>6827</v>
      </c>
      <c r="B466" s="10" t="str">
        <f>_xlfn.IFNA(VLOOKUP($A466,CompChecksTrans!$A:$C,2,FALSE), "")</f>
        <v/>
      </c>
      <c r="C466" s="10" t="str">
        <f>_xlfn.IFNA(VLOOKUP(B466,Phase3!A$4:C$1000,3,FALSE),"")</f>
        <v/>
      </c>
      <c r="D466" s="10" t="str">
        <f>_xlfn.IFNA(VLOOKUP($A466,CompChecksTrans!$A:$C,3,FALSE), "     ")</f>
        <v xml:space="preserve">     </v>
      </c>
    </row>
    <row r="467" spans="1:4" x14ac:dyDescent="0.25">
      <c r="A467" s="12" t="s">
        <v>6828</v>
      </c>
      <c r="B467" s="10" t="str">
        <f>_xlfn.IFNA(VLOOKUP($A467,CompChecksTrans!$A:$C,2,FALSE), "")</f>
        <v/>
      </c>
      <c r="C467" s="10" t="str">
        <f>_xlfn.IFNA(VLOOKUP(B467,Phase3!A$4:C$1000,3,FALSE),"")</f>
        <v/>
      </c>
      <c r="D467" s="10" t="str">
        <f>_xlfn.IFNA(VLOOKUP($A467,CompChecksTrans!$A:$C,3,FALSE), "     ")</f>
        <v xml:space="preserve">     </v>
      </c>
    </row>
    <row r="468" spans="1:4" x14ac:dyDescent="0.25">
      <c r="A468" s="12" t="s">
        <v>6829</v>
      </c>
      <c r="B468" s="10" t="str">
        <f>_xlfn.IFNA(VLOOKUP($A468,CompChecksTrans!$A:$C,2,FALSE), "")</f>
        <v/>
      </c>
      <c r="C468" s="10" t="str">
        <f>_xlfn.IFNA(VLOOKUP(B468,Phase3!A$4:C$1000,3,FALSE),"")</f>
        <v/>
      </c>
      <c r="D468" s="10" t="str">
        <f>_xlfn.IFNA(VLOOKUP($A468,CompChecksTrans!$A:$C,3,FALSE), "     ")</f>
        <v xml:space="preserve">     </v>
      </c>
    </row>
    <row r="469" spans="1:4" x14ac:dyDescent="0.25">
      <c r="A469" s="12" t="s">
        <v>6830</v>
      </c>
      <c r="B469" s="10" t="str">
        <f>_xlfn.IFNA(VLOOKUP($A469,CompChecksTrans!$A:$C,2,FALSE), "")</f>
        <v/>
      </c>
      <c r="C469" s="10" t="str">
        <f>_xlfn.IFNA(VLOOKUP(B469,Phase3!A$4:C$1000,3,FALSE),"")</f>
        <v/>
      </c>
      <c r="D469" s="10" t="str">
        <f>_xlfn.IFNA(VLOOKUP($A469,CompChecksTrans!$A:$C,3,FALSE), "     ")</f>
        <v xml:space="preserve">     </v>
      </c>
    </row>
    <row r="470" spans="1:4" x14ac:dyDescent="0.25">
      <c r="A470" s="12" t="s">
        <v>6831</v>
      </c>
      <c r="B470" s="10" t="str">
        <f>_xlfn.IFNA(VLOOKUP($A470,CompChecksTrans!$A:$C,2,FALSE), "")</f>
        <v/>
      </c>
      <c r="C470" s="10" t="str">
        <f>_xlfn.IFNA(VLOOKUP(B470,Phase3!A$4:C$1000,3,FALSE),"")</f>
        <v/>
      </c>
      <c r="D470" s="10" t="str">
        <f>_xlfn.IFNA(VLOOKUP($A470,CompChecksTrans!$A:$C,3,FALSE), "     ")</f>
        <v xml:space="preserve">     </v>
      </c>
    </row>
    <row r="471" spans="1:4" x14ac:dyDescent="0.25">
      <c r="A471" s="12" t="s">
        <v>6832</v>
      </c>
      <c r="B471" s="10" t="str">
        <f>_xlfn.IFNA(VLOOKUP($A471,CompChecksTrans!$A:$C,2,FALSE), "")</f>
        <v/>
      </c>
      <c r="C471" s="10" t="str">
        <f>_xlfn.IFNA(VLOOKUP(B471,Phase3!A$4:C$1000,3,FALSE),"")</f>
        <v/>
      </c>
      <c r="D471" s="10" t="str">
        <f>_xlfn.IFNA(VLOOKUP($A471,CompChecksTrans!$A:$C,3,FALSE), "     ")</f>
        <v xml:space="preserve">     </v>
      </c>
    </row>
    <row r="472" spans="1:4" x14ac:dyDescent="0.25">
      <c r="A472" s="12" t="s">
        <v>6833</v>
      </c>
      <c r="B472" s="10" t="str">
        <f>_xlfn.IFNA(VLOOKUP($A472,CompChecksTrans!$A:$C,2,FALSE), "")</f>
        <v/>
      </c>
      <c r="C472" s="10" t="str">
        <f>_xlfn.IFNA(VLOOKUP(B472,Phase3!A$4:C$1000,3,FALSE),"")</f>
        <v/>
      </c>
      <c r="D472" s="10" t="str">
        <f>_xlfn.IFNA(VLOOKUP($A472,CompChecksTrans!$A:$C,3,FALSE), "     ")</f>
        <v xml:space="preserve">     </v>
      </c>
    </row>
    <row r="473" spans="1:4" x14ac:dyDescent="0.25">
      <c r="A473" s="12" t="s">
        <v>6834</v>
      </c>
      <c r="B473" s="10" t="str">
        <f>_xlfn.IFNA(VLOOKUP($A473,CompChecksTrans!$A:$C,2,FALSE), "")</f>
        <v/>
      </c>
      <c r="C473" s="10" t="str">
        <f>_xlfn.IFNA(VLOOKUP(B473,Phase3!A$4:C$1000,3,FALSE),"")</f>
        <v/>
      </c>
      <c r="D473" s="10" t="str">
        <f>_xlfn.IFNA(VLOOKUP($A473,CompChecksTrans!$A:$C,3,FALSE), "     ")</f>
        <v xml:space="preserve">     </v>
      </c>
    </row>
    <row r="474" spans="1:4" x14ac:dyDescent="0.25">
      <c r="A474" s="12" t="s">
        <v>6835</v>
      </c>
      <c r="B474" s="10" t="str">
        <f>_xlfn.IFNA(VLOOKUP($A474,CompChecksTrans!$A:$C,2,FALSE), "")</f>
        <v/>
      </c>
      <c r="C474" s="10" t="str">
        <f>_xlfn.IFNA(VLOOKUP(B474,Phase3!A$4:C$1000,3,FALSE),"")</f>
        <v/>
      </c>
      <c r="D474" s="10" t="str">
        <f>_xlfn.IFNA(VLOOKUP($A474,CompChecksTrans!$A:$C,3,FALSE), "     ")</f>
        <v xml:space="preserve">     </v>
      </c>
    </row>
    <row r="475" spans="1:4" x14ac:dyDescent="0.25">
      <c r="A475" s="12" t="s">
        <v>6836</v>
      </c>
      <c r="B475" s="10" t="str">
        <f>_xlfn.IFNA(VLOOKUP($A475,CompChecksTrans!$A:$C,2,FALSE), "")</f>
        <v/>
      </c>
      <c r="C475" s="10" t="str">
        <f>_xlfn.IFNA(VLOOKUP(B475,Phase3!A$4:C$1000,3,FALSE),"")</f>
        <v/>
      </c>
      <c r="D475" s="10" t="str">
        <f>_xlfn.IFNA(VLOOKUP($A475,CompChecksTrans!$A:$C,3,FALSE), "     ")</f>
        <v xml:space="preserve">     </v>
      </c>
    </row>
    <row r="476" spans="1:4" x14ac:dyDescent="0.25">
      <c r="A476" s="12" t="s">
        <v>6837</v>
      </c>
      <c r="B476" s="10" t="str">
        <f>_xlfn.IFNA(VLOOKUP($A476,CompChecksTrans!$A:$C,2,FALSE), "")</f>
        <v/>
      </c>
      <c r="C476" s="10" t="str">
        <f>_xlfn.IFNA(VLOOKUP(B476,Phase3!A$4:C$1000,3,FALSE),"")</f>
        <v/>
      </c>
      <c r="D476" s="10" t="str">
        <f>_xlfn.IFNA(VLOOKUP($A476,CompChecksTrans!$A:$C,3,FALSE), "     ")</f>
        <v xml:space="preserve">     </v>
      </c>
    </row>
    <row r="477" spans="1:4" x14ac:dyDescent="0.25">
      <c r="A477" s="12" t="s">
        <v>6838</v>
      </c>
      <c r="B477" s="10" t="str">
        <f>_xlfn.IFNA(VLOOKUP($A477,CompChecksTrans!$A:$C,2,FALSE), "")</f>
        <v/>
      </c>
      <c r="C477" s="10" t="str">
        <f>_xlfn.IFNA(VLOOKUP(B477,Phase3!A$4:C$1000,3,FALSE),"")</f>
        <v/>
      </c>
      <c r="D477" s="10" t="str">
        <f>_xlfn.IFNA(VLOOKUP($A477,CompChecksTrans!$A:$C,3,FALSE), "     ")</f>
        <v xml:space="preserve">     </v>
      </c>
    </row>
    <row r="478" spans="1:4" x14ac:dyDescent="0.25">
      <c r="A478" s="12" t="s">
        <v>6839</v>
      </c>
      <c r="B478" s="10" t="str">
        <f>_xlfn.IFNA(VLOOKUP($A478,CompChecksTrans!$A:$C,2,FALSE), "")</f>
        <v/>
      </c>
      <c r="C478" s="10" t="str">
        <f>_xlfn.IFNA(VLOOKUP(B478,Phase3!A$4:C$1000,3,FALSE),"")</f>
        <v/>
      </c>
      <c r="D478" s="10" t="str">
        <f>_xlfn.IFNA(VLOOKUP($A478,CompChecksTrans!$A:$C,3,FALSE), "     ")</f>
        <v xml:space="preserve">     </v>
      </c>
    </row>
    <row r="479" spans="1:4" x14ac:dyDescent="0.25">
      <c r="A479" s="12" t="s">
        <v>6840</v>
      </c>
      <c r="B479" s="10" t="str">
        <f>_xlfn.IFNA(VLOOKUP($A479,CompChecksTrans!$A:$C,2,FALSE), "")</f>
        <v/>
      </c>
      <c r="C479" s="10" t="str">
        <f>_xlfn.IFNA(VLOOKUP(B479,Phase3!A$4:C$1000,3,FALSE),"")</f>
        <v/>
      </c>
      <c r="D479" s="10" t="str">
        <f>_xlfn.IFNA(VLOOKUP($A479,CompChecksTrans!$A:$C,3,FALSE), "     ")</f>
        <v xml:space="preserve">     </v>
      </c>
    </row>
    <row r="480" spans="1:4" x14ac:dyDescent="0.25">
      <c r="A480" s="12" t="s">
        <v>6841</v>
      </c>
      <c r="B480" s="10" t="str">
        <f>_xlfn.IFNA(VLOOKUP($A480,CompChecksTrans!$A:$C,2,FALSE), "")</f>
        <v/>
      </c>
      <c r="C480" s="10" t="str">
        <f>_xlfn.IFNA(VLOOKUP(B480,Phase3!A$4:C$1000,3,FALSE),"")</f>
        <v/>
      </c>
      <c r="D480" s="10" t="str">
        <f>_xlfn.IFNA(VLOOKUP($A480,CompChecksTrans!$A:$C,3,FALSE), "     ")</f>
        <v xml:space="preserve">     </v>
      </c>
    </row>
    <row r="481" spans="1:4" x14ac:dyDescent="0.25">
      <c r="A481" s="12" t="s">
        <v>6842</v>
      </c>
      <c r="B481" s="10" t="str">
        <f>_xlfn.IFNA(VLOOKUP($A481,CompChecksTrans!$A:$C,2,FALSE), "")</f>
        <v/>
      </c>
      <c r="C481" s="10" t="str">
        <f>_xlfn.IFNA(VLOOKUP(B481,Phase3!A$4:C$1000,3,FALSE),"")</f>
        <v/>
      </c>
      <c r="D481" s="10" t="str">
        <f>_xlfn.IFNA(VLOOKUP($A481,CompChecksTrans!$A:$C,3,FALSE), "     ")</f>
        <v xml:space="preserve">     </v>
      </c>
    </row>
    <row r="482" spans="1:4" x14ac:dyDescent="0.25">
      <c r="A482" s="12" t="s">
        <v>6843</v>
      </c>
      <c r="B482" s="10" t="str">
        <f>_xlfn.IFNA(VLOOKUP($A482,CompChecksTrans!$A:$C,2,FALSE), "")</f>
        <v/>
      </c>
      <c r="C482" s="10" t="str">
        <f>_xlfn.IFNA(VLOOKUP(B482,Phase3!A$4:C$1000,3,FALSE),"")</f>
        <v/>
      </c>
      <c r="D482" s="10" t="str">
        <f>_xlfn.IFNA(VLOOKUP($A482,CompChecksTrans!$A:$C,3,FALSE), "     ")</f>
        <v xml:space="preserve">     </v>
      </c>
    </row>
    <row r="483" spans="1:4" x14ac:dyDescent="0.25">
      <c r="A483" s="12" t="s">
        <v>6844</v>
      </c>
      <c r="B483" s="10" t="str">
        <f>_xlfn.IFNA(VLOOKUP($A483,CompChecksTrans!$A:$C,2,FALSE), "")</f>
        <v/>
      </c>
      <c r="C483" s="10" t="str">
        <f>_xlfn.IFNA(VLOOKUP(B483,Phase3!A$4:C$1000,3,FALSE),"")</f>
        <v/>
      </c>
      <c r="D483" s="10" t="str">
        <f>_xlfn.IFNA(VLOOKUP($A483,CompChecksTrans!$A:$C,3,FALSE), "     ")</f>
        <v xml:space="preserve">     </v>
      </c>
    </row>
    <row r="484" spans="1:4" x14ac:dyDescent="0.25">
      <c r="A484" s="12" t="s">
        <v>6845</v>
      </c>
      <c r="B484" s="10" t="str">
        <f>_xlfn.IFNA(VLOOKUP($A484,CompChecksTrans!$A:$C,2,FALSE), "")</f>
        <v/>
      </c>
      <c r="C484" s="10" t="str">
        <f>_xlfn.IFNA(VLOOKUP(B484,Phase3!A$4:C$1000,3,FALSE),"")</f>
        <v/>
      </c>
      <c r="D484" s="10" t="str">
        <f>_xlfn.IFNA(VLOOKUP($A484,CompChecksTrans!$A:$C,3,FALSE), "     ")</f>
        <v xml:space="preserve">     </v>
      </c>
    </row>
    <row r="485" spans="1:4" x14ac:dyDescent="0.25">
      <c r="A485" s="12" t="s">
        <v>6846</v>
      </c>
      <c r="B485" s="10" t="str">
        <f>_xlfn.IFNA(VLOOKUP($A485,CompChecksTrans!$A:$C,2,FALSE), "")</f>
        <v/>
      </c>
      <c r="C485" s="10" t="str">
        <f>_xlfn.IFNA(VLOOKUP(B485,Phase3!A$4:C$1000,3,FALSE),"")</f>
        <v/>
      </c>
      <c r="D485" s="10" t="str">
        <f>_xlfn.IFNA(VLOOKUP($A485,CompChecksTrans!$A:$C,3,FALSE), "     ")</f>
        <v xml:space="preserve">     </v>
      </c>
    </row>
    <row r="486" spans="1:4" x14ac:dyDescent="0.25">
      <c r="A486" s="12" t="s">
        <v>6847</v>
      </c>
      <c r="B486" s="10" t="str">
        <f>_xlfn.IFNA(VLOOKUP($A486,CompChecksTrans!$A:$C,2,FALSE), "")</f>
        <v/>
      </c>
      <c r="C486" s="10" t="str">
        <f>_xlfn.IFNA(VLOOKUP(B486,Phase3!A$4:C$1000,3,FALSE),"")</f>
        <v/>
      </c>
      <c r="D486" s="10" t="str">
        <f>_xlfn.IFNA(VLOOKUP($A486,CompChecksTrans!$A:$C,3,FALSE), "     ")</f>
        <v xml:space="preserve">     </v>
      </c>
    </row>
    <row r="487" spans="1:4" x14ac:dyDescent="0.25">
      <c r="A487" s="12" t="s">
        <v>6848</v>
      </c>
      <c r="B487" s="10" t="str">
        <f>_xlfn.IFNA(VLOOKUP($A487,CompChecksTrans!$A:$C,2,FALSE), "")</f>
        <v/>
      </c>
      <c r="C487" s="10" t="str">
        <f>_xlfn.IFNA(VLOOKUP(B487,Phase3!A$4:C$1000,3,FALSE),"")</f>
        <v/>
      </c>
      <c r="D487" s="10" t="str">
        <f>_xlfn.IFNA(VLOOKUP($A487,CompChecksTrans!$A:$C,3,FALSE), "     ")</f>
        <v xml:space="preserve">     </v>
      </c>
    </row>
    <row r="488" spans="1:4" x14ac:dyDescent="0.25">
      <c r="A488" s="12" t="s">
        <v>6849</v>
      </c>
      <c r="B488" s="10" t="str">
        <f>_xlfn.IFNA(VLOOKUP($A488,CompChecksTrans!$A:$C,2,FALSE), "")</f>
        <v/>
      </c>
      <c r="C488" s="10" t="str">
        <f>_xlfn.IFNA(VLOOKUP(B488,Phase3!A$4:C$1000,3,FALSE),"")</f>
        <v/>
      </c>
      <c r="D488" s="10" t="str">
        <f>_xlfn.IFNA(VLOOKUP($A488,CompChecksTrans!$A:$C,3,FALSE), "     ")</f>
        <v xml:space="preserve">     </v>
      </c>
    </row>
    <row r="489" spans="1:4" x14ac:dyDescent="0.25">
      <c r="A489" s="12" t="s">
        <v>6850</v>
      </c>
      <c r="B489" s="10" t="str">
        <f>_xlfn.IFNA(VLOOKUP($A489,CompChecksTrans!$A:$C,2,FALSE), "")</f>
        <v/>
      </c>
      <c r="C489" s="10" t="str">
        <f>_xlfn.IFNA(VLOOKUP(B489,Phase3!A$4:C$1000,3,FALSE),"")</f>
        <v/>
      </c>
      <c r="D489" s="10" t="str">
        <f>_xlfn.IFNA(VLOOKUP($A489,CompChecksTrans!$A:$C,3,FALSE), "     ")</f>
        <v xml:space="preserve">     </v>
      </c>
    </row>
    <row r="490" spans="1:4" x14ac:dyDescent="0.25">
      <c r="A490" s="12" t="s">
        <v>6851</v>
      </c>
      <c r="B490" s="10" t="str">
        <f>_xlfn.IFNA(VLOOKUP($A490,CompChecksTrans!$A:$C,2,FALSE), "")</f>
        <v/>
      </c>
      <c r="C490" s="10" t="str">
        <f>_xlfn.IFNA(VLOOKUP(B490,Phase3!A$4:C$1000,3,FALSE),"")</f>
        <v/>
      </c>
      <c r="D490" s="10" t="str">
        <f>_xlfn.IFNA(VLOOKUP($A490,CompChecksTrans!$A:$C,3,FALSE), "     ")</f>
        <v xml:space="preserve">     </v>
      </c>
    </row>
    <row r="491" spans="1:4" x14ac:dyDescent="0.25">
      <c r="A491" s="12" t="s">
        <v>6852</v>
      </c>
      <c r="B491" s="10" t="str">
        <f>_xlfn.IFNA(VLOOKUP($A491,CompChecksTrans!$A:$C,2,FALSE), "")</f>
        <v/>
      </c>
      <c r="C491" s="10" t="str">
        <f>_xlfn.IFNA(VLOOKUP(B491,Phase3!A$4:C$1000,3,FALSE),"")</f>
        <v/>
      </c>
      <c r="D491" s="10" t="str">
        <f>_xlfn.IFNA(VLOOKUP($A491,CompChecksTrans!$A:$C,3,FALSE), "     ")</f>
        <v xml:space="preserve">     </v>
      </c>
    </row>
    <row r="492" spans="1:4" x14ac:dyDescent="0.25">
      <c r="A492" s="12" t="s">
        <v>6853</v>
      </c>
      <c r="B492" s="10" t="str">
        <f>_xlfn.IFNA(VLOOKUP($A492,CompChecksTrans!$A:$C,2,FALSE), "")</f>
        <v/>
      </c>
      <c r="C492" s="10" t="str">
        <f>_xlfn.IFNA(VLOOKUP(B492,Phase3!A$4:C$1000,3,FALSE),"")</f>
        <v/>
      </c>
      <c r="D492" s="10" t="str">
        <f>_xlfn.IFNA(VLOOKUP($A492,CompChecksTrans!$A:$C,3,FALSE), "     ")</f>
        <v xml:space="preserve">     </v>
      </c>
    </row>
    <row r="493" spans="1:4" x14ac:dyDescent="0.25">
      <c r="A493" s="12" t="s">
        <v>6854</v>
      </c>
      <c r="B493" s="10" t="str">
        <f>_xlfn.IFNA(VLOOKUP($A493,CompChecksTrans!$A:$C,2,FALSE), "")</f>
        <v/>
      </c>
      <c r="C493" s="10" t="str">
        <f>_xlfn.IFNA(VLOOKUP(B493,Phase3!A$4:C$1000,3,FALSE),"")</f>
        <v/>
      </c>
      <c r="D493" s="10" t="str">
        <f>_xlfn.IFNA(VLOOKUP($A493,CompChecksTrans!$A:$C,3,FALSE), "     ")</f>
        <v xml:space="preserve">     </v>
      </c>
    </row>
    <row r="494" spans="1:4" x14ac:dyDescent="0.25">
      <c r="A494" s="12" t="s">
        <v>6855</v>
      </c>
      <c r="B494" s="10" t="str">
        <f>_xlfn.IFNA(VLOOKUP($A494,CompChecksTrans!$A:$C,2,FALSE), "")</f>
        <v/>
      </c>
      <c r="C494" s="10" t="str">
        <f>_xlfn.IFNA(VLOOKUP(B494,Phase3!A$4:C$1000,3,FALSE),"")</f>
        <v/>
      </c>
      <c r="D494" s="10" t="str">
        <f>_xlfn.IFNA(VLOOKUP($A494,CompChecksTrans!$A:$C,3,FALSE), "     ")</f>
        <v xml:space="preserve">     </v>
      </c>
    </row>
    <row r="495" spans="1:4" x14ac:dyDescent="0.25">
      <c r="A495" s="12" t="s">
        <v>6856</v>
      </c>
      <c r="B495" s="10" t="str">
        <f>_xlfn.IFNA(VLOOKUP($A495,CompChecksTrans!$A:$C,2,FALSE), "")</f>
        <v/>
      </c>
      <c r="C495" s="10" t="str">
        <f>_xlfn.IFNA(VLOOKUP(B495,Phase3!A$4:C$1000,3,FALSE),"")</f>
        <v/>
      </c>
      <c r="D495" s="10" t="str">
        <f>_xlfn.IFNA(VLOOKUP($A495,CompChecksTrans!$A:$C,3,FALSE), "     ")</f>
        <v xml:space="preserve">     </v>
      </c>
    </row>
    <row r="496" spans="1:4" x14ac:dyDescent="0.25">
      <c r="A496" s="12" t="s">
        <v>6857</v>
      </c>
      <c r="B496" s="10" t="str">
        <f>_xlfn.IFNA(VLOOKUP($A496,CompChecksTrans!$A:$C,2,FALSE), "")</f>
        <v/>
      </c>
      <c r="C496" s="10" t="str">
        <f>_xlfn.IFNA(VLOOKUP(B496,Phase3!A$4:C$1000,3,FALSE),"")</f>
        <v/>
      </c>
      <c r="D496" s="10" t="str">
        <f>_xlfn.IFNA(VLOOKUP($A496,CompChecksTrans!$A:$C,3,FALSE), "     ")</f>
        <v xml:space="preserve">     </v>
      </c>
    </row>
    <row r="497" spans="1:4" x14ac:dyDescent="0.25">
      <c r="A497" s="12" t="s">
        <v>6858</v>
      </c>
      <c r="B497" s="10" t="str">
        <f>_xlfn.IFNA(VLOOKUP($A497,CompChecksTrans!$A:$C,2,FALSE), "")</f>
        <v/>
      </c>
      <c r="C497" s="10" t="str">
        <f>_xlfn.IFNA(VLOOKUP(B497,Phase3!A$4:C$1000,3,FALSE),"")</f>
        <v/>
      </c>
      <c r="D497" s="10" t="str">
        <f>_xlfn.IFNA(VLOOKUP($A497,CompChecksTrans!$A:$C,3,FALSE), "     ")</f>
        <v xml:space="preserve">     </v>
      </c>
    </row>
    <row r="498" spans="1:4" x14ac:dyDescent="0.25">
      <c r="A498" s="12" t="s">
        <v>6859</v>
      </c>
      <c r="B498" s="10" t="str">
        <f>_xlfn.IFNA(VLOOKUP($A498,CompChecksTrans!$A:$C,2,FALSE), "")</f>
        <v/>
      </c>
      <c r="C498" s="10" t="str">
        <f>_xlfn.IFNA(VLOOKUP(B498,Phase3!A$4:C$1000,3,FALSE),"")</f>
        <v/>
      </c>
      <c r="D498" s="10" t="str">
        <f>_xlfn.IFNA(VLOOKUP($A498,CompChecksTrans!$A:$C,3,FALSE), "     ")</f>
        <v xml:space="preserve">     </v>
      </c>
    </row>
    <row r="499" spans="1:4" x14ac:dyDescent="0.25">
      <c r="A499" s="12" t="s">
        <v>6860</v>
      </c>
      <c r="B499" s="10" t="str">
        <f>_xlfn.IFNA(VLOOKUP($A499,CompChecksTrans!$A:$C,2,FALSE), "")</f>
        <v/>
      </c>
      <c r="C499" s="10" t="str">
        <f>_xlfn.IFNA(VLOOKUP(B499,Phase3!A$4:C$1000,3,FALSE),"")</f>
        <v/>
      </c>
      <c r="D499" s="10" t="str">
        <f>_xlfn.IFNA(VLOOKUP($A499,CompChecksTrans!$A:$C,3,FALSE), "     ")</f>
        <v xml:space="preserve">     </v>
      </c>
    </row>
    <row r="500" spans="1:4" x14ac:dyDescent="0.25">
      <c r="A500" s="12" t="s">
        <v>6861</v>
      </c>
      <c r="B500" s="10" t="str">
        <f>_xlfn.IFNA(VLOOKUP($A500,CompChecksTrans!$A:$C,2,FALSE), "")</f>
        <v/>
      </c>
      <c r="C500" s="10" t="str">
        <f>_xlfn.IFNA(VLOOKUP(B500,Phase3!A$4:C$1000,3,FALSE),"")</f>
        <v/>
      </c>
      <c r="D500" s="10" t="str">
        <f>_xlfn.IFNA(VLOOKUP($A500,CompChecksTrans!$A:$C,3,FALSE), "     ")</f>
        <v xml:space="preserve">     </v>
      </c>
    </row>
    <row r="501" spans="1:4" x14ac:dyDescent="0.25">
      <c r="A501" s="12" t="s">
        <v>6862</v>
      </c>
      <c r="B501" s="10" t="str">
        <f>_xlfn.IFNA(VLOOKUP($A501,CompChecksTrans!$A:$C,2,FALSE), "")</f>
        <v/>
      </c>
      <c r="C501" s="10" t="str">
        <f>_xlfn.IFNA(VLOOKUP(B501,Phase3!A$4:C$1000,3,FALSE),"")</f>
        <v/>
      </c>
      <c r="D501" s="10" t="str">
        <f>_xlfn.IFNA(VLOOKUP($A501,CompChecksTrans!$A:$C,3,FALSE), "     ")</f>
        <v xml:space="preserve">     </v>
      </c>
    </row>
    <row r="502" spans="1:4" x14ac:dyDescent="0.25">
      <c r="A502" s="12" t="s">
        <v>6863</v>
      </c>
      <c r="B502" s="10" t="str">
        <f>_xlfn.IFNA(VLOOKUP($A502,CompChecksTrans!$A:$C,2,FALSE), "")</f>
        <v/>
      </c>
      <c r="C502" s="10" t="str">
        <f>_xlfn.IFNA(VLOOKUP(B502,Phase3!A$4:C$1000,3,FALSE),"")</f>
        <v/>
      </c>
      <c r="D502" s="10" t="str">
        <f>_xlfn.IFNA(VLOOKUP($A502,CompChecksTrans!$A:$C,3,FALSE), "     ")</f>
        <v xml:space="preserve">     </v>
      </c>
    </row>
    <row r="503" spans="1:4" x14ac:dyDescent="0.25">
      <c r="A503" s="12" t="s">
        <v>6864</v>
      </c>
      <c r="B503" s="10" t="str">
        <f>_xlfn.IFNA(VLOOKUP($A503,CompChecksTrans!$A:$C,2,FALSE), "")</f>
        <v/>
      </c>
      <c r="C503" s="10" t="str">
        <f>_xlfn.IFNA(VLOOKUP(B503,Phase3!A$4:C$1000,3,FALSE),"")</f>
        <v/>
      </c>
      <c r="D503" s="10" t="str">
        <f>_xlfn.IFNA(VLOOKUP($A503,CompChecksTrans!$A:$C,3,FALSE), "     ")</f>
        <v xml:space="preserve">     </v>
      </c>
    </row>
    <row r="504" spans="1:4" x14ac:dyDescent="0.25">
      <c r="A504" s="12" t="s">
        <v>6865</v>
      </c>
      <c r="B504" s="10" t="str">
        <f>_xlfn.IFNA(VLOOKUP($A504,CompChecksTrans!$A:$C,2,FALSE), "")</f>
        <v/>
      </c>
      <c r="C504" s="10" t="str">
        <f>_xlfn.IFNA(VLOOKUP(B504,Phase3!A$4:C$1000,3,FALSE),"")</f>
        <v/>
      </c>
      <c r="D504" s="10" t="str">
        <f>_xlfn.IFNA(VLOOKUP($A504,CompChecksTrans!$A:$C,3,FALSE), "     ")</f>
        <v xml:space="preserve">     </v>
      </c>
    </row>
    <row r="505" spans="1:4" x14ac:dyDescent="0.25">
      <c r="A505" s="12" t="s">
        <v>6866</v>
      </c>
      <c r="B505" s="10" t="str">
        <f>_xlfn.IFNA(VLOOKUP($A505,CompChecksTrans!$A:$C,2,FALSE), "")</f>
        <v/>
      </c>
      <c r="C505" s="10" t="str">
        <f>_xlfn.IFNA(VLOOKUP(B505,Phase3!A$4:C$1000,3,FALSE),"")</f>
        <v/>
      </c>
      <c r="D505" s="10" t="str">
        <f>_xlfn.IFNA(VLOOKUP($A505,CompChecksTrans!$A:$C,3,FALSE), "     ")</f>
        <v xml:space="preserve">     </v>
      </c>
    </row>
    <row r="506" spans="1:4" x14ac:dyDescent="0.25">
      <c r="A506" s="12" t="s">
        <v>6867</v>
      </c>
      <c r="B506" s="10" t="str">
        <f>_xlfn.IFNA(VLOOKUP($A506,CompChecksTrans!$A:$C,2,FALSE), "")</f>
        <v/>
      </c>
      <c r="C506" s="10" t="str">
        <f>_xlfn.IFNA(VLOOKUP(B506,Phase3!A$4:C$1000,3,FALSE),"")</f>
        <v/>
      </c>
      <c r="D506" s="10" t="str">
        <f>_xlfn.IFNA(VLOOKUP($A506,CompChecksTrans!$A:$C,3,FALSE), "     ")</f>
        <v xml:space="preserve">     </v>
      </c>
    </row>
    <row r="507" spans="1:4" x14ac:dyDescent="0.25">
      <c r="A507" s="12" t="s">
        <v>6868</v>
      </c>
      <c r="B507" s="10" t="str">
        <f>_xlfn.IFNA(VLOOKUP($A507,CompChecksTrans!$A:$C,2,FALSE), "")</f>
        <v/>
      </c>
      <c r="C507" s="10" t="str">
        <f>_xlfn.IFNA(VLOOKUP(B507,Phase3!A$4:C$1000,3,FALSE),"")</f>
        <v/>
      </c>
      <c r="D507" s="10" t="str">
        <f>_xlfn.IFNA(VLOOKUP($A507,CompChecksTrans!$A:$C,3,FALSE), "     ")</f>
        <v xml:space="preserve">     </v>
      </c>
    </row>
    <row r="508" spans="1:4" x14ac:dyDescent="0.25">
      <c r="A508" s="12" t="s">
        <v>6869</v>
      </c>
      <c r="B508" s="10" t="str">
        <f>_xlfn.IFNA(VLOOKUP($A508,CompChecksTrans!$A:$C,2,FALSE), "")</f>
        <v/>
      </c>
      <c r="C508" s="10" t="str">
        <f>_xlfn.IFNA(VLOOKUP(B508,Phase3!A$4:C$1000,3,FALSE),"")</f>
        <v/>
      </c>
      <c r="D508" s="10" t="str">
        <f>_xlfn.IFNA(VLOOKUP($A508,CompChecksTrans!$A:$C,3,FALSE), "     ")</f>
        <v xml:space="preserve">     </v>
      </c>
    </row>
    <row r="509" spans="1:4" x14ac:dyDescent="0.25">
      <c r="A509" s="12" t="s">
        <v>6870</v>
      </c>
      <c r="B509" s="10" t="str">
        <f>_xlfn.IFNA(VLOOKUP($A509,CompChecksTrans!$A:$C,2,FALSE), "")</f>
        <v/>
      </c>
      <c r="C509" s="10" t="str">
        <f>_xlfn.IFNA(VLOOKUP(B509,Phase3!A$4:C$1000,3,FALSE),"")</f>
        <v/>
      </c>
      <c r="D509" s="10" t="str">
        <f>_xlfn.IFNA(VLOOKUP($A509,CompChecksTrans!$A:$C,3,FALSE), "     ")</f>
        <v xml:space="preserve">     </v>
      </c>
    </row>
    <row r="510" spans="1:4" x14ac:dyDescent="0.25">
      <c r="A510" s="12" t="s">
        <v>6871</v>
      </c>
      <c r="B510" s="10" t="str">
        <f>_xlfn.IFNA(VLOOKUP($A510,CompChecksTrans!$A:$C,2,FALSE), "")</f>
        <v/>
      </c>
      <c r="C510" s="10" t="str">
        <f>_xlfn.IFNA(VLOOKUP(B510,Phase3!A$4:C$1000,3,FALSE),"")</f>
        <v/>
      </c>
      <c r="D510" s="10" t="str">
        <f>_xlfn.IFNA(VLOOKUP($A510,CompChecksTrans!$A:$C,3,FALSE), "     ")</f>
        <v xml:space="preserve">     </v>
      </c>
    </row>
    <row r="511" spans="1:4" x14ac:dyDescent="0.25">
      <c r="A511" s="12" t="s">
        <v>6872</v>
      </c>
      <c r="B511" s="10" t="str">
        <f>_xlfn.IFNA(VLOOKUP($A511,CompChecksTrans!$A:$C,2,FALSE), "")</f>
        <v/>
      </c>
      <c r="C511" s="10" t="str">
        <f>_xlfn.IFNA(VLOOKUP(B511,Phase3!A$4:C$1000,3,FALSE),"")</f>
        <v/>
      </c>
      <c r="D511" s="10" t="str">
        <f>_xlfn.IFNA(VLOOKUP($A511,CompChecksTrans!$A:$C,3,FALSE), "     ")</f>
        <v xml:space="preserve">     </v>
      </c>
    </row>
    <row r="512" spans="1:4" x14ac:dyDescent="0.25">
      <c r="A512" s="12" t="s">
        <v>6873</v>
      </c>
      <c r="B512" s="10" t="str">
        <f>_xlfn.IFNA(VLOOKUP($A512,CompChecksTrans!$A:$C,2,FALSE), "")</f>
        <v/>
      </c>
      <c r="C512" s="10" t="str">
        <f>_xlfn.IFNA(VLOOKUP(B512,Phase3!A$4:C$1000,3,FALSE),"")</f>
        <v/>
      </c>
      <c r="D512" s="10" t="str">
        <f>_xlfn.IFNA(VLOOKUP($A512,CompChecksTrans!$A:$C,3,FALSE), "     ")</f>
        <v xml:space="preserve">     </v>
      </c>
    </row>
    <row r="513" spans="1:4" x14ac:dyDescent="0.25">
      <c r="A513" s="12" t="s">
        <v>6874</v>
      </c>
      <c r="B513" s="10" t="str">
        <f>_xlfn.IFNA(VLOOKUP($A513,CompChecksTrans!$A:$C,2,FALSE), "")</f>
        <v/>
      </c>
      <c r="C513" s="10" t="str">
        <f>_xlfn.IFNA(VLOOKUP(B513,Phase3!A$4:C$1000,3,FALSE),"")</f>
        <v/>
      </c>
      <c r="D513" s="10" t="str">
        <f>_xlfn.IFNA(VLOOKUP($A513,CompChecksTrans!$A:$C,3,FALSE), "     ")</f>
        <v xml:space="preserve">     </v>
      </c>
    </row>
    <row r="514" spans="1:4" x14ac:dyDescent="0.25">
      <c r="A514" s="12" t="s">
        <v>6875</v>
      </c>
      <c r="B514" s="10" t="str">
        <f>_xlfn.IFNA(VLOOKUP($A514,CompChecksTrans!$A:$C,2,FALSE), "")</f>
        <v/>
      </c>
      <c r="C514" s="10" t="str">
        <f>_xlfn.IFNA(VLOOKUP(B514,Phase3!A$4:C$1000,3,FALSE),"")</f>
        <v/>
      </c>
      <c r="D514" s="10" t="str">
        <f>_xlfn.IFNA(VLOOKUP($A514,CompChecksTrans!$A:$C,3,FALSE), "     ")</f>
        <v xml:space="preserve">     </v>
      </c>
    </row>
    <row r="515" spans="1:4" x14ac:dyDescent="0.25">
      <c r="A515" s="12" t="s">
        <v>6876</v>
      </c>
      <c r="B515" s="10" t="str">
        <f>_xlfn.IFNA(VLOOKUP($A515,CompChecksTrans!$A:$C,2,FALSE), "")</f>
        <v/>
      </c>
      <c r="C515" s="10" t="str">
        <f>_xlfn.IFNA(VLOOKUP(B515,Phase3!A$4:C$1000,3,FALSE),"")</f>
        <v/>
      </c>
      <c r="D515" s="10" t="str">
        <f>_xlfn.IFNA(VLOOKUP($A515,CompChecksTrans!$A:$C,3,FALSE), "     ")</f>
        <v xml:space="preserve">     </v>
      </c>
    </row>
    <row r="516" spans="1:4" x14ac:dyDescent="0.25">
      <c r="A516" s="12" t="s">
        <v>6877</v>
      </c>
      <c r="B516" s="10" t="str">
        <f>_xlfn.IFNA(VLOOKUP($A516,CompChecksTrans!$A:$C,2,FALSE), "")</f>
        <v/>
      </c>
      <c r="C516" s="10" t="str">
        <f>_xlfn.IFNA(VLOOKUP(B516,Phase3!A$4:C$1000,3,FALSE),"")</f>
        <v/>
      </c>
      <c r="D516" s="10" t="str">
        <f>_xlfn.IFNA(VLOOKUP($A516,CompChecksTrans!$A:$C,3,FALSE), "     ")</f>
        <v xml:space="preserve">     </v>
      </c>
    </row>
    <row r="517" spans="1:4" x14ac:dyDescent="0.25">
      <c r="A517" s="12" t="s">
        <v>6878</v>
      </c>
      <c r="B517" s="10" t="str">
        <f>_xlfn.IFNA(VLOOKUP($A517,CompChecksTrans!$A:$C,2,FALSE), "")</f>
        <v/>
      </c>
      <c r="C517" s="10" t="str">
        <f>_xlfn.IFNA(VLOOKUP(B517,Phase3!A$4:C$1000,3,FALSE),"")</f>
        <v/>
      </c>
      <c r="D517" s="10" t="str">
        <f>_xlfn.IFNA(VLOOKUP($A517,CompChecksTrans!$A:$C,3,FALSE), "     ")</f>
        <v xml:space="preserve">     </v>
      </c>
    </row>
    <row r="518" spans="1:4" x14ac:dyDescent="0.25">
      <c r="A518" s="12" t="s">
        <v>6879</v>
      </c>
      <c r="B518" s="10" t="str">
        <f>_xlfn.IFNA(VLOOKUP($A518,CompChecksTrans!$A:$C,2,FALSE), "")</f>
        <v/>
      </c>
      <c r="C518" s="10" t="str">
        <f>_xlfn.IFNA(VLOOKUP(B518,Phase3!A$4:C$1000,3,FALSE),"")</f>
        <v/>
      </c>
      <c r="D518" s="10" t="str">
        <f>_xlfn.IFNA(VLOOKUP($A518,CompChecksTrans!$A:$C,3,FALSE), "     ")</f>
        <v xml:space="preserve">     </v>
      </c>
    </row>
    <row r="519" spans="1:4" x14ac:dyDescent="0.25">
      <c r="A519" s="12" t="s">
        <v>6880</v>
      </c>
      <c r="B519" s="10" t="str">
        <f>_xlfn.IFNA(VLOOKUP($A519,CompChecksTrans!$A:$C,2,FALSE), "")</f>
        <v/>
      </c>
      <c r="C519" s="10" t="str">
        <f>_xlfn.IFNA(VLOOKUP(B519,Phase3!A$4:C$1000,3,FALSE),"")</f>
        <v/>
      </c>
      <c r="D519" s="10" t="str">
        <f>_xlfn.IFNA(VLOOKUP($A519,CompChecksTrans!$A:$C,3,FALSE), "     ")</f>
        <v xml:space="preserve">     </v>
      </c>
    </row>
    <row r="520" spans="1:4" x14ac:dyDescent="0.25">
      <c r="A520" s="12" t="s">
        <v>6881</v>
      </c>
      <c r="B520" s="10" t="str">
        <f>_xlfn.IFNA(VLOOKUP($A520,CompChecksTrans!$A:$C,2,FALSE), "")</f>
        <v/>
      </c>
      <c r="C520" s="10" t="str">
        <f>_xlfn.IFNA(VLOOKUP(B520,Phase3!A$4:C$1000,3,FALSE),"")</f>
        <v/>
      </c>
      <c r="D520" s="10" t="str">
        <f>_xlfn.IFNA(VLOOKUP($A520,CompChecksTrans!$A:$C,3,FALSE), "     ")</f>
        <v xml:space="preserve">     </v>
      </c>
    </row>
    <row r="521" spans="1:4" x14ac:dyDescent="0.25">
      <c r="A521" s="12" t="s">
        <v>6882</v>
      </c>
      <c r="B521" s="10" t="str">
        <f>_xlfn.IFNA(VLOOKUP($A521,CompChecksTrans!$A:$C,2,FALSE), "")</f>
        <v/>
      </c>
      <c r="C521" s="10" t="str">
        <f>_xlfn.IFNA(VLOOKUP(B521,Phase3!A$4:C$1000,3,FALSE),"")</f>
        <v/>
      </c>
      <c r="D521" s="10" t="str">
        <f>_xlfn.IFNA(VLOOKUP($A521,CompChecksTrans!$A:$C,3,FALSE), "     ")</f>
        <v xml:space="preserve">     </v>
      </c>
    </row>
    <row r="522" spans="1:4" x14ac:dyDescent="0.25">
      <c r="A522" s="12" t="s">
        <v>6883</v>
      </c>
      <c r="B522" s="10" t="str">
        <f>_xlfn.IFNA(VLOOKUP($A522,CompChecksTrans!$A:$C,2,FALSE), "")</f>
        <v/>
      </c>
      <c r="C522" s="10" t="str">
        <f>_xlfn.IFNA(VLOOKUP(B522,Phase3!A$4:C$1000,3,FALSE),"")</f>
        <v/>
      </c>
      <c r="D522" s="10" t="str">
        <f>_xlfn.IFNA(VLOOKUP($A522,CompChecksTrans!$A:$C,3,FALSE), "     ")</f>
        <v xml:space="preserve">     </v>
      </c>
    </row>
    <row r="523" spans="1:4" x14ac:dyDescent="0.25">
      <c r="A523" s="12" t="s">
        <v>6884</v>
      </c>
      <c r="B523" s="10" t="str">
        <f>_xlfn.IFNA(VLOOKUP($A523,CompChecksTrans!$A:$C,2,FALSE), "")</f>
        <v/>
      </c>
      <c r="C523" s="10" t="str">
        <f>_xlfn.IFNA(VLOOKUP(B523,Phase3!A$4:C$1000,3,FALSE),"")</f>
        <v/>
      </c>
      <c r="D523" s="10" t="str">
        <f>_xlfn.IFNA(VLOOKUP($A523,CompChecksTrans!$A:$C,3,FALSE), "     ")</f>
        <v xml:space="preserve">     </v>
      </c>
    </row>
    <row r="524" spans="1:4" x14ac:dyDescent="0.25">
      <c r="A524" s="12" t="s">
        <v>6885</v>
      </c>
      <c r="B524" s="10" t="str">
        <f>_xlfn.IFNA(VLOOKUP($A524,CompChecksTrans!$A:$C,2,FALSE), "")</f>
        <v/>
      </c>
      <c r="C524" s="10" t="str">
        <f>_xlfn.IFNA(VLOOKUP(B524,Phase3!A$4:C$1000,3,FALSE),"")</f>
        <v/>
      </c>
      <c r="D524" s="10" t="str">
        <f>_xlfn.IFNA(VLOOKUP($A524,CompChecksTrans!$A:$C,3,FALSE), "     ")</f>
        <v xml:space="preserve">     </v>
      </c>
    </row>
    <row r="525" spans="1:4" x14ac:dyDescent="0.25">
      <c r="A525" s="12" t="s">
        <v>6886</v>
      </c>
      <c r="B525" s="10" t="str">
        <f>_xlfn.IFNA(VLOOKUP($A525,CompChecksTrans!$A:$C,2,FALSE), "")</f>
        <v/>
      </c>
      <c r="C525" s="10" t="str">
        <f>_xlfn.IFNA(VLOOKUP(B525,Phase3!A$4:C$1000,3,FALSE),"")</f>
        <v/>
      </c>
      <c r="D525" s="10" t="str">
        <f>_xlfn.IFNA(VLOOKUP($A525,CompChecksTrans!$A:$C,3,FALSE), "     ")</f>
        <v xml:space="preserve">     </v>
      </c>
    </row>
    <row r="526" spans="1:4" x14ac:dyDescent="0.25">
      <c r="A526" s="12" t="s">
        <v>6887</v>
      </c>
      <c r="B526" s="10" t="str">
        <f>_xlfn.IFNA(VLOOKUP($A526,CompChecksTrans!$A:$C,2,FALSE), "")</f>
        <v/>
      </c>
      <c r="C526" s="10" t="str">
        <f>_xlfn.IFNA(VLOOKUP(B526,Phase3!A$4:C$1000,3,FALSE),"")</f>
        <v/>
      </c>
      <c r="D526" s="10" t="str">
        <f>_xlfn.IFNA(VLOOKUP($A526,CompChecksTrans!$A:$C,3,FALSE), "     ")</f>
        <v xml:space="preserve">     </v>
      </c>
    </row>
    <row r="527" spans="1:4" x14ac:dyDescent="0.25">
      <c r="A527" s="12" t="s">
        <v>6888</v>
      </c>
      <c r="B527" s="10" t="str">
        <f>_xlfn.IFNA(VLOOKUP($A527,CompChecksTrans!$A:$C,2,FALSE), "")</f>
        <v/>
      </c>
      <c r="C527" s="10" t="str">
        <f>_xlfn.IFNA(VLOOKUP(B527,Phase3!A$4:C$1000,3,FALSE),"")</f>
        <v/>
      </c>
      <c r="D527" s="10" t="str">
        <f>_xlfn.IFNA(VLOOKUP($A527,CompChecksTrans!$A:$C,3,FALSE), "     ")</f>
        <v xml:space="preserve">     </v>
      </c>
    </row>
    <row r="528" spans="1:4" x14ac:dyDescent="0.25">
      <c r="A528" s="12" t="s">
        <v>6889</v>
      </c>
      <c r="B528" s="10" t="str">
        <f>_xlfn.IFNA(VLOOKUP($A528,CompChecksTrans!$A:$C,2,FALSE), "")</f>
        <v/>
      </c>
      <c r="C528" s="10" t="str">
        <f>_xlfn.IFNA(VLOOKUP(B528,Phase3!A$4:C$1000,3,FALSE),"")</f>
        <v/>
      </c>
      <c r="D528" s="10" t="str">
        <f>_xlfn.IFNA(VLOOKUP($A528,CompChecksTrans!$A:$C,3,FALSE), "     ")</f>
        <v xml:space="preserve">     </v>
      </c>
    </row>
    <row r="529" spans="1:4" x14ac:dyDescent="0.25">
      <c r="A529" s="12" t="s">
        <v>6890</v>
      </c>
      <c r="B529" s="10" t="str">
        <f>_xlfn.IFNA(VLOOKUP($A529,CompChecksTrans!$A:$C,2,FALSE), "")</f>
        <v/>
      </c>
      <c r="C529" s="10" t="str">
        <f>_xlfn.IFNA(VLOOKUP(B529,Phase3!A$4:C$1000,3,FALSE),"")</f>
        <v/>
      </c>
      <c r="D529" s="10" t="str">
        <f>_xlfn.IFNA(VLOOKUP($A529,CompChecksTrans!$A:$C,3,FALSE), "     ")</f>
        <v xml:space="preserve">     </v>
      </c>
    </row>
    <row r="530" spans="1:4" x14ac:dyDescent="0.25">
      <c r="A530" s="12" t="s">
        <v>6891</v>
      </c>
      <c r="B530" s="10" t="str">
        <f>_xlfn.IFNA(VLOOKUP($A530,CompChecksTrans!$A:$C,2,FALSE), "")</f>
        <v/>
      </c>
      <c r="C530" s="10" t="str">
        <f>_xlfn.IFNA(VLOOKUP(B530,Phase3!A$4:C$1000,3,FALSE),"")</f>
        <v/>
      </c>
      <c r="D530" s="10" t="str">
        <f>_xlfn.IFNA(VLOOKUP($A530,CompChecksTrans!$A:$C,3,FALSE), "     ")</f>
        <v xml:space="preserve">     </v>
      </c>
    </row>
    <row r="531" spans="1:4" x14ac:dyDescent="0.25">
      <c r="A531" s="12" t="s">
        <v>6892</v>
      </c>
      <c r="B531" s="10" t="str">
        <f>_xlfn.IFNA(VLOOKUP($A531,CompChecksTrans!$A:$C,2,FALSE), "")</f>
        <v/>
      </c>
      <c r="C531" s="10" t="str">
        <f>_xlfn.IFNA(VLOOKUP(B531,Phase3!A$4:C$1000,3,FALSE),"")</f>
        <v/>
      </c>
      <c r="D531" s="10" t="str">
        <f>_xlfn.IFNA(VLOOKUP($A531,CompChecksTrans!$A:$C,3,FALSE), "     ")</f>
        <v xml:space="preserve">     </v>
      </c>
    </row>
    <row r="532" spans="1:4" x14ac:dyDescent="0.25">
      <c r="A532" s="12" t="s">
        <v>6893</v>
      </c>
      <c r="B532" s="10" t="str">
        <f>_xlfn.IFNA(VLOOKUP($A532,CompChecksTrans!$A:$C,2,FALSE), "")</f>
        <v/>
      </c>
      <c r="C532" s="10" t="str">
        <f>_xlfn.IFNA(VLOOKUP(B532,Phase3!A$4:C$1000,3,FALSE),"")</f>
        <v/>
      </c>
      <c r="D532" s="10" t="str">
        <f>_xlfn.IFNA(VLOOKUP($A532,CompChecksTrans!$A:$C,3,FALSE), "     ")</f>
        <v xml:space="preserve">     </v>
      </c>
    </row>
    <row r="533" spans="1:4" x14ac:dyDescent="0.25">
      <c r="A533" s="12" t="s">
        <v>6894</v>
      </c>
      <c r="B533" s="10" t="str">
        <f>_xlfn.IFNA(VLOOKUP($A533,CompChecksTrans!$A:$C,2,FALSE), "")</f>
        <v/>
      </c>
      <c r="C533" s="10" t="str">
        <f>_xlfn.IFNA(VLOOKUP(B533,Phase3!A$4:C$1000,3,FALSE),"")</f>
        <v/>
      </c>
      <c r="D533" s="10" t="str">
        <f>_xlfn.IFNA(VLOOKUP($A533,CompChecksTrans!$A:$C,3,FALSE), "     ")</f>
        <v xml:space="preserve">     </v>
      </c>
    </row>
    <row r="534" spans="1:4" x14ac:dyDescent="0.25">
      <c r="A534" s="12" t="s">
        <v>6895</v>
      </c>
      <c r="B534" s="10" t="str">
        <f>_xlfn.IFNA(VLOOKUP($A534,CompChecksTrans!$A:$C,2,FALSE), "")</f>
        <v/>
      </c>
      <c r="C534" s="10" t="str">
        <f>_xlfn.IFNA(VLOOKUP(B534,Phase3!A$4:C$1000,3,FALSE),"")</f>
        <v/>
      </c>
      <c r="D534" s="10" t="str">
        <f>_xlfn.IFNA(VLOOKUP($A534,CompChecksTrans!$A:$C,3,FALSE), "     ")</f>
        <v xml:space="preserve">     </v>
      </c>
    </row>
    <row r="535" spans="1:4" x14ac:dyDescent="0.25">
      <c r="A535" s="12" t="s">
        <v>6896</v>
      </c>
      <c r="B535" s="10" t="str">
        <f>_xlfn.IFNA(VLOOKUP($A535,CompChecksTrans!$A:$C,2,FALSE), "")</f>
        <v/>
      </c>
      <c r="C535" s="10" t="str">
        <f>_xlfn.IFNA(VLOOKUP(B535,Phase3!A$4:C$1000,3,FALSE),"")</f>
        <v/>
      </c>
      <c r="D535" s="10" t="str">
        <f>_xlfn.IFNA(VLOOKUP($A535,CompChecksTrans!$A:$C,3,FALSE), "     ")</f>
        <v xml:space="preserve">     </v>
      </c>
    </row>
    <row r="536" spans="1:4" x14ac:dyDescent="0.25">
      <c r="A536" s="12" t="s">
        <v>6897</v>
      </c>
      <c r="B536" s="10" t="str">
        <f>_xlfn.IFNA(VLOOKUP($A536,CompChecksTrans!$A:$C,2,FALSE), "")</f>
        <v/>
      </c>
      <c r="C536" s="10" t="str">
        <f>_xlfn.IFNA(VLOOKUP(B536,Phase3!A$4:C$1000,3,FALSE),"")</f>
        <v/>
      </c>
      <c r="D536" s="10" t="str">
        <f>_xlfn.IFNA(VLOOKUP($A536,CompChecksTrans!$A:$C,3,FALSE), "     ")</f>
        <v xml:space="preserve">     </v>
      </c>
    </row>
    <row r="537" spans="1:4" x14ac:dyDescent="0.25">
      <c r="A537" s="12" t="s">
        <v>6898</v>
      </c>
      <c r="B537" s="10" t="str">
        <f>_xlfn.IFNA(VLOOKUP($A537,CompChecksTrans!$A:$C,2,FALSE), "")</f>
        <v/>
      </c>
      <c r="C537" s="10" t="str">
        <f>_xlfn.IFNA(VLOOKUP(B537,Phase3!A$4:C$1000,3,FALSE),"")</f>
        <v/>
      </c>
      <c r="D537" s="10" t="str">
        <f>_xlfn.IFNA(VLOOKUP($A537,CompChecksTrans!$A:$C,3,FALSE), "     ")</f>
        <v xml:space="preserve">     </v>
      </c>
    </row>
    <row r="538" spans="1:4" x14ac:dyDescent="0.25">
      <c r="A538" s="12" t="s">
        <v>6899</v>
      </c>
      <c r="B538" s="10" t="str">
        <f>_xlfn.IFNA(VLOOKUP($A538,CompChecksTrans!$A:$C,2,FALSE), "")</f>
        <v/>
      </c>
      <c r="C538" s="10" t="str">
        <f>_xlfn.IFNA(VLOOKUP(B538,Phase3!A$4:C$1000,3,FALSE),"")</f>
        <v/>
      </c>
      <c r="D538" s="10" t="str">
        <f>_xlfn.IFNA(VLOOKUP($A538,CompChecksTrans!$A:$C,3,FALSE), "     ")</f>
        <v xml:space="preserve">     </v>
      </c>
    </row>
    <row r="539" spans="1:4" x14ac:dyDescent="0.25">
      <c r="A539" s="12" t="s">
        <v>6900</v>
      </c>
      <c r="B539" s="10" t="str">
        <f>_xlfn.IFNA(VLOOKUP($A539,CompChecksTrans!$A:$C,2,FALSE), "")</f>
        <v/>
      </c>
      <c r="C539" s="10" t="str">
        <f>_xlfn.IFNA(VLOOKUP(B539,Phase3!A$4:C$1000,3,FALSE),"")</f>
        <v/>
      </c>
      <c r="D539" s="10" t="str">
        <f>_xlfn.IFNA(VLOOKUP($A539,CompChecksTrans!$A:$C,3,FALSE), "     ")</f>
        <v xml:space="preserve">     </v>
      </c>
    </row>
    <row r="540" spans="1:4" x14ac:dyDescent="0.25">
      <c r="A540" s="12" t="s">
        <v>6901</v>
      </c>
      <c r="B540" s="10" t="str">
        <f>_xlfn.IFNA(VLOOKUP($A540,CompChecksTrans!$A:$C,2,FALSE), "")</f>
        <v/>
      </c>
      <c r="C540" s="10" t="str">
        <f>_xlfn.IFNA(VLOOKUP(B540,Phase3!A$4:C$1000,3,FALSE),"")</f>
        <v/>
      </c>
      <c r="D540" s="10" t="str">
        <f>_xlfn.IFNA(VLOOKUP($A540,CompChecksTrans!$A:$C,3,FALSE), "     ")</f>
        <v xml:space="preserve">     </v>
      </c>
    </row>
    <row r="541" spans="1:4" x14ac:dyDescent="0.25">
      <c r="A541" s="12" t="s">
        <v>6902</v>
      </c>
      <c r="B541" s="10" t="str">
        <f>_xlfn.IFNA(VLOOKUP($A541,CompChecksTrans!$A:$C,2,FALSE), "")</f>
        <v/>
      </c>
      <c r="C541" s="10" t="str">
        <f>_xlfn.IFNA(VLOOKUP(B541,Phase3!A$4:C$1000,3,FALSE),"")</f>
        <v/>
      </c>
      <c r="D541" s="10" t="str">
        <f>_xlfn.IFNA(VLOOKUP($A541,CompChecksTrans!$A:$C,3,FALSE), "     ")</f>
        <v xml:space="preserve">     </v>
      </c>
    </row>
    <row r="542" spans="1:4" x14ac:dyDescent="0.25">
      <c r="A542" s="12" t="s">
        <v>6903</v>
      </c>
      <c r="B542" s="10" t="str">
        <f>_xlfn.IFNA(VLOOKUP($A542,CompChecksTrans!$A:$C,2,FALSE), "")</f>
        <v/>
      </c>
      <c r="C542" s="10" t="str">
        <f>_xlfn.IFNA(VLOOKUP(B542,Phase3!A$4:C$1000,3,FALSE),"")</f>
        <v/>
      </c>
      <c r="D542" s="10" t="str">
        <f>_xlfn.IFNA(VLOOKUP($A542,CompChecksTrans!$A:$C,3,FALSE), "     ")</f>
        <v xml:space="preserve">     </v>
      </c>
    </row>
    <row r="543" spans="1:4" x14ac:dyDescent="0.25">
      <c r="A543" s="12" t="s">
        <v>6904</v>
      </c>
      <c r="B543" s="10" t="str">
        <f>_xlfn.IFNA(VLOOKUP($A543,CompChecksTrans!$A:$C,2,FALSE), "")</f>
        <v/>
      </c>
      <c r="C543" s="10" t="str">
        <f>_xlfn.IFNA(VLOOKUP(B543,Phase3!A$4:C$1000,3,FALSE),"")</f>
        <v/>
      </c>
      <c r="D543" s="10" t="str">
        <f>_xlfn.IFNA(VLOOKUP($A543,CompChecksTrans!$A:$C,3,FALSE), "     ")</f>
        <v xml:space="preserve">     </v>
      </c>
    </row>
    <row r="544" spans="1:4" x14ac:dyDescent="0.25">
      <c r="A544" s="12" t="s">
        <v>6905</v>
      </c>
      <c r="B544" s="10" t="str">
        <f>_xlfn.IFNA(VLOOKUP($A544,CompChecksTrans!$A:$C,2,FALSE), "")</f>
        <v/>
      </c>
      <c r="C544" s="10" t="str">
        <f>_xlfn.IFNA(VLOOKUP(B544,Phase3!A$4:C$1000,3,FALSE),"")</f>
        <v/>
      </c>
      <c r="D544" s="10" t="str">
        <f>_xlfn.IFNA(VLOOKUP($A544,CompChecksTrans!$A:$C,3,FALSE), "     ")</f>
        <v xml:space="preserve">     </v>
      </c>
    </row>
    <row r="545" spans="1:4" x14ac:dyDescent="0.25">
      <c r="A545" s="12" t="s">
        <v>6906</v>
      </c>
      <c r="B545" s="10" t="str">
        <f>_xlfn.IFNA(VLOOKUP($A545,CompChecksTrans!$A:$C,2,FALSE), "")</f>
        <v/>
      </c>
      <c r="C545" s="10" t="str">
        <f>_xlfn.IFNA(VLOOKUP(B545,Phase3!A$4:C$1000,3,FALSE),"")</f>
        <v/>
      </c>
      <c r="D545" s="10" t="str">
        <f>_xlfn.IFNA(VLOOKUP($A545,CompChecksTrans!$A:$C,3,FALSE), "     ")</f>
        <v xml:space="preserve">     </v>
      </c>
    </row>
    <row r="546" spans="1:4" x14ac:dyDescent="0.25">
      <c r="A546" s="12" t="s">
        <v>6907</v>
      </c>
      <c r="B546" s="10" t="str">
        <f>_xlfn.IFNA(VLOOKUP($A546,CompChecksTrans!$A:$C,2,FALSE), "")</f>
        <v/>
      </c>
      <c r="C546" s="10" t="str">
        <f>_xlfn.IFNA(VLOOKUP(B546,Phase3!A$4:C$1000,3,FALSE),"")</f>
        <v/>
      </c>
      <c r="D546" s="10" t="str">
        <f>_xlfn.IFNA(VLOOKUP($A546,CompChecksTrans!$A:$C,3,FALSE), "     ")</f>
        <v xml:space="preserve">     </v>
      </c>
    </row>
    <row r="547" spans="1:4" x14ac:dyDescent="0.25">
      <c r="A547" s="12" t="s">
        <v>6908</v>
      </c>
      <c r="B547" s="10" t="str">
        <f>_xlfn.IFNA(VLOOKUP($A547,CompChecksTrans!$A:$C,2,FALSE), "")</f>
        <v/>
      </c>
      <c r="C547" s="10" t="str">
        <f>_xlfn.IFNA(VLOOKUP(B547,Phase3!A$4:C$1000,3,FALSE),"")</f>
        <v/>
      </c>
      <c r="D547" s="10" t="str">
        <f>_xlfn.IFNA(VLOOKUP($A547,CompChecksTrans!$A:$C,3,FALSE), "     ")</f>
        <v xml:space="preserve">     </v>
      </c>
    </row>
    <row r="548" spans="1:4" x14ac:dyDescent="0.25">
      <c r="A548" s="12" t="s">
        <v>6909</v>
      </c>
      <c r="B548" s="10" t="str">
        <f>_xlfn.IFNA(VLOOKUP($A548,CompChecksTrans!$A:$C,2,FALSE), "")</f>
        <v/>
      </c>
      <c r="C548" s="10" t="str">
        <f>_xlfn.IFNA(VLOOKUP(B548,Phase3!A$4:C$1000,3,FALSE),"")</f>
        <v/>
      </c>
      <c r="D548" s="10" t="str">
        <f>_xlfn.IFNA(VLOOKUP($A548,CompChecksTrans!$A:$C,3,FALSE), "     ")</f>
        <v xml:space="preserve">     </v>
      </c>
    </row>
    <row r="549" spans="1:4" x14ac:dyDescent="0.25">
      <c r="A549" s="12" t="s">
        <v>6910</v>
      </c>
      <c r="B549" s="10" t="str">
        <f>_xlfn.IFNA(VLOOKUP($A549,CompChecksTrans!$A:$C,2,FALSE), "")</f>
        <v/>
      </c>
      <c r="C549" s="10" t="str">
        <f>_xlfn.IFNA(VLOOKUP(B549,Phase3!A$4:C$1000,3,FALSE),"")</f>
        <v/>
      </c>
      <c r="D549" s="10" t="str">
        <f>_xlfn.IFNA(VLOOKUP($A549,CompChecksTrans!$A:$C,3,FALSE), "     ")</f>
        <v xml:space="preserve">     </v>
      </c>
    </row>
    <row r="550" spans="1:4" x14ac:dyDescent="0.25">
      <c r="A550" s="12" t="s">
        <v>6911</v>
      </c>
      <c r="B550" s="10" t="str">
        <f>_xlfn.IFNA(VLOOKUP($A550,CompChecksTrans!$A:$C,2,FALSE), "")</f>
        <v/>
      </c>
      <c r="C550" s="10" t="str">
        <f>_xlfn.IFNA(VLOOKUP(B550,Phase3!A$4:C$1000,3,FALSE),"")</f>
        <v/>
      </c>
      <c r="D550" s="10" t="str">
        <f>_xlfn.IFNA(VLOOKUP($A550,CompChecksTrans!$A:$C,3,FALSE), "     ")</f>
        <v xml:space="preserve">     </v>
      </c>
    </row>
    <row r="551" spans="1:4" x14ac:dyDescent="0.25">
      <c r="A551" s="12" t="s">
        <v>6912</v>
      </c>
      <c r="B551" s="10" t="str">
        <f>_xlfn.IFNA(VLOOKUP($A551,CompChecksTrans!$A:$C,2,FALSE), "")</f>
        <v/>
      </c>
      <c r="C551" s="10" t="str">
        <f>_xlfn.IFNA(VLOOKUP(B551,Phase3!A$4:C$1000,3,FALSE),"")</f>
        <v/>
      </c>
      <c r="D551" s="10" t="str">
        <f>_xlfn.IFNA(VLOOKUP($A551,CompChecksTrans!$A:$C,3,FALSE), "     ")</f>
        <v xml:space="preserve">     </v>
      </c>
    </row>
    <row r="552" spans="1:4" x14ac:dyDescent="0.25">
      <c r="A552" s="12" t="s">
        <v>6913</v>
      </c>
      <c r="B552" s="10" t="str">
        <f>_xlfn.IFNA(VLOOKUP($A552,CompChecksTrans!$A:$C,2,FALSE), "")</f>
        <v/>
      </c>
      <c r="C552" s="10" t="str">
        <f>_xlfn.IFNA(VLOOKUP(B552,Phase3!A$4:C$1000,3,FALSE),"")</f>
        <v/>
      </c>
      <c r="D552" s="10" t="str">
        <f>_xlfn.IFNA(VLOOKUP($A552,CompChecksTrans!$A:$C,3,FALSE), "     ")</f>
        <v xml:space="preserve">     </v>
      </c>
    </row>
    <row r="553" spans="1:4" x14ac:dyDescent="0.25">
      <c r="A553" s="12" t="s">
        <v>6914</v>
      </c>
      <c r="B553" s="10" t="str">
        <f>_xlfn.IFNA(VLOOKUP($A553,CompChecksTrans!$A:$C,2,FALSE), "")</f>
        <v/>
      </c>
      <c r="C553" s="10" t="str">
        <f>_xlfn.IFNA(VLOOKUP(B553,Phase3!A$4:C$1000,3,FALSE),"")</f>
        <v/>
      </c>
      <c r="D553" s="10" t="str">
        <f>_xlfn.IFNA(VLOOKUP($A553,CompChecksTrans!$A:$C,3,FALSE), "     ")</f>
        <v xml:space="preserve">     </v>
      </c>
    </row>
    <row r="554" spans="1:4" x14ac:dyDescent="0.25">
      <c r="A554" s="12" t="s">
        <v>6915</v>
      </c>
      <c r="B554" s="10" t="str">
        <f>_xlfn.IFNA(VLOOKUP($A554,CompChecksTrans!$A:$C,2,FALSE), "")</f>
        <v/>
      </c>
      <c r="C554" s="10" t="str">
        <f>_xlfn.IFNA(VLOOKUP(B554,Phase3!A$4:C$1000,3,FALSE),"")</f>
        <v/>
      </c>
      <c r="D554" s="10" t="str">
        <f>_xlfn.IFNA(VLOOKUP($A554,CompChecksTrans!$A:$C,3,FALSE), "     ")</f>
        <v xml:space="preserve">     </v>
      </c>
    </row>
    <row r="555" spans="1:4" x14ac:dyDescent="0.25">
      <c r="A555" s="12" t="s">
        <v>6916</v>
      </c>
      <c r="B555" s="10" t="str">
        <f>_xlfn.IFNA(VLOOKUP($A555,CompChecksTrans!$A:$C,2,FALSE), "")</f>
        <v/>
      </c>
      <c r="C555" s="10" t="str">
        <f>_xlfn.IFNA(VLOOKUP(B555,Phase3!A$4:C$1000,3,FALSE),"")</f>
        <v/>
      </c>
      <c r="D555" s="10" t="str">
        <f>_xlfn.IFNA(VLOOKUP($A555,CompChecksTrans!$A:$C,3,FALSE), "     ")</f>
        <v xml:space="preserve">     </v>
      </c>
    </row>
    <row r="556" spans="1:4" x14ac:dyDescent="0.25">
      <c r="A556" s="12" t="s">
        <v>6917</v>
      </c>
      <c r="B556" s="10" t="str">
        <f>_xlfn.IFNA(VLOOKUP($A556,CompChecksTrans!$A:$C,2,FALSE), "")</f>
        <v/>
      </c>
      <c r="C556" s="10" t="str">
        <f>_xlfn.IFNA(VLOOKUP(B556,Phase3!A$4:C$1000,3,FALSE),"")</f>
        <v/>
      </c>
      <c r="D556" s="10" t="str">
        <f>_xlfn.IFNA(VLOOKUP($A556,CompChecksTrans!$A:$C,3,FALSE), "     ")</f>
        <v xml:space="preserve">     </v>
      </c>
    </row>
    <row r="557" spans="1:4" x14ac:dyDescent="0.25">
      <c r="A557" s="12" t="s">
        <v>6918</v>
      </c>
      <c r="B557" s="10" t="str">
        <f>_xlfn.IFNA(VLOOKUP($A557,CompChecksTrans!$A:$C,2,FALSE), "")</f>
        <v/>
      </c>
      <c r="C557" s="10" t="str">
        <f>_xlfn.IFNA(VLOOKUP(B557,Phase3!A$4:C$1000,3,FALSE),"")</f>
        <v/>
      </c>
      <c r="D557" s="10" t="str">
        <f>_xlfn.IFNA(VLOOKUP($A557,CompChecksTrans!$A:$C,3,FALSE), "     ")</f>
        <v xml:space="preserve">     </v>
      </c>
    </row>
    <row r="558" spans="1:4" x14ac:dyDescent="0.25">
      <c r="A558" s="12" t="s">
        <v>6919</v>
      </c>
      <c r="B558" s="10" t="str">
        <f>_xlfn.IFNA(VLOOKUP($A558,CompChecksTrans!$A:$C,2,FALSE), "")</f>
        <v/>
      </c>
      <c r="C558" s="10" t="str">
        <f>_xlfn.IFNA(VLOOKUP(B558,Phase3!A$4:C$1000,3,FALSE),"")</f>
        <v/>
      </c>
      <c r="D558" s="10" t="str">
        <f>_xlfn.IFNA(VLOOKUP($A558,CompChecksTrans!$A:$C,3,FALSE), "     ")</f>
        <v xml:space="preserve">     </v>
      </c>
    </row>
    <row r="559" spans="1:4" x14ac:dyDescent="0.25">
      <c r="A559" s="12" t="s">
        <v>6920</v>
      </c>
      <c r="B559" s="10" t="str">
        <f>_xlfn.IFNA(VLOOKUP($A559,CompChecksTrans!$A:$C,2,FALSE), "")</f>
        <v/>
      </c>
      <c r="C559" s="10" t="str">
        <f>_xlfn.IFNA(VLOOKUP(B559,Phase3!A$4:C$1000,3,FALSE),"")</f>
        <v/>
      </c>
      <c r="D559" s="10" t="str">
        <f>_xlfn.IFNA(VLOOKUP($A559,CompChecksTrans!$A:$C,3,FALSE), "     ")</f>
        <v xml:space="preserve">     </v>
      </c>
    </row>
    <row r="560" spans="1:4" x14ac:dyDescent="0.25">
      <c r="A560" s="12" t="s">
        <v>6921</v>
      </c>
      <c r="B560" s="10" t="str">
        <f>_xlfn.IFNA(VLOOKUP($A560,CompChecksTrans!$A:$C,2,FALSE), "")</f>
        <v/>
      </c>
      <c r="C560" s="10" t="str">
        <f>_xlfn.IFNA(VLOOKUP(B560,Phase3!A$4:C$1000,3,FALSE),"")</f>
        <v/>
      </c>
      <c r="D560" s="10" t="str">
        <f>_xlfn.IFNA(VLOOKUP($A560,CompChecksTrans!$A:$C,3,FALSE), "     ")</f>
        <v xml:space="preserve">     </v>
      </c>
    </row>
    <row r="561" spans="1:4" x14ac:dyDescent="0.25">
      <c r="A561" s="12" t="s">
        <v>6922</v>
      </c>
      <c r="B561" s="10" t="str">
        <f>_xlfn.IFNA(VLOOKUP($A561,CompChecksTrans!$A:$C,2,FALSE), "")</f>
        <v/>
      </c>
      <c r="C561" s="10" t="str">
        <f>_xlfn.IFNA(VLOOKUP(B561,Phase3!A$4:C$1000,3,FALSE),"")</f>
        <v/>
      </c>
      <c r="D561" s="10" t="str">
        <f>_xlfn.IFNA(VLOOKUP($A561,CompChecksTrans!$A:$C,3,FALSE), "     ")</f>
        <v xml:space="preserve">     </v>
      </c>
    </row>
    <row r="562" spans="1:4" x14ac:dyDescent="0.25">
      <c r="A562" s="12" t="s">
        <v>6923</v>
      </c>
      <c r="B562" s="10" t="str">
        <f>_xlfn.IFNA(VLOOKUP($A562,CompChecksTrans!$A:$C,2,FALSE), "")</f>
        <v/>
      </c>
      <c r="C562" s="10" t="str">
        <f>_xlfn.IFNA(VLOOKUP(B562,Phase3!A$4:C$1000,3,FALSE),"")</f>
        <v/>
      </c>
      <c r="D562" s="10" t="str">
        <f>_xlfn.IFNA(VLOOKUP($A562,CompChecksTrans!$A:$C,3,FALSE), "     ")</f>
        <v xml:space="preserve">     </v>
      </c>
    </row>
    <row r="563" spans="1:4" x14ac:dyDescent="0.25">
      <c r="A563" s="12" t="s">
        <v>6924</v>
      </c>
      <c r="B563" s="10" t="str">
        <f>_xlfn.IFNA(VLOOKUP($A563,CompChecksTrans!$A:$C,2,FALSE), "")</f>
        <v/>
      </c>
      <c r="C563" s="10" t="str">
        <f>_xlfn.IFNA(VLOOKUP(B563,Phase3!A$4:C$1000,3,FALSE),"")</f>
        <v/>
      </c>
      <c r="D563" s="10" t="str">
        <f>_xlfn.IFNA(VLOOKUP($A563,CompChecksTrans!$A:$C,3,FALSE), "     ")</f>
        <v xml:space="preserve">     </v>
      </c>
    </row>
    <row r="564" spans="1:4" x14ac:dyDescent="0.25">
      <c r="A564" s="12" t="s">
        <v>6925</v>
      </c>
      <c r="B564" s="10" t="str">
        <f>_xlfn.IFNA(VLOOKUP($A564,CompChecksTrans!$A:$C,2,FALSE), "")</f>
        <v/>
      </c>
      <c r="C564" s="10" t="str">
        <f>_xlfn.IFNA(VLOOKUP(B564,Phase3!A$4:C$1000,3,FALSE),"")</f>
        <v/>
      </c>
      <c r="D564" s="10" t="str">
        <f>_xlfn.IFNA(VLOOKUP($A564,CompChecksTrans!$A:$C,3,FALSE), "     ")</f>
        <v xml:space="preserve">     </v>
      </c>
    </row>
    <row r="565" spans="1:4" x14ac:dyDescent="0.25">
      <c r="A565" s="12" t="s">
        <v>6926</v>
      </c>
      <c r="B565" s="10" t="str">
        <f>_xlfn.IFNA(VLOOKUP($A565,CompChecksTrans!$A:$C,2,FALSE), "")</f>
        <v/>
      </c>
      <c r="C565" s="10" t="str">
        <f>_xlfn.IFNA(VLOOKUP(B565,Phase3!A$4:C$1000,3,FALSE),"")</f>
        <v/>
      </c>
      <c r="D565" s="10" t="str">
        <f>_xlfn.IFNA(VLOOKUP($A565,CompChecksTrans!$A:$C,3,FALSE), "     ")</f>
        <v xml:space="preserve">     </v>
      </c>
    </row>
    <row r="566" spans="1:4" x14ac:dyDescent="0.25">
      <c r="A566" s="12" t="s">
        <v>6927</v>
      </c>
      <c r="B566" s="10" t="str">
        <f>_xlfn.IFNA(VLOOKUP($A566,CompChecksTrans!$A:$C,2,FALSE), "")</f>
        <v/>
      </c>
      <c r="C566" s="10" t="str">
        <f>_xlfn.IFNA(VLOOKUP(B566,Phase3!A$4:C$1000,3,FALSE),"")</f>
        <v/>
      </c>
      <c r="D566" s="10" t="str">
        <f>_xlfn.IFNA(VLOOKUP($A566,CompChecksTrans!$A:$C,3,FALSE), "     ")</f>
        <v xml:space="preserve">     </v>
      </c>
    </row>
    <row r="567" spans="1:4" x14ac:dyDescent="0.25">
      <c r="A567" s="12" t="s">
        <v>6928</v>
      </c>
      <c r="B567" s="10" t="str">
        <f>_xlfn.IFNA(VLOOKUP($A567,CompChecksTrans!$A:$C,2,FALSE), "")</f>
        <v/>
      </c>
      <c r="C567" s="10" t="str">
        <f>_xlfn.IFNA(VLOOKUP(B567,Phase3!A$4:C$1000,3,FALSE),"")</f>
        <v/>
      </c>
      <c r="D567" s="10" t="str">
        <f>_xlfn.IFNA(VLOOKUP($A567,CompChecksTrans!$A:$C,3,FALSE), "     ")</f>
        <v xml:space="preserve">     </v>
      </c>
    </row>
    <row r="568" spans="1:4" x14ac:dyDescent="0.25">
      <c r="A568" s="12" t="s">
        <v>6929</v>
      </c>
      <c r="B568" s="10" t="str">
        <f>_xlfn.IFNA(VLOOKUP($A568,CompChecksTrans!$A:$C,2,FALSE), "")</f>
        <v/>
      </c>
      <c r="C568" s="10" t="str">
        <f>_xlfn.IFNA(VLOOKUP(B568,Phase3!A$4:C$1000,3,FALSE),"")</f>
        <v/>
      </c>
      <c r="D568" s="10" t="str">
        <f>_xlfn.IFNA(VLOOKUP($A568,CompChecksTrans!$A:$C,3,FALSE), "     ")</f>
        <v xml:space="preserve">     </v>
      </c>
    </row>
    <row r="569" spans="1:4" x14ac:dyDescent="0.25">
      <c r="A569" s="12" t="s">
        <v>6930</v>
      </c>
      <c r="B569" s="10" t="str">
        <f>_xlfn.IFNA(VLOOKUP($A569,CompChecksTrans!$A:$C,2,FALSE), "")</f>
        <v/>
      </c>
      <c r="C569" s="10" t="str">
        <f>_xlfn.IFNA(VLOOKUP(B569,Phase3!A$4:C$1000,3,FALSE),"")</f>
        <v/>
      </c>
      <c r="D569" s="10" t="str">
        <f>_xlfn.IFNA(VLOOKUP($A569,CompChecksTrans!$A:$C,3,FALSE), "     ")</f>
        <v xml:space="preserve">     </v>
      </c>
    </row>
    <row r="570" spans="1:4" x14ac:dyDescent="0.25">
      <c r="A570" s="12" t="s">
        <v>6931</v>
      </c>
      <c r="B570" s="10" t="str">
        <f>_xlfn.IFNA(VLOOKUP($A570,CompChecksTrans!$A:$C,2,FALSE), "")</f>
        <v/>
      </c>
      <c r="C570" s="10" t="str">
        <f>_xlfn.IFNA(VLOOKUP(B570,Phase3!A$4:C$1000,3,FALSE),"")</f>
        <v/>
      </c>
      <c r="D570" s="10" t="str">
        <f>_xlfn.IFNA(VLOOKUP($A570,CompChecksTrans!$A:$C,3,FALSE), "     ")</f>
        <v xml:space="preserve">     </v>
      </c>
    </row>
    <row r="571" spans="1:4" x14ac:dyDescent="0.25">
      <c r="A571" s="12" t="s">
        <v>6932</v>
      </c>
      <c r="B571" s="10" t="str">
        <f>_xlfn.IFNA(VLOOKUP($A571,CompChecksTrans!$A:$C,2,FALSE), "")</f>
        <v/>
      </c>
      <c r="C571" s="10" t="str">
        <f>_xlfn.IFNA(VLOOKUP(B571,Phase3!A$4:C$1000,3,FALSE),"")</f>
        <v/>
      </c>
      <c r="D571" s="10" t="str">
        <f>_xlfn.IFNA(VLOOKUP($A571,CompChecksTrans!$A:$C,3,FALSE), "     ")</f>
        <v xml:space="preserve">     </v>
      </c>
    </row>
    <row r="572" spans="1:4" x14ac:dyDescent="0.25">
      <c r="A572" s="12" t="s">
        <v>6933</v>
      </c>
      <c r="B572" s="10" t="str">
        <f>_xlfn.IFNA(VLOOKUP($A572,CompChecksTrans!$A:$C,2,FALSE), "")</f>
        <v/>
      </c>
      <c r="C572" s="10" t="str">
        <f>_xlfn.IFNA(VLOOKUP(B572,Phase3!A$4:C$1000,3,FALSE),"")</f>
        <v/>
      </c>
      <c r="D572" s="10" t="str">
        <f>_xlfn.IFNA(VLOOKUP($A572,CompChecksTrans!$A:$C,3,FALSE), "     ")</f>
        <v xml:space="preserve">     </v>
      </c>
    </row>
    <row r="573" spans="1:4" x14ac:dyDescent="0.25">
      <c r="A573" s="12" t="s">
        <v>6934</v>
      </c>
      <c r="B573" s="10" t="str">
        <f>_xlfn.IFNA(VLOOKUP($A573,CompChecksTrans!$A:$C,2,FALSE), "")</f>
        <v/>
      </c>
      <c r="C573" s="10" t="str">
        <f>_xlfn.IFNA(VLOOKUP(B573,Phase3!A$4:C$1000,3,FALSE),"")</f>
        <v/>
      </c>
      <c r="D573" s="10" t="str">
        <f>_xlfn.IFNA(VLOOKUP($A573,CompChecksTrans!$A:$C,3,FALSE), "     ")</f>
        <v xml:space="preserve">     </v>
      </c>
    </row>
    <row r="574" spans="1:4" x14ac:dyDescent="0.25">
      <c r="A574" s="12" t="s">
        <v>6935</v>
      </c>
      <c r="B574" s="10" t="str">
        <f>_xlfn.IFNA(VLOOKUP($A574,CompChecksTrans!$A:$C,2,FALSE), "")</f>
        <v/>
      </c>
      <c r="C574" s="10" t="str">
        <f>_xlfn.IFNA(VLOOKUP(B574,Phase3!A$4:C$1000,3,FALSE),"")</f>
        <v/>
      </c>
      <c r="D574" s="10" t="str">
        <f>_xlfn.IFNA(VLOOKUP($A574,CompChecksTrans!$A:$C,3,FALSE), "     ")</f>
        <v xml:space="preserve">     </v>
      </c>
    </row>
    <row r="575" spans="1:4" x14ac:dyDescent="0.25">
      <c r="A575" s="12" t="s">
        <v>6936</v>
      </c>
      <c r="B575" s="10" t="str">
        <f>_xlfn.IFNA(VLOOKUP($A575,CompChecksTrans!$A:$C,2,FALSE), "")</f>
        <v/>
      </c>
      <c r="C575" s="10" t="str">
        <f>_xlfn.IFNA(VLOOKUP(B575,Phase3!A$4:C$1000,3,FALSE),"")</f>
        <v/>
      </c>
      <c r="D575" s="10" t="str">
        <f>_xlfn.IFNA(VLOOKUP($A575,CompChecksTrans!$A:$C,3,FALSE), "     ")</f>
        <v xml:space="preserve">     </v>
      </c>
    </row>
    <row r="576" spans="1:4" x14ac:dyDescent="0.25">
      <c r="A576" s="12" t="s">
        <v>6937</v>
      </c>
      <c r="B576" s="10" t="str">
        <f>_xlfn.IFNA(VLOOKUP($A576,CompChecksTrans!$A:$C,2,FALSE), "")</f>
        <v/>
      </c>
      <c r="C576" s="10" t="str">
        <f>_xlfn.IFNA(VLOOKUP(B576,Phase3!A$4:C$1000,3,FALSE),"")</f>
        <v/>
      </c>
      <c r="D576" s="10" t="str">
        <f>_xlfn.IFNA(VLOOKUP($A576,CompChecksTrans!$A:$C,3,FALSE), "     ")</f>
        <v xml:space="preserve">     </v>
      </c>
    </row>
    <row r="577" spans="1:4" x14ac:dyDescent="0.25">
      <c r="A577" s="12" t="s">
        <v>6938</v>
      </c>
      <c r="B577" s="10" t="str">
        <f>_xlfn.IFNA(VLOOKUP($A577,CompChecksTrans!$A:$C,2,FALSE), "")</f>
        <v/>
      </c>
      <c r="C577" s="10" t="str">
        <f>_xlfn.IFNA(VLOOKUP(B577,Phase3!A$4:C$1000,3,FALSE),"")</f>
        <v/>
      </c>
      <c r="D577" s="10" t="str">
        <f>_xlfn.IFNA(VLOOKUP($A577,CompChecksTrans!$A:$C,3,FALSE), "     ")</f>
        <v xml:space="preserve">     </v>
      </c>
    </row>
    <row r="578" spans="1:4" x14ac:dyDescent="0.25">
      <c r="A578" s="12" t="s">
        <v>6939</v>
      </c>
      <c r="B578" s="10" t="str">
        <f>_xlfn.IFNA(VLOOKUP($A578,CompChecksTrans!$A:$C,2,FALSE), "")</f>
        <v/>
      </c>
      <c r="C578" s="10" t="str">
        <f>_xlfn.IFNA(VLOOKUP(B578,Phase3!A$4:C$1000,3,FALSE),"")</f>
        <v/>
      </c>
      <c r="D578" s="10" t="str">
        <f>_xlfn.IFNA(VLOOKUP($A578,CompChecksTrans!$A:$C,3,FALSE), "     ")</f>
        <v xml:space="preserve">     </v>
      </c>
    </row>
    <row r="579" spans="1:4" x14ac:dyDescent="0.25">
      <c r="A579" s="12" t="s">
        <v>6940</v>
      </c>
      <c r="B579" s="10" t="str">
        <f>_xlfn.IFNA(VLOOKUP($A579,CompChecksTrans!$A:$C,2,FALSE), "")</f>
        <v/>
      </c>
      <c r="C579" s="10" t="str">
        <f>_xlfn.IFNA(VLOOKUP(B579,Phase3!A$4:C$1000,3,FALSE),"")</f>
        <v/>
      </c>
      <c r="D579" s="10" t="str">
        <f>_xlfn.IFNA(VLOOKUP($A579,CompChecksTrans!$A:$C,3,FALSE), "     ")</f>
        <v xml:space="preserve">     </v>
      </c>
    </row>
    <row r="580" spans="1:4" x14ac:dyDescent="0.25">
      <c r="A580" s="12" t="s">
        <v>6941</v>
      </c>
      <c r="B580" s="10" t="str">
        <f>_xlfn.IFNA(VLOOKUP($A580,CompChecksTrans!$A:$C,2,FALSE), "")</f>
        <v/>
      </c>
      <c r="C580" s="10" t="str">
        <f>_xlfn.IFNA(VLOOKUP(B580,Phase3!A$4:C$1000,3,FALSE),"")</f>
        <v/>
      </c>
      <c r="D580" s="10" t="str">
        <f>_xlfn.IFNA(VLOOKUP($A580,CompChecksTrans!$A:$C,3,FALSE), "     ")</f>
        <v xml:space="preserve">     </v>
      </c>
    </row>
    <row r="581" spans="1:4" x14ac:dyDescent="0.25">
      <c r="A581" s="12" t="s">
        <v>6942</v>
      </c>
      <c r="B581" s="10" t="str">
        <f>_xlfn.IFNA(VLOOKUP($A581,CompChecksTrans!$A:$C,2,FALSE), "")</f>
        <v/>
      </c>
      <c r="C581" s="10" t="str">
        <f>_xlfn.IFNA(VLOOKUP(B581,Phase3!A$4:C$1000,3,FALSE),"")</f>
        <v/>
      </c>
      <c r="D581" s="10" t="str">
        <f>_xlfn.IFNA(VLOOKUP($A581,CompChecksTrans!$A:$C,3,FALSE), "     ")</f>
        <v xml:space="preserve">     </v>
      </c>
    </row>
    <row r="582" spans="1:4" x14ac:dyDescent="0.25">
      <c r="A582" s="12" t="s">
        <v>6943</v>
      </c>
      <c r="B582" s="10" t="str">
        <f>_xlfn.IFNA(VLOOKUP($A582,CompChecksTrans!$A:$C,2,FALSE), "")</f>
        <v/>
      </c>
      <c r="C582" s="10" t="str">
        <f>_xlfn.IFNA(VLOOKUP(B582,Phase3!A$4:C$1000,3,FALSE),"")</f>
        <v/>
      </c>
      <c r="D582" s="10" t="str">
        <f>_xlfn.IFNA(VLOOKUP($A582,CompChecksTrans!$A:$C,3,FALSE), "     ")</f>
        <v xml:space="preserve">     </v>
      </c>
    </row>
    <row r="583" spans="1:4" x14ac:dyDescent="0.25">
      <c r="A583" s="12" t="s">
        <v>6944</v>
      </c>
      <c r="B583" s="10" t="str">
        <f>_xlfn.IFNA(VLOOKUP($A583,CompChecksTrans!$A:$C,2,FALSE), "")</f>
        <v/>
      </c>
      <c r="C583" s="10" t="str">
        <f>_xlfn.IFNA(VLOOKUP(B583,Phase3!A$4:C$1000,3,FALSE),"")</f>
        <v/>
      </c>
      <c r="D583" s="10" t="str">
        <f>_xlfn.IFNA(VLOOKUP($A583,CompChecksTrans!$A:$C,3,FALSE), "     ")</f>
        <v xml:space="preserve">     </v>
      </c>
    </row>
    <row r="584" spans="1:4" x14ac:dyDescent="0.25">
      <c r="A584" s="12" t="s">
        <v>6945</v>
      </c>
      <c r="B584" s="10" t="str">
        <f>_xlfn.IFNA(VLOOKUP($A584,CompChecksTrans!$A:$C,2,FALSE), "")</f>
        <v/>
      </c>
      <c r="C584" s="10" t="str">
        <f>_xlfn.IFNA(VLOOKUP(B584,Phase3!A$4:C$1000,3,FALSE),"")</f>
        <v/>
      </c>
      <c r="D584" s="10" t="str">
        <f>_xlfn.IFNA(VLOOKUP($A584,CompChecksTrans!$A:$C,3,FALSE), "     ")</f>
        <v xml:space="preserve">     </v>
      </c>
    </row>
    <row r="585" spans="1:4" x14ac:dyDescent="0.25">
      <c r="A585" s="12" t="s">
        <v>6946</v>
      </c>
      <c r="B585" s="10" t="str">
        <f>_xlfn.IFNA(VLOOKUP($A585,CompChecksTrans!$A:$C,2,FALSE), "")</f>
        <v/>
      </c>
      <c r="C585" s="10" t="str">
        <f>_xlfn.IFNA(VLOOKUP(B585,Phase3!A$4:C$1000,3,FALSE),"")</f>
        <v/>
      </c>
      <c r="D585" s="10" t="str">
        <f>_xlfn.IFNA(VLOOKUP($A585,CompChecksTrans!$A:$C,3,FALSE), "     ")</f>
        <v xml:space="preserve">     </v>
      </c>
    </row>
    <row r="586" spans="1:4" x14ac:dyDescent="0.25">
      <c r="A586" s="12" t="s">
        <v>6947</v>
      </c>
      <c r="B586" s="10" t="str">
        <f>_xlfn.IFNA(VLOOKUP($A586,CompChecksTrans!$A:$C,2,FALSE), "")</f>
        <v/>
      </c>
      <c r="C586" s="10" t="str">
        <f>_xlfn.IFNA(VLOOKUP(B586,Phase3!A$4:C$1000,3,FALSE),"")</f>
        <v/>
      </c>
      <c r="D586" s="10" t="str">
        <f>_xlfn.IFNA(VLOOKUP($A586,CompChecksTrans!$A:$C,3,FALSE), "     ")</f>
        <v xml:space="preserve">     </v>
      </c>
    </row>
    <row r="587" spans="1:4" x14ac:dyDescent="0.25">
      <c r="A587" s="12" t="s">
        <v>6948</v>
      </c>
      <c r="B587" s="10" t="str">
        <f>_xlfn.IFNA(VLOOKUP($A587,CompChecksTrans!$A:$C,2,FALSE), "")</f>
        <v/>
      </c>
      <c r="C587" s="10" t="str">
        <f>_xlfn.IFNA(VLOOKUP(B587,Phase3!A$4:C$1000,3,FALSE),"")</f>
        <v/>
      </c>
      <c r="D587" s="10" t="str">
        <f>_xlfn.IFNA(VLOOKUP($A587,CompChecksTrans!$A:$C,3,FALSE), "     ")</f>
        <v xml:space="preserve">     </v>
      </c>
    </row>
    <row r="588" spans="1:4" x14ac:dyDescent="0.25">
      <c r="A588" s="12" t="s">
        <v>6949</v>
      </c>
      <c r="B588" s="10" t="str">
        <f>_xlfn.IFNA(VLOOKUP($A588,CompChecksTrans!$A:$C,2,FALSE), "")</f>
        <v/>
      </c>
      <c r="C588" s="10" t="str">
        <f>_xlfn.IFNA(VLOOKUP(B588,Phase3!A$4:C$1000,3,FALSE),"")</f>
        <v/>
      </c>
      <c r="D588" s="10" t="str">
        <f>_xlfn.IFNA(VLOOKUP($A588,CompChecksTrans!$A:$C,3,FALSE), "     ")</f>
        <v xml:space="preserve">     </v>
      </c>
    </row>
    <row r="589" spans="1:4" x14ac:dyDescent="0.25">
      <c r="A589" s="12" t="s">
        <v>6950</v>
      </c>
      <c r="B589" s="10" t="str">
        <f>_xlfn.IFNA(VLOOKUP($A589,CompChecksTrans!$A:$C,2,FALSE), "")</f>
        <v/>
      </c>
      <c r="C589" s="10" t="str">
        <f>_xlfn.IFNA(VLOOKUP(B589,Phase3!A$4:C$1000,3,FALSE),"")</f>
        <v/>
      </c>
      <c r="D589" s="10" t="str">
        <f>_xlfn.IFNA(VLOOKUP($A589,CompChecksTrans!$A:$C,3,FALSE), "     ")</f>
        <v xml:space="preserve">     </v>
      </c>
    </row>
    <row r="590" spans="1:4" x14ac:dyDescent="0.25">
      <c r="A590" s="12" t="s">
        <v>6951</v>
      </c>
      <c r="B590" s="10" t="str">
        <f>_xlfn.IFNA(VLOOKUP($A590,CompChecksTrans!$A:$C,2,FALSE), "")</f>
        <v/>
      </c>
      <c r="C590" s="10" t="str">
        <f>_xlfn.IFNA(VLOOKUP(B590,Phase3!A$4:C$1000,3,FALSE),"")</f>
        <v/>
      </c>
      <c r="D590" s="10" t="str">
        <f>_xlfn.IFNA(VLOOKUP($A590,CompChecksTrans!$A:$C,3,FALSE), "     ")</f>
        <v xml:space="preserve">     </v>
      </c>
    </row>
    <row r="591" spans="1:4" x14ac:dyDescent="0.25">
      <c r="A591" s="12" t="s">
        <v>6952</v>
      </c>
      <c r="B591" s="10" t="str">
        <f>_xlfn.IFNA(VLOOKUP($A591,CompChecksTrans!$A:$C,2,FALSE), "")</f>
        <v/>
      </c>
      <c r="C591" s="10" t="str">
        <f>_xlfn.IFNA(VLOOKUP(B591,Phase3!A$4:C$1000,3,FALSE),"")</f>
        <v/>
      </c>
      <c r="D591" s="10" t="str">
        <f>_xlfn.IFNA(VLOOKUP($A591,CompChecksTrans!$A:$C,3,FALSE), "     ")</f>
        <v xml:space="preserve">     </v>
      </c>
    </row>
    <row r="592" spans="1:4" x14ac:dyDescent="0.25">
      <c r="A592" s="12" t="s">
        <v>6953</v>
      </c>
      <c r="B592" s="10" t="str">
        <f>_xlfn.IFNA(VLOOKUP($A592,CompChecksTrans!$A:$C,2,FALSE), "")</f>
        <v/>
      </c>
      <c r="C592" s="10" t="str">
        <f>_xlfn.IFNA(VLOOKUP(B592,Phase3!A$4:C$1000,3,FALSE),"")</f>
        <v/>
      </c>
      <c r="D592" s="10" t="str">
        <f>_xlfn.IFNA(VLOOKUP($A592,CompChecksTrans!$A:$C,3,FALSE), "     ")</f>
        <v xml:space="preserve">     </v>
      </c>
    </row>
    <row r="593" spans="1:4" x14ac:dyDescent="0.25">
      <c r="A593" s="12" t="s">
        <v>6954</v>
      </c>
      <c r="B593" s="10" t="str">
        <f>_xlfn.IFNA(VLOOKUP($A593,CompChecksTrans!$A:$C,2,FALSE), "")</f>
        <v/>
      </c>
      <c r="C593" s="10" t="str">
        <f>_xlfn.IFNA(VLOOKUP(B593,Phase3!A$4:C$1000,3,FALSE),"")</f>
        <v/>
      </c>
      <c r="D593" s="10" t="str">
        <f>_xlfn.IFNA(VLOOKUP($A593,CompChecksTrans!$A:$C,3,FALSE), "     ")</f>
        <v xml:space="preserve">     </v>
      </c>
    </row>
    <row r="594" spans="1:4" x14ac:dyDescent="0.25">
      <c r="A594" s="12" t="s">
        <v>6955</v>
      </c>
      <c r="B594" s="10" t="str">
        <f>_xlfn.IFNA(VLOOKUP($A594,CompChecksTrans!$A:$C,2,FALSE), "")</f>
        <v/>
      </c>
      <c r="C594" s="10" t="str">
        <f>_xlfn.IFNA(VLOOKUP(B594,Phase3!A$4:C$1000,3,FALSE),"")</f>
        <v/>
      </c>
      <c r="D594" s="10" t="str">
        <f>_xlfn.IFNA(VLOOKUP($A594,CompChecksTrans!$A:$C,3,FALSE), "     ")</f>
        <v xml:space="preserve">     </v>
      </c>
    </row>
    <row r="595" spans="1:4" x14ac:dyDescent="0.25">
      <c r="A595" s="12" t="s">
        <v>6956</v>
      </c>
      <c r="B595" s="10" t="str">
        <f>_xlfn.IFNA(VLOOKUP($A595,CompChecksTrans!$A:$C,2,FALSE), "")</f>
        <v/>
      </c>
      <c r="C595" s="10" t="str">
        <f>_xlfn.IFNA(VLOOKUP(B595,Phase3!A$4:C$1000,3,FALSE),"")</f>
        <v/>
      </c>
      <c r="D595" s="10" t="str">
        <f>_xlfn.IFNA(VLOOKUP($A595,CompChecksTrans!$A:$C,3,FALSE), "     ")</f>
        <v xml:space="preserve">     </v>
      </c>
    </row>
    <row r="596" spans="1:4" x14ac:dyDescent="0.25">
      <c r="A596" s="12" t="s">
        <v>6957</v>
      </c>
      <c r="B596" s="10" t="str">
        <f>_xlfn.IFNA(VLOOKUP($A596,CompChecksTrans!$A:$C,2,FALSE), "")</f>
        <v/>
      </c>
      <c r="C596" s="10" t="str">
        <f>_xlfn.IFNA(VLOOKUP(B596,Phase3!A$4:C$1000,3,FALSE),"")</f>
        <v/>
      </c>
      <c r="D596" s="10" t="str">
        <f>_xlfn.IFNA(VLOOKUP($A596,CompChecksTrans!$A:$C,3,FALSE), "     ")</f>
        <v xml:space="preserve">     </v>
      </c>
    </row>
    <row r="597" spans="1:4" x14ac:dyDescent="0.25">
      <c r="A597" s="12" t="s">
        <v>6958</v>
      </c>
      <c r="B597" s="10" t="str">
        <f>_xlfn.IFNA(VLOOKUP($A597,CompChecksTrans!$A:$C,2,FALSE), "")</f>
        <v/>
      </c>
      <c r="C597" s="10" t="str">
        <f>_xlfn.IFNA(VLOOKUP(B597,Phase3!A$4:C$1000,3,FALSE),"")</f>
        <v/>
      </c>
      <c r="D597" s="10" t="str">
        <f>_xlfn.IFNA(VLOOKUP($A597,CompChecksTrans!$A:$C,3,FALSE), "     ")</f>
        <v xml:space="preserve">     </v>
      </c>
    </row>
    <row r="598" spans="1:4" x14ac:dyDescent="0.25">
      <c r="A598" s="12" t="s">
        <v>6959</v>
      </c>
      <c r="B598" s="10" t="str">
        <f>_xlfn.IFNA(VLOOKUP($A598,CompChecksTrans!$A:$C,2,FALSE), "")</f>
        <v/>
      </c>
      <c r="C598" s="10" t="str">
        <f>_xlfn.IFNA(VLOOKUP(B598,Phase3!A$4:C$1000,3,FALSE),"")</f>
        <v/>
      </c>
      <c r="D598" s="10" t="str">
        <f>_xlfn.IFNA(VLOOKUP($A598,CompChecksTrans!$A:$C,3,FALSE), "     ")</f>
        <v xml:space="preserve">     </v>
      </c>
    </row>
    <row r="599" spans="1:4" x14ac:dyDescent="0.25">
      <c r="A599" s="12" t="s">
        <v>6960</v>
      </c>
      <c r="B599" s="10" t="str">
        <f>_xlfn.IFNA(VLOOKUP($A599,CompChecksTrans!$A:$C,2,FALSE), "")</f>
        <v/>
      </c>
      <c r="C599" s="10" t="str">
        <f>_xlfn.IFNA(VLOOKUP(B599,Phase3!A$4:C$1000,3,FALSE),"")</f>
        <v/>
      </c>
      <c r="D599" s="10" t="str">
        <f>_xlfn.IFNA(VLOOKUP($A599,CompChecksTrans!$A:$C,3,FALSE), "     ")</f>
        <v xml:space="preserve">     </v>
      </c>
    </row>
    <row r="600" spans="1:4" x14ac:dyDescent="0.25">
      <c r="A600" s="12" t="s">
        <v>6961</v>
      </c>
      <c r="B600" s="10" t="str">
        <f>_xlfn.IFNA(VLOOKUP($A600,CompChecksTrans!$A:$C,2,FALSE), "")</f>
        <v/>
      </c>
      <c r="C600" s="10" t="str">
        <f>_xlfn.IFNA(VLOOKUP(B600,Phase3!A$4:C$1000,3,FALSE),"")</f>
        <v/>
      </c>
      <c r="D600" s="10" t="str">
        <f>_xlfn.IFNA(VLOOKUP($A600,CompChecksTrans!$A:$C,3,FALSE), "     ")</f>
        <v xml:space="preserve">     </v>
      </c>
    </row>
    <row r="601" spans="1:4" x14ac:dyDescent="0.25">
      <c r="A601" s="12" t="s">
        <v>6962</v>
      </c>
      <c r="B601" s="10" t="str">
        <f>_xlfn.IFNA(VLOOKUP($A601,CompChecksTrans!$A:$C,2,FALSE), "")</f>
        <v/>
      </c>
      <c r="C601" s="10" t="str">
        <f>_xlfn.IFNA(VLOOKUP(B601,Phase3!A$4:C$1000,3,FALSE),"")</f>
        <v/>
      </c>
      <c r="D601" s="10" t="str">
        <f>_xlfn.IFNA(VLOOKUP($A601,CompChecksTrans!$A:$C,3,FALSE), "     ")</f>
        <v xml:space="preserve">     </v>
      </c>
    </row>
    <row r="602" spans="1:4" x14ac:dyDescent="0.25">
      <c r="A602" s="12" t="s">
        <v>6963</v>
      </c>
      <c r="B602" s="10" t="str">
        <f>_xlfn.IFNA(VLOOKUP($A602,CompChecksTrans!$A:$C,2,FALSE), "")</f>
        <v/>
      </c>
      <c r="C602" s="10" t="str">
        <f>_xlfn.IFNA(VLOOKUP(B602,Phase3!A$4:C$1000,3,FALSE),"")</f>
        <v/>
      </c>
      <c r="D602" s="10" t="str">
        <f>_xlfn.IFNA(VLOOKUP($A602,CompChecksTrans!$A:$C,3,FALSE), "     ")</f>
        <v xml:space="preserve">     </v>
      </c>
    </row>
    <row r="603" spans="1:4" x14ac:dyDescent="0.25">
      <c r="A603" s="12" t="s">
        <v>6964</v>
      </c>
      <c r="B603" s="10" t="str">
        <f>_xlfn.IFNA(VLOOKUP($A603,CompChecksTrans!$A:$C,2,FALSE), "")</f>
        <v/>
      </c>
      <c r="C603" s="10" t="str">
        <f>_xlfn.IFNA(VLOOKUP(B603,Phase3!A$4:C$1000,3,FALSE),"")</f>
        <v/>
      </c>
      <c r="D603" s="10" t="str">
        <f>_xlfn.IFNA(VLOOKUP($A603,CompChecksTrans!$A:$C,3,FALSE), "     ")</f>
        <v xml:space="preserve">     </v>
      </c>
    </row>
    <row r="604" spans="1:4" x14ac:dyDescent="0.25">
      <c r="A604" s="12" t="s">
        <v>6965</v>
      </c>
      <c r="B604" s="10" t="str">
        <f>_xlfn.IFNA(VLOOKUP($A604,CompChecksTrans!$A:$C,2,FALSE), "")</f>
        <v/>
      </c>
      <c r="C604" s="10" t="str">
        <f>_xlfn.IFNA(VLOOKUP(B604,Phase3!A$4:C$1000,3,FALSE),"")</f>
        <v/>
      </c>
      <c r="D604" s="10" t="str">
        <f>_xlfn.IFNA(VLOOKUP($A604,CompChecksTrans!$A:$C,3,FALSE), "     ")</f>
        <v xml:space="preserve">     </v>
      </c>
    </row>
    <row r="605" spans="1:4" x14ac:dyDescent="0.25">
      <c r="A605" s="12" t="s">
        <v>6966</v>
      </c>
      <c r="B605" s="10" t="str">
        <f>_xlfn.IFNA(VLOOKUP($A605,CompChecksTrans!$A:$C,2,FALSE), "")</f>
        <v/>
      </c>
      <c r="C605" s="10" t="str">
        <f>_xlfn.IFNA(VLOOKUP(B605,Phase3!A$4:C$1000,3,FALSE),"")</f>
        <v/>
      </c>
      <c r="D605" s="10" t="str">
        <f>_xlfn.IFNA(VLOOKUP($A605,CompChecksTrans!$A:$C,3,FALSE), "     ")</f>
        <v xml:space="preserve">     </v>
      </c>
    </row>
    <row r="606" spans="1:4" x14ac:dyDescent="0.25">
      <c r="A606" s="12" t="s">
        <v>6967</v>
      </c>
      <c r="B606" s="10" t="str">
        <f>_xlfn.IFNA(VLOOKUP($A606,CompChecksTrans!$A:$C,2,FALSE), "")</f>
        <v/>
      </c>
      <c r="C606" s="10" t="str">
        <f>_xlfn.IFNA(VLOOKUP(B606,Phase3!A$4:C$1000,3,FALSE),"")</f>
        <v/>
      </c>
      <c r="D606" s="10" t="str">
        <f>_xlfn.IFNA(VLOOKUP($A606,CompChecksTrans!$A:$C,3,FALSE), "     ")</f>
        <v xml:space="preserve">     </v>
      </c>
    </row>
    <row r="607" spans="1:4" x14ac:dyDescent="0.25">
      <c r="A607" s="12" t="s">
        <v>6968</v>
      </c>
      <c r="B607" s="10" t="str">
        <f>_xlfn.IFNA(VLOOKUP($A607,CompChecksTrans!$A:$C,2,FALSE), "")</f>
        <v/>
      </c>
      <c r="C607" s="10" t="str">
        <f>_xlfn.IFNA(VLOOKUP(B607,Phase3!A$4:C$1000,3,FALSE),"")</f>
        <v/>
      </c>
      <c r="D607" s="10" t="str">
        <f>_xlfn.IFNA(VLOOKUP($A607,CompChecksTrans!$A:$C,3,FALSE), "     ")</f>
        <v xml:space="preserve">     </v>
      </c>
    </row>
    <row r="608" spans="1:4" x14ac:dyDescent="0.25">
      <c r="A608" s="12" t="s">
        <v>6969</v>
      </c>
      <c r="B608" s="10" t="str">
        <f>_xlfn.IFNA(VLOOKUP($A608,CompChecksTrans!$A:$C,2,FALSE), "")</f>
        <v/>
      </c>
      <c r="C608" s="10" t="str">
        <f>_xlfn.IFNA(VLOOKUP(B608,Phase3!A$4:C$1000,3,FALSE),"")</f>
        <v/>
      </c>
      <c r="D608" s="10" t="str">
        <f>_xlfn.IFNA(VLOOKUP($A608,CompChecksTrans!$A:$C,3,FALSE), "     ")</f>
        <v xml:space="preserve">     </v>
      </c>
    </row>
    <row r="609" spans="1:4" x14ac:dyDescent="0.25">
      <c r="A609" s="12" t="s">
        <v>6970</v>
      </c>
      <c r="B609" s="10" t="str">
        <f>_xlfn.IFNA(VLOOKUP($A609,CompChecksTrans!$A:$C,2,FALSE), "")</f>
        <v/>
      </c>
      <c r="C609" s="10" t="str">
        <f>_xlfn.IFNA(VLOOKUP(B609,Phase3!A$4:C$1000,3,FALSE),"")</f>
        <v/>
      </c>
      <c r="D609" s="10" t="str">
        <f>_xlfn.IFNA(VLOOKUP($A609,CompChecksTrans!$A:$C,3,FALSE), "     ")</f>
        <v xml:space="preserve">     </v>
      </c>
    </row>
    <row r="610" spans="1:4" x14ac:dyDescent="0.25">
      <c r="A610" s="12" t="s">
        <v>6971</v>
      </c>
      <c r="B610" s="10" t="str">
        <f>_xlfn.IFNA(VLOOKUP($A610,CompChecksTrans!$A:$C,2,FALSE), "")</f>
        <v/>
      </c>
      <c r="C610" s="10" t="str">
        <f>_xlfn.IFNA(VLOOKUP(B610,Phase3!A$4:C$1000,3,FALSE),"")</f>
        <v/>
      </c>
      <c r="D610" s="10" t="str">
        <f>_xlfn.IFNA(VLOOKUP($A610,CompChecksTrans!$A:$C,3,FALSE), "     ")</f>
        <v xml:space="preserve">     </v>
      </c>
    </row>
    <row r="611" spans="1:4" x14ac:dyDescent="0.25">
      <c r="A611" s="12" t="s">
        <v>6972</v>
      </c>
      <c r="B611" s="10" t="str">
        <f>_xlfn.IFNA(VLOOKUP($A611,CompChecksTrans!$A:$C,2,FALSE), "")</f>
        <v/>
      </c>
      <c r="C611" s="10" t="str">
        <f>_xlfn.IFNA(VLOOKUP(B611,Phase3!A$4:C$1000,3,FALSE),"")</f>
        <v/>
      </c>
      <c r="D611" s="10" t="str">
        <f>_xlfn.IFNA(VLOOKUP($A611,CompChecksTrans!$A:$C,3,FALSE), "     ")</f>
        <v xml:space="preserve">     </v>
      </c>
    </row>
    <row r="612" spans="1:4" x14ac:dyDescent="0.25">
      <c r="A612" s="12" t="s">
        <v>6973</v>
      </c>
      <c r="B612" s="10" t="str">
        <f>_xlfn.IFNA(VLOOKUP($A612,CompChecksTrans!$A:$C,2,FALSE), "")</f>
        <v/>
      </c>
      <c r="C612" s="10" t="str">
        <f>_xlfn.IFNA(VLOOKUP(B612,Phase3!A$4:C$1000,3,FALSE),"")</f>
        <v/>
      </c>
      <c r="D612" s="10" t="str">
        <f>_xlfn.IFNA(VLOOKUP($A612,CompChecksTrans!$A:$C,3,FALSE), "     ")</f>
        <v xml:space="preserve">     </v>
      </c>
    </row>
    <row r="613" spans="1:4" x14ac:dyDescent="0.25">
      <c r="A613" s="12" t="s">
        <v>6974</v>
      </c>
      <c r="B613" s="10" t="str">
        <f>_xlfn.IFNA(VLOOKUP($A613,CompChecksTrans!$A:$C,2,FALSE), "")</f>
        <v/>
      </c>
      <c r="C613" s="10" t="str">
        <f>_xlfn.IFNA(VLOOKUP(B613,Phase3!A$4:C$1000,3,FALSE),"")</f>
        <v/>
      </c>
      <c r="D613" s="10" t="str">
        <f>_xlfn.IFNA(VLOOKUP($A613,CompChecksTrans!$A:$C,3,FALSE), "     ")</f>
        <v xml:space="preserve">     </v>
      </c>
    </row>
    <row r="614" spans="1:4" x14ac:dyDescent="0.25">
      <c r="A614" s="12" t="s">
        <v>6975</v>
      </c>
      <c r="B614" s="10" t="str">
        <f>_xlfn.IFNA(VLOOKUP($A614,CompChecksTrans!$A:$C,2,FALSE), "")</f>
        <v/>
      </c>
      <c r="C614" s="10" t="str">
        <f>_xlfn.IFNA(VLOOKUP(B614,Phase3!A$4:C$1000,3,FALSE),"")</f>
        <v/>
      </c>
      <c r="D614" s="10" t="str">
        <f>_xlfn.IFNA(VLOOKUP($A614,CompChecksTrans!$A:$C,3,FALSE), "     ")</f>
        <v xml:space="preserve">     </v>
      </c>
    </row>
    <row r="615" spans="1:4" x14ac:dyDescent="0.25">
      <c r="A615" s="12" t="s">
        <v>6976</v>
      </c>
      <c r="B615" s="10" t="str">
        <f>_xlfn.IFNA(VLOOKUP($A615,CompChecksTrans!$A:$C,2,FALSE), "")</f>
        <v/>
      </c>
      <c r="C615" s="10" t="str">
        <f>_xlfn.IFNA(VLOOKUP(B615,Phase3!A$4:C$1000,3,FALSE),"")</f>
        <v/>
      </c>
      <c r="D615" s="10" t="str">
        <f>_xlfn.IFNA(VLOOKUP($A615,CompChecksTrans!$A:$C,3,FALSE), "     ")</f>
        <v xml:space="preserve">     </v>
      </c>
    </row>
    <row r="616" spans="1:4" x14ac:dyDescent="0.25">
      <c r="A616" s="12" t="s">
        <v>6977</v>
      </c>
      <c r="B616" s="10" t="str">
        <f>_xlfn.IFNA(VLOOKUP($A616,CompChecksTrans!$A:$C,2,FALSE), "")</f>
        <v/>
      </c>
      <c r="C616" s="10" t="str">
        <f>_xlfn.IFNA(VLOOKUP(B616,Phase3!A$4:C$1000,3,FALSE),"")</f>
        <v/>
      </c>
      <c r="D616" s="10" t="str">
        <f>_xlfn.IFNA(VLOOKUP($A616,CompChecksTrans!$A:$C,3,FALSE), "     ")</f>
        <v xml:space="preserve">     </v>
      </c>
    </row>
    <row r="617" spans="1:4" x14ac:dyDescent="0.25">
      <c r="A617" s="12" t="s">
        <v>6978</v>
      </c>
      <c r="B617" s="10" t="str">
        <f>_xlfn.IFNA(VLOOKUP($A617,CompChecksTrans!$A:$C,2,FALSE), "")</f>
        <v/>
      </c>
      <c r="C617" s="10" t="str">
        <f>_xlfn.IFNA(VLOOKUP(B617,Phase3!A$4:C$1000,3,FALSE),"")</f>
        <v/>
      </c>
      <c r="D617" s="10" t="str">
        <f>_xlfn.IFNA(VLOOKUP($A617,CompChecksTrans!$A:$C,3,FALSE), "     ")</f>
        <v xml:space="preserve">     </v>
      </c>
    </row>
    <row r="618" spans="1:4" x14ac:dyDescent="0.25">
      <c r="A618" s="12" t="s">
        <v>6979</v>
      </c>
      <c r="B618" s="10" t="str">
        <f>_xlfn.IFNA(VLOOKUP($A618,CompChecksTrans!$A:$C,2,FALSE), "")</f>
        <v/>
      </c>
      <c r="C618" s="10" t="str">
        <f>_xlfn.IFNA(VLOOKUP(B618,Phase3!A$4:C$1000,3,FALSE),"")</f>
        <v/>
      </c>
      <c r="D618" s="10" t="str">
        <f>_xlfn.IFNA(VLOOKUP($A618,CompChecksTrans!$A:$C,3,FALSE), "     ")</f>
        <v xml:space="preserve">     </v>
      </c>
    </row>
    <row r="619" spans="1:4" x14ac:dyDescent="0.25">
      <c r="A619" s="12" t="s">
        <v>6980</v>
      </c>
      <c r="B619" s="10" t="str">
        <f>_xlfn.IFNA(VLOOKUP($A619,CompChecksTrans!$A:$C,2,FALSE), "")</f>
        <v/>
      </c>
      <c r="C619" s="10" t="str">
        <f>_xlfn.IFNA(VLOOKUP(B619,Phase3!A$4:C$1000,3,FALSE),"")</f>
        <v/>
      </c>
      <c r="D619" s="10" t="str">
        <f>_xlfn.IFNA(VLOOKUP($A619,CompChecksTrans!$A:$C,3,FALSE), "     ")</f>
        <v xml:space="preserve">     </v>
      </c>
    </row>
    <row r="620" spans="1:4" x14ac:dyDescent="0.25">
      <c r="A620" s="12" t="s">
        <v>6981</v>
      </c>
      <c r="B620" s="10" t="str">
        <f>_xlfn.IFNA(VLOOKUP($A620,CompChecksTrans!$A:$C,2,FALSE), "")</f>
        <v/>
      </c>
      <c r="C620" s="10" t="str">
        <f>_xlfn.IFNA(VLOOKUP(B620,Phase3!A$4:C$1000,3,FALSE),"")</f>
        <v/>
      </c>
      <c r="D620" s="10" t="str">
        <f>_xlfn.IFNA(VLOOKUP($A620,CompChecksTrans!$A:$C,3,FALSE), "     ")</f>
        <v xml:space="preserve">     </v>
      </c>
    </row>
    <row r="621" spans="1:4" x14ac:dyDescent="0.25">
      <c r="A621" s="12" t="s">
        <v>6982</v>
      </c>
      <c r="B621" s="10" t="str">
        <f>_xlfn.IFNA(VLOOKUP($A621,CompChecksTrans!$A:$C,2,FALSE), "")</f>
        <v/>
      </c>
      <c r="C621" s="10" t="str">
        <f>_xlfn.IFNA(VLOOKUP(B621,Phase3!A$4:C$1000,3,FALSE),"")</f>
        <v/>
      </c>
      <c r="D621" s="10" t="str">
        <f>_xlfn.IFNA(VLOOKUP($A621,CompChecksTrans!$A:$C,3,FALSE), "     ")</f>
        <v xml:space="preserve">     </v>
      </c>
    </row>
    <row r="622" spans="1:4" x14ac:dyDescent="0.25">
      <c r="A622" s="12" t="s">
        <v>6983</v>
      </c>
      <c r="B622" s="10" t="str">
        <f>_xlfn.IFNA(VLOOKUP($A622,CompChecksTrans!$A:$C,2,FALSE), "")</f>
        <v/>
      </c>
      <c r="C622" s="10" t="str">
        <f>_xlfn.IFNA(VLOOKUP(B622,Phase3!A$4:C$1000,3,FALSE),"")</f>
        <v/>
      </c>
      <c r="D622" s="10" t="str">
        <f>_xlfn.IFNA(VLOOKUP($A622,CompChecksTrans!$A:$C,3,FALSE), "     ")</f>
        <v xml:space="preserve">     </v>
      </c>
    </row>
    <row r="623" spans="1:4" x14ac:dyDescent="0.25">
      <c r="A623" s="12" t="s">
        <v>6984</v>
      </c>
      <c r="B623" s="10" t="str">
        <f>_xlfn.IFNA(VLOOKUP($A623,CompChecksTrans!$A:$C,2,FALSE), "")</f>
        <v/>
      </c>
      <c r="C623" s="10" t="str">
        <f>_xlfn.IFNA(VLOOKUP(B623,Phase3!A$4:C$1000,3,FALSE),"")</f>
        <v/>
      </c>
      <c r="D623" s="10" t="str">
        <f>_xlfn.IFNA(VLOOKUP($A623,CompChecksTrans!$A:$C,3,FALSE), "     ")</f>
        <v xml:space="preserve">     </v>
      </c>
    </row>
    <row r="624" spans="1:4" x14ac:dyDescent="0.25">
      <c r="A624" s="12" t="s">
        <v>6985</v>
      </c>
      <c r="B624" s="10" t="str">
        <f>_xlfn.IFNA(VLOOKUP($A624,CompChecksTrans!$A:$C,2,FALSE), "")</f>
        <v/>
      </c>
      <c r="C624" s="10" t="str">
        <f>_xlfn.IFNA(VLOOKUP(B624,Phase3!A$4:C$1000,3,FALSE),"")</f>
        <v/>
      </c>
      <c r="D624" s="10" t="str">
        <f>_xlfn.IFNA(VLOOKUP($A624,CompChecksTrans!$A:$C,3,FALSE), "     ")</f>
        <v xml:space="preserve">     </v>
      </c>
    </row>
    <row r="625" spans="1:4" x14ac:dyDescent="0.25">
      <c r="A625" s="12" t="s">
        <v>6986</v>
      </c>
      <c r="B625" s="10" t="str">
        <f>_xlfn.IFNA(VLOOKUP($A625,CompChecksTrans!$A:$C,2,FALSE), "")</f>
        <v/>
      </c>
      <c r="C625" s="10" t="str">
        <f>_xlfn.IFNA(VLOOKUP(B625,Phase3!A$4:C$1000,3,FALSE),"")</f>
        <v/>
      </c>
      <c r="D625" s="10" t="str">
        <f>_xlfn.IFNA(VLOOKUP($A625,CompChecksTrans!$A:$C,3,FALSE), "     ")</f>
        <v xml:space="preserve">     </v>
      </c>
    </row>
    <row r="626" spans="1:4" x14ac:dyDescent="0.25">
      <c r="A626" s="12" t="s">
        <v>6987</v>
      </c>
      <c r="B626" s="10" t="str">
        <f>_xlfn.IFNA(VLOOKUP($A626,CompChecksTrans!$A:$C,2,FALSE), "")</f>
        <v/>
      </c>
      <c r="C626" s="10" t="str">
        <f>_xlfn.IFNA(VLOOKUP(B626,Phase3!A$4:C$1000,3,FALSE),"")</f>
        <v/>
      </c>
      <c r="D626" s="10" t="str">
        <f>_xlfn.IFNA(VLOOKUP($A626,CompChecksTrans!$A:$C,3,FALSE), "     ")</f>
        <v xml:space="preserve">     </v>
      </c>
    </row>
    <row r="627" spans="1:4" x14ac:dyDescent="0.25">
      <c r="A627" s="12" t="s">
        <v>6988</v>
      </c>
      <c r="B627" s="10" t="str">
        <f>_xlfn.IFNA(VLOOKUP($A627,CompChecksTrans!$A:$C,2,FALSE), "")</f>
        <v/>
      </c>
      <c r="C627" s="10" t="str">
        <f>_xlfn.IFNA(VLOOKUP(B627,Phase3!A$4:C$1000,3,FALSE),"")</f>
        <v/>
      </c>
      <c r="D627" s="10" t="str">
        <f>_xlfn.IFNA(VLOOKUP($A627,CompChecksTrans!$A:$C,3,FALSE), "     ")</f>
        <v xml:space="preserve">     </v>
      </c>
    </row>
    <row r="628" spans="1:4" x14ac:dyDescent="0.25">
      <c r="A628" s="12" t="s">
        <v>6989</v>
      </c>
      <c r="B628" s="10" t="str">
        <f>_xlfn.IFNA(VLOOKUP($A628,CompChecksTrans!$A:$C,2,FALSE), "")</f>
        <v/>
      </c>
      <c r="C628" s="10" t="str">
        <f>_xlfn.IFNA(VLOOKUP(B628,Phase3!A$4:C$1000,3,FALSE),"")</f>
        <v/>
      </c>
      <c r="D628" s="10" t="str">
        <f>_xlfn.IFNA(VLOOKUP($A628,CompChecksTrans!$A:$C,3,FALSE), "     ")</f>
        <v xml:space="preserve">     </v>
      </c>
    </row>
    <row r="629" spans="1:4" x14ac:dyDescent="0.25">
      <c r="A629" s="12" t="s">
        <v>6990</v>
      </c>
      <c r="B629" s="10" t="str">
        <f>_xlfn.IFNA(VLOOKUP($A629,CompChecksTrans!$A:$C,2,FALSE), "")</f>
        <v/>
      </c>
      <c r="C629" s="10" t="str">
        <f>_xlfn.IFNA(VLOOKUP(B629,Phase3!A$4:C$1000,3,FALSE),"")</f>
        <v/>
      </c>
      <c r="D629" s="10" t="str">
        <f>_xlfn.IFNA(VLOOKUP($A629,CompChecksTrans!$A:$C,3,FALSE), "     ")</f>
        <v xml:space="preserve">     </v>
      </c>
    </row>
    <row r="630" spans="1:4" x14ac:dyDescent="0.25">
      <c r="A630" s="12" t="s">
        <v>6991</v>
      </c>
      <c r="B630" s="10" t="str">
        <f>_xlfn.IFNA(VLOOKUP($A630,CompChecksTrans!$A:$C,2,FALSE), "")</f>
        <v/>
      </c>
      <c r="C630" s="10" t="str">
        <f>_xlfn.IFNA(VLOOKUP(B630,Phase3!A$4:C$1000,3,FALSE),"")</f>
        <v/>
      </c>
      <c r="D630" s="10" t="str">
        <f>_xlfn.IFNA(VLOOKUP($A630,CompChecksTrans!$A:$C,3,FALSE), "     ")</f>
        <v xml:space="preserve">     </v>
      </c>
    </row>
    <row r="631" spans="1:4" x14ac:dyDescent="0.25">
      <c r="A631" s="12" t="s">
        <v>6992</v>
      </c>
      <c r="B631" s="10" t="str">
        <f>_xlfn.IFNA(VLOOKUP($A631,CompChecksTrans!$A:$C,2,FALSE), "")</f>
        <v/>
      </c>
      <c r="C631" s="10" t="str">
        <f>_xlfn.IFNA(VLOOKUP(B631,Phase3!A$4:C$1000,3,FALSE),"")</f>
        <v/>
      </c>
      <c r="D631" s="10" t="str">
        <f>_xlfn.IFNA(VLOOKUP($A631,CompChecksTrans!$A:$C,3,FALSE), "     ")</f>
        <v xml:space="preserve">     </v>
      </c>
    </row>
    <row r="632" spans="1:4" x14ac:dyDescent="0.25">
      <c r="A632" s="12" t="s">
        <v>6993</v>
      </c>
      <c r="B632" s="10" t="str">
        <f>_xlfn.IFNA(VLOOKUP($A632,CompChecksTrans!$A:$C,2,FALSE), "")</f>
        <v/>
      </c>
      <c r="C632" s="10" t="str">
        <f>_xlfn.IFNA(VLOOKUP(B632,Phase3!A$4:C$1000,3,FALSE),"")</f>
        <v/>
      </c>
      <c r="D632" s="10" t="str">
        <f>_xlfn.IFNA(VLOOKUP($A632,CompChecksTrans!$A:$C,3,FALSE), "     ")</f>
        <v xml:space="preserve">     </v>
      </c>
    </row>
    <row r="633" spans="1:4" x14ac:dyDescent="0.25">
      <c r="A633" s="12" t="s">
        <v>6994</v>
      </c>
      <c r="B633" s="10" t="str">
        <f>_xlfn.IFNA(VLOOKUP($A633,CompChecksTrans!$A:$C,2,FALSE), "")</f>
        <v/>
      </c>
      <c r="C633" s="10" t="str">
        <f>_xlfn.IFNA(VLOOKUP(B633,Phase3!A$4:C$1000,3,FALSE),"")</f>
        <v/>
      </c>
      <c r="D633" s="10" t="str">
        <f>_xlfn.IFNA(VLOOKUP($A633,CompChecksTrans!$A:$C,3,FALSE), "     ")</f>
        <v xml:space="preserve">     </v>
      </c>
    </row>
    <row r="634" spans="1:4" x14ac:dyDescent="0.25">
      <c r="A634" s="12" t="s">
        <v>6995</v>
      </c>
      <c r="B634" s="10" t="str">
        <f>_xlfn.IFNA(VLOOKUP($A634,CompChecksTrans!$A:$C,2,FALSE), "")</f>
        <v/>
      </c>
      <c r="C634" s="10" t="str">
        <f>_xlfn.IFNA(VLOOKUP(B634,Phase3!A$4:C$1000,3,FALSE),"")</f>
        <v/>
      </c>
      <c r="D634" s="10" t="str">
        <f>_xlfn.IFNA(VLOOKUP($A634,CompChecksTrans!$A:$C,3,FALSE), "     ")</f>
        <v xml:space="preserve">     </v>
      </c>
    </row>
    <row r="635" spans="1:4" x14ac:dyDescent="0.25">
      <c r="A635" s="12" t="s">
        <v>6996</v>
      </c>
      <c r="B635" s="10" t="str">
        <f>_xlfn.IFNA(VLOOKUP($A635,CompChecksTrans!$A:$C,2,FALSE), "")</f>
        <v/>
      </c>
      <c r="C635" s="10" t="str">
        <f>_xlfn.IFNA(VLOOKUP(B635,Phase3!A$4:C$1000,3,FALSE),"")</f>
        <v/>
      </c>
      <c r="D635" s="10" t="str">
        <f>_xlfn.IFNA(VLOOKUP($A635,CompChecksTrans!$A:$C,3,FALSE), "     ")</f>
        <v xml:space="preserve">     </v>
      </c>
    </row>
    <row r="636" spans="1:4" x14ac:dyDescent="0.25">
      <c r="A636" s="12" t="s">
        <v>6997</v>
      </c>
      <c r="B636" s="10" t="str">
        <f>_xlfn.IFNA(VLOOKUP($A636,CompChecksTrans!$A:$C,2,FALSE), "")</f>
        <v/>
      </c>
      <c r="C636" s="10" t="str">
        <f>_xlfn.IFNA(VLOOKUP(B636,Phase3!A$4:C$1000,3,FALSE),"")</f>
        <v/>
      </c>
      <c r="D636" s="10" t="str">
        <f>_xlfn.IFNA(VLOOKUP($A636,CompChecksTrans!$A:$C,3,FALSE), "     ")</f>
        <v xml:space="preserve">     </v>
      </c>
    </row>
    <row r="637" spans="1:4" x14ac:dyDescent="0.25">
      <c r="A637" s="12" t="s">
        <v>6998</v>
      </c>
      <c r="B637" s="10" t="str">
        <f>_xlfn.IFNA(VLOOKUP($A637,CompChecksTrans!$A:$C,2,FALSE), "")</f>
        <v/>
      </c>
      <c r="C637" s="10" t="str">
        <f>_xlfn.IFNA(VLOOKUP(B637,Phase3!A$4:C$1000,3,FALSE),"")</f>
        <v/>
      </c>
      <c r="D637" s="10" t="str">
        <f>_xlfn.IFNA(VLOOKUP($A637,CompChecksTrans!$A:$C,3,FALSE), "     ")</f>
        <v xml:space="preserve">     </v>
      </c>
    </row>
    <row r="638" spans="1:4" x14ac:dyDescent="0.25">
      <c r="A638" s="12" t="s">
        <v>6999</v>
      </c>
      <c r="B638" s="10" t="str">
        <f>_xlfn.IFNA(VLOOKUP($A638,CompChecksTrans!$A:$C,2,FALSE), "")</f>
        <v/>
      </c>
      <c r="C638" s="10" t="str">
        <f>_xlfn.IFNA(VLOOKUP(B638,Phase3!A$4:C$1000,3,FALSE),"")</f>
        <v/>
      </c>
      <c r="D638" s="10" t="str">
        <f>_xlfn.IFNA(VLOOKUP($A638,CompChecksTrans!$A:$C,3,FALSE), "     ")</f>
        <v xml:space="preserve">     </v>
      </c>
    </row>
    <row r="639" spans="1:4" x14ac:dyDescent="0.25">
      <c r="A639" s="12" t="s">
        <v>7000</v>
      </c>
      <c r="B639" s="10" t="str">
        <f>_xlfn.IFNA(VLOOKUP($A639,CompChecksTrans!$A:$C,2,FALSE), "")</f>
        <v/>
      </c>
      <c r="C639" s="10" t="str">
        <f>_xlfn.IFNA(VLOOKUP(B639,Phase3!A$4:C$1000,3,FALSE),"")</f>
        <v/>
      </c>
      <c r="D639" s="10" t="str">
        <f>_xlfn.IFNA(VLOOKUP($A639,CompChecksTrans!$A:$C,3,FALSE), "     ")</f>
        <v xml:space="preserve">     </v>
      </c>
    </row>
    <row r="640" spans="1:4" x14ac:dyDescent="0.25">
      <c r="A640" s="12" t="s">
        <v>7001</v>
      </c>
      <c r="B640" s="10" t="str">
        <f>_xlfn.IFNA(VLOOKUP($A640,CompChecksTrans!$A:$C,2,FALSE), "")</f>
        <v/>
      </c>
      <c r="C640" s="10" t="str">
        <f>_xlfn.IFNA(VLOOKUP(B640,Phase3!A$4:C$1000,3,FALSE),"")</f>
        <v/>
      </c>
      <c r="D640" s="10" t="str">
        <f>_xlfn.IFNA(VLOOKUP($A640,CompChecksTrans!$A:$C,3,FALSE), "     ")</f>
        <v xml:space="preserve">     </v>
      </c>
    </row>
    <row r="641" spans="1:4" x14ac:dyDescent="0.25">
      <c r="A641" s="12" t="s">
        <v>7002</v>
      </c>
      <c r="B641" s="10" t="str">
        <f>_xlfn.IFNA(VLOOKUP($A641,CompChecksTrans!$A:$C,2,FALSE), "")</f>
        <v/>
      </c>
      <c r="C641" s="10" t="str">
        <f>_xlfn.IFNA(VLOOKUP(B641,Phase3!A$4:C$1000,3,FALSE),"")</f>
        <v/>
      </c>
      <c r="D641" s="10" t="str">
        <f>_xlfn.IFNA(VLOOKUP($A641,CompChecksTrans!$A:$C,3,FALSE), "     ")</f>
        <v xml:space="preserve">     </v>
      </c>
    </row>
    <row r="642" spans="1:4" x14ac:dyDescent="0.25">
      <c r="A642" s="12" t="s">
        <v>7003</v>
      </c>
      <c r="B642" s="10" t="str">
        <f>_xlfn.IFNA(VLOOKUP($A642,CompChecksTrans!$A:$C,2,FALSE), "")</f>
        <v/>
      </c>
      <c r="C642" s="10" t="str">
        <f>_xlfn.IFNA(VLOOKUP(B642,Phase3!A$4:C$1000,3,FALSE),"")</f>
        <v/>
      </c>
      <c r="D642" s="10" t="str">
        <f>_xlfn.IFNA(VLOOKUP($A642,CompChecksTrans!$A:$C,3,FALSE), "     ")</f>
        <v xml:space="preserve">     </v>
      </c>
    </row>
    <row r="643" spans="1:4" x14ac:dyDescent="0.25">
      <c r="A643" s="12" t="s">
        <v>7004</v>
      </c>
      <c r="B643" s="10" t="str">
        <f>_xlfn.IFNA(VLOOKUP($A643,CompChecksTrans!$A:$C,2,FALSE), "")</f>
        <v/>
      </c>
      <c r="C643" s="10" t="str">
        <f>_xlfn.IFNA(VLOOKUP(B643,Phase3!A$4:C$1000,3,FALSE),"")</f>
        <v/>
      </c>
      <c r="D643" s="10" t="str">
        <f>_xlfn.IFNA(VLOOKUP($A643,CompChecksTrans!$A:$C,3,FALSE), "     ")</f>
        <v xml:space="preserve">     </v>
      </c>
    </row>
    <row r="644" spans="1:4" x14ac:dyDescent="0.25">
      <c r="A644" s="12" t="s">
        <v>7005</v>
      </c>
      <c r="B644" s="10" t="str">
        <f>_xlfn.IFNA(VLOOKUP($A644,CompChecksTrans!$A:$C,2,FALSE), "")</f>
        <v/>
      </c>
      <c r="C644" s="10" t="str">
        <f>_xlfn.IFNA(VLOOKUP(B644,Phase3!A$4:C$1000,3,FALSE),"")</f>
        <v/>
      </c>
      <c r="D644" s="10" t="str">
        <f>_xlfn.IFNA(VLOOKUP($A644,CompChecksTrans!$A:$C,3,FALSE), "     ")</f>
        <v xml:space="preserve">     </v>
      </c>
    </row>
    <row r="645" spans="1:4" x14ac:dyDescent="0.25">
      <c r="A645" s="12" t="s">
        <v>7006</v>
      </c>
      <c r="B645" s="10" t="str">
        <f>_xlfn.IFNA(VLOOKUP($A645,CompChecksTrans!$A:$C,2,FALSE), "")</f>
        <v/>
      </c>
      <c r="C645" s="10" t="str">
        <f>_xlfn.IFNA(VLOOKUP(B645,Phase3!A$4:C$1000,3,FALSE),"")</f>
        <v/>
      </c>
      <c r="D645" s="10" t="str">
        <f>_xlfn.IFNA(VLOOKUP($A645,CompChecksTrans!$A:$C,3,FALSE), "     ")</f>
        <v xml:space="preserve">     </v>
      </c>
    </row>
    <row r="646" spans="1:4" x14ac:dyDescent="0.25">
      <c r="A646" s="12" t="s">
        <v>7007</v>
      </c>
      <c r="B646" s="10" t="str">
        <f>_xlfn.IFNA(VLOOKUP($A646,CompChecksTrans!$A:$C,2,FALSE), "")</f>
        <v/>
      </c>
      <c r="C646" s="10" t="str">
        <f>_xlfn.IFNA(VLOOKUP(B646,Phase3!A$4:C$1000,3,FALSE),"")</f>
        <v/>
      </c>
      <c r="D646" s="10" t="str">
        <f>_xlfn.IFNA(VLOOKUP($A646,CompChecksTrans!$A:$C,3,FALSE), "     ")</f>
        <v xml:space="preserve">     </v>
      </c>
    </row>
    <row r="647" spans="1:4" x14ac:dyDescent="0.25">
      <c r="A647" s="12" t="s">
        <v>7008</v>
      </c>
      <c r="B647" s="10" t="str">
        <f>_xlfn.IFNA(VLOOKUP($A647,CompChecksTrans!$A:$C,2,FALSE), "")</f>
        <v/>
      </c>
      <c r="C647" s="10" t="str">
        <f>_xlfn.IFNA(VLOOKUP(B647,Phase3!A$4:C$1000,3,FALSE),"")</f>
        <v/>
      </c>
      <c r="D647" s="10" t="str">
        <f>_xlfn.IFNA(VLOOKUP($A647,CompChecksTrans!$A:$C,3,FALSE), "     ")</f>
        <v xml:space="preserve">     </v>
      </c>
    </row>
    <row r="648" spans="1:4" x14ac:dyDescent="0.25">
      <c r="A648" s="12" t="s">
        <v>7009</v>
      </c>
      <c r="B648" s="10" t="str">
        <f>_xlfn.IFNA(VLOOKUP($A648,CompChecksTrans!$A:$C,2,FALSE), "")</f>
        <v/>
      </c>
      <c r="C648" s="10" t="str">
        <f>_xlfn.IFNA(VLOOKUP(B648,Phase3!A$4:C$1000,3,FALSE),"")</f>
        <v/>
      </c>
      <c r="D648" s="10" t="str">
        <f>_xlfn.IFNA(VLOOKUP($A648,CompChecksTrans!$A:$C,3,FALSE), "     ")</f>
        <v xml:space="preserve">     </v>
      </c>
    </row>
    <row r="649" spans="1:4" x14ac:dyDescent="0.25">
      <c r="A649" s="12" t="s">
        <v>7010</v>
      </c>
      <c r="B649" s="10" t="str">
        <f>_xlfn.IFNA(VLOOKUP($A649,CompChecksTrans!$A:$C,2,FALSE), "")</f>
        <v/>
      </c>
      <c r="C649" s="10" t="str">
        <f>_xlfn.IFNA(VLOOKUP(B649,Phase3!A$4:C$1000,3,FALSE),"")</f>
        <v/>
      </c>
      <c r="D649" s="10" t="str">
        <f>_xlfn.IFNA(VLOOKUP($A649,CompChecksTrans!$A:$C,3,FALSE), "     ")</f>
        <v xml:space="preserve">     </v>
      </c>
    </row>
    <row r="650" spans="1:4" x14ac:dyDescent="0.25">
      <c r="A650" s="12" t="s">
        <v>7011</v>
      </c>
      <c r="B650" s="10" t="str">
        <f>_xlfn.IFNA(VLOOKUP($A650,CompChecksTrans!$A:$C,2,FALSE), "")</f>
        <v/>
      </c>
      <c r="C650" s="10" t="str">
        <f>_xlfn.IFNA(VLOOKUP(B650,Phase3!A$4:C$1000,3,FALSE),"")</f>
        <v/>
      </c>
      <c r="D650" s="10" t="str">
        <f>_xlfn.IFNA(VLOOKUP($A650,CompChecksTrans!$A:$C,3,FALSE), "     ")</f>
        <v xml:space="preserve">     </v>
      </c>
    </row>
    <row r="651" spans="1:4" x14ac:dyDescent="0.25">
      <c r="A651" s="12" t="s">
        <v>7012</v>
      </c>
      <c r="B651" s="10" t="str">
        <f>_xlfn.IFNA(VLOOKUP($A651,CompChecksTrans!$A:$C,2,FALSE), "")</f>
        <v/>
      </c>
      <c r="C651" s="10" t="str">
        <f>_xlfn.IFNA(VLOOKUP(B651,Phase3!A$4:C$1000,3,FALSE),"")</f>
        <v/>
      </c>
      <c r="D651" s="10" t="str">
        <f>_xlfn.IFNA(VLOOKUP($A651,CompChecksTrans!$A:$C,3,FALSE), "     ")</f>
        <v xml:space="preserve">     </v>
      </c>
    </row>
    <row r="652" spans="1:4" x14ac:dyDescent="0.25">
      <c r="A652" s="12" t="s">
        <v>7013</v>
      </c>
      <c r="B652" s="10" t="str">
        <f>_xlfn.IFNA(VLOOKUP($A652,CompChecksTrans!$A:$C,2,FALSE), "")</f>
        <v/>
      </c>
      <c r="C652" s="10" t="str">
        <f>_xlfn.IFNA(VLOOKUP(B652,Phase3!A$4:C$1000,3,FALSE),"")</f>
        <v/>
      </c>
      <c r="D652" s="10" t="str">
        <f>_xlfn.IFNA(VLOOKUP($A652,CompChecksTrans!$A:$C,3,FALSE), "     ")</f>
        <v xml:space="preserve">     </v>
      </c>
    </row>
    <row r="653" spans="1:4" x14ac:dyDescent="0.25">
      <c r="A653" s="12" t="s">
        <v>7014</v>
      </c>
      <c r="B653" s="10" t="str">
        <f>_xlfn.IFNA(VLOOKUP($A653,CompChecksTrans!$A:$C,2,FALSE), "")</f>
        <v/>
      </c>
      <c r="C653" s="10" t="str">
        <f>_xlfn.IFNA(VLOOKUP(B653,Phase3!A$4:C$1000,3,FALSE),"")</f>
        <v/>
      </c>
      <c r="D653" s="10" t="str">
        <f>_xlfn.IFNA(VLOOKUP($A653,CompChecksTrans!$A:$C,3,FALSE), "     ")</f>
        <v xml:space="preserve">     </v>
      </c>
    </row>
    <row r="654" spans="1:4" x14ac:dyDescent="0.25">
      <c r="A654" s="12" t="s">
        <v>7015</v>
      </c>
      <c r="B654" s="10" t="str">
        <f>_xlfn.IFNA(VLOOKUP($A654,CompChecksTrans!$A:$C,2,FALSE), "")</f>
        <v/>
      </c>
      <c r="C654" s="10" t="str">
        <f>_xlfn.IFNA(VLOOKUP(B654,Phase3!A$4:C$1000,3,FALSE),"")</f>
        <v/>
      </c>
      <c r="D654" s="10" t="str">
        <f>_xlfn.IFNA(VLOOKUP($A654,CompChecksTrans!$A:$C,3,FALSE), "     ")</f>
        <v xml:space="preserve">     </v>
      </c>
    </row>
    <row r="655" spans="1:4" x14ac:dyDescent="0.25">
      <c r="A655" s="12" t="s">
        <v>7016</v>
      </c>
      <c r="B655" s="10" t="str">
        <f>_xlfn.IFNA(VLOOKUP($A655,CompChecksTrans!$A:$C,2,FALSE), "")</f>
        <v/>
      </c>
      <c r="C655" s="10" t="str">
        <f>_xlfn.IFNA(VLOOKUP(B655,Phase3!A$4:C$1000,3,FALSE),"")</f>
        <v/>
      </c>
      <c r="D655" s="10" t="str">
        <f>_xlfn.IFNA(VLOOKUP($A655,CompChecksTrans!$A:$C,3,FALSE), "     ")</f>
        <v xml:space="preserve">     </v>
      </c>
    </row>
    <row r="656" spans="1:4" x14ac:dyDescent="0.25">
      <c r="A656" s="12" t="s">
        <v>7017</v>
      </c>
      <c r="B656" s="10" t="str">
        <f>_xlfn.IFNA(VLOOKUP($A656,CompChecksTrans!$A:$C,2,FALSE), "")</f>
        <v/>
      </c>
      <c r="C656" s="10" t="str">
        <f>_xlfn.IFNA(VLOOKUP(B656,Phase3!A$4:C$1000,3,FALSE),"")</f>
        <v/>
      </c>
      <c r="D656" s="10" t="str">
        <f>_xlfn.IFNA(VLOOKUP($A656,CompChecksTrans!$A:$C,3,FALSE), "     ")</f>
        <v xml:space="preserve">     </v>
      </c>
    </row>
    <row r="657" spans="1:4" x14ac:dyDescent="0.25">
      <c r="A657" s="12" t="s">
        <v>7018</v>
      </c>
      <c r="B657" s="10" t="str">
        <f>_xlfn.IFNA(VLOOKUP($A657,CompChecksTrans!$A:$C,2,FALSE), "")</f>
        <v/>
      </c>
      <c r="C657" s="10" t="str">
        <f>_xlfn.IFNA(VLOOKUP(B657,Phase3!A$4:C$1000,3,FALSE),"")</f>
        <v/>
      </c>
      <c r="D657" s="10" t="str">
        <f>_xlfn.IFNA(VLOOKUP($A657,CompChecksTrans!$A:$C,3,FALSE), "     ")</f>
        <v xml:space="preserve">     </v>
      </c>
    </row>
    <row r="658" spans="1:4" x14ac:dyDescent="0.25">
      <c r="A658" s="12" t="s">
        <v>7019</v>
      </c>
      <c r="B658" s="10" t="str">
        <f>_xlfn.IFNA(VLOOKUP($A658,CompChecksTrans!$A:$C,2,FALSE), "")</f>
        <v/>
      </c>
      <c r="C658" s="10" t="str">
        <f>_xlfn.IFNA(VLOOKUP(B658,Phase3!A$4:C$1000,3,FALSE),"")</f>
        <v/>
      </c>
      <c r="D658" s="10" t="str">
        <f>_xlfn.IFNA(VLOOKUP($A658,CompChecksTrans!$A:$C,3,FALSE), "     ")</f>
        <v xml:space="preserve">     </v>
      </c>
    </row>
    <row r="659" spans="1:4" x14ac:dyDescent="0.25">
      <c r="A659" s="12" t="s">
        <v>7020</v>
      </c>
      <c r="B659" s="10" t="str">
        <f>_xlfn.IFNA(VLOOKUP($A659,CompChecksTrans!$A:$C,2,FALSE), "")</f>
        <v/>
      </c>
      <c r="C659" s="10" t="str">
        <f>_xlfn.IFNA(VLOOKUP(B659,Phase3!A$4:C$1000,3,FALSE),"")</f>
        <v/>
      </c>
      <c r="D659" s="10" t="str">
        <f>_xlfn.IFNA(VLOOKUP($A659,CompChecksTrans!$A:$C,3,FALSE), "     ")</f>
        <v xml:space="preserve">     </v>
      </c>
    </row>
    <row r="660" spans="1:4" x14ac:dyDescent="0.25">
      <c r="A660" s="12" t="s">
        <v>7021</v>
      </c>
      <c r="B660" s="10" t="str">
        <f>_xlfn.IFNA(VLOOKUP($A660,CompChecksTrans!$A:$C,2,FALSE), "")</f>
        <v/>
      </c>
      <c r="C660" s="10" t="str">
        <f>_xlfn.IFNA(VLOOKUP(B660,Phase3!A$4:C$1000,3,FALSE),"")</f>
        <v/>
      </c>
      <c r="D660" s="10" t="str">
        <f>_xlfn.IFNA(VLOOKUP($A660,CompChecksTrans!$A:$C,3,FALSE), "     ")</f>
        <v xml:space="preserve">     </v>
      </c>
    </row>
    <row r="661" spans="1:4" x14ac:dyDescent="0.25">
      <c r="A661" s="12" t="s">
        <v>7022</v>
      </c>
      <c r="B661" s="10" t="str">
        <f>_xlfn.IFNA(VLOOKUP($A661,CompChecksTrans!$A:$C,2,FALSE), "")</f>
        <v/>
      </c>
      <c r="C661" s="10" t="str">
        <f>_xlfn.IFNA(VLOOKUP(B661,Phase3!A$4:C$1000,3,FALSE),"")</f>
        <v/>
      </c>
      <c r="D661" s="10" t="str">
        <f>_xlfn.IFNA(VLOOKUP($A661,CompChecksTrans!$A:$C,3,FALSE), "     ")</f>
        <v xml:space="preserve">     </v>
      </c>
    </row>
    <row r="662" spans="1:4" x14ac:dyDescent="0.25">
      <c r="A662" s="12" t="s">
        <v>7023</v>
      </c>
      <c r="B662" s="10" t="str">
        <f>_xlfn.IFNA(VLOOKUP($A662,CompChecksTrans!$A:$C,2,FALSE), "")</f>
        <v/>
      </c>
      <c r="C662" s="10" t="str">
        <f>_xlfn.IFNA(VLOOKUP(B662,Phase3!A$4:C$1000,3,FALSE),"")</f>
        <v/>
      </c>
      <c r="D662" s="10" t="str">
        <f>_xlfn.IFNA(VLOOKUP($A662,CompChecksTrans!$A:$C,3,FALSE), "     ")</f>
        <v xml:space="preserve">     </v>
      </c>
    </row>
    <row r="663" spans="1:4" x14ac:dyDescent="0.25">
      <c r="A663" s="12" t="s">
        <v>7024</v>
      </c>
      <c r="B663" s="10" t="str">
        <f>_xlfn.IFNA(VLOOKUP($A663,CompChecksTrans!$A:$C,2,FALSE), "")</f>
        <v/>
      </c>
      <c r="C663" s="10" t="str">
        <f>_xlfn.IFNA(VLOOKUP(B663,Phase3!A$4:C$1000,3,FALSE),"")</f>
        <v/>
      </c>
      <c r="D663" s="10" t="str">
        <f>_xlfn.IFNA(VLOOKUP($A663,CompChecksTrans!$A:$C,3,FALSE), "     ")</f>
        <v xml:space="preserve">     </v>
      </c>
    </row>
    <row r="664" spans="1:4" x14ac:dyDescent="0.25">
      <c r="A664" s="12" t="s">
        <v>7025</v>
      </c>
      <c r="B664" s="10" t="str">
        <f>_xlfn.IFNA(VLOOKUP($A664,CompChecksTrans!$A:$C,2,FALSE), "")</f>
        <v/>
      </c>
      <c r="C664" s="10" t="str">
        <f>_xlfn.IFNA(VLOOKUP(B664,Phase3!A$4:C$1000,3,FALSE),"")</f>
        <v/>
      </c>
      <c r="D664" s="10" t="str">
        <f>_xlfn.IFNA(VLOOKUP($A664,CompChecksTrans!$A:$C,3,FALSE), "     ")</f>
        <v xml:space="preserve">     </v>
      </c>
    </row>
    <row r="665" spans="1:4" x14ac:dyDescent="0.25">
      <c r="A665" s="12" t="s">
        <v>7026</v>
      </c>
      <c r="B665" s="10" t="str">
        <f>_xlfn.IFNA(VLOOKUP($A665,CompChecksTrans!$A:$C,2,FALSE), "")</f>
        <v/>
      </c>
      <c r="C665" s="10" t="str">
        <f>_xlfn.IFNA(VLOOKUP(B665,Phase3!A$4:C$1000,3,FALSE),"")</f>
        <v/>
      </c>
      <c r="D665" s="10" t="str">
        <f>_xlfn.IFNA(VLOOKUP($A665,CompChecksTrans!$A:$C,3,FALSE), "     ")</f>
        <v xml:space="preserve">     </v>
      </c>
    </row>
    <row r="666" spans="1:4" x14ac:dyDescent="0.25">
      <c r="A666" s="12" t="s">
        <v>7027</v>
      </c>
      <c r="B666" s="10" t="str">
        <f>_xlfn.IFNA(VLOOKUP($A666,CompChecksTrans!$A:$C,2,FALSE), "")</f>
        <v/>
      </c>
      <c r="C666" s="10" t="str">
        <f>_xlfn.IFNA(VLOOKUP(B666,Phase3!A$4:C$1000,3,FALSE),"")</f>
        <v/>
      </c>
      <c r="D666" s="10" t="str">
        <f>_xlfn.IFNA(VLOOKUP($A666,CompChecksTrans!$A:$C,3,FALSE), "     ")</f>
        <v xml:space="preserve">     </v>
      </c>
    </row>
    <row r="667" spans="1:4" x14ac:dyDescent="0.25">
      <c r="A667" s="12" t="s">
        <v>7028</v>
      </c>
      <c r="B667" s="10" t="str">
        <f>_xlfn.IFNA(VLOOKUP($A667,CompChecksTrans!$A:$C,2,FALSE), "")</f>
        <v/>
      </c>
      <c r="C667" s="10" t="str">
        <f>_xlfn.IFNA(VLOOKUP(B667,Phase3!A$4:C$1000,3,FALSE),"")</f>
        <v/>
      </c>
      <c r="D667" s="10" t="str">
        <f>_xlfn.IFNA(VLOOKUP($A667,CompChecksTrans!$A:$C,3,FALSE), "     ")</f>
        <v xml:space="preserve">     </v>
      </c>
    </row>
    <row r="668" spans="1:4" x14ac:dyDescent="0.25">
      <c r="A668" s="12" t="s">
        <v>7029</v>
      </c>
      <c r="B668" s="10" t="str">
        <f>_xlfn.IFNA(VLOOKUP($A668,CompChecksTrans!$A:$C,2,FALSE), "")</f>
        <v/>
      </c>
      <c r="C668" s="10" t="str">
        <f>_xlfn.IFNA(VLOOKUP(B668,Phase3!A$4:C$1000,3,FALSE),"")</f>
        <v/>
      </c>
      <c r="D668" s="10" t="str">
        <f>_xlfn.IFNA(VLOOKUP($A668,CompChecksTrans!$A:$C,3,FALSE), "     ")</f>
        <v xml:space="preserve">     </v>
      </c>
    </row>
    <row r="669" spans="1:4" x14ac:dyDescent="0.25">
      <c r="A669" s="12" t="s">
        <v>7030</v>
      </c>
      <c r="B669" s="10" t="str">
        <f>_xlfn.IFNA(VLOOKUP($A669,CompChecksTrans!$A:$C,2,FALSE), "")</f>
        <v/>
      </c>
      <c r="C669" s="10" t="str">
        <f>_xlfn.IFNA(VLOOKUP(B669,Phase3!A$4:C$1000,3,FALSE),"")</f>
        <v/>
      </c>
      <c r="D669" s="10" t="str">
        <f>_xlfn.IFNA(VLOOKUP($A669,CompChecksTrans!$A:$C,3,FALSE), "     ")</f>
        <v xml:space="preserve">     </v>
      </c>
    </row>
    <row r="670" spans="1:4" x14ac:dyDescent="0.25">
      <c r="A670" s="12" t="s">
        <v>7031</v>
      </c>
      <c r="B670" s="10" t="str">
        <f>_xlfn.IFNA(VLOOKUP($A670,CompChecksTrans!$A:$C,2,FALSE), "")</f>
        <v/>
      </c>
      <c r="C670" s="10" t="str">
        <f>_xlfn.IFNA(VLOOKUP(B670,Phase3!A$4:C$1000,3,FALSE),"")</f>
        <v/>
      </c>
      <c r="D670" s="10" t="str">
        <f>_xlfn.IFNA(VLOOKUP($A670,CompChecksTrans!$A:$C,3,FALSE), "     ")</f>
        <v xml:space="preserve">     </v>
      </c>
    </row>
    <row r="671" spans="1:4" x14ac:dyDescent="0.25">
      <c r="A671" s="12" t="s">
        <v>7032</v>
      </c>
      <c r="B671" s="10" t="str">
        <f>_xlfn.IFNA(VLOOKUP($A671,CompChecksTrans!$A:$C,2,FALSE), "")</f>
        <v/>
      </c>
      <c r="C671" s="10" t="str">
        <f>_xlfn.IFNA(VLOOKUP(B671,Phase3!A$4:C$1000,3,FALSE),"")</f>
        <v/>
      </c>
      <c r="D671" s="10" t="str">
        <f>_xlfn.IFNA(VLOOKUP($A671,CompChecksTrans!$A:$C,3,FALSE), "     ")</f>
        <v xml:space="preserve">     </v>
      </c>
    </row>
    <row r="672" spans="1:4" x14ac:dyDescent="0.25">
      <c r="A672" s="12" t="s">
        <v>7033</v>
      </c>
      <c r="B672" s="10" t="str">
        <f>_xlfn.IFNA(VLOOKUP($A672,CompChecksTrans!$A:$C,2,FALSE), "")</f>
        <v/>
      </c>
      <c r="C672" s="10" t="str">
        <f>_xlfn.IFNA(VLOOKUP(B672,Phase3!A$4:C$1000,3,FALSE),"")</f>
        <v/>
      </c>
      <c r="D672" s="10" t="str">
        <f>_xlfn.IFNA(VLOOKUP($A672,CompChecksTrans!$A:$C,3,FALSE), "     ")</f>
        <v xml:space="preserve">     </v>
      </c>
    </row>
    <row r="673" spans="1:4" x14ac:dyDescent="0.25">
      <c r="A673" s="12" t="s">
        <v>7034</v>
      </c>
      <c r="B673" s="10" t="str">
        <f>_xlfn.IFNA(VLOOKUP($A673,CompChecksTrans!$A:$C,2,FALSE), "")</f>
        <v/>
      </c>
      <c r="C673" s="10" t="str">
        <f>_xlfn.IFNA(VLOOKUP(B673,Phase3!A$4:C$1000,3,FALSE),"")</f>
        <v/>
      </c>
      <c r="D673" s="10" t="str">
        <f>_xlfn.IFNA(VLOOKUP($A673,CompChecksTrans!$A:$C,3,FALSE), "     ")</f>
        <v xml:space="preserve">     </v>
      </c>
    </row>
    <row r="674" spans="1:4" x14ac:dyDescent="0.25">
      <c r="A674" s="12" t="s">
        <v>7035</v>
      </c>
      <c r="B674" s="10" t="str">
        <f>_xlfn.IFNA(VLOOKUP($A674,CompChecksTrans!$A:$C,2,FALSE), "")</f>
        <v/>
      </c>
      <c r="C674" s="10" t="str">
        <f>_xlfn.IFNA(VLOOKUP(B674,Phase3!A$4:C$1000,3,FALSE),"")</f>
        <v/>
      </c>
      <c r="D674" s="10" t="str">
        <f>_xlfn.IFNA(VLOOKUP($A674,CompChecksTrans!$A:$C,3,FALSE), "     ")</f>
        <v xml:space="preserve">     </v>
      </c>
    </row>
    <row r="675" spans="1:4" x14ac:dyDescent="0.25">
      <c r="A675" s="12" t="s">
        <v>7036</v>
      </c>
      <c r="B675" s="10" t="str">
        <f>_xlfn.IFNA(VLOOKUP($A675,CompChecksTrans!$A:$C,2,FALSE), "")</f>
        <v/>
      </c>
      <c r="C675" s="10" t="str">
        <f>_xlfn.IFNA(VLOOKUP(B675,Phase3!A$4:C$1000,3,FALSE),"")</f>
        <v/>
      </c>
      <c r="D675" s="10" t="str">
        <f>_xlfn.IFNA(VLOOKUP($A675,CompChecksTrans!$A:$C,3,FALSE), "     ")</f>
        <v xml:space="preserve">     </v>
      </c>
    </row>
    <row r="676" spans="1:4" x14ac:dyDescent="0.25">
      <c r="A676" s="12" t="s">
        <v>7037</v>
      </c>
      <c r="B676" s="10" t="str">
        <f>_xlfn.IFNA(VLOOKUP($A676,CompChecksTrans!$A:$C,2,FALSE), "")</f>
        <v/>
      </c>
      <c r="C676" s="10" t="str">
        <f>_xlfn.IFNA(VLOOKUP(B676,Phase3!A$4:C$1000,3,FALSE),"")</f>
        <v/>
      </c>
      <c r="D676" s="10" t="str">
        <f>_xlfn.IFNA(VLOOKUP($A676,CompChecksTrans!$A:$C,3,FALSE), "     ")</f>
        <v xml:space="preserve">     </v>
      </c>
    </row>
    <row r="677" spans="1:4" x14ac:dyDescent="0.25">
      <c r="A677" s="12" t="s">
        <v>7038</v>
      </c>
      <c r="B677" s="10" t="str">
        <f>_xlfn.IFNA(VLOOKUP($A677,CompChecksTrans!$A:$C,2,FALSE), "")</f>
        <v/>
      </c>
      <c r="C677" s="10" t="str">
        <f>_xlfn.IFNA(VLOOKUP(B677,Phase3!A$4:C$1000,3,FALSE),"")</f>
        <v/>
      </c>
      <c r="D677" s="10" t="str">
        <f>_xlfn.IFNA(VLOOKUP($A677,CompChecksTrans!$A:$C,3,FALSE), "     ")</f>
        <v xml:space="preserve">     </v>
      </c>
    </row>
    <row r="678" spans="1:4" x14ac:dyDescent="0.25">
      <c r="A678" s="12" t="s">
        <v>7039</v>
      </c>
      <c r="B678" s="10" t="str">
        <f>_xlfn.IFNA(VLOOKUP($A678,CompChecksTrans!$A:$C,2,FALSE), "")</f>
        <v/>
      </c>
      <c r="C678" s="10" t="str">
        <f>_xlfn.IFNA(VLOOKUP(B678,Phase3!A$4:C$1000,3,FALSE),"")</f>
        <v/>
      </c>
      <c r="D678" s="10" t="str">
        <f>_xlfn.IFNA(VLOOKUP($A678,CompChecksTrans!$A:$C,3,FALSE), "     ")</f>
        <v xml:space="preserve">     </v>
      </c>
    </row>
    <row r="679" spans="1:4" x14ac:dyDescent="0.25">
      <c r="A679" s="12" t="s">
        <v>7040</v>
      </c>
      <c r="B679" s="10" t="str">
        <f>_xlfn.IFNA(VLOOKUP($A679,CompChecksTrans!$A:$C,2,FALSE), "")</f>
        <v/>
      </c>
      <c r="C679" s="10" t="str">
        <f>_xlfn.IFNA(VLOOKUP(B679,Phase3!A$4:C$1000,3,FALSE),"")</f>
        <v/>
      </c>
      <c r="D679" s="10" t="str">
        <f>_xlfn.IFNA(VLOOKUP($A679,CompChecksTrans!$A:$C,3,FALSE), "     ")</f>
        <v xml:space="preserve">     </v>
      </c>
    </row>
    <row r="680" spans="1:4" x14ac:dyDescent="0.25">
      <c r="A680" s="12" t="s">
        <v>7041</v>
      </c>
      <c r="B680" s="10" t="str">
        <f>_xlfn.IFNA(VLOOKUP($A680,CompChecksTrans!$A:$C,2,FALSE), "")</f>
        <v/>
      </c>
      <c r="C680" s="10" t="str">
        <f>_xlfn.IFNA(VLOOKUP(B680,Phase3!A$4:C$1000,3,FALSE),"")</f>
        <v/>
      </c>
      <c r="D680" s="10" t="str">
        <f>_xlfn.IFNA(VLOOKUP($A680,CompChecksTrans!$A:$C,3,FALSE), "     ")</f>
        <v xml:space="preserve">     </v>
      </c>
    </row>
    <row r="681" spans="1:4" x14ac:dyDescent="0.25">
      <c r="A681" s="12" t="s">
        <v>7042</v>
      </c>
      <c r="B681" s="10" t="str">
        <f>_xlfn.IFNA(VLOOKUP($A681,CompChecksTrans!$A:$C,2,FALSE), "")</f>
        <v/>
      </c>
      <c r="C681" s="10" t="str">
        <f>_xlfn.IFNA(VLOOKUP(B681,Phase3!A$4:C$1000,3,FALSE),"")</f>
        <v/>
      </c>
      <c r="D681" s="10" t="str">
        <f>_xlfn.IFNA(VLOOKUP($A681,CompChecksTrans!$A:$C,3,FALSE), "     ")</f>
        <v xml:space="preserve">     </v>
      </c>
    </row>
    <row r="682" spans="1:4" x14ac:dyDescent="0.25">
      <c r="A682" s="12" t="s">
        <v>7043</v>
      </c>
      <c r="B682" s="10" t="str">
        <f>_xlfn.IFNA(VLOOKUP($A682,CompChecksTrans!$A:$C,2,FALSE), "")</f>
        <v/>
      </c>
      <c r="C682" s="10" t="str">
        <f>_xlfn.IFNA(VLOOKUP(B682,Phase3!A$4:C$1000,3,FALSE),"")</f>
        <v/>
      </c>
      <c r="D682" s="10" t="str">
        <f>_xlfn.IFNA(VLOOKUP($A682,CompChecksTrans!$A:$C,3,FALSE), "     ")</f>
        <v xml:space="preserve">     </v>
      </c>
    </row>
    <row r="683" spans="1:4" x14ac:dyDescent="0.25">
      <c r="A683" s="12" t="s">
        <v>7044</v>
      </c>
      <c r="B683" s="10" t="str">
        <f>_xlfn.IFNA(VLOOKUP($A683,CompChecksTrans!$A:$C,2,FALSE), "")</f>
        <v/>
      </c>
      <c r="C683" s="10" t="str">
        <f>_xlfn.IFNA(VLOOKUP(B683,Phase3!A$4:C$1000,3,FALSE),"")</f>
        <v/>
      </c>
      <c r="D683" s="10" t="str">
        <f>_xlfn.IFNA(VLOOKUP($A683,CompChecksTrans!$A:$C,3,FALSE), "     ")</f>
        <v xml:space="preserve">     </v>
      </c>
    </row>
    <row r="684" spans="1:4" x14ac:dyDescent="0.25">
      <c r="A684" s="12" t="s">
        <v>7045</v>
      </c>
      <c r="B684" s="10" t="str">
        <f>_xlfn.IFNA(VLOOKUP($A684,CompChecksTrans!$A:$C,2,FALSE), "")</f>
        <v/>
      </c>
      <c r="C684" s="10" t="str">
        <f>_xlfn.IFNA(VLOOKUP(B684,Phase3!A$4:C$1000,3,FALSE),"")</f>
        <v/>
      </c>
      <c r="D684" s="10" t="str">
        <f>_xlfn.IFNA(VLOOKUP($A684,CompChecksTrans!$A:$C,3,FALSE), "     ")</f>
        <v xml:space="preserve">     </v>
      </c>
    </row>
    <row r="685" spans="1:4" x14ac:dyDescent="0.25">
      <c r="A685" s="12" t="s">
        <v>7046</v>
      </c>
      <c r="B685" s="10" t="str">
        <f>_xlfn.IFNA(VLOOKUP($A685,CompChecksTrans!$A:$C,2,FALSE), "")</f>
        <v/>
      </c>
      <c r="C685" s="10" t="str">
        <f>_xlfn.IFNA(VLOOKUP(B685,Phase3!A$4:C$1000,3,FALSE),"")</f>
        <v/>
      </c>
      <c r="D685" s="10" t="str">
        <f>_xlfn.IFNA(VLOOKUP($A685,CompChecksTrans!$A:$C,3,FALSE), "     ")</f>
        <v xml:space="preserve">     </v>
      </c>
    </row>
    <row r="686" spans="1:4" x14ac:dyDescent="0.25">
      <c r="A686" s="12" t="s">
        <v>7047</v>
      </c>
      <c r="B686" s="10" t="str">
        <f>_xlfn.IFNA(VLOOKUP($A686,CompChecksTrans!$A:$C,2,FALSE), "")</f>
        <v/>
      </c>
      <c r="C686" s="10" t="str">
        <f>_xlfn.IFNA(VLOOKUP(B686,Phase3!A$4:C$1000,3,FALSE),"")</f>
        <v/>
      </c>
      <c r="D686" s="10" t="str">
        <f>_xlfn.IFNA(VLOOKUP($A686,CompChecksTrans!$A:$C,3,FALSE), "     ")</f>
        <v xml:space="preserve">     </v>
      </c>
    </row>
    <row r="687" spans="1:4" x14ac:dyDescent="0.25">
      <c r="A687" s="12" t="s">
        <v>7048</v>
      </c>
      <c r="B687" s="10" t="str">
        <f>_xlfn.IFNA(VLOOKUP($A687,CompChecksTrans!$A:$C,2,FALSE), "")</f>
        <v/>
      </c>
      <c r="C687" s="10" t="str">
        <f>_xlfn.IFNA(VLOOKUP(B687,Phase3!A$4:C$1000,3,FALSE),"")</f>
        <v/>
      </c>
      <c r="D687" s="10" t="str">
        <f>_xlfn.IFNA(VLOOKUP($A687,CompChecksTrans!$A:$C,3,FALSE), "     ")</f>
        <v xml:space="preserve">     </v>
      </c>
    </row>
    <row r="688" spans="1:4" x14ac:dyDescent="0.25">
      <c r="A688" s="12" t="s">
        <v>7049</v>
      </c>
      <c r="B688" s="10" t="str">
        <f>_xlfn.IFNA(VLOOKUP($A688,CompChecksTrans!$A:$C,2,FALSE), "")</f>
        <v/>
      </c>
      <c r="C688" s="10" t="str">
        <f>_xlfn.IFNA(VLOOKUP(B688,Phase3!A$4:C$1000,3,FALSE),"")</f>
        <v/>
      </c>
      <c r="D688" s="10" t="str">
        <f>_xlfn.IFNA(VLOOKUP($A688,CompChecksTrans!$A:$C,3,FALSE), "     ")</f>
        <v xml:space="preserve">     </v>
      </c>
    </row>
    <row r="689" spans="1:4" x14ac:dyDescent="0.25">
      <c r="A689" s="12" t="s">
        <v>7050</v>
      </c>
      <c r="B689" s="10" t="str">
        <f>_xlfn.IFNA(VLOOKUP($A689,CompChecksTrans!$A:$C,2,FALSE), "")</f>
        <v/>
      </c>
      <c r="C689" s="10" t="str">
        <f>_xlfn.IFNA(VLOOKUP(B689,Phase3!A$4:C$1000,3,FALSE),"")</f>
        <v/>
      </c>
      <c r="D689" s="10" t="str">
        <f>_xlfn.IFNA(VLOOKUP($A689,CompChecksTrans!$A:$C,3,FALSE), "     ")</f>
        <v xml:space="preserve">     </v>
      </c>
    </row>
    <row r="690" spans="1:4" x14ac:dyDescent="0.25">
      <c r="A690" s="12" t="s">
        <v>7051</v>
      </c>
      <c r="B690" s="10" t="str">
        <f>_xlfn.IFNA(VLOOKUP($A690,CompChecksTrans!$A:$C,2,FALSE), "")</f>
        <v/>
      </c>
      <c r="C690" s="10" t="str">
        <f>_xlfn.IFNA(VLOOKUP(B690,Phase3!A$4:C$1000,3,FALSE),"")</f>
        <v/>
      </c>
      <c r="D690" s="10" t="str">
        <f>_xlfn.IFNA(VLOOKUP($A690,CompChecksTrans!$A:$C,3,FALSE), "     ")</f>
        <v xml:space="preserve">     </v>
      </c>
    </row>
    <row r="691" spans="1:4" x14ac:dyDescent="0.25">
      <c r="A691" s="12" t="s">
        <v>7052</v>
      </c>
      <c r="B691" s="10" t="str">
        <f>_xlfn.IFNA(VLOOKUP($A691,CompChecksTrans!$A:$C,2,FALSE), "")</f>
        <v/>
      </c>
      <c r="C691" s="10" t="str">
        <f>_xlfn.IFNA(VLOOKUP(B691,Phase3!A$4:C$1000,3,FALSE),"")</f>
        <v/>
      </c>
      <c r="D691" s="10" t="str">
        <f>_xlfn.IFNA(VLOOKUP($A691,CompChecksTrans!$A:$C,3,FALSE), "     ")</f>
        <v xml:space="preserve">     </v>
      </c>
    </row>
    <row r="692" spans="1:4" x14ac:dyDescent="0.25">
      <c r="A692" s="12" t="s">
        <v>7053</v>
      </c>
      <c r="B692" s="10" t="str">
        <f>_xlfn.IFNA(VLOOKUP($A692,CompChecksTrans!$A:$C,2,FALSE), "")</f>
        <v/>
      </c>
      <c r="C692" s="10" t="str">
        <f>_xlfn.IFNA(VLOOKUP(B692,Phase3!A$4:C$1000,3,FALSE),"")</f>
        <v/>
      </c>
      <c r="D692" s="10" t="str">
        <f>_xlfn.IFNA(VLOOKUP($A692,CompChecksTrans!$A:$C,3,FALSE), "     ")</f>
        <v xml:space="preserve">     </v>
      </c>
    </row>
    <row r="693" spans="1:4" x14ac:dyDescent="0.25">
      <c r="A693" s="12" t="s">
        <v>7054</v>
      </c>
      <c r="B693" s="10" t="str">
        <f>_xlfn.IFNA(VLOOKUP($A693,CompChecksTrans!$A:$C,2,FALSE), "")</f>
        <v/>
      </c>
      <c r="C693" s="10" t="str">
        <f>_xlfn.IFNA(VLOOKUP(B693,Phase3!A$4:C$1000,3,FALSE),"")</f>
        <v/>
      </c>
      <c r="D693" s="10" t="str">
        <f>_xlfn.IFNA(VLOOKUP($A693,CompChecksTrans!$A:$C,3,FALSE), "     ")</f>
        <v xml:space="preserve">     </v>
      </c>
    </row>
    <row r="694" spans="1:4" x14ac:dyDescent="0.25">
      <c r="A694" s="12" t="s">
        <v>7055</v>
      </c>
      <c r="B694" s="10" t="str">
        <f>_xlfn.IFNA(VLOOKUP($A694,CompChecksTrans!$A:$C,2,FALSE), "")</f>
        <v/>
      </c>
      <c r="C694" s="10" t="str">
        <f>_xlfn.IFNA(VLOOKUP(B694,Phase3!A$4:C$1000,3,FALSE),"")</f>
        <v/>
      </c>
      <c r="D694" s="10" t="str">
        <f>_xlfn.IFNA(VLOOKUP($A694,CompChecksTrans!$A:$C,3,FALSE), "     ")</f>
        <v xml:space="preserve">     </v>
      </c>
    </row>
    <row r="695" spans="1:4" x14ac:dyDescent="0.25">
      <c r="A695" s="12" t="s">
        <v>7056</v>
      </c>
      <c r="B695" s="10" t="str">
        <f>_xlfn.IFNA(VLOOKUP($A695,CompChecksTrans!$A:$C,2,FALSE), "")</f>
        <v/>
      </c>
      <c r="C695" s="10" t="str">
        <f>_xlfn.IFNA(VLOOKUP(B695,Phase3!A$4:C$1000,3,FALSE),"")</f>
        <v/>
      </c>
      <c r="D695" s="10" t="str">
        <f>_xlfn.IFNA(VLOOKUP($A695,CompChecksTrans!$A:$C,3,FALSE), "     ")</f>
        <v xml:space="preserve">     </v>
      </c>
    </row>
    <row r="696" spans="1:4" x14ac:dyDescent="0.25">
      <c r="A696" s="12" t="s">
        <v>7057</v>
      </c>
      <c r="B696" s="10" t="str">
        <f>_xlfn.IFNA(VLOOKUP($A696,CompChecksTrans!$A:$C,2,FALSE), "")</f>
        <v/>
      </c>
      <c r="C696" s="10" t="str">
        <f>_xlfn.IFNA(VLOOKUP(B696,Phase3!A$4:C$1000,3,FALSE),"")</f>
        <v/>
      </c>
      <c r="D696" s="10" t="str">
        <f>_xlfn.IFNA(VLOOKUP($A696,CompChecksTrans!$A:$C,3,FALSE), "     ")</f>
        <v xml:space="preserve">     </v>
      </c>
    </row>
    <row r="697" spans="1:4" x14ac:dyDescent="0.25">
      <c r="A697" s="12" t="s">
        <v>7058</v>
      </c>
      <c r="B697" s="10" t="str">
        <f>_xlfn.IFNA(VLOOKUP($A697,CompChecksTrans!$A:$C,2,FALSE), "")</f>
        <v/>
      </c>
      <c r="C697" s="10" t="str">
        <f>_xlfn.IFNA(VLOOKUP(B697,Phase3!A$4:C$1000,3,FALSE),"")</f>
        <v/>
      </c>
      <c r="D697" s="10" t="str">
        <f>_xlfn.IFNA(VLOOKUP($A697,CompChecksTrans!$A:$C,3,FALSE), "     ")</f>
        <v xml:space="preserve">     </v>
      </c>
    </row>
    <row r="698" spans="1:4" x14ac:dyDescent="0.25">
      <c r="A698" s="12" t="s">
        <v>7059</v>
      </c>
      <c r="B698" s="10" t="str">
        <f>_xlfn.IFNA(VLOOKUP($A698,CompChecksTrans!$A:$C,2,FALSE), "")</f>
        <v/>
      </c>
      <c r="C698" s="10" t="str">
        <f>_xlfn.IFNA(VLOOKUP(B698,Phase3!A$4:C$1000,3,FALSE),"")</f>
        <v/>
      </c>
      <c r="D698" s="10" t="str">
        <f>_xlfn.IFNA(VLOOKUP($A698,CompChecksTrans!$A:$C,3,FALSE), "     ")</f>
        <v xml:space="preserve">     </v>
      </c>
    </row>
    <row r="699" spans="1:4" x14ac:dyDescent="0.25">
      <c r="A699" s="12" t="s">
        <v>7060</v>
      </c>
      <c r="B699" s="10" t="str">
        <f>_xlfn.IFNA(VLOOKUP($A699,CompChecksTrans!$A:$C,2,FALSE), "")</f>
        <v/>
      </c>
      <c r="C699" s="10" t="str">
        <f>_xlfn.IFNA(VLOOKUP(B699,Phase3!A$4:C$1000,3,FALSE),"")</f>
        <v/>
      </c>
      <c r="D699" s="10" t="str">
        <f>_xlfn.IFNA(VLOOKUP($A699,CompChecksTrans!$A:$C,3,FALSE), "     ")</f>
        <v xml:space="preserve">     </v>
      </c>
    </row>
    <row r="700" spans="1:4" x14ac:dyDescent="0.25">
      <c r="A700" s="12" t="s">
        <v>7061</v>
      </c>
      <c r="B700" s="10" t="str">
        <f>_xlfn.IFNA(VLOOKUP($A700,CompChecksTrans!$A:$C,2,FALSE), "")</f>
        <v/>
      </c>
      <c r="C700" s="10" t="str">
        <f>_xlfn.IFNA(VLOOKUP(B700,Phase3!A$4:C$1000,3,FALSE),"")</f>
        <v/>
      </c>
      <c r="D700" s="10" t="str">
        <f>_xlfn.IFNA(VLOOKUP($A700,CompChecksTrans!$A:$C,3,FALSE), "     ")</f>
        <v xml:space="preserve">     </v>
      </c>
    </row>
    <row r="701" spans="1:4" x14ac:dyDescent="0.25">
      <c r="A701" s="12" t="s">
        <v>7062</v>
      </c>
      <c r="B701" s="10" t="str">
        <f>_xlfn.IFNA(VLOOKUP($A701,CompChecksTrans!$A:$C,2,FALSE), "")</f>
        <v/>
      </c>
      <c r="C701" s="10" t="str">
        <f>_xlfn.IFNA(VLOOKUP(B701,Phase3!A$4:C$1000,3,FALSE),"")</f>
        <v/>
      </c>
      <c r="D701" s="10" t="str">
        <f>_xlfn.IFNA(VLOOKUP($A701,CompChecksTrans!$A:$C,3,FALSE), "     ")</f>
        <v xml:space="preserve">     </v>
      </c>
    </row>
    <row r="702" spans="1:4" x14ac:dyDescent="0.25">
      <c r="A702" s="12" t="s">
        <v>7063</v>
      </c>
      <c r="B702" s="10" t="str">
        <f>_xlfn.IFNA(VLOOKUP($A702,CompChecksTrans!$A:$C,2,FALSE), "")</f>
        <v/>
      </c>
      <c r="C702" s="10" t="str">
        <f>_xlfn.IFNA(VLOOKUP(B702,Phase3!A$4:C$1000,3,FALSE),"")</f>
        <v/>
      </c>
      <c r="D702" s="10" t="str">
        <f>_xlfn.IFNA(VLOOKUP($A702,CompChecksTrans!$A:$C,3,FALSE), "     ")</f>
        <v xml:space="preserve">     </v>
      </c>
    </row>
    <row r="703" spans="1:4" x14ac:dyDescent="0.25">
      <c r="A703" s="12" t="s">
        <v>7064</v>
      </c>
      <c r="B703" s="10" t="str">
        <f>_xlfn.IFNA(VLOOKUP($A703,CompChecksTrans!$A:$C,2,FALSE), "")</f>
        <v/>
      </c>
      <c r="C703" s="10" t="str">
        <f>_xlfn.IFNA(VLOOKUP(B703,Phase3!A$4:C$1000,3,FALSE),"")</f>
        <v/>
      </c>
      <c r="D703" s="10" t="str">
        <f>_xlfn.IFNA(VLOOKUP($A703,CompChecksTrans!$A:$C,3,FALSE), "     ")</f>
        <v xml:space="preserve">     </v>
      </c>
    </row>
    <row r="704" spans="1:4" x14ac:dyDescent="0.25">
      <c r="A704" s="12" t="s">
        <v>7065</v>
      </c>
      <c r="B704" s="10" t="str">
        <f>_xlfn.IFNA(VLOOKUP($A704,CompChecksTrans!$A:$C,2,FALSE), "")</f>
        <v/>
      </c>
      <c r="C704" s="10" t="str">
        <f>_xlfn.IFNA(VLOOKUP(B704,Phase3!A$4:C$1000,3,FALSE),"")</f>
        <v/>
      </c>
      <c r="D704" s="10" t="str">
        <f>_xlfn.IFNA(VLOOKUP($A704,CompChecksTrans!$A:$C,3,FALSE), "     ")</f>
        <v xml:space="preserve">     </v>
      </c>
    </row>
    <row r="705" spans="1:4" x14ac:dyDescent="0.25">
      <c r="A705" s="12" t="s">
        <v>7066</v>
      </c>
      <c r="B705" s="10" t="str">
        <f>_xlfn.IFNA(VLOOKUP($A705,CompChecksTrans!$A:$C,2,FALSE), "")</f>
        <v/>
      </c>
      <c r="C705" s="10" t="str">
        <f>_xlfn.IFNA(VLOOKUP(B705,Phase3!A$4:C$1000,3,FALSE),"")</f>
        <v/>
      </c>
      <c r="D705" s="10" t="str">
        <f>_xlfn.IFNA(VLOOKUP($A705,CompChecksTrans!$A:$C,3,FALSE), "     ")</f>
        <v xml:space="preserve">     </v>
      </c>
    </row>
    <row r="706" spans="1:4" x14ac:dyDescent="0.25">
      <c r="A706" s="12" t="s">
        <v>7067</v>
      </c>
      <c r="B706" s="10" t="str">
        <f>_xlfn.IFNA(VLOOKUP($A706,CompChecksTrans!$A:$C,2,FALSE), "")</f>
        <v/>
      </c>
      <c r="C706" s="10" t="str">
        <f>_xlfn.IFNA(VLOOKUP(B706,Phase3!A$4:C$1000,3,FALSE),"")</f>
        <v/>
      </c>
      <c r="D706" s="10" t="str">
        <f>_xlfn.IFNA(VLOOKUP($A706,CompChecksTrans!$A:$C,3,FALSE), "     ")</f>
        <v xml:space="preserve">     </v>
      </c>
    </row>
    <row r="707" spans="1:4" x14ac:dyDescent="0.25">
      <c r="A707" s="12" t="s">
        <v>7068</v>
      </c>
      <c r="B707" s="10" t="str">
        <f>_xlfn.IFNA(VLOOKUP($A707,CompChecksTrans!$A:$C,2,FALSE), "")</f>
        <v/>
      </c>
      <c r="C707" s="10" t="str">
        <f>_xlfn.IFNA(VLOOKUP(B707,Phase3!A$4:C$1000,3,FALSE),"")</f>
        <v/>
      </c>
      <c r="D707" s="10" t="str">
        <f>_xlfn.IFNA(VLOOKUP($A707,CompChecksTrans!$A:$C,3,FALSE), "     ")</f>
        <v xml:space="preserve">     </v>
      </c>
    </row>
    <row r="708" spans="1:4" x14ac:dyDescent="0.25">
      <c r="A708" s="12" t="s">
        <v>7069</v>
      </c>
      <c r="B708" s="10" t="str">
        <f>_xlfn.IFNA(VLOOKUP($A708,CompChecksTrans!$A:$C,2,FALSE), "")</f>
        <v/>
      </c>
      <c r="C708" s="10" t="str">
        <f>_xlfn.IFNA(VLOOKUP(B708,Phase3!A$4:C$1000,3,FALSE),"")</f>
        <v/>
      </c>
      <c r="D708" s="10" t="str">
        <f>_xlfn.IFNA(VLOOKUP($A708,CompChecksTrans!$A:$C,3,FALSE), "     ")</f>
        <v xml:space="preserve">     </v>
      </c>
    </row>
    <row r="709" spans="1:4" x14ac:dyDescent="0.25">
      <c r="A709" s="12" t="s">
        <v>7070</v>
      </c>
      <c r="B709" s="10" t="str">
        <f>_xlfn.IFNA(VLOOKUP($A709,CompChecksTrans!$A:$C,2,FALSE), "")</f>
        <v/>
      </c>
      <c r="C709" s="10" t="str">
        <f>_xlfn.IFNA(VLOOKUP(B709,Phase3!A$4:C$1000,3,FALSE),"")</f>
        <v/>
      </c>
      <c r="D709" s="10" t="str">
        <f>_xlfn.IFNA(VLOOKUP($A709,CompChecksTrans!$A:$C,3,FALSE), "     ")</f>
        <v xml:space="preserve">     </v>
      </c>
    </row>
    <row r="710" spans="1:4" x14ac:dyDescent="0.25">
      <c r="A710" s="12" t="s">
        <v>7071</v>
      </c>
      <c r="B710" s="10" t="str">
        <f>_xlfn.IFNA(VLOOKUP($A710,CompChecksTrans!$A:$C,2,FALSE), "")</f>
        <v/>
      </c>
      <c r="C710" s="10" t="str">
        <f>_xlfn.IFNA(VLOOKUP(B710,Phase3!A$4:C$1000,3,FALSE),"")</f>
        <v/>
      </c>
      <c r="D710" s="10" t="str">
        <f>_xlfn.IFNA(VLOOKUP($A710,CompChecksTrans!$A:$C,3,FALSE), "     ")</f>
        <v xml:space="preserve">     </v>
      </c>
    </row>
    <row r="711" spans="1:4" x14ac:dyDescent="0.25">
      <c r="A711" s="12" t="s">
        <v>7072</v>
      </c>
      <c r="B711" s="10" t="str">
        <f>_xlfn.IFNA(VLOOKUP($A711,CompChecksTrans!$A:$C,2,FALSE), "")</f>
        <v/>
      </c>
      <c r="C711" s="10" t="str">
        <f>_xlfn.IFNA(VLOOKUP(B711,Phase3!A$4:C$1000,3,FALSE),"")</f>
        <v/>
      </c>
      <c r="D711" s="10" t="str">
        <f>_xlfn.IFNA(VLOOKUP($A711,CompChecksTrans!$A:$C,3,FALSE), "     ")</f>
        <v xml:space="preserve">     </v>
      </c>
    </row>
    <row r="712" spans="1:4" x14ac:dyDescent="0.25">
      <c r="A712" s="12" t="s">
        <v>7073</v>
      </c>
      <c r="B712" s="10" t="str">
        <f>_xlfn.IFNA(VLOOKUP($A712,CompChecksTrans!$A:$C,2,FALSE), "")</f>
        <v/>
      </c>
      <c r="C712" s="10" t="str">
        <f>_xlfn.IFNA(VLOOKUP(B712,Phase3!A$4:C$1000,3,FALSE),"")</f>
        <v/>
      </c>
      <c r="D712" s="10" t="str">
        <f>_xlfn.IFNA(VLOOKUP($A712,CompChecksTrans!$A:$C,3,FALSE), "     ")</f>
        <v xml:space="preserve">     </v>
      </c>
    </row>
    <row r="713" spans="1:4" x14ac:dyDescent="0.25">
      <c r="A713" s="12" t="s">
        <v>7074</v>
      </c>
      <c r="B713" s="10" t="str">
        <f>_xlfn.IFNA(VLOOKUP($A713,CompChecksTrans!$A:$C,2,FALSE), "")</f>
        <v/>
      </c>
      <c r="C713" s="10" t="str">
        <f>_xlfn.IFNA(VLOOKUP(B713,Phase3!A$4:C$1000,3,FALSE),"")</f>
        <v/>
      </c>
      <c r="D713" s="10" t="str">
        <f>_xlfn.IFNA(VLOOKUP($A713,CompChecksTrans!$A:$C,3,FALSE), "     ")</f>
        <v xml:space="preserve">     </v>
      </c>
    </row>
    <row r="714" spans="1:4" x14ac:dyDescent="0.25">
      <c r="A714" s="12" t="s">
        <v>7075</v>
      </c>
      <c r="B714" s="10" t="str">
        <f>_xlfn.IFNA(VLOOKUP($A714,CompChecksTrans!$A:$C,2,FALSE), "")</f>
        <v/>
      </c>
      <c r="C714" s="10" t="str">
        <f>_xlfn.IFNA(VLOOKUP(B714,Phase3!A$4:C$1000,3,FALSE),"")</f>
        <v/>
      </c>
      <c r="D714" s="10" t="str">
        <f>_xlfn.IFNA(VLOOKUP($A714,CompChecksTrans!$A:$C,3,FALSE), "     ")</f>
        <v xml:space="preserve">     </v>
      </c>
    </row>
    <row r="715" spans="1:4" x14ac:dyDescent="0.25">
      <c r="A715" s="12" t="s">
        <v>7076</v>
      </c>
      <c r="B715" s="10" t="str">
        <f>_xlfn.IFNA(VLOOKUP($A715,CompChecksTrans!$A:$C,2,FALSE), "")</f>
        <v/>
      </c>
      <c r="C715" s="10" t="str">
        <f>_xlfn.IFNA(VLOOKUP(B715,Phase3!A$4:C$1000,3,FALSE),"")</f>
        <v/>
      </c>
      <c r="D715" s="10" t="str">
        <f>_xlfn.IFNA(VLOOKUP($A715,CompChecksTrans!$A:$C,3,FALSE), "     ")</f>
        <v xml:space="preserve">     </v>
      </c>
    </row>
    <row r="716" spans="1:4" x14ac:dyDescent="0.25">
      <c r="A716" s="12" t="s">
        <v>7077</v>
      </c>
      <c r="B716" s="10" t="str">
        <f>_xlfn.IFNA(VLOOKUP($A716,CompChecksTrans!$A:$C,2,FALSE), "")</f>
        <v/>
      </c>
      <c r="C716" s="10" t="str">
        <f>_xlfn.IFNA(VLOOKUP(B716,Phase3!A$4:C$1000,3,FALSE),"")</f>
        <v/>
      </c>
      <c r="D716" s="10" t="str">
        <f>_xlfn.IFNA(VLOOKUP($A716,CompChecksTrans!$A:$C,3,FALSE), "     ")</f>
        <v xml:space="preserve">     </v>
      </c>
    </row>
    <row r="717" spans="1:4" x14ac:dyDescent="0.25">
      <c r="A717" s="12" t="s">
        <v>7078</v>
      </c>
      <c r="B717" s="10" t="str">
        <f>_xlfn.IFNA(VLOOKUP($A717,CompChecksTrans!$A:$C,2,FALSE), "")</f>
        <v/>
      </c>
      <c r="C717" s="10" t="str">
        <f>_xlfn.IFNA(VLOOKUP(B717,Phase3!A$4:C$1000,3,FALSE),"")</f>
        <v/>
      </c>
      <c r="D717" s="10" t="str">
        <f>_xlfn.IFNA(VLOOKUP($A717,CompChecksTrans!$A:$C,3,FALSE), "     ")</f>
        <v xml:space="preserve">     </v>
      </c>
    </row>
    <row r="718" spans="1:4" x14ac:dyDescent="0.25">
      <c r="A718" s="12" t="s">
        <v>7079</v>
      </c>
      <c r="B718" s="10" t="str">
        <f>_xlfn.IFNA(VLOOKUP($A718,CompChecksTrans!$A:$C,2,FALSE), "")</f>
        <v/>
      </c>
      <c r="C718" s="10" t="str">
        <f>_xlfn.IFNA(VLOOKUP(B718,Phase3!A$4:C$1000,3,FALSE),"")</f>
        <v/>
      </c>
      <c r="D718" s="10" t="str">
        <f>_xlfn.IFNA(VLOOKUP($A718,CompChecksTrans!$A:$C,3,FALSE), "     ")</f>
        <v xml:space="preserve">     </v>
      </c>
    </row>
    <row r="719" spans="1:4" x14ac:dyDescent="0.25">
      <c r="A719" s="12" t="s">
        <v>7080</v>
      </c>
      <c r="B719" s="10" t="str">
        <f>_xlfn.IFNA(VLOOKUP($A719,CompChecksTrans!$A:$C,2,FALSE), "")</f>
        <v/>
      </c>
      <c r="C719" s="10" t="str">
        <f>_xlfn.IFNA(VLOOKUP(B719,Phase3!A$4:C$1000,3,FALSE),"")</f>
        <v/>
      </c>
      <c r="D719" s="10" t="str">
        <f>_xlfn.IFNA(VLOOKUP($A719,CompChecksTrans!$A:$C,3,FALSE), "     ")</f>
        <v xml:space="preserve">     </v>
      </c>
    </row>
    <row r="720" spans="1:4" x14ac:dyDescent="0.25">
      <c r="A720" s="12" t="s">
        <v>7081</v>
      </c>
      <c r="B720" s="10" t="str">
        <f>_xlfn.IFNA(VLOOKUP($A720,CompChecksTrans!$A:$C,2,FALSE), "")</f>
        <v/>
      </c>
      <c r="C720" s="10" t="str">
        <f>_xlfn.IFNA(VLOOKUP(B720,Phase3!A$4:C$1000,3,FALSE),"")</f>
        <v/>
      </c>
      <c r="D720" s="10" t="str">
        <f>_xlfn.IFNA(VLOOKUP($A720,CompChecksTrans!$A:$C,3,FALSE), "     ")</f>
        <v xml:space="preserve">     </v>
      </c>
    </row>
    <row r="721" spans="1:4" x14ac:dyDescent="0.25">
      <c r="A721" s="12" t="s">
        <v>7082</v>
      </c>
      <c r="B721" s="10" t="str">
        <f>_xlfn.IFNA(VLOOKUP($A721,CompChecksTrans!$A:$C,2,FALSE), "")</f>
        <v/>
      </c>
      <c r="C721" s="10" t="str">
        <f>_xlfn.IFNA(VLOOKUP(B721,Phase3!A$4:C$1000,3,FALSE),"")</f>
        <v/>
      </c>
      <c r="D721" s="10" t="str">
        <f>_xlfn.IFNA(VLOOKUP($A721,CompChecksTrans!$A:$C,3,FALSE), "     ")</f>
        <v xml:space="preserve">     </v>
      </c>
    </row>
    <row r="722" spans="1:4" x14ac:dyDescent="0.25">
      <c r="A722" s="12" t="s">
        <v>7083</v>
      </c>
      <c r="B722" s="10" t="str">
        <f>_xlfn.IFNA(VLOOKUP($A722,CompChecksTrans!$A:$C,2,FALSE), "")</f>
        <v/>
      </c>
      <c r="C722" s="10" t="str">
        <f>_xlfn.IFNA(VLOOKUP(B722,Phase3!A$4:C$1000,3,FALSE),"")</f>
        <v/>
      </c>
      <c r="D722" s="10" t="str">
        <f>_xlfn.IFNA(VLOOKUP($A722,CompChecksTrans!$A:$C,3,FALSE), "     ")</f>
        <v xml:space="preserve">     </v>
      </c>
    </row>
    <row r="723" spans="1:4" x14ac:dyDescent="0.25">
      <c r="A723" s="12" t="s">
        <v>7084</v>
      </c>
      <c r="B723" s="10" t="str">
        <f>_xlfn.IFNA(VLOOKUP($A723,CompChecksTrans!$A:$C,2,FALSE), "")</f>
        <v/>
      </c>
      <c r="C723" s="10" t="str">
        <f>_xlfn.IFNA(VLOOKUP(B723,Phase3!A$4:C$1000,3,FALSE),"")</f>
        <v/>
      </c>
      <c r="D723" s="10" t="str">
        <f>_xlfn.IFNA(VLOOKUP($A723,CompChecksTrans!$A:$C,3,FALSE), "     ")</f>
        <v xml:space="preserve">     </v>
      </c>
    </row>
    <row r="724" spans="1:4" x14ac:dyDescent="0.25">
      <c r="A724" s="12" t="s">
        <v>7085</v>
      </c>
      <c r="B724" s="10" t="str">
        <f>_xlfn.IFNA(VLOOKUP($A724,CompChecksTrans!$A:$C,2,FALSE), "")</f>
        <v/>
      </c>
      <c r="C724" s="10" t="str">
        <f>_xlfn.IFNA(VLOOKUP(B724,Phase3!A$4:C$1000,3,FALSE),"")</f>
        <v/>
      </c>
      <c r="D724" s="10" t="str">
        <f>_xlfn.IFNA(VLOOKUP($A724,CompChecksTrans!$A:$C,3,FALSE), "     ")</f>
        <v xml:space="preserve">     </v>
      </c>
    </row>
    <row r="725" spans="1:4" x14ac:dyDescent="0.25">
      <c r="A725" s="12" t="s">
        <v>7086</v>
      </c>
      <c r="B725" s="10" t="str">
        <f>_xlfn.IFNA(VLOOKUP($A725,CompChecksTrans!$A:$C,2,FALSE), "")</f>
        <v/>
      </c>
      <c r="C725" s="10" t="str">
        <f>_xlfn.IFNA(VLOOKUP(B725,Phase3!A$4:C$1000,3,FALSE),"")</f>
        <v/>
      </c>
      <c r="D725" s="10" t="str">
        <f>_xlfn.IFNA(VLOOKUP($A725,CompChecksTrans!$A:$C,3,FALSE), "     ")</f>
        <v xml:space="preserve">     </v>
      </c>
    </row>
    <row r="726" spans="1:4" x14ac:dyDescent="0.25">
      <c r="A726" s="12" t="s">
        <v>7087</v>
      </c>
      <c r="B726" s="10" t="str">
        <f>_xlfn.IFNA(VLOOKUP($A726,CompChecksTrans!$A:$C,2,FALSE), "")</f>
        <v/>
      </c>
      <c r="C726" s="10" t="str">
        <f>_xlfn.IFNA(VLOOKUP(B726,Phase3!A$4:C$1000,3,FALSE),"")</f>
        <v/>
      </c>
      <c r="D726" s="10" t="str">
        <f>_xlfn.IFNA(VLOOKUP($A726,CompChecksTrans!$A:$C,3,FALSE), "     ")</f>
        <v xml:space="preserve">     </v>
      </c>
    </row>
    <row r="727" spans="1:4" x14ac:dyDescent="0.25">
      <c r="A727" s="12" t="s">
        <v>7088</v>
      </c>
      <c r="B727" s="10" t="str">
        <f>_xlfn.IFNA(VLOOKUP($A727,CompChecksTrans!$A:$C,2,FALSE), "")</f>
        <v/>
      </c>
      <c r="C727" s="10" t="str">
        <f>_xlfn.IFNA(VLOOKUP(B727,Phase3!A$4:C$1000,3,FALSE),"")</f>
        <v/>
      </c>
      <c r="D727" s="10" t="str">
        <f>_xlfn.IFNA(VLOOKUP($A727,CompChecksTrans!$A:$C,3,FALSE), "     ")</f>
        <v xml:space="preserve">     </v>
      </c>
    </row>
    <row r="728" spans="1:4" x14ac:dyDescent="0.25">
      <c r="A728" s="12" t="s">
        <v>7089</v>
      </c>
      <c r="B728" s="10" t="str">
        <f>_xlfn.IFNA(VLOOKUP($A728,CompChecksTrans!$A:$C,2,FALSE), "")</f>
        <v/>
      </c>
      <c r="C728" s="10" t="str">
        <f>_xlfn.IFNA(VLOOKUP(B728,Phase3!A$4:C$1000,3,FALSE),"")</f>
        <v/>
      </c>
      <c r="D728" s="10" t="str">
        <f>_xlfn.IFNA(VLOOKUP($A728,CompChecksTrans!$A:$C,3,FALSE), "     ")</f>
        <v xml:space="preserve">     </v>
      </c>
    </row>
    <row r="729" spans="1:4" x14ac:dyDescent="0.25">
      <c r="A729" s="12" t="s">
        <v>7090</v>
      </c>
      <c r="B729" s="10" t="str">
        <f>_xlfn.IFNA(VLOOKUP($A729,CompChecksTrans!$A:$C,2,FALSE), "")</f>
        <v/>
      </c>
      <c r="C729" s="10" t="str">
        <f>_xlfn.IFNA(VLOOKUP(B729,Phase3!A$4:C$1000,3,FALSE),"")</f>
        <v/>
      </c>
      <c r="D729" s="10" t="str">
        <f>_xlfn.IFNA(VLOOKUP($A729,CompChecksTrans!$A:$C,3,FALSE), "     ")</f>
        <v xml:space="preserve">     </v>
      </c>
    </row>
    <row r="730" spans="1:4" x14ac:dyDescent="0.25">
      <c r="A730" s="12" t="s">
        <v>7091</v>
      </c>
      <c r="B730" s="10" t="str">
        <f>_xlfn.IFNA(VLOOKUP($A730,CompChecksTrans!$A:$C,2,FALSE), "")</f>
        <v/>
      </c>
      <c r="C730" s="10" t="str">
        <f>_xlfn.IFNA(VLOOKUP(B730,Phase3!A$4:C$1000,3,FALSE),"")</f>
        <v/>
      </c>
      <c r="D730" s="10" t="str">
        <f>_xlfn.IFNA(VLOOKUP($A730,CompChecksTrans!$A:$C,3,FALSE), "     ")</f>
        <v xml:space="preserve">     </v>
      </c>
    </row>
    <row r="731" spans="1:4" x14ac:dyDescent="0.25">
      <c r="A731" s="12" t="s">
        <v>7092</v>
      </c>
      <c r="B731" s="10" t="str">
        <f>_xlfn.IFNA(VLOOKUP($A731,CompChecksTrans!$A:$C,2,FALSE), "")</f>
        <v/>
      </c>
      <c r="C731" s="10" t="str">
        <f>_xlfn.IFNA(VLOOKUP(B731,Phase3!A$4:C$1000,3,FALSE),"")</f>
        <v/>
      </c>
      <c r="D731" s="10" t="str">
        <f>_xlfn.IFNA(VLOOKUP($A731,CompChecksTrans!$A:$C,3,FALSE), "     ")</f>
        <v xml:space="preserve">     </v>
      </c>
    </row>
    <row r="732" spans="1:4" x14ac:dyDescent="0.25">
      <c r="A732" s="12" t="s">
        <v>7093</v>
      </c>
      <c r="B732" s="10" t="str">
        <f>_xlfn.IFNA(VLOOKUP($A732,CompChecksTrans!$A:$C,2,FALSE), "")</f>
        <v/>
      </c>
      <c r="C732" s="10" t="str">
        <f>_xlfn.IFNA(VLOOKUP(B732,Phase3!A$4:C$1000,3,FALSE),"")</f>
        <v/>
      </c>
      <c r="D732" s="10" t="str">
        <f>_xlfn.IFNA(VLOOKUP($A732,CompChecksTrans!$A:$C,3,FALSE), "     ")</f>
        <v xml:space="preserve">     </v>
      </c>
    </row>
    <row r="733" spans="1:4" x14ac:dyDescent="0.25">
      <c r="A733" s="12" t="s">
        <v>7094</v>
      </c>
      <c r="B733" s="10" t="str">
        <f>_xlfn.IFNA(VLOOKUP($A733,CompChecksTrans!$A:$C,2,FALSE), "")</f>
        <v/>
      </c>
      <c r="C733" s="10" t="str">
        <f>_xlfn.IFNA(VLOOKUP(B733,Phase3!A$4:C$1000,3,FALSE),"")</f>
        <v/>
      </c>
      <c r="D733" s="10" t="str">
        <f>_xlfn.IFNA(VLOOKUP($A733,CompChecksTrans!$A:$C,3,FALSE), "     ")</f>
        <v xml:space="preserve">     </v>
      </c>
    </row>
    <row r="734" spans="1:4" x14ac:dyDescent="0.25">
      <c r="A734" s="12" t="s">
        <v>7095</v>
      </c>
      <c r="B734" s="10" t="str">
        <f>_xlfn.IFNA(VLOOKUP($A734,CompChecksTrans!$A:$C,2,FALSE), "")</f>
        <v/>
      </c>
      <c r="C734" s="10" t="str">
        <f>_xlfn.IFNA(VLOOKUP(B734,Phase3!A$4:C$1000,3,FALSE),"")</f>
        <v/>
      </c>
      <c r="D734" s="10" t="str">
        <f>_xlfn.IFNA(VLOOKUP($A734,CompChecksTrans!$A:$C,3,FALSE), "     ")</f>
        <v xml:space="preserve">     </v>
      </c>
    </row>
    <row r="735" spans="1:4" x14ac:dyDescent="0.25">
      <c r="A735" s="12" t="s">
        <v>7096</v>
      </c>
      <c r="B735" s="10" t="str">
        <f>_xlfn.IFNA(VLOOKUP($A735,CompChecksTrans!$A:$C,2,FALSE), "")</f>
        <v/>
      </c>
      <c r="C735" s="10" t="str">
        <f>_xlfn.IFNA(VLOOKUP(B735,Phase3!A$4:C$1000,3,FALSE),"")</f>
        <v/>
      </c>
      <c r="D735" s="10" t="str">
        <f>_xlfn.IFNA(VLOOKUP($A735,CompChecksTrans!$A:$C,3,FALSE), "     ")</f>
        <v xml:space="preserve">     </v>
      </c>
    </row>
    <row r="736" spans="1:4" x14ac:dyDescent="0.25">
      <c r="A736" s="12" t="s">
        <v>7097</v>
      </c>
      <c r="B736" s="10" t="str">
        <f>_xlfn.IFNA(VLOOKUP($A736,CompChecksTrans!$A:$C,2,FALSE), "")</f>
        <v/>
      </c>
      <c r="C736" s="10" t="str">
        <f>_xlfn.IFNA(VLOOKUP(B736,Phase3!A$4:C$1000,3,FALSE),"")</f>
        <v/>
      </c>
      <c r="D736" s="10" t="str">
        <f>_xlfn.IFNA(VLOOKUP($A736,CompChecksTrans!$A:$C,3,FALSE), "     ")</f>
        <v xml:space="preserve">     </v>
      </c>
    </row>
    <row r="737" spans="1:4" x14ac:dyDescent="0.25">
      <c r="A737" s="12" t="s">
        <v>7098</v>
      </c>
      <c r="B737" s="10" t="str">
        <f>_xlfn.IFNA(VLOOKUP($A737,CompChecksTrans!$A:$C,2,FALSE), "")</f>
        <v/>
      </c>
      <c r="C737" s="10" t="str">
        <f>_xlfn.IFNA(VLOOKUP(B737,Phase3!A$4:C$1000,3,FALSE),"")</f>
        <v/>
      </c>
      <c r="D737" s="10" t="str">
        <f>_xlfn.IFNA(VLOOKUP($A737,CompChecksTrans!$A:$C,3,FALSE), "     ")</f>
        <v xml:space="preserve">     </v>
      </c>
    </row>
    <row r="738" spans="1:4" x14ac:dyDescent="0.25">
      <c r="A738" s="12" t="s">
        <v>7099</v>
      </c>
      <c r="B738" s="10" t="str">
        <f>_xlfn.IFNA(VLOOKUP($A738,CompChecksTrans!$A:$C,2,FALSE), "")</f>
        <v/>
      </c>
      <c r="C738" s="10" t="str">
        <f>_xlfn.IFNA(VLOOKUP(B738,Phase3!A$4:C$1000,3,FALSE),"")</f>
        <v/>
      </c>
      <c r="D738" s="10" t="str">
        <f>_xlfn.IFNA(VLOOKUP($A738,CompChecksTrans!$A:$C,3,FALSE), "     ")</f>
        <v xml:space="preserve">     </v>
      </c>
    </row>
    <row r="739" spans="1:4" x14ac:dyDescent="0.25">
      <c r="A739" s="12" t="s">
        <v>7100</v>
      </c>
      <c r="B739" s="10" t="str">
        <f>_xlfn.IFNA(VLOOKUP($A739,CompChecksTrans!$A:$C,2,FALSE), "")</f>
        <v/>
      </c>
      <c r="C739" s="10" t="str">
        <f>_xlfn.IFNA(VLOOKUP(B739,Phase3!A$4:C$1000,3,FALSE),"")</f>
        <v/>
      </c>
      <c r="D739" s="10" t="str">
        <f>_xlfn.IFNA(VLOOKUP($A739,CompChecksTrans!$A:$C,3,FALSE), "     ")</f>
        <v xml:space="preserve">     </v>
      </c>
    </row>
    <row r="740" spans="1:4" x14ac:dyDescent="0.25">
      <c r="A740" s="12" t="s">
        <v>7101</v>
      </c>
      <c r="B740" s="10" t="str">
        <f>_xlfn.IFNA(VLOOKUP($A740,CompChecksTrans!$A:$C,2,FALSE), "")</f>
        <v/>
      </c>
      <c r="C740" s="10" t="str">
        <f>_xlfn.IFNA(VLOOKUP(B740,Phase3!A$4:C$1000,3,FALSE),"")</f>
        <v/>
      </c>
      <c r="D740" s="10" t="str">
        <f>_xlfn.IFNA(VLOOKUP($A740,CompChecksTrans!$A:$C,3,FALSE), "     ")</f>
        <v xml:space="preserve">     </v>
      </c>
    </row>
    <row r="741" spans="1:4" x14ac:dyDescent="0.25">
      <c r="A741" s="12" t="s">
        <v>7102</v>
      </c>
      <c r="B741" s="10" t="str">
        <f>_xlfn.IFNA(VLOOKUP($A741,CompChecksTrans!$A:$C,2,FALSE), "")</f>
        <v/>
      </c>
      <c r="C741" s="10" t="str">
        <f>_xlfn.IFNA(VLOOKUP(B741,Phase3!A$4:C$1000,3,FALSE),"")</f>
        <v/>
      </c>
      <c r="D741" s="10" t="str">
        <f>_xlfn.IFNA(VLOOKUP($A741,CompChecksTrans!$A:$C,3,FALSE), "     ")</f>
        <v xml:space="preserve">     </v>
      </c>
    </row>
    <row r="742" spans="1:4" x14ac:dyDescent="0.25">
      <c r="A742" s="12" t="s">
        <v>7103</v>
      </c>
      <c r="B742" s="10" t="str">
        <f>_xlfn.IFNA(VLOOKUP($A742,CompChecksTrans!$A:$C,2,FALSE), "")</f>
        <v/>
      </c>
      <c r="C742" s="10" t="str">
        <f>_xlfn.IFNA(VLOOKUP(B742,Phase3!A$4:C$1000,3,FALSE),"")</f>
        <v/>
      </c>
      <c r="D742" s="10" t="str">
        <f>_xlfn.IFNA(VLOOKUP($A742,CompChecksTrans!$A:$C,3,FALSE), "     ")</f>
        <v xml:space="preserve">     </v>
      </c>
    </row>
    <row r="743" spans="1:4" x14ac:dyDescent="0.25">
      <c r="A743" s="12" t="s">
        <v>7104</v>
      </c>
      <c r="B743" s="10" t="str">
        <f>_xlfn.IFNA(VLOOKUP($A743,CompChecksTrans!$A:$C,2,FALSE), "")</f>
        <v/>
      </c>
      <c r="C743" s="10" t="str">
        <f>_xlfn.IFNA(VLOOKUP(B743,Phase3!A$4:C$1000,3,FALSE),"")</f>
        <v/>
      </c>
      <c r="D743" s="10" t="str">
        <f>_xlfn.IFNA(VLOOKUP($A743,CompChecksTrans!$A:$C,3,FALSE), "     ")</f>
        <v xml:space="preserve">     </v>
      </c>
    </row>
    <row r="744" spans="1:4" x14ac:dyDescent="0.25">
      <c r="A744" s="12" t="s">
        <v>7105</v>
      </c>
      <c r="B744" s="10" t="str">
        <f>_xlfn.IFNA(VLOOKUP($A744,CompChecksTrans!$A:$C,2,FALSE), "")</f>
        <v/>
      </c>
      <c r="C744" s="10" t="str">
        <f>_xlfn.IFNA(VLOOKUP(B744,Phase3!A$4:C$1000,3,FALSE),"")</f>
        <v/>
      </c>
      <c r="D744" s="10" t="str">
        <f>_xlfn.IFNA(VLOOKUP($A744,CompChecksTrans!$A:$C,3,FALSE), "     ")</f>
        <v xml:space="preserve">     </v>
      </c>
    </row>
    <row r="745" spans="1:4" x14ac:dyDescent="0.25">
      <c r="A745" s="12" t="s">
        <v>7106</v>
      </c>
      <c r="B745" s="10" t="str">
        <f>_xlfn.IFNA(VLOOKUP($A745,CompChecksTrans!$A:$C,2,FALSE), "")</f>
        <v/>
      </c>
      <c r="C745" s="10" t="str">
        <f>_xlfn.IFNA(VLOOKUP(B745,Phase3!A$4:C$1000,3,FALSE),"")</f>
        <v/>
      </c>
      <c r="D745" s="10" t="str">
        <f>_xlfn.IFNA(VLOOKUP($A745,CompChecksTrans!$A:$C,3,FALSE), "     ")</f>
        <v xml:space="preserve">     </v>
      </c>
    </row>
    <row r="746" spans="1:4" x14ac:dyDescent="0.25">
      <c r="A746" s="12" t="s">
        <v>7107</v>
      </c>
      <c r="B746" s="10" t="str">
        <f>_xlfn.IFNA(VLOOKUP($A746,CompChecksTrans!$A:$C,2,FALSE), "")</f>
        <v/>
      </c>
      <c r="C746" s="10" t="str">
        <f>_xlfn.IFNA(VLOOKUP(B746,Phase3!A$4:C$1000,3,FALSE),"")</f>
        <v/>
      </c>
      <c r="D746" s="10" t="str">
        <f>_xlfn.IFNA(VLOOKUP($A746,CompChecksTrans!$A:$C,3,FALSE), "     ")</f>
        <v xml:space="preserve">     </v>
      </c>
    </row>
    <row r="747" spans="1:4" x14ac:dyDescent="0.25">
      <c r="A747" s="12" t="s">
        <v>7108</v>
      </c>
      <c r="B747" s="10" t="str">
        <f>_xlfn.IFNA(VLOOKUP($A747,CompChecksTrans!$A:$C,2,FALSE), "")</f>
        <v/>
      </c>
      <c r="C747" s="10" t="str">
        <f>_xlfn.IFNA(VLOOKUP(B747,Phase3!A$4:C$1000,3,FALSE),"")</f>
        <v/>
      </c>
      <c r="D747" s="10" t="str">
        <f>_xlfn.IFNA(VLOOKUP($A747,CompChecksTrans!$A:$C,3,FALSE), "     ")</f>
        <v xml:space="preserve">     </v>
      </c>
    </row>
    <row r="748" spans="1:4" x14ac:dyDescent="0.25">
      <c r="A748" s="12" t="s">
        <v>7109</v>
      </c>
      <c r="B748" s="10" t="str">
        <f>_xlfn.IFNA(VLOOKUP($A748,CompChecksTrans!$A:$C,2,FALSE), "")</f>
        <v/>
      </c>
      <c r="C748" s="10" t="str">
        <f>_xlfn.IFNA(VLOOKUP(B748,Phase3!A$4:C$1000,3,FALSE),"")</f>
        <v/>
      </c>
      <c r="D748" s="10" t="str">
        <f>_xlfn.IFNA(VLOOKUP($A748,CompChecksTrans!$A:$C,3,FALSE), "     ")</f>
        <v xml:space="preserve">     </v>
      </c>
    </row>
    <row r="749" spans="1:4" x14ac:dyDescent="0.25">
      <c r="A749" s="12" t="s">
        <v>7110</v>
      </c>
      <c r="B749" s="10" t="str">
        <f>_xlfn.IFNA(VLOOKUP($A749,CompChecksTrans!$A:$C,2,FALSE), "")</f>
        <v/>
      </c>
      <c r="C749" s="10" t="str">
        <f>_xlfn.IFNA(VLOOKUP(B749,Phase3!A$4:C$1000,3,FALSE),"")</f>
        <v/>
      </c>
      <c r="D749" s="10" t="str">
        <f>_xlfn.IFNA(VLOOKUP($A749,CompChecksTrans!$A:$C,3,FALSE), "     ")</f>
        <v xml:space="preserve">     </v>
      </c>
    </row>
    <row r="750" spans="1:4" x14ac:dyDescent="0.25">
      <c r="A750" s="12" t="s">
        <v>7111</v>
      </c>
      <c r="B750" s="10" t="str">
        <f>_xlfn.IFNA(VLOOKUP($A750,CompChecksTrans!$A:$C,2,FALSE), "")</f>
        <v/>
      </c>
      <c r="C750" s="10" t="str">
        <f>_xlfn.IFNA(VLOOKUP(B750,Phase3!A$4:C$1000,3,FALSE),"")</f>
        <v/>
      </c>
      <c r="D750" s="10" t="str">
        <f>_xlfn.IFNA(VLOOKUP($A750,CompChecksTrans!$A:$C,3,FALSE), "     ")</f>
        <v xml:space="preserve">     </v>
      </c>
    </row>
    <row r="751" spans="1:4" x14ac:dyDescent="0.25">
      <c r="A751" s="12" t="s">
        <v>7112</v>
      </c>
      <c r="B751" s="10" t="str">
        <f>_xlfn.IFNA(VLOOKUP($A751,CompChecksTrans!$A:$C,2,FALSE), "")</f>
        <v/>
      </c>
      <c r="C751" s="10" t="str">
        <f>_xlfn.IFNA(VLOOKUP(B751,Phase3!A$4:C$1000,3,FALSE),"")</f>
        <v/>
      </c>
      <c r="D751" s="10" t="str">
        <f>_xlfn.IFNA(VLOOKUP($A751,CompChecksTrans!$A:$C,3,FALSE), "     ")</f>
        <v xml:space="preserve">     </v>
      </c>
    </row>
    <row r="752" spans="1:4" x14ac:dyDescent="0.25">
      <c r="A752" s="12" t="s">
        <v>7113</v>
      </c>
      <c r="B752" s="10" t="str">
        <f>_xlfn.IFNA(VLOOKUP($A752,CompChecksTrans!$A:$C,2,FALSE), "")</f>
        <v/>
      </c>
      <c r="C752" s="10" t="str">
        <f>_xlfn.IFNA(VLOOKUP(B752,Phase3!A$4:C$1000,3,FALSE),"")</f>
        <v/>
      </c>
      <c r="D752" s="10" t="str">
        <f>_xlfn.IFNA(VLOOKUP($A752,CompChecksTrans!$A:$C,3,FALSE), "     ")</f>
        <v xml:space="preserve">     </v>
      </c>
    </row>
    <row r="753" spans="1:4" x14ac:dyDescent="0.25">
      <c r="A753" s="12" t="s">
        <v>7114</v>
      </c>
      <c r="B753" s="10" t="str">
        <f>_xlfn.IFNA(VLOOKUP($A753,CompChecksTrans!$A:$C,2,FALSE), "")</f>
        <v/>
      </c>
      <c r="C753" s="10" t="str">
        <f>_xlfn.IFNA(VLOOKUP(B753,Phase3!A$4:C$1000,3,FALSE),"")</f>
        <v/>
      </c>
      <c r="D753" s="10" t="str">
        <f>_xlfn.IFNA(VLOOKUP($A753,CompChecksTrans!$A:$C,3,FALSE), "     ")</f>
        <v xml:space="preserve">     </v>
      </c>
    </row>
    <row r="754" spans="1:4" x14ac:dyDescent="0.25">
      <c r="A754" s="12" t="s">
        <v>7115</v>
      </c>
      <c r="B754" s="10" t="str">
        <f>_xlfn.IFNA(VLOOKUP($A754,CompChecksTrans!$A:$C,2,FALSE), "")</f>
        <v/>
      </c>
      <c r="C754" s="10" t="str">
        <f>_xlfn.IFNA(VLOOKUP(B754,Phase3!A$4:C$1000,3,FALSE),"")</f>
        <v/>
      </c>
      <c r="D754" s="10" t="str">
        <f>_xlfn.IFNA(VLOOKUP($A754,CompChecksTrans!$A:$C,3,FALSE), "     ")</f>
        <v xml:space="preserve">     </v>
      </c>
    </row>
    <row r="755" spans="1:4" x14ac:dyDescent="0.25">
      <c r="A755" s="12" t="s">
        <v>7116</v>
      </c>
      <c r="B755" s="10" t="str">
        <f>_xlfn.IFNA(VLOOKUP($A755,CompChecksTrans!$A:$C,2,FALSE), "")</f>
        <v/>
      </c>
      <c r="C755" s="10" t="str">
        <f>_xlfn.IFNA(VLOOKUP(B755,Phase3!A$4:C$1000,3,FALSE),"")</f>
        <v/>
      </c>
      <c r="D755" s="10" t="str">
        <f>_xlfn.IFNA(VLOOKUP($A755,CompChecksTrans!$A:$C,3,FALSE), "     ")</f>
        <v xml:space="preserve">     </v>
      </c>
    </row>
    <row r="756" spans="1:4" x14ac:dyDescent="0.25">
      <c r="A756" s="12" t="s">
        <v>7117</v>
      </c>
      <c r="B756" s="10" t="str">
        <f>_xlfn.IFNA(VLOOKUP($A756,CompChecksTrans!$A:$C,2,FALSE), "")</f>
        <v/>
      </c>
      <c r="C756" s="10" t="str">
        <f>_xlfn.IFNA(VLOOKUP(B756,Phase3!A$4:C$1000,3,FALSE),"")</f>
        <v/>
      </c>
      <c r="D756" s="10" t="str">
        <f>_xlfn.IFNA(VLOOKUP($A756,CompChecksTrans!$A:$C,3,FALSE), "     ")</f>
        <v xml:space="preserve">     </v>
      </c>
    </row>
    <row r="757" spans="1:4" x14ac:dyDescent="0.25">
      <c r="A757" s="12" t="s">
        <v>7118</v>
      </c>
      <c r="B757" s="10" t="str">
        <f>_xlfn.IFNA(VLOOKUP($A757,CompChecksTrans!$A:$C,2,FALSE), "")</f>
        <v/>
      </c>
      <c r="C757" s="10" t="str">
        <f>_xlfn.IFNA(VLOOKUP(B757,Phase3!A$4:C$1000,3,FALSE),"")</f>
        <v/>
      </c>
      <c r="D757" s="10" t="str">
        <f>_xlfn.IFNA(VLOOKUP($A757,CompChecksTrans!$A:$C,3,FALSE), "     ")</f>
        <v xml:space="preserve">     </v>
      </c>
    </row>
    <row r="758" spans="1:4" x14ac:dyDescent="0.25">
      <c r="A758" s="12" t="s">
        <v>7119</v>
      </c>
      <c r="B758" s="10" t="str">
        <f>_xlfn.IFNA(VLOOKUP($A758,CompChecksTrans!$A:$C,2,FALSE), "")</f>
        <v/>
      </c>
      <c r="C758" s="10" t="str">
        <f>_xlfn.IFNA(VLOOKUP(B758,Phase3!A$4:C$1000,3,FALSE),"")</f>
        <v/>
      </c>
      <c r="D758" s="10" t="str">
        <f>_xlfn.IFNA(VLOOKUP($A758,CompChecksTrans!$A:$C,3,FALSE), "     ")</f>
        <v xml:space="preserve">     </v>
      </c>
    </row>
    <row r="759" spans="1:4" x14ac:dyDescent="0.25">
      <c r="A759" s="12" t="s">
        <v>7120</v>
      </c>
      <c r="B759" s="10" t="str">
        <f>_xlfn.IFNA(VLOOKUP($A759,CompChecksTrans!$A:$C,2,FALSE), "")</f>
        <v/>
      </c>
      <c r="C759" s="10" t="str">
        <f>_xlfn.IFNA(VLOOKUP(B759,Phase3!A$4:C$1000,3,FALSE),"")</f>
        <v/>
      </c>
      <c r="D759" s="10" t="str">
        <f>_xlfn.IFNA(VLOOKUP($A759,CompChecksTrans!$A:$C,3,FALSE), "     ")</f>
        <v xml:space="preserve">     </v>
      </c>
    </row>
    <row r="760" spans="1:4" x14ac:dyDescent="0.25">
      <c r="A760" s="12" t="s">
        <v>7121</v>
      </c>
      <c r="B760" s="10" t="str">
        <f>_xlfn.IFNA(VLOOKUP($A760,CompChecksTrans!$A:$C,2,FALSE), "")</f>
        <v/>
      </c>
      <c r="C760" s="10" t="str">
        <f>_xlfn.IFNA(VLOOKUP(B760,Phase3!A$4:C$1000,3,FALSE),"")</f>
        <v/>
      </c>
      <c r="D760" s="10" t="str">
        <f>_xlfn.IFNA(VLOOKUP($A760,CompChecksTrans!$A:$C,3,FALSE), "     ")</f>
        <v xml:space="preserve">     </v>
      </c>
    </row>
    <row r="761" spans="1:4" x14ac:dyDescent="0.25">
      <c r="A761" s="12" t="s">
        <v>7122</v>
      </c>
      <c r="B761" s="10" t="str">
        <f>_xlfn.IFNA(VLOOKUP($A761,CompChecksTrans!$A:$C,2,FALSE), "")</f>
        <v/>
      </c>
      <c r="C761" s="10" t="str">
        <f>_xlfn.IFNA(VLOOKUP(B761,Phase3!A$4:C$1000,3,FALSE),"")</f>
        <v/>
      </c>
      <c r="D761" s="10" t="str">
        <f>_xlfn.IFNA(VLOOKUP($A761,CompChecksTrans!$A:$C,3,FALSE), "     ")</f>
        <v xml:space="preserve">     </v>
      </c>
    </row>
    <row r="762" spans="1:4" x14ac:dyDescent="0.25">
      <c r="A762" s="12" t="s">
        <v>7123</v>
      </c>
      <c r="B762" s="10" t="str">
        <f>_xlfn.IFNA(VLOOKUP($A762,CompChecksTrans!$A:$C,2,FALSE), "")</f>
        <v/>
      </c>
      <c r="C762" s="10" t="str">
        <f>_xlfn.IFNA(VLOOKUP(B762,Phase3!A$4:C$1000,3,FALSE),"")</f>
        <v/>
      </c>
      <c r="D762" s="10" t="str">
        <f>_xlfn.IFNA(VLOOKUP($A762,CompChecksTrans!$A:$C,3,FALSE), "     ")</f>
        <v xml:space="preserve">     </v>
      </c>
    </row>
    <row r="763" spans="1:4" x14ac:dyDescent="0.25">
      <c r="A763" s="12" t="s">
        <v>7124</v>
      </c>
      <c r="B763" s="10" t="str">
        <f>_xlfn.IFNA(VLOOKUP($A763,CompChecksTrans!$A:$C,2,FALSE), "")</f>
        <v/>
      </c>
      <c r="C763" s="10" t="str">
        <f>_xlfn.IFNA(VLOOKUP(B763,Phase3!A$4:C$1000,3,FALSE),"")</f>
        <v/>
      </c>
      <c r="D763" s="10" t="str">
        <f>_xlfn.IFNA(VLOOKUP($A763,CompChecksTrans!$A:$C,3,FALSE), "     ")</f>
        <v xml:space="preserve">     </v>
      </c>
    </row>
    <row r="764" spans="1:4" x14ac:dyDescent="0.25">
      <c r="A764" s="12" t="s">
        <v>7125</v>
      </c>
      <c r="B764" s="10" t="str">
        <f>_xlfn.IFNA(VLOOKUP($A764,CompChecksTrans!$A:$C,2,FALSE), "")</f>
        <v/>
      </c>
      <c r="C764" s="10" t="str">
        <f>_xlfn.IFNA(VLOOKUP(B764,Phase3!A$4:C$1000,3,FALSE),"")</f>
        <v/>
      </c>
      <c r="D764" s="10" t="str">
        <f>_xlfn.IFNA(VLOOKUP($A764,CompChecksTrans!$A:$C,3,FALSE), "     ")</f>
        <v xml:space="preserve">     </v>
      </c>
    </row>
    <row r="765" spans="1:4" x14ac:dyDescent="0.25">
      <c r="A765" s="12" t="s">
        <v>7126</v>
      </c>
      <c r="B765" s="10" t="str">
        <f>_xlfn.IFNA(VLOOKUP($A765,CompChecksTrans!$A:$C,2,FALSE), "")</f>
        <v/>
      </c>
      <c r="C765" s="10" t="str">
        <f>_xlfn.IFNA(VLOOKUP(B765,Phase3!A$4:C$1000,3,FALSE),"")</f>
        <v/>
      </c>
      <c r="D765" s="10" t="str">
        <f>_xlfn.IFNA(VLOOKUP($A765,CompChecksTrans!$A:$C,3,FALSE), "     ")</f>
        <v xml:space="preserve">     </v>
      </c>
    </row>
    <row r="766" spans="1:4" x14ac:dyDescent="0.25">
      <c r="A766" s="12" t="s">
        <v>7127</v>
      </c>
      <c r="B766" s="10" t="str">
        <f>_xlfn.IFNA(VLOOKUP($A766,CompChecksTrans!$A:$C,2,FALSE), "")</f>
        <v/>
      </c>
      <c r="C766" s="10" t="str">
        <f>_xlfn.IFNA(VLOOKUP(B766,Phase3!A$4:C$1000,3,FALSE),"")</f>
        <v/>
      </c>
      <c r="D766" s="10" t="str">
        <f>_xlfn.IFNA(VLOOKUP($A766,CompChecksTrans!$A:$C,3,FALSE), "     ")</f>
        <v xml:space="preserve">     </v>
      </c>
    </row>
    <row r="767" spans="1:4" x14ac:dyDescent="0.25">
      <c r="A767" s="12" t="s">
        <v>7128</v>
      </c>
      <c r="B767" s="10" t="str">
        <f>_xlfn.IFNA(VLOOKUP($A767,CompChecksTrans!$A:$C,2,FALSE), "")</f>
        <v/>
      </c>
      <c r="C767" s="10" t="str">
        <f>_xlfn.IFNA(VLOOKUP(B767,Phase3!A$4:C$1000,3,FALSE),"")</f>
        <v/>
      </c>
      <c r="D767" s="10" t="str">
        <f>_xlfn.IFNA(VLOOKUP($A767,CompChecksTrans!$A:$C,3,FALSE), "     ")</f>
        <v xml:space="preserve">     </v>
      </c>
    </row>
    <row r="768" spans="1:4" x14ac:dyDescent="0.25">
      <c r="A768" s="12" t="s">
        <v>7129</v>
      </c>
      <c r="B768" s="10" t="str">
        <f>_xlfn.IFNA(VLOOKUP($A768,CompChecksTrans!$A:$C,2,FALSE), "")</f>
        <v/>
      </c>
      <c r="C768" s="10" t="str">
        <f>_xlfn.IFNA(VLOOKUP(B768,Phase3!A$4:C$1000,3,FALSE),"")</f>
        <v/>
      </c>
      <c r="D768" s="10" t="str">
        <f>_xlfn.IFNA(VLOOKUP($A768,CompChecksTrans!$A:$C,3,FALSE), "     ")</f>
        <v xml:space="preserve">     </v>
      </c>
    </row>
    <row r="769" spans="1:4" x14ac:dyDescent="0.25">
      <c r="A769" s="12" t="s">
        <v>7130</v>
      </c>
      <c r="B769" s="10" t="str">
        <f>_xlfn.IFNA(VLOOKUP($A769,CompChecksTrans!$A:$C,2,FALSE), "")</f>
        <v/>
      </c>
      <c r="C769" s="10" t="str">
        <f>_xlfn.IFNA(VLOOKUP(B769,Phase3!A$4:C$1000,3,FALSE),"")</f>
        <v/>
      </c>
      <c r="D769" s="10" t="str">
        <f>_xlfn.IFNA(VLOOKUP($A769,CompChecksTrans!$A:$C,3,FALSE), "     ")</f>
        <v xml:space="preserve">     </v>
      </c>
    </row>
    <row r="770" spans="1:4" x14ac:dyDescent="0.25">
      <c r="A770" s="12" t="s">
        <v>7131</v>
      </c>
      <c r="B770" s="10" t="str">
        <f>_xlfn.IFNA(VLOOKUP($A770,CompChecksTrans!$A:$C,2,FALSE), "")</f>
        <v/>
      </c>
      <c r="C770" s="10" t="str">
        <f>_xlfn.IFNA(VLOOKUP(B770,Phase3!A$4:C$1000,3,FALSE),"")</f>
        <v/>
      </c>
      <c r="D770" s="10" t="str">
        <f>_xlfn.IFNA(VLOOKUP($A770,CompChecksTrans!$A:$C,3,FALSE), "     ")</f>
        <v xml:space="preserve">     </v>
      </c>
    </row>
    <row r="771" spans="1:4" x14ac:dyDescent="0.25">
      <c r="A771" s="12" t="s">
        <v>7132</v>
      </c>
      <c r="B771" s="10" t="str">
        <f>_xlfn.IFNA(VLOOKUP($A771,CompChecksTrans!$A:$C,2,FALSE), "")</f>
        <v/>
      </c>
      <c r="C771" s="10" t="str">
        <f>_xlfn.IFNA(VLOOKUP(B771,Phase3!A$4:C$1000,3,FALSE),"")</f>
        <v/>
      </c>
      <c r="D771" s="10" t="str">
        <f>_xlfn.IFNA(VLOOKUP($A771,CompChecksTrans!$A:$C,3,FALSE), "     ")</f>
        <v xml:space="preserve">     </v>
      </c>
    </row>
    <row r="772" spans="1:4" x14ac:dyDescent="0.25">
      <c r="A772" s="12" t="s">
        <v>7133</v>
      </c>
      <c r="B772" s="10" t="str">
        <f>_xlfn.IFNA(VLOOKUP($A772,CompChecksTrans!$A:$C,2,FALSE), "")</f>
        <v/>
      </c>
      <c r="C772" s="10" t="str">
        <f>_xlfn.IFNA(VLOOKUP(B772,Phase3!A$4:C$1000,3,FALSE),"")</f>
        <v/>
      </c>
      <c r="D772" s="10" t="str">
        <f>_xlfn.IFNA(VLOOKUP($A772,CompChecksTrans!$A:$C,3,FALSE), "     ")</f>
        <v xml:space="preserve">     </v>
      </c>
    </row>
    <row r="773" spans="1:4" x14ac:dyDescent="0.25">
      <c r="A773" s="12" t="s">
        <v>7134</v>
      </c>
      <c r="B773" s="10" t="str">
        <f>_xlfn.IFNA(VLOOKUP($A773,CompChecksTrans!$A:$C,2,FALSE), "")</f>
        <v/>
      </c>
      <c r="C773" s="10" t="str">
        <f>_xlfn.IFNA(VLOOKUP(B773,Phase3!A$4:C$1000,3,FALSE),"")</f>
        <v/>
      </c>
      <c r="D773" s="10" t="str">
        <f>_xlfn.IFNA(VLOOKUP($A773,CompChecksTrans!$A:$C,3,FALSE), "     ")</f>
        <v xml:space="preserve">     </v>
      </c>
    </row>
    <row r="774" spans="1:4" x14ac:dyDescent="0.25">
      <c r="A774" s="12" t="s">
        <v>7135</v>
      </c>
      <c r="B774" s="10" t="str">
        <f>_xlfn.IFNA(VLOOKUP($A774,CompChecksTrans!$A:$C,2,FALSE), "")</f>
        <v/>
      </c>
      <c r="C774" s="10" t="str">
        <f>_xlfn.IFNA(VLOOKUP(B774,Phase3!A$4:C$1000,3,FALSE),"")</f>
        <v/>
      </c>
      <c r="D774" s="10" t="str">
        <f>_xlfn.IFNA(VLOOKUP($A774,CompChecksTrans!$A:$C,3,FALSE), "     ")</f>
        <v xml:space="preserve">     </v>
      </c>
    </row>
    <row r="775" spans="1:4" x14ac:dyDescent="0.25">
      <c r="A775" s="12" t="s">
        <v>7136</v>
      </c>
      <c r="B775" s="10" t="str">
        <f>_xlfn.IFNA(VLOOKUP($A775,CompChecksTrans!$A:$C,2,FALSE), "")</f>
        <v/>
      </c>
      <c r="C775" s="10" t="str">
        <f>_xlfn.IFNA(VLOOKUP(B775,Phase3!A$4:C$1000,3,FALSE),"")</f>
        <v/>
      </c>
      <c r="D775" s="10" t="str">
        <f>_xlfn.IFNA(VLOOKUP($A775,CompChecksTrans!$A:$C,3,FALSE), "     ")</f>
        <v xml:space="preserve">     </v>
      </c>
    </row>
    <row r="776" spans="1:4" x14ac:dyDescent="0.25">
      <c r="A776" s="12" t="s">
        <v>7137</v>
      </c>
      <c r="B776" s="10" t="str">
        <f>_xlfn.IFNA(VLOOKUP($A776,CompChecksTrans!$A:$C,2,FALSE), "")</f>
        <v/>
      </c>
      <c r="C776" s="10" t="str">
        <f>_xlfn.IFNA(VLOOKUP(B776,Phase3!A$4:C$1000,3,FALSE),"")</f>
        <v/>
      </c>
      <c r="D776" s="10" t="str">
        <f>_xlfn.IFNA(VLOOKUP($A776,CompChecksTrans!$A:$C,3,FALSE), "     ")</f>
        <v xml:space="preserve">     </v>
      </c>
    </row>
    <row r="777" spans="1:4" x14ac:dyDescent="0.25">
      <c r="A777" s="12" t="s">
        <v>7138</v>
      </c>
      <c r="B777" s="10" t="str">
        <f>_xlfn.IFNA(VLOOKUP($A777,CompChecksTrans!$A:$C,2,FALSE), "")</f>
        <v/>
      </c>
      <c r="C777" s="10" t="str">
        <f>_xlfn.IFNA(VLOOKUP(B777,Phase3!A$4:C$1000,3,FALSE),"")</f>
        <v/>
      </c>
      <c r="D777" s="10" t="str">
        <f>_xlfn.IFNA(VLOOKUP($A777,CompChecksTrans!$A:$C,3,FALSE), "     ")</f>
        <v xml:space="preserve">     </v>
      </c>
    </row>
    <row r="778" spans="1:4" x14ac:dyDescent="0.25">
      <c r="A778" s="12" t="s">
        <v>7139</v>
      </c>
      <c r="B778" s="10" t="str">
        <f>_xlfn.IFNA(VLOOKUP($A778,CompChecksTrans!$A:$C,2,FALSE), "")</f>
        <v/>
      </c>
      <c r="C778" s="10" t="str">
        <f>_xlfn.IFNA(VLOOKUP(B778,Phase3!A$4:C$1000,3,FALSE),"")</f>
        <v/>
      </c>
      <c r="D778" s="10" t="str">
        <f>_xlfn.IFNA(VLOOKUP($A778,CompChecksTrans!$A:$C,3,FALSE), "     ")</f>
        <v xml:space="preserve">     </v>
      </c>
    </row>
    <row r="779" spans="1:4" x14ac:dyDescent="0.25">
      <c r="A779" s="12" t="s">
        <v>7140</v>
      </c>
      <c r="B779" s="10" t="str">
        <f>_xlfn.IFNA(VLOOKUP($A779,CompChecksTrans!$A:$C,2,FALSE), "")</f>
        <v/>
      </c>
      <c r="C779" s="10" t="str">
        <f>_xlfn.IFNA(VLOOKUP(B779,Phase3!A$4:C$1000,3,FALSE),"")</f>
        <v/>
      </c>
      <c r="D779" s="10" t="str">
        <f>_xlfn.IFNA(VLOOKUP($A779,CompChecksTrans!$A:$C,3,FALSE), "     ")</f>
        <v xml:space="preserve">     </v>
      </c>
    </row>
    <row r="780" spans="1:4" x14ac:dyDescent="0.25">
      <c r="A780" s="12" t="s">
        <v>7141</v>
      </c>
      <c r="B780" s="10" t="str">
        <f>_xlfn.IFNA(VLOOKUP($A780,CompChecksTrans!$A:$C,2,FALSE), "")</f>
        <v/>
      </c>
      <c r="C780" s="10" t="str">
        <f>_xlfn.IFNA(VLOOKUP(B780,Phase3!A$4:C$1000,3,FALSE),"")</f>
        <v/>
      </c>
      <c r="D780" s="10" t="str">
        <f>_xlfn.IFNA(VLOOKUP($A780,CompChecksTrans!$A:$C,3,FALSE), "     ")</f>
        <v xml:space="preserve">     </v>
      </c>
    </row>
    <row r="781" spans="1:4" x14ac:dyDescent="0.25">
      <c r="A781" s="12" t="s">
        <v>7142</v>
      </c>
      <c r="B781" s="10" t="str">
        <f>_xlfn.IFNA(VLOOKUP($A781,CompChecksTrans!$A:$C,2,FALSE), "")</f>
        <v/>
      </c>
      <c r="C781" s="10" t="str">
        <f>_xlfn.IFNA(VLOOKUP(B781,Phase3!A$4:C$1000,3,FALSE),"")</f>
        <v/>
      </c>
      <c r="D781" s="10" t="str">
        <f>_xlfn.IFNA(VLOOKUP($A781,CompChecksTrans!$A:$C,3,FALSE), "     ")</f>
        <v xml:space="preserve">     </v>
      </c>
    </row>
    <row r="782" spans="1:4" x14ac:dyDescent="0.25">
      <c r="A782" s="12" t="s">
        <v>7143</v>
      </c>
      <c r="B782" s="10" t="str">
        <f>_xlfn.IFNA(VLOOKUP($A782,CompChecksTrans!$A:$C,2,FALSE), "")</f>
        <v/>
      </c>
      <c r="C782" s="10" t="str">
        <f>_xlfn.IFNA(VLOOKUP(B782,Phase3!A$4:C$1000,3,FALSE),"")</f>
        <v/>
      </c>
      <c r="D782" s="10" t="str">
        <f>_xlfn.IFNA(VLOOKUP($A782,CompChecksTrans!$A:$C,3,FALSE), "     ")</f>
        <v xml:space="preserve">     </v>
      </c>
    </row>
    <row r="783" spans="1:4" x14ac:dyDescent="0.25">
      <c r="A783" s="12" t="s">
        <v>7144</v>
      </c>
      <c r="B783" s="10" t="str">
        <f>_xlfn.IFNA(VLOOKUP($A783,CompChecksTrans!$A:$C,2,FALSE), "")</f>
        <v/>
      </c>
      <c r="C783" s="10" t="str">
        <f>_xlfn.IFNA(VLOOKUP(B783,Phase3!A$4:C$1000,3,FALSE),"")</f>
        <v/>
      </c>
      <c r="D783" s="10" t="str">
        <f>_xlfn.IFNA(VLOOKUP($A783,CompChecksTrans!$A:$C,3,FALSE), "     ")</f>
        <v xml:space="preserve">     </v>
      </c>
    </row>
    <row r="784" spans="1:4" x14ac:dyDescent="0.25">
      <c r="A784" s="12" t="s">
        <v>7145</v>
      </c>
      <c r="B784" s="10" t="str">
        <f>_xlfn.IFNA(VLOOKUP($A784,CompChecksTrans!$A:$C,2,FALSE), "")</f>
        <v/>
      </c>
      <c r="C784" s="10" t="str">
        <f>_xlfn.IFNA(VLOOKUP(B784,Phase3!A$4:C$1000,3,FALSE),"")</f>
        <v/>
      </c>
      <c r="D784" s="10" t="str">
        <f>_xlfn.IFNA(VLOOKUP($A784,CompChecksTrans!$A:$C,3,FALSE), "     ")</f>
        <v xml:space="preserve">     </v>
      </c>
    </row>
    <row r="785" spans="1:4" x14ac:dyDescent="0.25">
      <c r="A785" s="12" t="s">
        <v>7146</v>
      </c>
      <c r="B785" s="10" t="str">
        <f>_xlfn.IFNA(VLOOKUP($A785,CompChecksTrans!$A:$C,2,FALSE), "")</f>
        <v/>
      </c>
      <c r="C785" s="10" t="str">
        <f>_xlfn.IFNA(VLOOKUP(B785,Phase3!A$4:C$1000,3,FALSE),"")</f>
        <v/>
      </c>
      <c r="D785" s="10" t="str">
        <f>_xlfn.IFNA(VLOOKUP($A785,CompChecksTrans!$A:$C,3,FALSE), "     ")</f>
        <v xml:space="preserve">     </v>
      </c>
    </row>
    <row r="786" spans="1:4" x14ac:dyDescent="0.25">
      <c r="A786" s="12" t="s">
        <v>7147</v>
      </c>
      <c r="B786" s="10" t="str">
        <f>_xlfn.IFNA(VLOOKUP($A786,CompChecksTrans!$A:$C,2,FALSE), "")</f>
        <v/>
      </c>
      <c r="C786" s="10" t="str">
        <f>_xlfn.IFNA(VLOOKUP(B786,Phase3!A$4:C$1000,3,FALSE),"")</f>
        <v/>
      </c>
      <c r="D786" s="10" t="str">
        <f>_xlfn.IFNA(VLOOKUP($A786,CompChecksTrans!$A:$C,3,FALSE), "     ")</f>
        <v xml:space="preserve">     </v>
      </c>
    </row>
    <row r="787" spans="1:4" x14ac:dyDescent="0.25">
      <c r="A787" s="12" t="s">
        <v>7148</v>
      </c>
      <c r="B787" s="10" t="str">
        <f>_xlfn.IFNA(VLOOKUP($A787,CompChecksTrans!$A:$C,2,FALSE), "")</f>
        <v/>
      </c>
      <c r="C787" s="10" t="str">
        <f>_xlfn.IFNA(VLOOKUP(B787,Phase3!A$4:C$1000,3,FALSE),"")</f>
        <v/>
      </c>
      <c r="D787" s="10" t="str">
        <f>_xlfn.IFNA(VLOOKUP($A787,CompChecksTrans!$A:$C,3,FALSE), "     ")</f>
        <v xml:space="preserve">     </v>
      </c>
    </row>
    <row r="788" spans="1:4" x14ac:dyDescent="0.25">
      <c r="A788" s="12" t="s">
        <v>7149</v>
      </c>
      <c r="B788" s="10" t="str">
        <f>_xlfn.IFNA(VLOOKUP($A788,CompChecksTrans!$A:$C,2,FALSE), "")</f>
        <v/>
      </c>
      <c r="C788" s="10" t="str">
        <f>_xlfn.IFNA(VLOOKUP(B788,Phase3!A$4:C$1000,3,FALSE),"")</f>
        <v/>
      </c>
      <c r="D788" s="10" t="str">
        <f>_xlfn.IFNA(VLOOKUP($A788,CompChecksTrans!$A:$C,3,FALSE), "     ")</f>
        <v xml:space="preserve">     </v>
      </c>
    </row>
    <row r="789" spans="1:4" x14ac:dyDescent="0.25">
      <c r="A789" s="12" t="s">
        <v>7150</v>
      </c>
      <c r="B789" s="10" t="str">
        <f>_xlfn.IFNA(VLOOKUP($A789,CompChecksTrans!$A:$C,2,FALSE), "")</f>
        <v/>
      </c>
      <c r="C789" s="10" t="str">
        <f>_xlfn.IFNA(VLOOKUP(B789,Phase3!A$4:C$1000,3,FALSE),"")</f>
        <v/>
      </c>
      <c r="D789" s="10" t="str">
        <f>_xlfn.IFNA(VLOOKUP($A789,CompChecksTrans!$A:$C,3,FALSE), "     ")</f>
        <v xml:space="preserve">     </v>
      </c>
    </row>
    <row r="790" spans="1:4" x14ac:dyDescent="0.25">
      <c r="A790" s="12" t="s">
        <v>7151</v>
      </c>
      <c r="B790" s="10" t="str">
        <f>_xlfn.IFNA(VLOOKUP($A790,CompChecksTrans!$A:$C,2,FALSE), "")</f>
        <v/>
      </c>
      <c r="C790" s="10" t="str">
        <f>_xlfn.IFNA(VLOOKUP(B790,Phase3!A$4:C$1000,3,FALSE),"")</f>
        <v/>
      </c>
      <c r="D790" s="10" t="str">
        <f>_xlfn.IFNA(VLOOKUP($A790,CompChecksTrans!$A:$C,3,FALSE), "     ")</f>
        <v xml:space="preserve">     </v>
      </c>
    </row>
    <row r="791" spans="1:4" x14ac:dyDescent="0.25">
      <c r="A791" s="12" t="s">
        <v>7152</v>
      </c>
      <c r="B791" s="10" t="str">
        <f>_xlfn.IFNA(VLOOKUP($A791,CompChecksTrans!$A:$C,2,FALSE), "")</f>
        <v/>
      </c>
      <c r="C791" s="10" t="str">
        <f>_xlfn.IFNA(VLOOKUP(B791,Phase3!A$4:C$1000,3,FALSE),"")</f>
        <v/>
      </c>
      <c r="D791" s="10" t="str">
        <f>_xlfn.IFNA(VLOOKUP($A791,CompChecksTrans!$A:$C,3,FALSE), "     ")</f>
        <v xml:space="preserve">     </v>
      </c>
    </row>
    <row r="792" spans="1:4" x14ac:dyDescent="0.25">
      <c r="A792" s="12" t="s">
        <v>7153</v>
      </c>
      <c r="B792" s="10" t="str">
        <f>_xlfn.IFNA(VLOOKUP($A792,CompChecksTrans!$A:$C,2,FALSE), "")</f>
        <v/>
      </c>
      <c r="C792" s="10" t="str">
        <f>_xlfn.IFNA(VLOOKUP(B792,Phase3!A$4:C$1000,3,FALSE),"")</f>
        <v/>
      </c>
      <c r="D792" s="10" t="str">
        <f>_xlfn.IFNA(VLOOKUP($A792,CompChecksTrans!$A:$C,3,FALSE), "     ")</f>
        <v xml:space="preserve">     </v>
      </c>
    </row>
    <row r="793" spans="1:4" x14ac:dyDescent="0.25">
      <c r="A793" s="12" t="s">
        <v>7154</v>
      </c>
      <c r="B793" s="10" t="str">
        <f>_xlfn.IFNA(VLOOKUP($A793,CompChecksTrans!$A:$C,2,FALSE), "")</f>
        <v/>
      </c>
      <c r="C793" s="10" t="str">
        <f>_xlfn.IFNA(VLOOKUP(B793,Phase3!A$4:C$1000,3,FALSE),"")</f>
        <v/>
      </c>
      <c r="D793" s="10" t="str">
        <f>_xlfn.IFNA(VLOOKUP($A793,CompChecksTrans!$A:$C,3,FALSE), "     ")</f>
        <v xml:space="preserve">     </v>
      </c>
    </row>
    <row r="794" spans="1:4" x14ac:dyDescent="0.25">
      <c r="A794" s="12" t="s">
        <v>7155</v>
      </c>
      <c r="B794" s="10" t="str">
        <f>_xlfn.IFNA(VLOOKUP($A794,CompChecksTrans!$A:$C,2,FALSE), "")</f>
        <v/>
      </c>
      <c r="C794" s="10" t="str">
        <f>_xlfn.IFNA(VLOOKUP(B794,Phase3!A$4:C$1000,3,FALSE),"")</f>
        <v/>
      </c>
      <c r="D794" s="10" t="str">
        <f>_xlfn.IFNA(VLOOKUP($A794,CompChecksTrans!$A:$C,3,FALSE), "     ")</f>
        <v xml:space="preserve">     </v>
      </c>
    </row>
    <row r="795" spans="1:4" x14ac:dyDescent="0.25">
      <c r="A795" s="12" t="s">
        <v>7156</v>
      </c>
      <c r="B795" s="10" t="str">
        <f>_xlfn.IFNA(VLOOKUP($A795,CompChecksTrans!$A:$C,2,FALSE), "")</f>
        <v/>
      </c>
      <c r="C795" s="10" t="str">
        <f>_xlfn.IFNA(VLOOKUP(B795,Phase3!A$4:C$1000,3,FALSE),"")</f>
        <v/>
      </c>
      <c r="D795" s="10" t="str">
        <f>_xlfn.IFNA(VLOOKUP($A795,CompChecksTrans!$A:$C,3,FALSE), "     ")</f>
        <v xml:space="preserve">     </v>
      </c>
    </row>
    <row r="796" spans="1:4" x14ac:dyDescent="0.25">
      <c r="A796" s="12" t="s">
        <v>7157</v>
      </c>
      <c r="B796" s="10" t="str">
        <f>_xlfn.IFNA(VLOOKUP($A796,CompChecksTrans!$A:$C,2,FALSE), "")</f>
        <v/>
      </c>
      <c r="C796" s="10" t="str">
        <f>_xlfn.IFNA(VLOOKUP(B796,Phase3!A$4:C$1000,3,FALSE),"")</f>
        <v/>
      </c>
      <c r="D796" s="10" t="str">
        <f>_xlfn.IFNA(VLOOKUP($A796,CompChecksTrans!$A:$C,3,FALSE), "     ")</f>
        <v xml:space="preserve">     </v>
      </c>
    </row>
    <row r="797" spans="1:4" x14ac:dyDescent="0.25">
      <c r="A797" s="12" t="s">
        <v>7158</v>
      </c>
      <c r="B797" s="10" t="str">
        <f>_xlfn.IFNA(VLOOKUP($A797,CompChecksTrans!$A:$C,2,FALSE), "")</f>
        <v/>
      </c>
      <c r="C797" s="10" t="str">
        <f>_xlfn.IFNA(VLOOKUP(B797,Phase3!A$4:C$1000,3,FALSE),"")</f>
        <v/>
      </c>
      <c r="D797" s="10" t="str">
        <f>_xlfn.IFNA(VLOOKUP($A797,CompChecksTrans!$A:$C,3,FALSE), "     ")</f>
        <v xml:space="preserve">     </v>
      </c>
    </row>
    <row r="798" spans="1:4" x14ac:dyDescent="0.25">
      <c r="A798" s="12" t="s">
        <v>7159</v>
      </c>
      <c r="B798" s="10" t="str">
        <f>_xlfn.IFNA(VLOOKUP($A798,CompChecksTrans!$A:$C,2,FALSE), "")</f>
        <v/>
      </c>
      <c r="C798" s="10" t="str">
        <f>_xlfn.IFNA(VLOOKUP(B798,Phase3!A$4:C$1000,3,FALSE),"")</f>
        <v/>
      </c>
      <c r="D798" s="10" t="str">
        <f>_xlfn.IFNA(VLOOKUP($A798,CompChecksTrans!$A:$C,3,FALSE), "     ")</f>
        <v xml:space="preserve">     </v>
      </c>
    </row>
    <row r="799" spans="1:4" x14ac:dyDescent="0.25">
      <c r="A799" s="12" t="s">
        <v>7160</v>
      </c>
      <c r="B799" s="10" t="str">
        <f>_xlfn.IFNA(VLOOKUP($A799,CompChecksTrans!$A:$C,2,FALSE), "")</f>
        <v/>
      </c>
      <c r="C799" s="10" t="str">
        <f>_xlfn.IFNA(VLOOKUP(B799,Phase3!A$4:C$1000,3,FALSE),"")</f>
        <v/>
      </c>
      <c r="D799" s="10" t="str">
        <f>_xlfn.IFNA(VLOOKUP($A799,CompChecksTrans!$A:$C,3,FALSE), "     ")</f>
        <v xml:space="preserve">     </v>
      </c>
    </row>
    <row r="800" spans="1:4" x14ac:dyDescent="0.25">
      <c r="A800" s="12" t="s">
        <v>7161</v>
      </c>
      <c r="B800" s="10" t="str">
        <f>_xlfn.IFNA(VLOOKUP($A800,CompChecksTrans!$A:$C,2,FALSE), "")</f>
        <v/>
      </c>
      <c r="C800" s="10" t="str">
        <f>_xlfn.IFNA(VLOOKUP(B800,Phase3!A$4:C$1000,3,FALSE),"")</f>
        <v/>
      </c>
      <c r="D800" s="10" t="str">
        <f>_xlfn.IFNA(VLOOKUP($A800,CompChecksTrans!$A:$C,3,FALSE), "     ")</f>
        <v xml:space="preserve">     </v>
      </c>
    </row>
    <row r="801" spans="1:4" x14ac:dyDescent="0.25">
      <c r="A801" s="12" t="s">
        <v>7162</v>
      </c>
      <c r="B801" s="10" t="str">
        <f>_xlfn.IFNA(VLOOKUP($A801,CompChecksTrans!$A:$C,2,FALSE), "")</f>
        <v/>
      </c>
      <c r="C801" s="10" t="str">
        <f>_xlfn.IFNA(VLOOKUP(B801,Phase3!A$4:C$1000,3,FALSE),"")</f>
        <v/>
      </c>
      <c r="D801" s="10" t="str">
        <f>_xlfn.IFNA(VLOOKUP($A801,CompChecksTrans!$A:$C,3,FALSE), "     ")</f>
        <v xml:space="preserve">     </v>
      </c>
    </row>
    <row r="802" spans="1:4" x14ac:dyDescent="0.25">
      <c r="A802" s="12" t="s">
        <v>7163</v>
      </c>
      <c r="B802" s="10" t="str">
        <f>_xlfn.IFNA(VLOOKUP($A802,CompChecksTrans!$A:$C,2,FALSE), "")</f>
        <v/>
      </c>
      <c r="C802" s="10" t="str">
        <f>_xlfn.IFNA(VLOOKUP(B802,Phase3!A$4:C$1000,3,FALSE),"")</f>
        <v/>
      </c>
      <c r="D802" s="10" t="str">
        <f>_xlfn.IFNA(VLOOKUP($A802,CompChecksTrans!$A:$C,3,FALSE), "     ")</f>
        <v xml:space="preserve">     </v>
      </c>
    </row>
    <row r="803" spans="1:4" x14ac:dyDescent="0.25">
      <c r="A803" s="12" t="s">
        <v>7164</v>
      </c>
      <c r="B803" s="10" t="str">
        <f>_xlfn.IFNA(VLOOKUP($A803,CompChecksTrans!$A:$C,2,FALSE), "")</f>
        <v/>
      </c>
      <c r="C803" s="10" t="str">
        <f>_xlfn.IFNA(VLOOKUP(B803,Phase3!A$4:C$1000,3,FALSE),"")</f>
        <v/>
      </c>
      <c r="D803" s="10" t="str">
        <f>_xlfn.IFNA(VLOOKUP($A803,CompChecksTrans!$A:$C,3,FALSE), "     ")</f>
        <v xml:space="preserve">     </v>
      </c>
    </row>
    <row r="804" spans="1:4" x14ac:dyDescent="0.25">
      <c r="A804" s="12" t="s">
        <v>7165</v>
      </c>
      <c r="B804" s="10" t="str">
        <f>_xlfn.IFNA(VLOOKUP($A804,CompChecksTrans!$A:$C,2,FALSE), "")</f>
        <v/>
      </c>
      <c r="C804" s="10" t="str">
        <f>_xlfn.IFNA(VLOOKUP(B804,Phase3!A$4:C$1000,3,FALSE),"")</f>
        <v/>
      </c>
      <c r="D804" s="10" t="str">
        <f>_xlfn.IFNA(VLOOKUP($A804,CompChecksTrans!$A:$C,3,FALSE), "     ")</f>
        <v xml:space="preserve">     </v>
      </c>
    </row>
    <row r="805" spans="1:4" x14ac:dyDescent="0.25">
      <c r="A805" s="12" t="s">
        <v>7166</v>
      </c>
      <c r="B805" s="10" t="str">
        <f>_xlfn.IFNA(VLOOKUP($A805,CompChecksTrans!$A:$C,2,FALSE), "")</f>
        <v/>
      </c>
      <c r="C805" s="10" t="str">
        <f>_xlfn.IFNA(VLOOKUP(B805,Phase3!A$4:C$1000,3,FALSE),"")</f>
        <v/>
      </c>
      <c r="D805" s="10" t="str">
        <f>_xlfn.IFNA(VLOOKUP($A805,CompChecksTrans!$A:$C,3,FALSE), "     ")</f>
        <v xml:space="preserve">     </v>
      </c>
    </row>
    <row r="806" spans="1:4" x14ac:dyDescent="0.25">
      <c r="A806" s="12" t="s">
        <v>7167</v>
      </c>
      <c r="B806" s="10" t="str">
        <f>_xlfn.IFNA(VLOOKUP($A806,CompChecksTrans!$A:$C,2,FALSE), "")</f>
        <v/>
      </c>
      <c r="C806" s="10" t="str">
        <f>_xlfn.IFNA(VLOOKUP(B806,Phase3!A$4:C$1000,3,FALSE),"")</f>
        <v/>
      </c>
      <c r="D806" s="10" t="str">
        <f>_xlfn.IFNA(VLOOKUP($A806,CompChecksTrans!$A:$C,3,FALSE), "     ")</f>
        <v xml:space="preserve">     </v>
      </c>
    </row>
    <row r="807" spans="1:4" x14ac:dyDescent="0.25">
      <c r="A807" s="12" t="s">
        <v>7168</v>
      </c>
      <c r="B807" s="10" t="str">
        <f>_xlfn.IFNA(VLOOKUP($A807,CompChecksTrans!$A:$C,2,FALSE), "")</f>
        <v/>
      </c>
      <c r="C807" s="10" t="str">
        <f>_xlfn.IFNA(VLOOKUP(B807,Phase3!A$4:C$1000,3,FALSE),"")</f>
        <v/>
      </c>
      <c r="D807" s="10" t="str">
        <f>_xlfn.IFNA(VLOOKUP($A807,CompChecksTrans!$A:$C,3,FALSE), "     ")</f>
        <v xml:space="preserve">     </v>
      </c>
    </row>
    <row r="808" spans="1:4" x14ac:dyDescent="0.25">
      <c r="A808" s="12" t="s">
        <v>7169</v>
      </c>
      <c r="B808" s="10" t="str">
        <f>_xlfn.IFNA(VLOOKUP($A808,CompChecksTrans!$A:$C,2,FALSE), "")</f>
        <v/>
      </c>
      <c r="C808" s="10" t="str">
        <f>_xlfn.IFNA(VLOOKUP(B808,Phase3!A$4:C$1000,3,FALSE),"")</f>
        <v/>
      </c>
      <c r="D808" s="10" t="str">
        <f>_xlfn.IFNA(VLOOKUP($A808,CompChecksTrans!$A:$C,3,FALSE), "     ")</f>
        <v xml:space="preserve">     </v>
      </c>
    </row>
    <row r="809" spans="1:4" x14ac:dyDescent="0.25">
      <c r="A809" s="12" t="s">
        <v>7170</v>
      </c>
      <c r="B809" s="10" t="str">
        <f>_xlfn.IFNA(VLOOKUP($A809,CompChecksTrans!$A:$C,2,FALSE), "")</f>
        <v/>
      </c>
      <c r="C809" s="10" t="str">
        <f>_xlfn.IFNA(VLOOKUP(B809,Phase3!A$4:C$1000,3,FALSE),"")</f>
        <v/>
      </c>
      <c r="D809" s="10" t="str">
        <f>_xlfn.IFNA(VLOOKUP($A809,CompChecksTrans!$A:$C,3,FALSE), "     ")</f>
        <v xml:space="preserve">     </v>
      </c>
    </row>
    <row r="810" spans="1:4" x14ac:dyDescent="0.25">
      <c r="A810" s="12" t="s">
        <v>7171</v>
      </c>
      <c r="B810" s="10" t="str">
        <f>_xlfn.IFNA(VLOOKUP($A810,CompChecksTrans!$A:$C,2,FALSE), "")</f>
        <v/>
      </c>
      <c r="C810" s="10" t="str">
        <f>_xlfn.IFNA(VLOOKUP(B810,Phase3!A$4:C$1000,3,FALSE),"")</f>
        <v/>
      </c>
      <c r="D810" s="10" t="str">
        <f>_xlfn.IFNA(VLOOKUP($A810,CompChecksTrans!$A:$C,3,FALSE), "     ")</f>
        <v xml:space="preserve">     </v>
      </c>
    </row>
    <row r="811" spans="1:4" x14ac:dyDescent="0.25">
      <c r="A811" s="12" t="s">
        <v>7172</v>
      </c>
      <c r="B811" s="10" t="str">
        <f>_xlfn.IFNA(VLOOKUP($A811,CompChecksTrans!$A:$C,2,FALSE), "")</f>
        <v/>
      </c>
      <c r="C811" s="10" t="str">
        <f>_xlfn.IFNA(VLOOKUP(B811,Phase3!A$4:C$1000,3,FALSE),"")</f>
        <v/>
      </c>
      <c r="D811" s="10" t="str">
        <f>_xlfn.IFNA(VLOOKUP($A811,CompChecksTrans!$A:$C,3,FALSE), "     ")</f>
        <v xml:space="preserve">     </v>
      </c>
    </row>
    <row r="812" spans="1:4" x14ac:dyDescent="0.25">
      <c r="A812" s="12" t="s">
        <v>7173</v>
      </c>
      <c r="B812" s="10" t="str">
        <f>_xlfn.IFNA(VLOOKUP($A812,CompChecksTrans!$A:$C,2,FALSE), "")</f>
        <v/>
      </c>
      <c r="C812" s="10" t="str">
        <f>_xlfn.IFNA(VLOOKUP(B812,Phase3!A$4:C$1000,3,FALSE),"")</f>
        <v/>
      </c>
      <c r="D812" s="10" t="str">
        <f>_xlfn.IFNA(VLOOKUP($A812,CompChecksTrans!$A:$C,3,FALSE), "     ")</f>
        <v xml:space="preserve">     </v>
      </c>
    </row>
    <row r="813" spans="1:4" x14ac:dyDescent="0.25">
      <c r="A813" s="12" t="s">
        <v>7174</v>
      </c>
      <c r="B813" s="10" t="str">
        <f>_xlfn.IFNA(VLOOKUP($A813,CompChecksTrans!$A:$C,2,FALSE), "")</f>
        <v/>
      </c>
      <c r="C813" s="10" t="str">
        <f>_xlfn.IFNA(VLOOKUP(B813,Phase3!A$4:C$1000,3,FALSE),"")</f>
        <v/>
      </c>
      <c r="D813" s="10" t="str">
        <f>_xlfn.IFNA(VLOOKUP($A813,CompChecksTrans!$A:$C,3,FALSE), "     ")</f>
        <v xml:space="preserve">     </v>
      </c>
    </row>
    <row r="814" spans="1:4" x14ac:dyDescent="0.25">
      <c r="A814" s="12" t="s">
        <v>7175</v>
      </c>
      <c r="B814" s="10" t="str">
        <f>_xlfn.IFNA(VLOOKUP($A814,CompChecksTrans!$A:$C,2,FALSE), "")</f>
        <v/>
      </c>
      <c r="C814" s="10" t="str">
        <f>_xlfn.IFNA(VLOOKUP(B814,Phase3!A$4:C$1000,3,FALSE),"")</f>
        <v/>
      </c>
      <c r="D814" s="10" t="str">
        <f>_xlfn.IFNA(VLOOKUP($A814,CompChecksTrans!$A:$C,3,FALSE), "     ")</f>
        <v xml:space="preserve">     </v>
      </c>
    </row>
    <row r="815" spans="1:4" x14ac:dyDescent="0.25">
      <c r="A815" s="12" t="s">
        <v>7176</v>
      </c>
      <c r="B815" s="10" t="str">
        <f>_xlfn.IFNA(VLOOKUP($A815,CompChecksTrans!$A:$C,2,FALSE), "")</f>
        <v/>
      </c>
      <c r="C815" s="10" t="str">
        <f>_xlfn.IFNA(VLOOKUP(B815,Phase3!A$4:C$1000,3,FALSE),"")</f>
        <v/>
      </c>
      <c r="D815" s="10" t="str">
        <f>_xlfn.IFNA(VLOOKUP($A815,CompChecksTrans!$A:$C,3,FALSE), "     ")</f>
        <v xml:space="preserve">     </v>
      </c>
    </row>
    <row r="816" spans="1:4" x14ac:dyDescent="0.25">
      <c r="A816" s="12" t="s">
        <v>7177</v>
      </c>
      <c r="B816" s="10" t="str">
        <f>_xlfn.IFNA(VLOOKUP($A816,CompChecksTrans!$A:$C,2,FALSE), "")</f>
        <v/>
      </c>
      <c r="C816" s="10" t="str">
        <f>_xlfn.IFNA(VLOOKUP(B816,Phase3!A$4:C$1000,3,FALSE),"")</f>
        <v/>
      </c>
      <c r="D816" s="10" t="str">
        <f>_xlfn.IFNA(VLOOKUP($A816,CompChecksTrans!$A:$C,3,FALSE), "     ")</f>
        <v xml:space="preserve">     </v>
      </c>
    </row>
    <row r="817" spans="1:4" x14ac:dyDescent="0.25">
      <c r="A817" s="12" t="s">
        <v>7178</v>
      </c>
      <c r="B817" s="10" t="str">
        <f>_xlfn.IFNA(VLOOKUP($A817,CompChecksTrans!$A:$C,2,FALSE), "")</f>
        <v/>
      </c>
      <c r="C817" s="10" t="str">
        <f>_xlfn.IFNA(VLOOKUP(B817,Phase3!A$4:C$1000,3,FALSE),"")</f>
        <v/>
      </c>
      <c r="D817" s="10" t="str">
        <f>_xlfn.IFNA(VLOOKUP($A817,CompChecksTrans!$A:$C,3,FALSE), "     ")</f>
        <v xml:space="preserve">     </v>
      </c>
    </row>
    <row r="818" spans="1:4" x14ac:dyDescent="0.25">
      <c r="A818" s="12" t="s">
        <v>7179</v>
      </c>
      <c r="B818" s="10" t="str">
        <f>_xlfn.IFNA(VLOOKUP($A818,CompChecksTrans!$A:$C,2,FALSE), "")</f>
        <v/>
      </c>
      <c r="C818" s="10" t="str">
        <f>_xlfn.IFNA(VLOOKUP(B818,Phase3!A$4:C$1000,3,FALSE),"")</f>
        <v/>
      </c>
      <c r="D818" s="10" t="str">
        <f>_xlfn.IFNA(VLOOKUP($A818,CompChecksTrans!$A:$C,3,FALSE), "     ")</f>
        <v xml:space="preserve">     </v>
      </c>
    </row>
    <row r="819" spans="1:4" x14ac:dyDescent="0.25">
      <c r="A819" s="12" t="s">
        <v>7180</v>
      </c>
      <c r="B819" s="10" t="str">
        <f>_xlfn.IFNA(VLOOKUP($A819,CompChecksTrans!$A:$C,2,FALSE), "")</f>
        <v/>
      </c>
      <c r="C819" s="10" t="str">
        <f>_xlfn.IFNA(VLOOKUP(B819,Phase3!A$4:C$1000,3,FALSE),"")</f>
        <v/>
      </c>
      <c r="D819" s="10" t="str">
        <f>_xlfn.IFNA(VLOOKUP($A819,CompChecksTrans!$A:$C,3,FALSE), "     ")</f>
        <v xml:space="preserve">     </v>
      </c>
    </row>
    <row r="820" spans="1:4" x14ac:dyDescent="0.25">
      <c r="A820" s="12" t="s">
        <v>7181</v>
      </c>
      <c r="B820" s="10" t="str">
        <f>_xlfn.IFNA(VLOOKUP($A820,CompChecksTrans!$A:$C,2,FALSE), "")</f>
        <v/>
      </c>
      <c r="C820" s="10" t="str">
        <f>_xlfn.IFNA(VLOOKUP(B820,Phase3!A$4:C$1000,3,FALSE),"")</f>
        <v/>
      </c>
      <c r="D820" s="10" t="str">
        <f>_xlfn.IFNA(VLOOKUP($A820,CompChecksTrans!$A:$C,3,FALSE), "     ")</f>
        <v xml:space="preserve">     </v>
      </c>
    </row>
    <row r="821" spans="1:4" x14ac:dyDescent="0.25">
      <c r="A821" s="12" t="s">
        <v>7182</v>
      </c>
      <c r="B821" s="10" t="str">
        <f>_xlfn.IFNA(VLOOKUP($A821,CompChecksTrans!$A:$C,2,FALSE), "")</f>
        <v/>
      </c>
      <c r="C821" s="10" t="str">
        <f>_xlfn.IFNA(VLOOKUP(B821,Phase3!A$4:C$1000,3,FALSE),"")</f>
        <v/>
      </c>
      <c r="D821" s="10" t="str">
        <f>_xlfn.IFNA(VLOOKUP($A821,CompChecksTrans!$A:$C,3,FALSE), "     ")</f>
        <v xml:space="preserve">     </v>
      </c>
    </row>
    <row r="822" spans="1:4" x14ac:dyDescent="0.25">
      <c r="A822" s="12" t="s">
        <v>7183</v>
      </c>
      <c r="B822" s="10" t="str">
        <f>_xlfn.IFNA(VLOOKUP($A822,CompChecksTrans!$A:$C,2,FALSE), "")</f>
        <v/>
      </c>
      <c r="C822" s="10" t="str">
        <f>_xlfn.IFNA(VLOOKUP(B822,Phase3!A$4:C$1000,3,FALSE),"")</f>
        <v/>
      </c>
      <c r="D822" s="10" t="str">
        <f>_xlfn.IFNA(VLOOKUP($A822,CompChecksTrans!$A:$C,3,FALSE), "     ")</f>
        <v xml:space="preserve">     </v>
      </c>
    </row>
    <row r="823" spans="1:4" x14ac:dyDescent="0.25">
      <c r="A823" s="12" t="s">
        <v>7184</v>
      </c>
      <c r="B823" s="10" t="str">
        <f>_xlfn.IFNA(VLOOKUP($A823,CompChecksTrans!$A:$C,2,FALSE), "")</f>
        <v/>
      </c>
      <c r="C823" s="10" t="str">
        <f>_xlfn.IFNA(VLOOKUP(B823,Phase3!A$4:C$1000,3,FALSE),"")</f>
        <v/>
      </c>
      <c r="D823" s="10" t="str">
        <f>_xlfn.IFNA(VLOOKUP($A823,CompChecksTrans!$A:$C,3,FALSE), "     ")</f>
        <v xml:space="preserve">     </v>
      </c>
    </row>
    <row r="824" spans="1:4" x14ac:dyDescent="0.25">
      <c r="A824" s="12" t="s">
        <v>7185</v>
      </c>
      <c r="B824" s="10" t="str">
        <f>_xlfn.IFNA(VLOOKUP($A824,CompChecksTrans!$A:$C,2,FALSE), "")</f>
        <v/>
      </c>
      <c r="C824" s="10" t="str">
        <f>_xlfn.IFNA(VLOOKUP(B824,Phase3!A$4:C$1000,3,FALSE),"")</f>
        <v/>
      </c>
      <c r="D824" s="10" t="str">
        <f>_xlfn.IFNA(VLOOKUP($A824,CompChecksTrans!$A:$C,3,FALSE), "     ")</f>
        <v xml:space="preserve">     </v>
      </c>
    </row>
    <row r="825" spans="1:4" x14ac:dyDescent="0.25">
      <c r="A825" s="12" t="s">
        <v>7186</v>
      </c>
      <c r="B825" s="10" t="str">
        <f>_xlfn.IFNA(VLOOKUP($A825,CompChecksTrans!$A:$C,2,FALSE), "")</f>
        <v/>
      </c>
      <c r="C825" s="10" t="str">
        <f>_xlfn.IFNA(VLOOKUP(B825,Phase3!A$4:C$1000,3,FALSE),"")</f>
        <v/>
      </c>
      <c r="D825" s="10" t="str">
        <f>_xlfn.IFNA(VLOOKUP($A825,CompChecksTrans!$A:$C,3,FALSE), "     ")</f>
        <v xml:space="preserve">     </v>
      </c>
    </row>
    <row r="826" spans="1:4" x14ac:dyDescent="0.25">
      <c r="A826" s="12" t="s">
        <v>7187</v>
      </c>
      <c r="B826" s="10" t="str">
        <f>_xlfn.IFNA(VLOOKUP($A826,CompChecksTrans!$A:$C,2,FALSE), "")</f>
        <v/>
      </c>
      <c r="C826" s="10" t="str">
        <f>_xlfn.IFNA(VLOOKUP(B826,Phase3!A$4:C$1000,3,FALSE),"")</f>
        <v/>
      </c>
      <c r="D826" s="10" t="str">
        <f>_xlfn.IFNA(VLOOKUP($A826,CompChecksTrans!$A:$C,3,FALSE), "     ")</f>
        <v xml:space="preserve">     </v>
      </c>
    </row>
    <row r="827" spans="1:4" x14ac:dyDescent="0.25">
      <c r="A827" s="12" t="s">
        <v>7188</v>
      </c>
      <c r="B827" s="10" t="str">
        <f>_xlfn.IFNA(VLOOKUP($A827,CompChecksTrans!$A:$C,2,FALSE), "")</f>
        <v/>
      </c>
      <c r="C827" s="10" t="str">
        <f>_xlfn.IFNA(VLOOKUP(B827,Phase3!A$4:C$1000,3,FALSE),"")</f>
        <v/>
      </c>
      <c r="D827" s="10" t="str">
        <f>_xlfn.IFNA(VLOOKUP($A827,CompChecksTrans!$A:$C,3,FALSE), "     ")</f>
        <v xml:space="preserve">     </v>
      </c>
    </row>
    <row r="828" spans="1:4" x14ac:dyDescent="0.25">
      <c r="A828" s="12" t="s">
        <v>7189</v>
      </c>
      <c r="B828" s="10" t="str">
        <f>_xlfn.IFNA(VLOOKUP($A828,CompChecksTrans!$A:$C,2,FALSE), "")</f>
        <v/>
      </c>
      <c r="C828" s="10" t="str">
        <f>_xlfn.IFNA(VLOOKUP(B828,Phase3!A$4:C$1000,3,FALSE),"")</f>
        <v/>
      </c>
      <c r="D828" s="10" t="str">
        <f>_xlfn.IFNA(VLOOKUP($A828,CompChecksTrans!$A:$C,3,FALSE), "     ")</f>
        <v xml:space="preserve">     </v>
      </c>
    </row>
    <row r="829" spans="1:4" x14ac:dyDescent="0.25">
      <c r="A829" s="12" t="s">
        <v>7190</v>
      </c>
      <c r="B829" s="10" t="str">
        <f>_xlfn.IFNA(VLOOKUP($A829,CompChecksTrans!$A:$C,2,FALSE), "")</f>
        <v/>
      </c>
      <c r="C829" s="10" t="str">
        <f>_xlfn.IFNA(VLOOKUP(B829,Phase3!A$4:C$1000,3,FALSE),"")</f>
        <v/>
      </c>
      <c r="D829" s="10" t="str">
        <f>_xlfn.IFNA(VLOOKUP($A829,CompChecksTrans!$A:$C,3,FALSE), "     ")</f>
        <v xml:space="preserve">     </v>
      </c>
    </row>
    <row r="830" spans="1:4" x14ac:dyDescent="0.25">
      <c r="A830" s="12" t="s">
        <v>7191</v>
      </c>
      <c r="B830" s="10" t="str">
        <f>_xlfn.IFNA(VLOOKUP($A830,CompChecksTrans!$A:$C,2,FALSE), "")</f>
        <v/>
      </c>
      <c r="C830" s="10" t="str">
        <f>_xlfn.IFNA(VLOOKUP(B830,Phase3!A$4:C$1000,3,FALSE),"")</f>
        <v/>
      </c>
      <c r="D830" s="10" t="str">
        <f>_xlfn.IFNA(VLOOKUP($A830,CompChecksTrans!$A:$C,3,FALSE), "     ")</f>
        <v xml:space="preserve">     </v>
      </c>
    </row>
    <row r="831" spans="1:4" x14ac:dyDescent="0.25">
      <c r="A831" s="12" t="s">
        <v>7192</v>
      </c>
      <c r="B831" s="10" t="str">
        <f>_xlfn.IFNA(VLOOKUP($A831,CompChecksTrans!$A:$C,2,FALSE), "")</f>
        <v/>
      </c>
      <c r="C831" s="10" t="str">
        <f>_xlfn.IFNA(VLOOKUP(B831,Phase3!A$4:C$1000,3,FALSE),"")</f>
        <v/>
      </c>
      <c r="D831" s="10" t="str">
        <f>_xlfn.IFNA(VLOOKUP($A831,CompChecksTrans!$A:$C,3,FALSE), "     ")</f>
        <v xml:space="preserve">     </v>
      </c>
    </row>
    <row r="832" spans="1:4" x14ac:dyDescent="0.25">
      <c r="A832" s="12" t="s">
        <v>7193</v>
      </c>
      <c r="B832" s="10" t="str">
        <f>_xlfn.IFNA(VLOOKUP($A832,CompChecksTrans!$A:$C,2,FALSE), "")</f>
        <v/>
      </c>
      <c r="C832" s="10" t="str">
        <f>_xlfn.IFNA(VLOOKUP(B832,Phase3!A$4:C$1000,3,FALSE),"")</f>
        <v/>
      </c>
      <c r="D832" s="10" t="str">
        <f>_xlfn.IFNA(VLOOKUP($A832,CompChecksTrans!$A:$C,3,FALSE), "     ")</f>
        <v xml:space="preserve">     </v>
      </c>
    </row>
    <row r="833" spans="1:4" x14ac:dyDescent="0.25">
      <c r="A833" s="12" t="s">
        <v>7194</v>
      </c>
      <c r="B833" s="10" t="str">
        <f>_xlfn.IFNA(VLOOKUP($A833,CompChecksTrans!$A:$C,2,FALSE), "")</f>
        <v/>
      </c>
      <c r="C833" s="10" t="str">
        <f>_xlfn.IFNA(VLOOKUP(B833,Phase3!A$4:C$1000,3,FALSE),"")</f>
        <v/>
      </c>
      <c r="D833" s="10" t="str">
        <f>_xlfn.IFNA(VLOOKUP($A833,CompChecksTrans!$A:$C,3,FALSE), "     ")</f>
        <v xml:space="preserve">     </v>
      </c>
    </row>
    <row r="834" spans="1:4" x14ac:dyDescent="0.25">
      <c r="A834" s="12" t="s">
        <v>7195</v>
      </c>
      <c r="B834" s="10" t="str">
        <f>_xlfn.IFNA(VLOOKUP($A834,CompChecksTrans!$A:$C,2,FALSE), "")</f>
        <v/>
      </c>
      <c r="C834" s="10" t="str">
        <f>_xlfn.IFNA(VLOOKUP(B834,Phase3!A$4:C$1000,3,FALSE),"")</f>
        <v/>
      </c>
      <c r="D834" s="10" t="str">
        <f>_xlfn.IFNA(VLOOKUP($A834,CompChecksTrans!$A:$C,3,FALSE), "     ")</f>
        <v xml:space="preserve">     </v>
      </c>
    </row>
    <row r="835" spans="1:4" x14ac:dyDescent="0.25">
      <c r="A835" s="12" t="s">
        <v>7196</v>
      </c>
      <c r="B835" s="10" t="str">
        <f>_xlfn.IFNA(VLOOKUP($A835,CompChecksTrans!$A:$C,2,FALSE), "")</f>
        <v/>
      </c>
      <c r="C835" s="10" t="str">
        <f>_xlfn.IFNA(VLOOKUP(B835,Phase3!A$4:C$1000,3,FALSE),"")</f>
        <v/>
      </c>
      <c r="D835" s="10" t="str">
        <f>_xlfn.IFNA(VLOOKUP($A835,CompChecksTrans!$A:$C,3,FALSE), "     ")</f>
        <v xml:space="preserve">     </v>
      </c>
    </row>
    <row r="836" spans="1:4" x14ac:dyDescent="0.25">
      <c r="A836" s="12" t="s">
        <v>7197</v>
      </c>
      <c r="B836" s="10" t="str">
        <f>_xlfn.IFNA(VLOOKUP($A836,CompChecksTrans!$A:$C,2,FALSE), "")</f>
        <v/>
      </c>
      <c r="C836" s="10" t="str">
        <f>_xlfn.IFNA(VLOOKUP(B836,Phase3!A$4:C$1000,3,FALSE),"")</f>
        <v/>
      </c>
      <c r="D836" s="10" t="str">
        <f>_xlfn.IFNA(VLOOKUP($A836,CompChecksTrans!$A:$C,3,FALSE), "     ")</f>
        <v xml:space="preserve">     </v>
      </c>
    </row>
    <row r="837" spans="1:4" x14ac:dyDescent="0.25">
      <c r="A837" s="12" t="s">
        <v>7198</v>
      </c>
      <c r="B837" s="10" t="str">
        <f>_xlfn.IFNA(VLOOKUP($A837,CompChecksTrans!$A:$C,2,FALSE), "")</f>
        <v/>
      </c>
      <c r="C837" s="10" t="str">
        <f>_xlfn.IFNA(VLOOKUP(B837,Phase3!A$4:C$1000,3,FALSE),"")</f>
        <v/>
      </c>
      <c r="D837" s="10" t="str">
        <f>_xlfn.IFNA(VLOOKUP($A837,CompChecksTrans!$A:$C,3,FALSE), "     ")</f>
        <v xml:space="preserve">     </v>
      </c>
    </row>
    <row r="838" spans="1:4" x14ac:dyDescent="0.25">
      <c r="A838" s="12" t="s">
        <v>7199</v>
      </c>
      <c r="B838" s="10" t="str">
        <f>_xlfn.IFNA(VLOOKUP($A838,CompChecksTrans!$A:$C,2,FALSE), "")</f>
        <v/>
      </c>
      <c r="C838" s="10" t="str">
        <f>_xlfn.IFNA(VLOOKUP(B838,Phase3!A$4:C$1000,3,FALSE),"")</f>
        <v/>
      </c>
      <c r="D838" s="10" t="str">
        <f>_xlfn.IFNA(VLOOKUP($A838,CompChecksTrans!$A:$C,3,FALSE), "     ")</f>
        <v xml:space="preserve">     </v>
      </c>
    </row>
    <row r="839" spans="1:4" x14ac:dyDescent="0.25">
      <c r="A839" s="12" t="s">
        <v>7200</v>
      </c>
      <c r="B839" s="10" t="str">
        <f>_xlfn.IFNA(VLOOKUP($A839,CompChecksTrans!$A:$C,2,FALSE), "")</f>
        <v/>
      </c>
      <c r="C839" s="10" t="str">
        <f>_xlfn.IFNA(VLOOKUP(B839,Phase3!A$4:C$1000,3,FALSE),"")</f>
        <v/>
      </c>
      <c r="D839" s="10" t="str">
        <f>_xlfn.IFNA(VLOOKUP($A839,CompChecksTrans!$A:$C,3,FALSE), "     ")</f>
        <v xml:space="preserve">     </v>
      </c>
    </row>
    <row r="840" spans="1:4" x14ac:dyDescent="0.25">
      <c r="A840" s="12" t="s">
        <v>7201</v>
      </c>
      <c r="B840" s="10" t="str">
        <f>_xlfn.IFNA(VLOOKUP($A840,CompChecksTrans!$A:$C,2,FALSE), "")</f>
        <v/>
      </c>
      <c r="C840" s="10" t="str">
        <f>_xlfn.IFNA(VLOOKUP(B840,Phase3!A$4:C$1000,3,FALSE),"")</f>
        <v/>
      </c>
      <c r="D840" s="10" t="str">
        <f>_xlfn.IFNA(VLOOKUP($A840,CompChecksTrans!$A:$C,3,FALSE), "     ")</f>
        <v xml:space="preserve">     </v>
      </c>
    </row>
    <row r="841" spans="1:4" x14ac:dyDescent="0.25">
      <c r="A841" s="12" t="s">
        <v>7202</v>
      </c>
      <c r="B841" s="10" t="str">
        <f>_xlfn.IFNA(VLOOKUP($A841,CompChecksTrans!$A:$C,2,FALSE), "")</f>
        <v/>
      </c>
      <c r="C841" s="10" t="str">
        <f>_xlfn.IFNA(VLOOKUP(B841,Phase3!A$4:C$1000,3,FALSE),"")</f>
        <v/>
      </c>
      <c r="D841" s="10" t="str">
        <f>_xlfn.IFNA(VLOOKUP($A841,CompChecksTrans!$A:$C,3,FALSE), "     ")</f>
        <v xml:space="preserve">     </v>
      </c>
    </row>
    <row r="842" spans="1:4" x14ac:dyDescent="0.25">
      <c r="A842" s="12" t="s">
        <v>7203</v>
      </c>
      <c r="B842" s="10" t="str">
        <f>_xlfn.IFNA(VLOOKUP($A842,CompChecksTrans!$A:$C,2,FALSE), "")</f>
        <v/>
      </c>
      <c r="C842" s="10" t="str">
        <f>_xlfn.IFNA(VLOOKUP(B842,Phase3!A$4:C$1000,3,FALSE),"")</f>
        <v/>
      </c>
      <c r="D842" s="10" t="str">
        <f>_xlfn.IFNA(VLOOKUP($A842,CompChecksTrans!$A:$C,3,FALSE), "     ")</f>
        <v xml:space="preserve">     </v>
      </c>
    </row>
    <row r="843" spans="1:4" x14ac:dyDescent="0.25">
      <c r="A843" s="12" t="s">
        <v>7204</v>
      </c>
      <c r="B843" s="10" t="str">
        <f>_xlfn.IFNA(VLOOKUP($A843,CompChecksTrans!$A:$C,2,FALSE), "")</f>
        <v/>
      </c>
      <c r="C843" s="10" t="str">
        <f>_xlfn.IFNA(VLOOKUP(B843,Phase3!A$4:C$1000,3,FALSE),"")</f>
        <v/>
      </c>
      <c r="D843" s="10" t="str">
        <f>_xlfn.IFNA(VLOOKUP($A843,CompChecksTrans!$A:$C,3,FALSE), "     ")</f>
        <v xml:space="preserve">     </v>
      </c>
    </row>
    <row r="844" spans="1:4" x14ac:dyDescent="0.25">
      <c r="A844" s="12" t="s">
        <v>7205</v>
      </c>
      <c r="B844" s="10" t="str">
        <f>_xlfn.IFNA(VLOOKUP($A844,CompChecksTrans!$A:$C,2,FALSE), "")</f>
        <v/>
      </c>
      <c r="C844" s="10" t="str">
        <f>_xlfn.IFNA(VLOOKUP(B844,Phase3!A$4:C$1000,3,FALSE),"")</f>
        <v/>
      </c>
      <c r="D844" s="10" t="str">
        <f>_xlfn.IFNA(VLOOKUP($A844,CompChecksTrans!$A:$C,3,FALSE), "     ")</f>
        <v xml:space="preserve">     </v>
      </c>
    </row>
    <row r="845" spans="1:4" x14ac:dyDescent="0.25">
      <c r="A845" s="12" t="s">
        <v>7206</v>
      </c>
      <c r="B845" s="10" t="str">
        <f>_xlfn.IFNA(VLOOKUP($A845,CompChecksTrans!$A:$C,2,FALSE), "")</f>
        <v/>
      </c>
      <c r="C845" s="10" t="str">
        <f>_xlfn.IFNA(VLOOKUP(B845,Phase3!A$4:C$1000,3,FALSE),"")</f>
        <v/>
      </c>
      <c r="D845" s="10" t="str">
        <f>_xlfn.IFNA(VLOOKUP($A845,CompChecksTrans!$A:$C,3,FALSE), "     ")</f>
        <v xml:space="preserve">     </v>
      </c>
    </row>
    <row r="846" spans="1:4" x14ac:dyDescent="0.25">
      <c r="A846" s="12" t="s">
        <v>7207</v>
      </c>
      <c r="B846" s="10" t="str">
        <f>_xlfn.IFNA(VLOOKUP($A846,CompChecksTrans!$A:$C,2,FALSE), "")</f>
        <v/>
      </c>
      <c r="C846" s="10" t="str">
        <f>_xlfn.IFNA(VLOOKUP(B846,Phase3!A$4:C$1000,3,FALSE),"")</f>
        <v/>
      </c>
      <c r="D846" s="10" t="str">
        <f>_xlfn.IFNA(VLOOKUP($A846,CompChecksTrans!$A:$C,3,FALSE), "     ")</f>
        <v xml:space="preserve">     </v>
      </c>
    </row>
    <row r="847" spans="1:4" x14ac:dyDescent="0.25">
      <c r="A847" s="12" t="s">
        <v>7208</v>
      </c>
      <c r="B847" s="10" t="str">
        <f>_xlfn.IFNA(VLOOKUP($A847,CompChecksTrans!$A:$C,2,FALSE), "")</f>
        <v/>
      </c>
      <c r="C847" s="10" t="str">
        <f>_xlfn.IFNA(VLOOKUP(B847,Phase3!A$4:C$1000,3,FALSE),"")</f>
        <v/>
      </c>
      <c r="D847" s="10" t="str">
        <f>_xlfn.IFNA(VLOOKUP($A847,CompChecksTrans!$A:$C,3,FALSE), "     ")</f>
        <v xml:space="preserve">     </v>
      </c>
    </row>
    <row r="848" spans="1:4" x14ac:dyDescent="0.25">
      <c r="A848" s="12" t="s">
        <v>7209</v>
      </c>
      <c r="B848" s="10" t="str">
        <f>_xlfn.IFNA(VLOOKUP($A848,CompChecksTrans!$A:$C,2,FALSE), "")</f>
        <v/>
      </c>
      <c r="C848" s="10" t="str">
        <f>_xlfn.IFNA(VLOOKUP(B848,Phase3!A$4:C$1000,3,FALSE),"")</f>
        <v/>
      </c>
      <c r="D848" s="10" t="str">
        <f>_xlfn.IFNA(VLOOKUP($A848,CompChecksTrans!$A:$C,3,FALSE), "     ")</f>
        <v xml:space="preserve">     </v>
      </c>
    </row>
    <row r="849" spans="1:4" x14ac:dyDescent="0.25">
      <c r="A849" s="12" t="s">
        <v>7210</v>
      </c>
      <c r="B849" s="10" t="str">
        <f>_xlfn.IFNA(VLOOKUP($A849,CompChecksTrans!$A:$C,2,FALSE), "")</f>
        <v/>
      </c>
      <c r="C849" s="10" t="str">
        <f>_xlfn.IFNA(VLOOKUP(B849,Phase3!A$4:C$1000,3,FALSE),"")</f>
        <v/>
      </c>
      <c r="D849" s="10" t="str">
        <f>_xlfn.IFNA(VLOOKUP($A849,CompChecksTrans!$A:$C,3,FALSE), "     ")</f>
        <v xml:space="preserve">     </v>
      </c>
    </row>
    <row r="850" spans="1:4" x14ac:dyDescent="0.25">
      <c r="A850" s="12" t="s">
        <v>7211</v>
      </c>
      <c r="B850" s="10" t="str">
        <f>_xlfn.IFNA(VLOOKUP($A850,CompChecksTrans!$A:$C,2,FALSE), "")</f>
        <v/>
      </c>
      <c r="C850" s="10" t="str">
        <f>_xlfn.IFNA(VLOOKUP(B850,Phase3!A$4:C$1000,3,FALSE),"")</f>
        <v/>
      </c>
      <c r="D850" s="10" t="str">
        <f>_xlfn.IFNA(VLOOKUP($A850,CompChecksTrans!$A:$C,3,FALSE), "     ")</f>
        <v xml:space="preserve">     </v>
      </c>
    </row>
    <row r="851" spans="1:4" x14ac:dyDescent="0.25">
      <c r="A851" s="12" t="s">
        <v>7212</v>
      </c>
      <c r="B851" s="10" t="str">
        <f>_xlfn.IFNA(VLOOKUP($A851,CompChecksTrans!$A:$C,2,FALSE), "")</f>
        <v/>
      </c>
      <c r="C851" s="10" t="str">
        <f>_xlfn.IFNA(VLOOKUP(B851,Phase3!A$4:C$1000,3,FALSE),"")</f>
        <v/>
      </c>
      <c r="D851" s="10" t="str">
        <f>_xlfn.IFNA(VLOOKUP($A851,CompChecksTrans!$A:$C,3,FALSE), "     ")</f>
        <v xml:space="preserve">     </v>
      </c>
    </row>
    <row r="852" spans="1:4" x14ac:dyDescent="0.25">
      <c r="A852" s="12" t="s">
        <v>7213</v>
      </c>
      <c r="B852" s="10" t="str">
        <f>_xlfn.IFNA(VLOOKUP($A852,CompChecksTrans!$A:$C,2,FALSE), "")</f>
        <v/>
      </c>
      <c r="C852" s="10" t="str">
        <f>_xlfn.IFNA(VLOOKUP(B852,Phase3!A$4:C$1000,3,FALSE),"")</f>
        <v/>
      </c>
      <c r="D852" s="10" t="str">
        <f>_xlfn.IFNA(VLOOKUP($A852,CompChecksTrans!$A:$C,3,FALSE), "     ")</f>
        <v xml:space="preserve">     </v>
      </c>
    </row>
    <row r="853" spans="1:4" x14ac:dyDescent="0.25">
      <c r="A853" s="12" t="s">
        <v>7214</v>
      </c>
      <c r="B853" s="10" t="str">
        <f>_xlfn.IFNA(VLOOKUP($A853,CompChecksTrans!$A:$C,2,FALSE), "")</f>
        <v/>
      </c>
      <c r="C853" s="10" t="str">
        <f>_xlfn.IFNA(VLOOKUP(B853,Phase3!A$4:C$1000,3,FALSE),"")</f>
        <v/>
      </c>
      <c r="D853" s="10" t="str">
        <f>_xlfn.IFNA(VLOOKUP($A853,CompChecksTrans!$A:$C,3,FALSE), "     ")</f>
        <v xml:space="preserve">     </v>
      </c>
    </row>
    <row r="854" spans="1:4" x14ac:dyDescent="0.25">
      <c r="A854" s="12" t="s">
        <v>7215</v>
      </c>
      <c r="B854" s="10" t="str">
        <f>_xlfn.IFNA(VLOOKUP($A854,CompChecksTrans!$A:$C,2,FALSE), "")</f>
        <v/>
      </c>
      <c r="C854" s="10" t="str">
        <f>_xlfn.IFNA(VLOOKUP(B854,Phase3!A$4:C$1000,3,FALSE),"")</f>
        <v/>
      </c>
      <c r="D854" s="10" t="str">
        <f>_xlfn.IFNA(VLOOKUP($A854,CompChecksTrans!$A:$C,3,FALSE), "     ")</f>
        <v xml:space="preserve">     </v>
      </c>
    </row>
    <row r="855" spans="1:4" x14ac:dyDescent="0.25">
      <c r="A855" s="12" t="s">
        <v>7216</v>
      </c>
      <c r="B855" s="10" t="str">
        <f>_xlfn.IFNA(VLOOKUP($A855,CompChecksTrans!$A:$C,2,FALSE), "")</f>
        <v/>
      </c>
      <c r="C855" s="10" t="str">
        <f>_xlfn.IFNA(VLOOKUP(B855,Phase3!A$4:C$1000,3,FALSE),"")</f>
        <v/>
      </c>
      <c r="D855" s="10" t="str">
        <f>_xlfn.IFNA(VLOOKUP($A855,CompChecksTrans!$A:$C,3,FALSE), "     ")</f>
        <v xml:space="preserve">     </v>
      </c>
    </row>
    <row r="856" spans="1:4" x14ac:dyDescent="0.25">
      <c r="A856" s="12" t="s">
        <v>7217</v>
      </c>
      <c r="B856" s="10" t="str">
        <f>_xlfn.IFNA(VLOOKUP($A856,CompChecksTrans!$A:$C,2,FALSE), "")</f>
        <v/>
      </c>
      <c r="C856" s="10" t="str">
        <f>_xlfn.IFNA(VLOOKUP(B856,Phase3!A$4:C$1000,3,FALSE),"")</f>
        <v/>
      </c>
      <c r="D856" s="10" t="str">
        <f>_xlfn.IFNA(VLOOKUP($A856,CompChecksTrans!$A:$C,3,FALSE), "     ")</f>
        <v xml:space="preserve">     </v>
      </c>
    </row>
    <row r="857" spans="1:4" x14ac:dyDescent="0.25">
      <c r="A857" s="12" t="s">
        <v>7218</v>
      </c>
      <c r="B857" s="10" t="str">
        <f>_xlfn.IFNA(VLOOKUP($A857,CompChecksTrans!$A:$C,2,FALSE), "")</f>
        <v/>
      </c>
      <c r="C857" s="10" t="str">
        <f>_xlfn.IFNA(VLOOKUP(B857,Phase3!A$4:C$1000,3,FALSE),"")</f>
        <v/>
      </c>
      <c r="D857" s="10" t="str">
        <f>_xlfn.IFNA(VLOOKUP($A857,CompChecksTrans!$A:$C,3,FALSE), "     ")</f>
        <v xml:space="preserve">     </v>
      </c>
    </row>
    <row r="858" spans="1:4" x14ac:dyDescent="0.25">
      <c r="A858" s="12" t="s">
        <v>7219</v>
      </c>
      <c r="B858" s="10" t="str">
        <f>_xlfn.IFNA(VLOOKUP($A858,CompChecksTrans!$A:$C,2,FALSE), "")</f>
        <v/>
      </c>
      <c r="C858" s="10" t="str">
        <f>_xlfn.IFNA(VLOOKUP(B858,Phase3!A$4:C$1000,3,FALSE),"")</f>
        <v/>
      </c>
      <c r="D858" s="10" t="str">
        <f>_xlfn.IFNA(VLOOKUP($A858,CompChecksTrans!$A:$C,3,FALSE), "     ")</f>
        <v xml:space="preserve">     </v>
      </c>
    </row>
    <row r="859" spans="1:4" x14ac:dyDescent="0.25">
      <c r="A859" s="12" t="s">
        <v>7220</v>
      </c>
      <c r="B859" s="10" t="str">
        <f>_xlfn.IFNA(VLOOKUP($A859,CompChecksTrans!$A:$C,2,FALSE), "")</f>
        <v/>
      </c>
      <c r="C859" s="10" t="str">
        <f>_xlfn.IFNA(VLOOKUP(B859,Phase3!A$4:C$1000,3,FALSE),"")</f>
        <v/>
      </c>
      <c r="D859" s="10" t="str">
        <f>_xlfn.IFNA(VLOOKUP($A859,CompChecksTrans!$A:$C,3,FALSE), "     ")</f>
        <v xml:space="preserve">     </v>
      </c>
    </row>
    <row r="860" spans="1:4" x14ac:dyDescent="0.25">
      <c r="A860" s="12" t="s">
        <v>7221</v>
      </c>
      <c r="B860" s="10" t="str">
        <f>_xlfn.IFNA(VLOOKUP($A860,CompChecksTrans!$A:$C,2,FALSE), "")</f>
        <v/>
      </c>
      <c r="C860" s="10" t="str">
        <f>_xlfn.IFNA(VLOOKUP(B860,Phase3!A$4:C$1000,3,FALSE),"")</f>
        <v/>
      </c>
      <c r="D860" s="10" t="str">
        <f>_xlfn.IFNA(VLOOKUP($A860,CompChecksTrans!$A:$C,3,FALSE), "     ")</f>
        <v xml:space="preserve">     </v>
      </c>
    </row>
    <row r="861" spans="1:4" x14ac:dyDescent="0.25">
      <c r="A861" s="12" t="s">
        <v>7222</v>
      </c>
      <c r="B861" s="10" t="str">
        <f>_xlfn.IFNA(VLOOKUP($A861,CompChecksTrans!$A:$C,2,FALSE), "")</f>
        <v/>
      </c>
      <c r="C861" s="10" t="str">
        <f>_xlfn.IFNA(VLOOKUP(B861,Phase3!A$4:C$1000,3,FALSE),"")</f>
        <v/>
      </c>
      <c r="D861" s="10" t="str">
        <f>_xlfn.IFNA(VLOOKUP($A861,CompChecksTrans!$A:$C,3,FALSE), "     ")</f>
        <v xml:space="preserve">     </v>
      </c>
    </row>
    <row r="862" spans="1:4" x14ac:dyDescent="0.25">
      <c r="A862" s="12" t="s">
        <v>7223</v>
      </c>
      <c r="B862" s="10" t="str">
        <f>_xlfn.IFNA(VLOOKUP($A862,CompChecksTrans!$A:$C,2,FALSE), "")</f>
        <v/>
      </c>
      <c r="C862" s="10" t="str">
        <f>_xlfn.IFNA(VLOOKUP(B862,Phase3!A$4:C$1000,3,FALSE),"")</f>
        <v/>
      </c>
      <c r="D862" s="10" t="str">
        <f>_xlfn.IFNA(VLOOKUP($A862,CompChecksTrans!$A:$C,3,FALSE), "     ")</f>
        <v xml:space="preserve">     </v>
      </c>
    </row>
    <row r="863" spans="1:4" x14ac:dyDescent="0.25">
      <c r="A863" s="12" t="s">
        <v>7224</v>
      </c>
      <c r="B863" s="10" t="str">
        <f>_xlfn.IFNA(VLOOKUP($A863,CompChecksTrans!$A:$C,2,FALSE), "")</f>
        <v/>
      </c>
      <c r="C863" s="10" t="str">
        <f>_xlfn.IFNA(VLOOKUP(B863,Phase3!A$4:C$1000,3,FALSE),"")</f>
        <v/>
      </c>
      <c r="D863" s="10" t="str">
        <f>_xlfn.IFNA(VLOOKUP($A863,CompChecksTrans!$A:$C,3,FALSE), "     ")</f>
        <v xml:space="preserve">     </v>
      </c>
    </row>
    <row r="864" spans="1:4" x14ac:dyDescent="0.25">
      <c r="A864" s="12" t="s">
        <v>7225</v>
      </c>
      <c r="B864" s="10" t="str">
        <f>_xlfn.IFNA(VLOOKUP($A864,CompChecksTrans!$A:$C,2,FALSE), "")</f>
        <v/>
      </c>
      <c r="C864" s="10" t="str">
        <f>_xlfn.IFNA(VLOOKUP(B864,Phase3!A$4:C$1000,3,FALSE),"")</f>
        <v/>
      </c>
      <c r="D864" s="10" t="str">
        <f>_xlfn.IFNA(VLOOKUP($A864,CompChecksTrans!$A:$C,3,FALSE), "     ")</f>
        <v xml:space="preserve">     </v>
      </c>
    </row>
    <row r="865" spans="1:4" x14ac:dyDescent="0.25">
      <c r="A865" s="12" t="s">
        <v>7226</v>
      </c>
      <c r="B865" s="10" t="str">
        <f>_xlfn.IFNA(VLOOKUP($A865,CompChecksTrans!$A:$C,2,FALSE), "")</f>
        <v/>
      </c>
      <c r="C865" s="10" t="str">
        <f>_xlfn.IFNA(VLOOKUP(B865,Phase3!A$4:C$1000,3,FALSE),"")</f>
        <v/>
      </c>
      <c r="D865" s="10" t="str">
        <f>_xlfn.IFNA(VLOOKUP($A865,CompChecksTrans!$A:$C,3,FALSE), "     ")</f>
        <v xml:space="preserve">     </v>
      </c>
    </row>
    <row r="866" spans="1:4" x14ac:dyDescent="0.25">
      <c r="A866" s="12" t="s">
        <v>7227</v>
      </c>
      <c r="B866" s="10" t="str">
        <f>_xlfn.IFNA(VLOOKUP($A866,CompChecksTrans!$A:$C,2,FALSE), "")</f>
        <v/>
      </c>
      <c r="C866" s="10" t="str">
        <f>_xlfn.IFNA(VLOOKUP(B866,Phase3!A$4:C$1000,3,FALSE),"")</f>
        <v/>
      </c>
      <c r="D866" s="10" t="str">
        <f>_xlfn.IFNA(VLOOKUP($A866,CompChecksTrans!$A:$C,3,FALSE), "     ")</f>
        <v xml:space="preserve">     </v>
      </c>
    </row>
    <row r="867" spans="1:4" x14ac:dyDescent="0.25">
      <c r="A867" s="12" t="s">
        <v>7228</v>
      </c>
      <c r="B867" s="10" t="str">
        <f>_xlfn.IFNA(VLOOKUP($A867,CompChecksTrans!$A:$C,2,FALSE), "")</f>
        <v/>
      </c>
      <c r="C867" s="10" t="str">
        <f>_xlfn.IFNA(VLOOKUP(B867,Phase3!A$4:C$1000,3,FALSE),"")</f>
        <v/>
      </c>
      <c r="D867" s="10" t="str">
        <f>_xlfn.IFNA(VLOOKUP($A867,CompChecksTrans!$A:$C,3,FALSE), "     ")</f>
        <v xml:space="preserve">     </v>
      </c>
    </row>
    <row r="868" spans="1:4" x14ac:dyDescent="0.25">
      <c r="A868" s="12" t="s">
        <v>7229</v>
      </c>
      <c r="B868" s="10" t="str">
        <f>_xlfn.IFNA(VLOOKUP($A868,CompChecksTrans!$A:$C,2,FALSE), "")</f>
        <v/>
      </c>
      <c r="C868" s="10" t="str">
        <f>_xlfn.IFNA(VLOOKUP(B868,Phase3!A$4:C$1000,3,FALSE),"")</f>
        <v/>
      </c>
      <c r="D868" s="10" t="str">
        <f>_xlfn.IFNA(VLOOKUP($A868,CompChecksTrans!$A:$C,3,FALSE), "     ")</f>
        <v xml:space="preserve">     </v>
      </c>
    </row>
    <row r="869" spans="1:4" x14ac:dyDescent="0.25">
      <c r="A869" s="12" t="s">
        <v>7230</v>
      </c>
      <c r="B869" s="10" t="str">
        <f>_xlfn.IFNA(VLOOKUP($A869,CompChecksTrans!$A:$C,2,FALSE), "")</f>
        <v/>
      </c>
      <c r="C869" s="10" t="str">
        <f>_xlfn.IFNA(VLOOKUP(B869,Phase3!A$4:C$1000,3,FALSE),"")</f>
        <v/>
      </c>
      <c r="D869" s="10" t="str">
        <f>_xlfn.IFNA(VLOOKUP($A869,CompChecksTrans!$A:$C,3,FALSE), "     ")</f>
        <v xml:space="preserve">     </v>
      </c>
    </row>
    <row r="870" spans="1:4" x14ac:dyDescent="0.25">
      <c r="A870" s="12" t="s">
        <v>7231</v>
      </c>
      <c r="B870" s="10" t="str">
        <f>_xlfn.IFNA(VLOOKUP($A870,CompChecksTrans!$A:$C,2,FALSE), "")</f>
        <v/>
      </c>
      <c r="C870" s="10" t="str">
        <f>_xlfn.IFNA(VLOOKUP(B870,Phase3!A$4:C$1000,3,FALSE),"")</f>
        <v/>
      </c>
      <c r="D870" s="10" t="str">
        <f>_xlfn.IFNA(VLOOKUP($A870,CompChecksTrans!$A:$C,3,FALSE), "     ")</f>
        <v xml:space="preserve">     </v>
      </c>
    </row>
    <row r="871" spans="1:4" x14ac:dyDescent="0.25">
      <c r="A871" s="12" t="s">
        <v>7232</v>
      </c>
      <c r="B871" s="10" t="str">
        <f>_xlfn.IFNA(VLOOKUP($A871,CompChecksTrans!$A:$C,2,FALSE), "")</f>
        <v/>
      </c>
      <c r="C871" s="10" t="str">
        <f>_xlfn.IFNA(VLOOKUP(B871,Phase3!A$4:C$1000,3,FALSE),"")</f>
        <v/>
      </c>
      <c r="D871" s="10" t="str">
        <f>_xlfn.IFNA(VLOOKUP($A871,CompChecksTrans!$A:$C,3,FALSE), "     ")</f>
        <v xml:space="preserve">     </v>
      </c>
    </row>
    <row r="872" spans="1:4" x14ac:dyDescent="0.25">
      <c r="A872" s="12" t="s">
        <v>7233</v>
      </c>
      <c r="B872" s="10" t="str">
        <f>_xlfn.IFNA(VLOOKUP($A872,CompChecksTrans!$A:$C,2,FALSE), "")</f>
        <v/>
      </c>
      <c r="C872" s="10" t="str">
        <f>_xlfn.IFNA(VLOOKUP(B872,Phase3!A$4:C$1000,3,FALSE),"")</f>
        <v/>
      </c>
      <c r="D872" s="10" t="str">
        <f>_xlfn.IFNA(VLOOKUP($A872,CompChecksTrans!$A:$C,3,FALSE), "     ")</f>
        <v xml:space="preserve">     </v>
      </c>
    </row>
    <row r="873" spans="1:4" x14ac:dyDescent="0.25">
      <c r="A873" s="12" t="s">
        <v>7234</v>
      </c>
      <c r="B873" s="10" t="str">
        <f>_xlfn.IFNA(VLOOKUP($A873,CompChecksTrans!$A:$C,2,FALSE), "")</f>
        <v/>
      </c>
      <c r="C873" s="10" t="str">
        <f>_xlfn.IFNA(VLOOKUP(B873,Phase3!A$4:C$1000,3,FALSE),"")</f>
        <v/>
      </c>
      <c r="D873" s="10" t="str">
        <f>_xlfn.IFNA(VLOOKUP($A873,CompChecksTrans!$A:$C,3,FALSE), "     ")</f>
        <v xml:space="preserve">     </v>
      </c>
    </row>
    <row r="874" spans="1:4" x14ac:dyDescent="0.25">
      <c r="A874" s="12" t="s">
        <v>7235</v>
      </c>
      <c r="B874" s="10" t="str">
        <f>_xlfn.IFNA(VLOOKUP($A874,CompChecksTrans!$A:$C,2,FALSE), "")</f>
        <v/>
      </c>
      <c r="C874" s="10" t="str">
        <f>_xlfn.IFNA(VLOOKUP(B874,Phase3!A$4:C$1000,3,FALSE),"")</f>
        <v/>
      </c>
      <c r="D874" s="10" t="str">
        <f>_xlfn.IFNA(VLOOKUP($A874,CompChecksTrans!$A:$C,3,FALSE), "     ")</f>
        <v xml:space="preserve">     </v>
      </c>
    </row>
    <row r="875" spans="1:4" x14ac:dyDescent="0.25">
      <c r="A875" s="12" t="s">
        <v>7236</v>
      </c>
      <c r="B875" s="10" t="str">
        <f>_xlfn.IFNA(VLOOKUP($A875,CompChecksTrans!$A:$C,2,FALSE), "")</f>
        <v/>
      </c>
      <c r="C875" s="10" t="str">
        <f>_xlfn.IFNA(VLOOKUP(B875,Phase3!A$4:C$1000,3,FALSE),"")</f>
        <v/>
      </c>
      <c r="D875" s="10" t="str">
        <f>_xlfn.IFNA(VLOOKUP($A875,CompChecksTrans!$A:$C,3,FALSE), "     ")</f>
        <v xml:space="preserve">     </v>
      </c>
    </row>
    <row r="876" spans="1:4" x14ac:dyDescent="0.25">
      <c r="A876" s="12" t="s">
        <v>7237</v>
      </c>
      <c r="B876" s="10" t="str">
        <f>_xlfn.IFNA(VLOOKUP($A876,CompChecksTrans!$A:$C,2,FALSE), "")</f>
        <v/>
      </c>
      <c r="C876" s="10" t="str">
        <f>_xlfn.IFNA(VLOOKUP(B876,Phase3!A$4:C$1000,3,FALSE),"")</f>
        <v/>
      </c>
      <c r="D876" s="10" t="str">
        <f>_xlfn.IFNA(VLOOKUP($A876,CompChecksTrans!$A:$C,3,FALSE), "     ")</f>
        <v xml:space="preserve">     </v>
      </c>
    </row>
    <row r="877" spans="1:4" x14ac:dyDescent="0.25">
      <c r="A877" s="12" t="s">
        <v>7238</v>
      </c>
      <c r="B877" s="10" t="str">
        <f>_xlfn.IFNA(VLOOKUP($A877,CompChecksTrans!$A:$C,2,FALSE), "")</f>
        <v/>
      </c>
      <c r="C877" s="10" t="str">
        <f>_xlfn.IFNA(VLOOKUP(B877,Phase3!A$4:C$1000,3,FALSE),"")</f>
        <v/>
      </c>
      <c r="D877" s="10" t="str">
        <f>_xlfn.IFNA(VLOOKUP($A877,CompChecksTrans!$A:$C,3,FALSE), "     ")</f>
        <v xml:space="preserve">     </v>
      </c>
    </row>
    <row r="878" spans="1:4" x14ac:dyDescent="0.25">
      <c r="A878" s="12" t="s">
        <v>7239</v>
      </c>
      <c r="B878" s="10" t="str">
        <f>_xlfn.IFNA(VLOOKUP($A878,CompChecksTrans!$A:$C,2,FALSE), "")</f>
        <v/>
      </c>
      <c r="C878" s="10" t="str">
        <f>_xlfn.IFNA(VLOOKUP(B878,Phase3!A$4:C$1000,3,FALSE),"")</f>
        <v/>
      </c>
      <c r="D878" s="10" t="str">
        <f>_xlfn.IFNA(VLOOKUP($A878,CompChecksTrans!$A:$C,3,FALSE), "     ")</f>
        <v xml:space="preserve">     </v>
      </c>
    </row>
    <row r="879" spans="1:4" x14ac:dyDescent="0.25">
      <c r="A879" s="12" t="s">
        <v>7240</v>
      </c>
      <c r="B879" s="10" t="str">
        <f>_xlfn.IFNA(VLOOKUP($A879,CompChecksTrans!$A:$C,2,FALSE), "")</f>
        <v/>
      </c>
      <c r="C879" s="10" t="str">
        <f>_xlfn.IFNA(VLOOKUP(B879,Phase3!A$4:C$1000,3,FALSE),"")</f>
        <v/>
      </c>
      <c r="D879" s="10" t="str">
        <f>_xlfn.IFNA(VLOOKUP($A879,CompChecksTrans!$A:$C,3,FALSE), "     ")</f>
        <v xml:space="preserve">     </v>
      </c>
    </row>
    <row r="880" spans="1:4" x14ac:dyDescent="0.25">
      <c r="A880" s="12" t="s">
        <v>7241</v>
      </c>
      <c r="B880" s="10" t="str">
        <f>_xlfn.IFNA(VLOOKUP($A880,CompChecksTrans!$A:$C,2,FALSE), "")</f>
        <v/>
      </c>
      <c r="C880" s="10" t="str">
        <f>_xlfn.IFNA(VLOOKUP(B880,Phase3!A$4:C$1000,3,FALSE),"")</f>
        <v/>
      </c>
      <c r="D880" s="10" t="str">
        <f>_xlfn.IFNA(VLOOKUP($A880,CompChecksTrans!$A:$C,3,FALSE), "     ")</f>
        <v xml:space="preserve">     </v>
      </c>
    </row>
    <row r="881" spans="1:4" x14ac:dyDescent="0.25">
      <c r="A881" s="12" t="s">
        <v>7242</v>
      </c>
      <c r="B881" s="10" t="str">
        <f>_xlfn.IFNA(VLOOKUP($A881,CompChecksTrans!$A:$C,2,FALSE), "")</f>
        <v/>
      </c>
      <c r="C881" s="10" t="str">
        <f>_xlfn.IFNA(VLOOKUP(B881,Phase3!A$4:C$1000,3,FALSE),"")</f>
        <v/>
      </c>
      <c r="D881" s="10" t="str">
        <f>_xlfn.IFNA(VLOOKUP($A881,CompChecksTrans!$A:$C,3,FALSE), "     ")</f>
        <v xml:space="preserve">     </v>
      </c>
    </row>
    <row r="882" spans="1:4" x14ac:dyDescent="0.25">
      <c r="A882" s="12" t="s">
        <v>7243</v>
      </c>
      <c r="B882" s="10" t="str">
        <f>_xlfn.IFNA(VLOOKUP($A882,CompChecksTrans!$A:$C,2,FALSE), "")</f>
        <v/>
      </c>
      <c r="C882" s="10" t="str">
        <f>_xlfn.IFNA(VLOOKUP(B882,Phase3!A$4:C$1000,3,FALSE),"")</f>
        <v/>
      </c>
      <c r="D882" s="10" t="str">
        <f>_xlfn.IFNA(VLOOKUP($A882,CompChecksTrans!$A:$C,3,FALSE), "     ")</f>
        <v xml:space="preserve">     </v>
      </c>
    </row>
    <row r="883" spans="1:4" x14ac:dyDescent="0.25">
      <c r="A883" s="12" t="s">
        <v>7244</v>
      </c>
      <c r="B883" s="10" t="str">
        <f>_xlfn.IFNA(VLOOKUP($A883,CompChecksTrans!$A:$C,2,FALSE), "")</f>
        <v/>
      </c>
      <c r="C883" s="10" t="str">
        <f>_xlfn.IFNA(VLOOKUP(B883,Phase3!A$4:C$1000,3,FALSE),"")</f>
        <v/>
      </c>
      <c r="D883" s="10" t="str">
        <f>_xlfn.IFNA(VLOOKUP($A883,CompChecksTrans!$A:$C,3,FALSE), "     ")</f>
        <v xml:space="preserve">     </v>
      </c>
    </row>
    <row r="884" spans="1:4" x14ac:dyDescent="0.25">
      <c r="A884" s="12" t="s">
        <v>7245</v>
      </c>
      <c r="B884" s="10" t="str">
        <f>_xlfn.IFNA(VLOOKUP($A884,CompChecksTrans!$A:$C,2,FALSE), "")</f>
        <v/>
      </c>
      <c r="C884" s="10" t="str">
        <f>_xlfn.IFNA(VLOOKUP(B884,Phase3!A$4:C$1000,3,FALSE),"")</f>
        <v/>
      </c>
      <c r="D884" s="10" t="str">
        <f>_xlfn.IFNA(VLOOKUP($A884,CompChecksTrans!$A:$C,3,FALSE), "     ")</f>
        <v xml:space="preserve">     </v>
      </c>
    </row>
    <row r="885" spans="1:4" x14ac:dyDescent="0.25">
      <c r="A885" s="12" t="s">
        <v>7246</v>
      </c>
      <c r="B885" s="10" t="str">
        <f>_xlfn.IFNA(VLOOKUP($A885,CompChecksTrans!$A:$C,2,FALSE), "")</f>
        <v/>
      </c>
      <c r="C885" s="10" t="str">
        <f>_xlfn.IFNA(VLOOKUP(B885,Phase3!A$4:C$1000,3,FALSE),"")</f>
        <v/>
      </c>
      <c r="D885" s="10" t="str">
        <f>_xlfn.IFNA(VLOOKUP($A885,CompChecksTrans!$A:$C,3,FALSE), "     ")</f>
        <v xml:space="preserve">     </v>
      </c>
    </row>
    <row r="886" spans="1:4" x14ac:dyDescent="0.25">
      <c r="A886" s="12" t="s">
        <v>7247</v>
      </c>
      <c r="B886" s="10" t="str">
        <f>_xlfn.IFNA(VLOOKUP($A886,CompChecksTrans!$A:$C,2,FALSE), "")</f>
        <v/>
      </c>
      <c r="C886" s="10" t="str">
        <f>_xlfn.IFNA(VLOOKUP(B886,Phase3!A$4:C$1000,3,FALSE),"")</f>
        <v/>
      </c>
      <c r="D886" s="10" t="str">
        <f>_xlfn.IFNA(VLOOKUP($A886,CompChecksTrans!$A:$C,3,FALSE), "     ")</f>
        <v xml:space="preserve">     </v>
      </c>
    </row>
    <row r="887" spans="1:4" x14ac:dyDescent="0.25">
      <c r="A887" s="12" t="s">
        <v>7248</v>
      </c>
      <c r="B887" s="10" t="str">
        <f>_xlfn.IFNA(VLOOKUP($A887,CompChecksTrans!$A:$C,2,FALSE), "")</f>
        <v/>
      </c>
      <c r="C887" s="10" t="str">
        <f>_xlfn.IFNA(VLOOKUP(B887,Phase3!A$4:C$1000,3,FALSE),"")</f>
        <v/>
      </c>
      <c r="D887" s="10" t="str">
        <f>_xlfn.IFNA(VLOOKUP($A887,CompChecksTrans!$A:$C,3,FALSE), "     ")</f>
        <v xml:space="preserve">     </v>
      </c>
    </row>
    <row r="888" spans="1:4" x14ac:dyDescent="0.25">
      <c r="A888" s="12" t="s">
        <v>7249</v>
      </c>
      <c r="B888" s="10" t="str">
        <f>_xlfn.IFNA(VLOOKUP($A888,CompChecksTrans!$A:$C,2,FALSE), "")</f>
        <v/>
      </c>
      <c r="C888" s="10" t="str">
        <f>_xlfn.IFNA(VLOOKUP(B888,Phase3!A$4:C$1000,3,FALSE),"")</f>
        <v/>
      </c>
      <c r="D888" s="10" t="str">
        <f>_xlfn.IFNA(VLOOKUP($A888,CompChecksTrans!$A:$C,3,FALSE), "     ")</f>
        <v xml:space="preserve">     </v>
      </c>
    </row>
    <row r="889" spans="1:4" x14ac:dyDescent="0.25">
      <c r="A889" s="12" t="s">
        <v>7250</v>
      </c>
      <c r="B889" s="10" t="str">
        <f>_xlfn.IFNA(VLOOKUP($A889,CompChecksTrans!$A:$C,2,FALSE), "")</f>
        <v/>
      </c>
      <c r="C889" s="10" t="str">
        <f>_xlfn.IFNA(VLOOKUP(B889,Phase3!A$4:C$1000,3,FALSE),"")</f>
        <v/>
      </c>
      <c r="D889" s="10" t="str">
        <f>_xlfn.IFNA(VLOOKUP($A889,CompChecksTrans!$A:$C,3,FALSE), "     ")</f>
        <v xml:space="preserve">     </v>
      </c>
    </row>
    <row r="890" spans="1:4" x14ac:dyDescent="0.25">
      <c r="A890" s="12" t="s">
        <v>7251</v>
      </c>
      <c r="B890" s="10" t="str">
        <f>_xlfn.IFNA(VLOOKUP($A890,CompChecksTrans!$A:$C,2,FALSE), "")</f>
        <v/>
      </c>
      <c r="C890" s="10" t="str">
        <f>_xlfn.IFNA(VLOOKUP(B890,Phase3!A$4:C$1000,3,FALSE),"")</f>
        <v/>
      </c>
      <c r="D890" s="10" t="str">
        <f>_xlfn.IFNA(VLOOKUP($A890,CompChecksTrans!$A:$C,3,FALSE), "     ")</f>
        <v xml:space="preserve">     </v>
      </c>
    </row>
    <row r="891" spans="1:4" x14ac:dyDescent="0.25">
      <c r="A891" s="12" t="s">
        <v>7252</v>
      </c>
      <c r="B891" s="10" t="str">
        <f>_xlfn.IFNA(VLOOKUP($A891,CompChecksTrans!$A:$C,2,FALSE), "")</f>
        <v/>
      </c>
      <c r="C891" s="10" t="str">
        <f>_xlfn.IFNA(VLOOKUP(B891,Phase3!A$4:C$1000,3,FALSE),"")</f>
        <v/>
      </c>
      <c r="D891" s="10" t="str">
        <f>_xlfn.IFNA(VLOOKUP($A891,CompChecksTrans!$A:$C,3,FALSE), "     ")</f>
        <v xml:space="preserve">     </v>
      </c>
    </row>
    <row r="892" spans="1:4" x14ac:dyDescent="0.25">
      <c r="A892" s="12" t="s">
        <v>7253</v>
      </c>
      <c r="B892" s="10" t="str">
        <f>_xlfn.IFNA(VLOOKUP($A892,CompChecksTrans!$A:$C,2,FALSE), "")</f>
        <v/>
      </c>
      <c r="C892" s="10" t="str">
        <f>_xlfn.IFNA(VLOOKUP(B892,Phase3!A$4:C$1000,3,FALSE),"")</f>
        <v/>
      </c>
      <c r="D892" s="10" t="str">
        <f>_xlfn.IFNA(VLOOKUP($A892,CompChecksTrans!$A:$C,3,FALSE), "     ")</f>
        <v xml:space="preserve">     </v>
      </c>
    </row>
    <row r="893" spans="1:4" x14ac:dyDescent="0.25">
      <c r="A893" s="12" t="s">
        <v>7254</v>
      </c>
      <c r="B893" s="10" t="str">
        <f>_xlfn.IFNA(VLOOKUP($A893,CompChecksTrans!$A:$C,2,FALSE), "")</f>
        <v/>
      </c>
      <c r="C893" s="10" t="str">
        <f>_xlfn.IFNA(VLOOKUP(B893,Phase3!A$4:C$1000,3,FALSE),"")</f>
        <v/>
      </c>
      <c r="D893" s="10" t="str">
        <f>_xlfn.IFNA(VLOOKUP($A893,CompChecksTrans!$A:$C,3,FALSE), "     ")</f>
        <v xml:space="preserve">     </v>
      </c>
    </row>
    <row r="894" spans="1:4" x14ac:dyDescent="0.25">
      <c r="A894" s="12" t="s">
        <v>7255</v>
      </c>
      <c r="B894" s="10" t="str">
        <f>_xlfn.IFNA(VLOOKUP($A894,CompChecksTrans!$A:$C,2,FALSE), "")</f>
        <v/>
      </c>
      <c r="C894" s="10" t="str">
        <f>_xlfn.IFNA(VLOOKUP(B894,Phase3!A$4:C$1000,3,FALSE),"")</f>
        <v/>
      </c>
      <c r="D894" s="10" t="str">
        <f>_xlfn.IFNA(VLOOKUP($A894,CompChecksTrans!$A:$C,3,FALSE), "     ")</f>
        <v xml:space="preserve">     </v>
      </c>
    </row>
    <row r="895" spans="1:4" x14ac:dyDescent="0.25">
      <c r="A895" s="12" t="s">
        <v>7256</v>
      </c>
      <c r="B895" s="10" t="str">
        <f>_xlfn.IFNA(VLOOKUP($A895,CompChecksTrans!$A:$C,2,FALSE), "")</f>
        <v/>
      </c>
      <c r="C895" s="10" t="str">
        <f>_xlfn.IFNA(VLOOKUP(B895,Phase3!A$4:C$1000,3,FALSE),"")</f>
        <v/>
      </c>
      <c r="D895" s="10" t="str">
        <f>_xlfn.IFNA(VLOOKUP($A895,CompChecksTrans!$A:$C,3,FALSE), "     ")</f>
        <v xml:space="preserve">     </v>
      </c>
    </row>
    <row r="896" spans="1:4" x14ac:dyDescent="0.25">
      <c r="A896" s="12" t="s">
        <v>7257</v>
      </c>
      <c r="B896" s="10" t="str">
        <f>_xlfn.IFNA(VLOOKUP($A896,CompChecksTrans!$A:$C,2,FALSE), "")</f>
        <v/>
      </c>
      <c r="C896" s="10" t="str">
        <f>_xlfn.IFNA(VLOOKUP(B896,Phase3!A$4:C$1000,3,FALSE),"")</f>
        <v/>
      </c>
      <c r="D896" s="10" t="str">
        <f>_xlfn.IFNA(VLOOKUP($A896,CompChecksTrans!$A:$C,3,FALSE), "     ")</f>
        <v xml:space="preserve">     </v>
      </c>
    </row>
    <row r="897" spans="1:4" x14ac:dyDescent="0.25">
      <c r="A897" s="12" t="s">
        <v>7258</v>
      </c>
      <c r="B897" s="10" t="str">
        <f>_xlfn.IFNA(VLOOKUP($A897,CompChecksTrans!$A:$C,2,FALSE), "")</f>
        <v/>
      </c>
      <c r="C897" s="10" t="str">
        <f>_xlfn.IFNA(VLOOKUP(B897,Phase3!A$4:C$1000,3,FALSE),"")</f>
        <v/>
      </c>
      <c r="D897" s="10" t="str">
        <f>_xlfn.IFNA(VLOOKUP($A897,CompChecksTrans!$A:$C,3,FALSE), "     ")</f>
        <v xml:space="preserve">     </v>
      </c>
    </row>
    <row r="898" spans="1:4" x14ac:dyDescent="0.25">
      <c r="A898" s="12" t="s">
        <v>7259</v>
      </c>
      <c r="B898" s="10" t="str">
        <f>_xlfn.IFNA(VLOOKUP($A898,CompChecksTrans!$A:$C,2,FALSE), "")</f>
        <v/>
      </c>
      <c r="C898" s="10" t="str">
        <f>_xlfn.IFNA(VLOOKUP(B898,Phase3!A$4:C$1000,3,FALSE),"")</f>
        <v/>
      </c>
      <c r="D898" s="10" t="str">
        <f>_xlfn.IFNA(VLOOKUP($A898,CompChecksTrans!$A:$C,3,FALSE), "     ")</f>
        <v xml:space="preserve">     </v>
      </c>
    </row>
    <row r="899" spans="1:4" x14ac:dyDescent="0.25">
      <c r="A899" s="12" t="s">
        <v>7260</v>
      </c>
      <c r="B899" s="10" t="str">
        <f>_xlfn.IFNA(VLOOKUP($A899,CompChecksTrans!$A:$C,2,FALSE), "")</f>
        <v/>
      </c>
      <c r="C899" s="10" t="str">
        <f>_xlfn.IFNA(VLOOKUP(B899,Phase3!A$4:C$1000,3,FALSE),"")</f>
        <v/>
      </c>
      <c r="D899" s="10" t="str">
        <f>_xlfn.IFNA(VLOOKUP($A899,CompChecksTrans!$A:$C,3,FALSE), "     ")</f>
        <v xml:space="preserve">     </v>
      </c>
    </row>
    <row r="900" spans="1:4" x14ac:dyDescent="0.25">
      <c r="A900" s="12" t="s">
        <v>7261</v>
      </c>
      <c r="B900" s="10" t="str">
        <f>_xlfn.IFNA(VLOOKUP($A900,CompChecksTrans!$A:$C,2,FALSE), "")</f>
        <v/>
      </c>
      <c r="C900" s="10" t="str">
        <f>_xlfn.IFNA(VLOOKUP(B900,Phase3!A$4:C$1000,3,FALSE),"")</f>
        <v/>
      </c>
      <c r="D900" s="10" t="str">
        <f>_xlfn.IFNA(VLOOKUP($A900,CompChecksTrans!$A:$C,3,FALSE), "     ")</f>
        <v xml:space="preserve">     </v>
      </c>
    </row>
    <row r="901" spans="1:4" x14ac:dyDescent="0.25">
      <c r="A901" s="12" t="s">
        <v>7262</v>
      </c>
      <c r="B901" s="10" t="str">
        <f>_xlfn.IFNA(VLOOKUP($A901,CompChecksTrans!$A:$C,2,FALSE), "")</f>
        <v/>
      </c>
      <c r="C901" s="10" t="str">
        <f>_xlfn.IFNA(VLOOKUP(B901,Phase3!A$4:C$1000,3,FALSE),"")</f>
        <v/>
      </c>
      <c r="D901" s="10" t="str">
        <f>_xlfn.IFNA(VLOOKUP($A901,CompChecksTrans!$A:$C,3,FALSE), "     ")</f>
        <v xml:space="preserve">     </v>
      </c>
    </row>
    <row r="902" spans="1:4" x14ac:dyDescent="0.25">
      <c r="A902" s="12" t="s">
        <v>7263</v>
      </c>
      <c r="B902" s="10" t="str">
        <f>_xlfn.IFNA(VLOOKUP($A902,CompChecksTrans!$A:$C,2,FALSE), "")</f>
        <v/>
      </c>
      <c r="C902" s="10" t="str">
        <f>_xlfn.IFNA(VLOOKUP(B902,Phase3!A$4:C$1000,3,FALSE),"")</f>
        <v/>
      </c>
      <c r="D902" s="10" t="str">
        <f>_xlfn.IFNA(VLOOKUP($A902,CompChecksTrans!$A:$C,3,FALSE), "     ")</f>
        <v xml:space="preserve">     </v>
      </c>
    </row>
    <row r="903" spans="1:4" x14ac:dyDescent="0.25">
      <c r="A903" s="12" t="s">
        <v>7264</v>
      </c>
      <c r="B903" s="10" t="str">
        <f>_xlfn.IFNA(VLOOKUP($A903,CompChecksTrans!$A:$C,2,FALSE), "")</f>
        <v/>
      </c>
      <c r="C903" s="10" t="str">
        <f>_xlfn.IFNA(VLOOKUP(B903,Phase3!A$4:C$1000,3,FALSE),"")</f>
        <v/>
      </c>
      <c r="D903" s="10" t="str">
        <f>_xlfn.IFNA(VLOOKUP($A903,CompChecksTrans!$A:$C,3,FALSE), "     ")</f>
        <v xml:space="preserve">     </v>
      </c>
    </row>
    <row r="904" spans="1:4" x14ac:dyDescent="0.25">
      <c r="A904" s="12" t="s">
        <v>7265</v>
      </c>
      <c r="B904" s="10" t="str">
        <f>_xlfn.IFNA(VLOOKUP($A904,CompChecksTrans!$A:$C,2,FALSE), "")</f>
        <v/>
      </c>
      <c r="C904" s="10" t="str">
        <f>_xlfn.IFNA(VLOOKUP(B904,Phase3!A$4:C$1000,3,FALSE),"")</f>
        <v/>
      </c>
      <c r="D904" s="10" t="str">
        <f>_xlfn.IFNA(VLOOKUP($A904,CompChecksTrans!$A:$C,3,FALSE), "     ")</f>
        <v xml:space="preserve">     </v>
      </c>
    </row>
    <row r="905" spans="1:4" x14ac:dyDescent="0.25">
      <c r="A905" s="12" t="s">
        <v>7266</v>
      </c>
      <c r="B905" s="10" t="str">
        <f>_xlfn.IFNA(VLOOKUP($A905,CompChecksTrans!$A:$C,2,FALSE), "")</f>
        <v/>
      </c>
      <c r="C905" s="10" t="str">
        <f>_xlfn.IFNA(VLOOKUP(B905,Phase3!A$4:C$1000,3,FALSE),"")</f>
        <v/>
      </c>
      <c r="D905" s="10" t="str">
        <f>_xlfn.IFNA(VLOOKUP($A905,CompChecksTrans!$A:$C,3,FALSE), "     ")</f>
        <v xml:space="preserve">     </v>
      </c>
    </row>
    <row r="906" spans="1:4" x14ac:dyDescent="0.25">
      <c r="A906" s="12" t="s">
        <v>7267</v>
      </c>
      <c r="B906" s="10" t="str">
        <f>_xlfn.IFNA(VLOOKUP($A906,CompChecksTrans!$A:$C,2,FALSE), "")</f>
        <v/>
      </c>
      <c r="C906" s="10" t="str">
        <f>_xlfn.IFNA(VLOOKUP(B906,Phase3!A$4:C$1000,3,FALSE),"")</f>
        <v/>
      </c>
      <c r="D906" s="10" t="str">
        <f>_xlfn.IFNA(VLOOKUP($A906,CompChecksTrans!$A:$C,3,FALSE), "     ")</f>
        <v xml:space="preserve">     </v>
      </c>
    </row>
    <row r="907" spans="1:4" x14ac:dyDescent="0.25">
      <c r="A907" s="12" t="s">
        <v>7268</v>
      </c>
      <c r="B907" s="10" t="str">
        <f>_xlfn.IFNA(VLOOKUP($A907,CompChecksTrans!$A:$C,2,FALSE), "")</f>
        <v/>
      </c>
      <c r="C907" s="10" t="str">
        <f>_xlfn.IFNA(VLOOKUP(B907,Phase3!A$4:C$1000,3,FALSE),"")</f>
        <v/>
      </c>
      <c r="D907" s="10" t="str">
        <f>_xlfn.IFNA(VLOOKUP($A907,CompChecksTrans!$A:$C,3,FALSE), "     ")</f>
        <v xml:space="preserve">     </v>
      </c>
    </row>
    <row r="908" spans="1:4" x14ac:dyDescent="0.25">
      <c r="A908" s="12" t="s">
        <v>7269</v>
      </c>
      <c r="B908" s="10" t="str">
        <f>_xlfn.IFNA(VLOOKUP($A908,CompChecksTrans!$A:$C,2,FALSE), "")</f>
        <v/>
      </c>
      <c r="C908" s="10" t="str">
        <f>_xlfn.IFNA(VLOOKUP(B908,Phase3!A$4:C$1000,3,FALSE),"")</f>
        <v/>
      </c>
      <c r="D908" s="10" t="str">
        <f>_xlfn.IFNA(VLOOKUP($A908,CompChecksTrans!$A:$C,3,FALSE), "     ")</f>
        <v xml:space="preserve">     </v>
      </c>
    </row>
    <row r="909" spans="1:4" x14ac:dyDescent="0.25">
      <c r="A909" s="12" t="s">
        <v>7270</v>
      </c>
      <c r="B909" s="10" t="str">
        <f>_xlfn.IFNA(VLOOKUP($A909,CompChecksTrans!$A:$C,2,FALSE), "")</f>
        <v/>
      </c>
      <c r="C909" s="10" t="str">
        <f>_xlfn.IFNA(VLOOKUP(B909,Phase3!A$4:C$1000,3,FALSE),"")</f>
        <v/>
      </c>
      <c r="D909" s="10" t="str">
        <f>_xlfn.IFNA(VLOOKUP($A909,CompChecksTrans!$A:$C,3,FALSE), "     ")</f>
        <v xml:space="preserve">     </v>
      </c>
    </row>
    <row r="910" spans="1:4" x14ac:dyDescent="0.25">
      <c r="A910" s="12" t="s">
        <v>7271</v>
      </c>
      <c r="B910" s="10" t="str">
        <f>_xlfn.IFNA(VLOOKUP($A910,CompChecksTrans!$A:$C,2,FALSE), "")</f>
        <v/>
      </c>
      <c r="C910" s="10" t="str">
        <f>_xlfn.IFNA(VLOOKUP(B910,Phase3!A$4:C$1000,3,FALSE),"")</f>
        <v/>
      </c>
      <c r="D910" s="10" t="str">
        <f>_xlfn.IFNA(VLOOKUP($A910,CompChecksTrans!$A:$C,3,FALSE), "     ")</f>
        <v xml:space="preserve">     </v>
      </c>
    </row>
    <row r="911" spans="1:4" x14ac:dyDescent="0.25">
      <c r="A911" s="12" t="s">
        <v>7272</v>
      </c>
      <c r="B911" s="10" t="str">
        <f>_xlfn.IFNA(VLOOKUP($A911,CompChecksTrans!$A:$C,2,FALSE), "")</f>
        <v/>
      </c>
      <c r="C911" s="10" t="str">
        <f>_xlfn.IFNA(VLOOKUP(B911,Phase3!A$4:C$1000,3,FALSE),"")</f>
        <v/>
      </c>
      <c r="D911" s="10" t="str">
        <f>_xlfn.IFNA(VLOOKUP($A911,CompChecksTrans!$A:$C,3,FALSE), "     ")</f>
        <v xml:space="preserve">     </v>
      </c>
    </row>
    <row r="912" spans="1:4" x14ac:dyDescent="0.25">
      <c r="A912" s="12" t="s">
        <v>7273</v>
      </c>
      <c r="B912" s="10" t="str">
        <f>_xlfn.IFNA(VLOOKUP($A912,CompChecksTrans!$A:$C,2,FALSE), "")</f>
        <v/>
      </c>
      <c r="C912" s="10" t="str">
        <f>_xlfn.IFNA(VLOOKUP(B912,Phase3!A$4:C$1000,3,FALSE),"")</f>
        <v/>
      </c>
      <c r="D912" s="10" t="str">
        <f>_xlfn.IFNA(VLOOKUP($A912,CompChecksTrans!$A:$C,3,FALSE), "     ")</f>
        <v xml:space="preserve">     </v>
      </c>
    </row>
    <row r="913" spans="1:4" x14ac:dyDescent="0.25">
      <c r="A913" s="12" t="s">
        <v>7274</v>
      </c>
      <c r="B913" s="10" t="str">
        <f>_xlfn.IFNA(VLOOKUP($A913,CompChecksTrans!$A:$C,2,FALSE), "")</f>
        <v/>
      </c>
      <c r="C913" s="10" t="str">
        <f>_xlfn.IFNA(VLOOKUP(B913,Phase3!A$4:C$1000,3,FALSE),"")</f>
        <v/>
      </c>
      <c r="D913" s="10" t="str">
        <f>_xlfn.IFNA(VLOOKUP($A913,CompChecksTrans!$A:$C,3,FALSE), "     ")</f>
        <v xml:space="preserve">     </v>
      </c>
    </row>
    <row r="914" spans="1:4" x14ac:dyDescent="0.25">
      <c r="A914" s="12" t="s">
        <v>7275</v>
      </c>
      <c r="B914" s="10" t="str">
        <f>_xlfn.IFNA(VLOOKUP($A914,CompChecksTrans!$A:$C,2,FALSE), "")</f>
        <v/>
      </c>
      <c r="C914" s="10" t="str">
        <f>_xlfn.IFNA(VLOOKUP(B914,Phase3!A$4:C$1000,3,FALSE),"")</f>
        <v/>
      </c>
      <c r="D914" s="10" t="str">
        <f>_xlfn.IFNA(VLOOKUP($A914,CompChecksTrans!$A:$C,3,FALSE), "     ")</f>
        <v xml:space="preserve">     </v>
      </c>
    </row>
    <row r="915" spans="1:4" x14ac:dyDescent="0.25">
      <c r="A915" s="12" t="s">
        <v>7276</v>
      </c>
      <c r="B915" s="10" t="str">
        <f>_xlfn.IFNA(VLOOKUP($A915,CompChecksTrans!$A:$C,2,FALSE), "")</f>
        <v/>
      </c>
      <c r="C915" s="10" t="str">
        <f>_xlfn.IFNA(VLOOKUP(B915,Phase3!A$4:C$1000,3,FALSE),"")</f>
        <v/>
      </c>
      <c r="D915" s="10" t="str">
        <f>_xlfn.IFNA(VLOOKUP($A915,CompChecksTrans!$A:$C,3,FALSE), "     ")</f>
        <v xml:space="preserve">     </v>
      </c>
    </row>
    <row r="916" spans="1:4" x14ac:dyDescent="0.25">
      <c r="A916" s="12" t="s">
        <v>7277</v>
      </c>
      <c r="B916" s="10" t="str">
        <f>_xlfn.IFNA(VLOOKUP($A916,CompChecksTrans!$A:$C,2,FALSE), "")</f>
        <v/>
      </c>
      <c r="C916" s="10" t="str">
        <f>_xlfn.IFNA(VLOOKUP(B916,Phase3!A$4:C$1000,3,FALSE),"")</f>
        <v/>
      </c>
      <c r="D916" s="10" t="str">
        <f>_xlfn.IFNA(VLOOKUP($A916,CompChecksTrans!$A:$C,3,FALSE), "     ")</f>
        <v xml:space="preserve">     </v>
      </c>
    </row>
    <row r="917" spans="1:4" x14ac:dyDescent="0.25">
      <c r="A917" s="12" t="s">
        <v>7278</v>
      </c>
      <c r="B917" s="10" t="str">
        <f>_xlfn.IFNA(VLOOKUP($A917,CompChecksTrans!$A:$C,2,FALSE), "")</f>
        <v/>
      </c>
      <c r="C917" s="10" t="str">
        <f>_xlfn.IFNA(VLOOKUP(B917,Phase3!A$4:C$1000,3,FALSE),"")</f>
        <v/>
      </c>
      <c r="D917" s="10" t="str">
        <f>_xlfn.IFNA(VLOOKUP($A917,CompChecksTrans!$A:$C,3,FALSE), "     ")</f>
        <v xml:space="preserve">     </v>
      </c>
    </row>
    <row r="918" spans="1:4" x14ac:dyDescent="0.25">
      <c r="A918" s="12" t="s">
        <v>7279</v>
      </c>
      <c r="B918" s="10" t="str">
        <f>_xlfn.IFNA(VLOOKUP($A918,CompChecksTrans!$A:$C,2,FALSE), "")</f>
        <v/>
      </c>
      <c r="C918" s="10" t="str">
        <f>_xlfn.IFNA(VLOOKUP(B918,Phase3!A$4:C$1000,3,FALSE),"")</f>
        <v/>
      </c>
      <c r="D918" s="10" t="str">
        <f>_xlfn.IFNA(VLOOKUP($A918,CompChecksTrans!$A:$C,3,FALSE), "     ")</f>
        <v xml:space="preserve">     </v>
      </c>
    </row>
    <row r="919" spans="1:4" x14ac:dyDescent="0.25">
      <c r="A919" s="12" t="s">
        <v>7280</v>
      </c>
      <c r="B919" s="10" t="str">
        <f>_xlfn.IFNA(VLOOKUP($A919,CompChecksTrans!$A:$C,2,FALSE), "")</f>
        <v/>
      </c>
      <c r="C919" s="10" t="str">
        <f>_xlfn.IFNA(VLOOKUP(B919,Phase3!A$4:C$1000,3,FALSE),"")</f>
        <v/>
      </c>
      <c r="D919" s="10" t="str">
        <f>_xlfn.IFNA(VLOOKUP($A919,CompChecksTrans!$A:$C,3,FALSE), "     ")</f>
        <v xml:space="preserve">     </v>
      </c>
    </row>
    <row r="920" spans="1:4" x14ac:dyDescent="0.25">
      <c r="A920" s="12" t="s">
        <v>7281</v>
      </c>
      <c r="B920" s="10" t="str">
        <f>_xlfn.IFNA(VLOOKUP($A920,CompChecksTrans!$A:$C,2,FALSE), "")</f>
        <v/>
      </c>
      <c r="C920" s="10" t="str">
        <f>_xlfn.IFNA(VLOOKUP(B920,Phase3!A$4:C$1000,3,FALSE),"")</f>
        <v/>
      </c>
      <c r="D920" s="10" t="str">
        <f>_xlfn.IFNA(VLOOKUP($A920,CompChecksTrans!$A:$C,3,FALSE), "     ")</f>
        <v xml:space="preserve">     </v>
      </c>
    </row>
    <row r="921" spans="1:4" x14ac:dyDescent="0.25">
      <c r="A921" s="12" t="s">
        <v>7282</v>
      </c>
      <c r="B921" s="10" t="str">
        <f>_xlfn.IFNA(VLOOKUP($A921,CompChecksTrans!$A:$C,2,FALSE), "")</f>
        <v/>
      </c>
      <c r="C921" s="10" t="str">
        <f>_xlfn.IFNA(VLOOKUP(B921,Phase3!A$4:C$1000,3,FALSE),"")</f>
        <v/>
      </c>
      <c r="D921" s="10" t="str">
        <f>_xlfn.IFNA(VLOOKUP($A921,CompChecksTrans!$A:$C,3,FALSE), "     ")</f>
        <v xml:space="preserve">     </v>
      </c>
    </row>
    <row r="922" spans="1:4" x14ac:dyDescent="0.25">
      <c r="A922" s="12" t="s">
        <v>7283</v>
      </c>
      <c r="B922" s="10" t="str">
        <f>_xlfn.IFNA(VLOOKUP($A922,CompChecksTrans!$A:$C,2,FALSE), "")</f>
        <v/>
      </c>
      <c r="C922" s="10" t="str">
        <f>_xlfn.IFNA(VLOOKUP(B922,Phase3!A$4:C$1000,3,FALSE),"")</f>
        <v/>
      </c>
      <c r="D922" s="10" t="str">
        <f>_xlfn.IFNA(VLOOKUP($A922,CompChecksTrans!$A:$C,3,FALSE), "     ")</f>
        <v xml:space="preserve">     </v>
      </c>
    </row>
    <row r="923" spans="1:4" x14ac:dyDescent="0.25">
      <c r="A923" s="12" t="s">
        <v>7284</v>
      </c>
      <c r="B923" s="10" t="str">
        <f>_xlfn.IFNA(VLOOKUP($A923,CompChecksTrans!$A:$C,2,FALSE), "")</f>
        <v/>
      </c>
      <c r="C923" s="10" t="str">
        <f>_xlfn.IFNA(VLOOKUP(B923,Phase3!A$4:C$1000,3,FALSE),"")</f>
        <v/>
      </c>
      <c r="D923" s="10" t="str">
        <f>_xlfn.IFNA(VLOOKUP($A923,CompChecksTrans!$A:$C,3,FALSE), "     ")</f>
        <v xml:space="preserve">     </v>
      </c>
    </row>
    <row r="924" spans="1:4" x14ac:dyDescent="0.25">
      <c r="A924" s="12" t="s">
        <v>7285</v>
      </c>
      <c r="B924" s="10" t="str">
        <f>_xlfn.IFNA(VLOOKUP($A924,CompChecksTrans!$A:$C,2,FALSE), "")</f>
        <v/>
      </c>
      <c r="C924" s="10" t="str">
        <f>_xlfn.IFNA(VLOOKUP(B924,Phase3!A$4:C$1000,3,FALSE),"")</f>
        <v/>
      </c>
      <c r="D924" s="10" t="str">
        <f>_xlfn.IFNA(VLOOKUP($A924,CompChecksTrans!$A:$C,3,FALSE), "     ")</f>
        <v xml:space="preserve">     </v>
      </c>
    </row>
    <row r="925" spans="1:4" x14ac:dyDescent="0.25">
      <c r="A925" s="12" t="s">
        <v>7286</v>
      </c>
      <c r="B925" s="10" t="str">
        <f>_xlfn.IFNA(VLOOKUP($A925,CompChecksTrans!$A:$C,2,FALSE), "")</f>
        <v/>
      </c>
      <c r="C925" s="10" t="str">
        <f>_xlfn.IFNA(VLOOKUP(B925,Phase3!A$4:C$1000,3,FALSE),"")</f>
        <v/>
      </c>
      <c r="D925" s="10" t="str">
        <f>_xlfn.IFNA(VLOOKUP($A925,CompChecksTrans!$A:$C,3,FALSE), "     ")</f>
        <v xml:space="preserve">     </v>
      </c>
    </row>
    <row r="926" spans="1:4" x14ac:dyDescent="0.25">
      <c r="A926" s="12" t="s">
        <v>7287</v>
      </c>
      <c r="B926" s="10" t="str">
        <f>_xlfn.IFNA(VLOOKUP($A926,CompChecksTrans!$A:$C,2,FALSE), "")</f>
        <v/>
      </c>
      <c r="C926" s="10" t="str">
        <f>_xlfn.IFNA(VLOOKUP(B926,Phase3!A$4:C$1000,3,FALSE),"")</f>
        <v/>
      </c>
      <c r="D926" s="10" t="str">
        <f>_xlfn.IFNA(VLOOKUP($A926,CompChecksTrans!$A:$C,3,FALSE), "     ")</f>
        <v xml:space="preserve">     </v>
      </c>
    </row>
    <row r="927" spans="1:4" x14ac:dyDescent="0.25">
      <c r="A927" s="12" t="s">
        <v>7288</v>
      </c>
      <c r="B927" s="10" t="str">
        <f>_xlfn.IFNA(VLOOKUP($A927,CompChecksTrans!$A:$C,2,FALSE), "")</f>
        <v/>
      </c>
      <c r="C927" s="10" t="str">
        <f>_xlfn.IFNA(VLOOKUP(B927,Phase3!A$4:C$1000,3,FALSE),"")</f>
        <v/>
      </c>
      <c r="D927" s="10" t="str">
        <f>_xlfn.IFNA(VLOOKUP($A927,CompChecksTrans!$A:$C,3,FALSE), "     ")</f>
        <v xml:space="preserve">     </v>
      </c>
    </row>
    <row r="928" spans="1:4" x14ac:dyDescent="0.25">
      <c r="A928" s="12" t="s">
        <v>7289</v>
      </c>
      <c r="B928" s="10" t="str">
        <f>_xlfn.IFNA(VLOOKUP($A928,CompChecksTrans!$A:$C,2,FALSE), "")</f>
        <v/>
      </c>
      <c r="C928" s="10" t="str">
        <f>_xlfn.IFNA(VLOOKUP(B928,Phase3!A$4:C$1000,3,FALSE),"")</f>
        <v/>
      </c>
      <c r="D928" s="10" t="str">
        <f>_xlfn.IFNA(VLOOKUP($A928,CompChecksTrans!$A:$C,3,FALSE), "     ")</f>
        <v xml:space="preserve">     </v>
      </c>
    </row>
    <row r="929" spans="1:4" x14ac:dyDescent="0.25">
      <c r="A929" s="12" t="s">
        <v>7290</v>
      </c>
      <c r="B929" s="10" t="str">
        <f>_xlfn.IFNA(VLOOKUP($A929,CompChecksTrans!$A:$C,2,FALSE), "")</f>
        <v/>
      </c>
      <c r="C929" s="10" t="str">
        <f>_xlfn.IFNA(VLOOKUP(B929,Phase3!A$4:C$1000,3,FALSE),"")</f>
        <v/>
      </c>
      <c r="D929" s="10" t="str">
        <f>_xlfn.IFNA(VLOOKUP($A929,CompChecksTrans!$A:$C,3,FALSE), "     ")</f>
        <v xml:space="preserve">     </v>
      </c>
    </row>
    <row r="930" spans="1:4" x14ac:dyDescent="0.25">
      <c r="A930" s="12" t="s">
        <v>7291</v>
      </c>
      <c r="B930" s="10" t="str">
        <f>_xlfn.IFNA(VLOOKUP($A930,CompChecksTrans!$A:$C,2,FALSE), "")</f>
        <v/>
      </c>
      <c r="C930" s="10" t="str">
        <f>_xlfn.IFNA(VLOOKUP(B930,Phase3!A$4:C$1000,3,FALSE),"")</f>
        <v/>
      </c>
      <c r="D930" s="10" t="str">
        <f>_xlfn.IFNA(VLOOKUP($A930,CompChecksTrans!$A:$C,3,FALSE), "     ")</f>
        <v xml:space="preserve">     </v>
      </c>
    </row>
    <row r="931" spans="1:4" x14ac:dyDescent="0.25">
      <c r="A931" s="12" t="s">
        <v>7292</v>
      </c>
      <c r="B931" s="10" t="str">
        <f>_xlfn.IFNA(VLOOKUP($A931,CompChecksTrans!$A:$C,2,FALSE), "")</f>
        <v/>
      </c>
      <c r="C931" s="10" t="str">
        <f>_xlfn.IFNA(VLOOKUP(B931,Phase3!A$4:C$1000,3,FALSE),"")</f>
        <v/>
      </c>
      <c r="D931" s="10" t="str">
        <f>_xlfn.IFNA(VLOOKUP($A931,CompChecksTrans!$A:$C,3,FALSE), "     ")</f>
        <v xml:space="preserve">     </v>
      </c>
    </row>
    <row r="932" spans="1:4" x14ac:dyDescent="0.25">
      <c r="A932" s="12" t="s">
        <v>7293</v>
      </c>
      <c r="B932" s="10" t="str">
        <f>_xlfn.IFNA(VLOOKUP($A932,CompChecksTrans!$A:$C,2,FALSE), "")</f>
        <v/>
      </c>
      <c r="C932" s="10" t="str">
        <f>_xlfn.IFNA(VLOOKUP(B932,Phase3!A$4:C$1000,3,FALSE),"")</f>
        <v/>
      </c>
      <c r="D932" s="10" t="str">
        <f>_xlfn.IFNA(VLOOKUP($A932,CompChecksTrans!$A:$C,3,FALSE), "     ")</f>
        <v xml:space="preserve">     </v>
      </c>
    </row>
    <row r="933" spans="1:4" x14ac:dyDescent="0.25">
      <c r="A933" s="12" t="s">
        <v>7294</v>
      </c>
      <c r="B933" s="10" t="str">
        <f>_xlfn.IFNA(VLOOKUP($A933,CompChecksTrans!$A:$C,2,FALSE), "")</f>
        <v/>
      </c>
      <c r="C933" s="10" t="str">
        <f>_xlfn.IFNA(VLOOKUP(B933,Phase3!A$4:C$1000,3,FALSE),"")</f>
        <v/>
      </c>
      <c r="D933" s="10" t="str">
        <f>_xlfn.IFNA(VLOOKUP($A933,CompChecksTrans!$A:$C,3,FALSE), "     ")</f>
        <v xml:space="preserve">     </v>
      </c>
    </row>
    <row r="934" spans="1:4" x14ac:dyDescent="0.25">
      <c r="A934" s="12" t="s">
        <v>7295</v>
      </c>
      <c r="B934" s="10" t="str">
        <f>_xlfn.IFNA(VLOOKUP($A934,CompChecksTrans!$A:$C,2,FALSE), "")</f>
        <v/>
      </c>
      <c r="C934" s="10" t="str">
        <f>_xlfn.IFNA(VLOOKUP(B934,Phase3!A$4:C$1000,3,FALSE),"")</f>
        <v/>
      </c>
      <c r="D934" s="10" t="str">
        <f>_xlfn.IFNA(VLOOKUP($A934,CompChecksTrans!$A:$C,3,FALSE), "     ")</f>
        <v xml:space="preserve">     </v>
      </c>
    </row>
    <row r="935" spans="1:4" x14ac:dyDescent="0.25">
      <c r="A935" s="12" t="s">
        <v>7296</v>
      </c>
      <c r="B935" s="10" t="str">
        <f>_xlfn.IFNA(VLOOKUP($A935,CompChecksTrans!$A:$C,2,FALSE), "")</f>
        <v/>
      </c>
      <c r="C935" s="10" t="str">
        <f>_xlfn.IFNA(VLOOKUP(B935,Phase3!A$4:C$1000,3,FALSE),"")</f>
        <v/>
      </c>
      <c r="D935" s="10" t="str">
        <f>_xlfn.IFNA(VLOOKUP($A935,CompChecksTrans!$A:$C,3,FALSE), "     ")</f>
        <v xml:space="preserve">     </v>
      </c>
    </row>
    <row r="936" spans="1:4" x14ac:dyDescent="0.25">
      <c r="A936" s="12" t="s">
        <v>7297</v>
      </c>
      <c r="B936" s="10" t="str">
        <f>_xlfn.IFNA(VLOOKUP($A936,CompChecksTrans!$A:$C,2,FALSE), "")</f>
        <v/>
      </c>
      <c r="C936" s="10" t="str">
        <f>_xlfn.IFNA(VLOOKUP(B936,Phase3!A$4:C$1000,3,FALSE),"")</f>
        <v/>
      </c>
      <c r="D936" s="10" t="str">
        <f>_xlfn.IFNA(VLOOKUP($A936,CompChecksTrans!$A:$C,3,FALSE), "     ")</f>
        <v xml:space="preserve">     </v>
      </c>
    </row>
    <row r="937" spans="1:4" x14ac:dyDescent="0.25">
      <c r="A937" s="12" t="s">
        <v>7298</v>
      </c>
      <c r="B937" s="10" t="str">
        <f>_xlfn.IFNA(VLOOKUP($A937,CompChecksTrans!$A:$C,2,FALSE), "")</f>
        <v/>
      </c>
      <c r="C937" s="10" t="str">
        <f>_xlfn.IFNA(VLOOKUP(B937,Phase3!A$4:C$1000,3,FALSE),"")</f>
        <v/>
      </c>
      <c r="D937" s="10" t="str">
        <f>_xlfn.IFNA(VLOOKUP($A937,CompChecksTrans!$A:$C,3,FALSE), "     ")</f>
        <v xml:space="preserve">     </v>
      </c>
    </row>
    <row r="938" spans="1:4" x14ac:dyDescent="0.25">
      <c r="A938" s="12" t="s">
        <v>7299</v>
      </c>
      <c r="B938" s="10" t="str">
        <f>_xlfn.IFNA(VLOOKUP($A938,CompChecksTrans!$A:$C,2,FALSE), "")</f>
        <v/>
      </c>
      <c r="C938" s="10" t="str">
        <f>_xlfn.IFNA(VLOOKUP(B938,Phase3!A$4:C$1000,3,FALSE),"")</f>
        <v/>
      </c>
      <c r="D938" s="10" t="str">
        <f>_xlfn.IFNA(VLOOKUP($A938,CompChecksTrans!$A:$C,3,FALSE), "     ")</f>
        <v xml:space="preserve">     </v>
      </c>
    </row>
    <row r="939" spans="1:4" x14ac:dyDescent="0.25">
      <c r="A939" s="12" t="s">
        <v>7300</v>
      </c>
      <c r="B939" s="10" t="str">
        <f>_xlfn.IFNA(VLOOKUP($A939,CompChecksTrans!$A:$C,2,FALSE), "")</f>
        <v/>
      </c>
      <c r="C939" s="10" t="str">
        <f>_xlfn.IFNA(VLOOKUP(B939,Phase3!A$4:C$1000,3,FALSE),"")</f>
        <v/>
      </c>
      <c r="D939" s="10" t="str">
        <f>_xlfn.IFNA(VLOOKUP($A939,CompChecksTrans!$A:$C,3,FALSE), "     ")</f>
        <v xml:space="preserve">     </v>
      </c>
    </row>
    <row r="940" spans="1:4" x14ac:dyDescent="0.25">
      <c r="A940" s="12" t="s">
        <v>7301</v>
      </c>
      <c r="B940" s="10" t="str">
        <f>_xlfn.IFNA(VLOOKUP($A940,CompChecksTrans!$A:$C,2,FALSE), "")</f>
        <v/>
      </c>
      <c r="C940" s="10" t="str">
        <f>_xlfn.IFNA(VLOOKUP(B940,Phase3!A$4:C$1000,3,FALSE),"")</f>
        <v/>
      </c>
      <c r="D940" s="10" t="str">
        <f>_xlfn.IFNA(VLOOKUP($A940,CompChecksTrans!$A:$C,3,FALSE), "     ")</f>
        <v xml:space="preserve">     </v>
      </c>
    </row>
    <row r="941" spans="1:4" x14ac:dyDescent="0.25">
      <c r="A941" s="12" t="s">
        <v>7302</v>
      </c>
      <c r="B941" s="10" t="str">
        <f>_xlfn.IFNA(VLOOKUP($A941,CompChecksTrans!$A:$C,2,FALSE), "")</f>
        <v/>
      </c>
      <c r="C941" s="10" t="str">
        <f>_xlfn.IFNA(VLOOKUP(B941,Phase3!A$4:C$1000,3,FALSE),"")</f>
        <v/>
      </c>
      <c r="D941" s="10" t="str">
        <f>_xlfn.IFNA(VLOOKUP($A941,CompChecksTrans!$A:$C,3,FALSE), "     ")</f>
        <v xml:space="preserve">     </v>
      </c>
    </row>
    <row r="942" spans="1:4" x14ac:dyDescent="0.25">
      <c r="A942" s="12" t="s">
        <v>7303</v>
      </c>
      <c r="B942" s="10" t="str">
        <f>_xlfn.IFNA(VLOOKUP($A942,CompChecksTrans!$A:$C,2,FALSE), "")</f>
        <v/>
      </c>
      <c r="C942" s="10" t="str">
        <f>_xlfn.IFNA(VLOOKUP(B942,Phase3!A$4:C$1000,3,FALSE),"")</f>
        <v/>
      </c>
      <c r="D942" s="10" t="str">
        <f>_xlfn.IFNA(VLOOKUP($A942,CompChecksTrans!$A:$C,3,FALSE), "     ")</f>
        <v xml:space="preserve">     </v>
      </c>
    </row>
    <row r="943" spans="1:4" x14ac:dyDescent="0.25">
      <c r="A943" s="12" t="s">
        <v>7304</v>
      </c>
      <c r="B943" s="10" t="str">
        <f>_xlfn.IFNA(VLOOKUP($A943,CompChecksTrans!$A:$C,2,FALSE), "")</f>
        <v/>
      </c>
      <c r="C943" s="10" t="str">
        <f>_xlfn.IFNA(VLOOKUP(B943,Phase3!A$4:C$1000,3,FALSE),"")</f>
        <v/>
      </c>
      <c r="D943" s="10" t="str">
        <f>_xlfn.IFNA(VLOOKUP($A943,CompChecksTrans!$A:$C,3,FALSE), "     ")</f>
        <v xml:space="preserve">     </v>
      </c>
    </row>
    <row r="944" spans="1:4" x14ac:dyDescent="0.25">
      <c r="A944" s="12" t="s">
        <v>7305</v>
      </c>
      <c r="B944" s="10" t="str">
        <f>_xlfn.IFNA(VLOOKUP($A944,CompChecksTrans!$A:$C,2,FALSE), "")</f>
        <v/>
      </c>
      <c r="C944" s="10" t="str">
        <f>_xlfn.IFNA(VLOOKUP(B944,Phase3!A$4:C$1000,3,FALSE),"")</f>
        <v/>
      </c>
      <c r="D944" s="10" t="str">
        <f>_xlfn.IFNA(VLOOKUP($A944,CompChecksTrans!$A:$C,3,FALSE), "     ")</f>
        <v xml:space="preserve">     </v>
      </c>
    </row>
    <row r="945" spans="1:4" x14ac:dyDescent="0.25">
      <c r="A945" s="12" t="s">
        <v>7306</v>
      </c>
      <c r="B945" s="10" t="str">
        <f>_xlfn.IFNA(VLOOKUP($A945,CompChecksTrans!$A:$C,2,FALSE), "")</f>
        <v/>
      </c>
      <c r="C945" s="10" t="str">
        <f>_xlfn.IFNA(VLOOKUP(B945,Phase3!A$4:C$1000,3,FALSE),"")</f>
        <v/>
      </c>
      <c r="D945" s="10" t="str">
        <f>_xlfn.IFNA(VLOOKUP($A945,CompChecksTrans!$A:$C,3,FALSE), "     ")</f>
        <v xml:space="preserve">     </v>
      </c>
    </row>
    <row r="946" spans="1:4" x14ac:dyDescent="0.25">
      <c r="A946" s="12" t="s">
        <v>7307</v>
      </c>
      <c r="B946" s="10" t="str">
        <f>_xlfn.IFNA(VLOOKUP($A946,CompChecksTrans!$A:$C,2,FALSE), "")</f>
        <v/>
      </c>
      <c r="C946" s="10" t="str">
        <f>_xlfn.IFNA(VLOOKUP(B946,Phase3!A$4:C$1000,3,FALSE),"")</f>
        <v/>
      </c>
      <c r="D946" s="10" t="str">
        <f>_xlfn.IFNA(VLOOKUP($A946,CompChecksTrans!$A:$C,3,FALSE), "     ")</f>
        <v xml:space="preserve">     </v>
      </c>
    </row>
    <row r="947" spans="1:4" x14ac:dyDescent="0.25">
      <c r="A947" s="12" t="s">
        <v>7308</v>
      </c>
      <c r="B947" s="10" t="str">
        <f>_xlfn.IFNA(VLOOKUP($A947,CompChecksTrans!$A:$C,2,FALSE), "")</f>
        <v/>
      </c>
      <c r="C947" s="10" t="str">
        <f>_xlfn.IFNA(VLOOKUP(B947,Phase3!A$4:C$1000,3,FALSE),"")</f>
        <v/>
      </c>
      <c r="D947" s="10" t="str">
        <f>_xlfn.IFNA(VLOOKUP($A947,CompChecksTrans!$A:$C,3,FALSE), "     ")</f>
        <v xml:space="preserve">     </v>
      </c>
    </row>
    <row r="948" spans="1:4" x14ac:dyDescent="0.25">
      <c r="A948" s="12" t="s">
        <v>7309</v>
      </c>
      <c r="B948" s="10" t="str">
        <f>_xlfn.IFNA(VLOOKUP($A948,CompChecksTrans!$A:$C,2,FALSE), "")</f>
        <v/>
      </c>
      <c r="C948" s="10" t="str">
        <f>_xlfn.IFNA(VLOOKUP(B948,Phase3!A$4:C$1000,3,FALSE),"")</f>
        <v/>
      </c>
      <c r="D948" s="10" t="str">
        <f>_xlfn.IFNA(VLOOKUP($A948,CompChecksTrans!$A:$C,3,FALSE), "     ")</f>
        <v xml:space="preserve">     </v>
      </c>
    </row>
    <row r="949" spans="1:4" x14ac:dyDescent="0.25">
      <c r="A949" s="12" t="s">
        <v>7310</v>
      </c>
      <c r="B949" s="10" t="str">
        <f>_xlfn.IFNA(VLOOKUP($A949,CompChecksTrans!$A:$C,2,FALSE), "")</f>
        <v/>
      </c>
      <c r="C949" s="10" t="str">
        <f>_xlfn.IFNA(VLOOKUP(B949,Phase3!A$4:C$1000,3,FALSE),"")</f>
        <v/>
      </c>
      <c r="D949" s="10" t="str">
        <f>_xlfn.IFNA(VLOOKUP($A949,CompChecksTrans!$A:$C,3,FALSE), "     ")</f>
        <v xml:space="preserve">     </v>
      </c>
    </row>
    <row r="950" spans="1:4" x14ac:dyDescent="0.25">
      <c r="A950" s="12" t="s">
        <v>7311</v>
      </c>
      <c r="B950" s="10" t="str">
        <f>_xlfn.IFNA(VLOOKUP($A950,CompChecksTrans!$A:$C,2,FALSE), "")</f>
        <v/>
      </c>
      <c r="C950" s="10" t="str">
        <f>_xlfn.IFNA(VLOOKUP(B950,Phase3!A$4:C$1000,3,FALSE),"")</f>
        <v/>
      </c>
      <c r="D950" s="10" t="str">
        <f>_xlfn.IFNA(VLOOKUP($A950,CompChecksTrans!$A:$C,3,FALSE), "     ")</f>
        <v xml:space="preserve">     </v>
      </c>
    </row>
    <row r="951" spans="1:4" x14ac:dyDescent="0.25">
      <c r="A951" s="12" t="s">
        <v>7312</v>
      </c>
      <c r="B951" s="10" t="str">
        <f>_xlfn.IFNA(VLOOKUP($A951,CompChecksTrans!$A:$C,2,FALSE), "")</f>
        <v/>
      </c>
      <c r="C951" s="10" t="str">
        <f>_xlfn.IFNA(VLOOKUP(B951,Phase3!A$4:C$1000,3,FALSE),"")</f>
        <v/>
      </c>
      <c r="D951" s="10" t="str">
        <f>_xlfn.IFNA(VLOOKUP($A951,CompChecksTrans!$A:$C,3,FALSE), "     ")</f>
        <v xml:space="preserve">     </v>
      </c>
    </row>
    <row r="952" spans="1:4" x14ac:dyDescent="0.25">
      <c r="A952" s="12" t="s">
        <v>7313</v>
      </c>
      <c r="B952" s="10" t="str">
        <f>_xlfn.IFNA(VLOOKUP($A952,CompChecksTrans!$A:$C,2,FALSE), "")</f>
        <v/>
      </c>
      <c r="C952" s="10" t="str">
        <f>_xlfn.IFNA(VLOOKUP(B952,Phase3!A$4:C$1000,3,FALSE),"")</f>
        <v/>
      </c>
      <c r="D952" s="10" t="str">
        <f>_xlfn.IFNA(VLOOKUP($A952,CompChecksTrans!$A:$C,3,FALSE), "     ")</f>
        <v xml:space="preserve">     </v>
      </c>
    </row>
    <row r="953" spans="1:4" x14ac:dyDescent="0.25">
      <c r="A953" s="12" t="s">
        <v>7314</v>
      </c>
      <c r="B953" s="10" t="str">
        <f>_xlfn.IFNA(VLOOKUP($A953,CompChecksTrans!$A:$C,2,FALSE), "")</f>
        <v/>
      </c>
      <c r="C953" s="10" t="str">
        <f>_xlfn.IFNA(VLOOKUP(B953,Phase3!A$4:C$1000,3,FALSE),"")</f>
        <v/>
      </c>
      <c r="D953" s="10" t="str">
        <f>_xlfn.IFNA(VLOOKUP($A953,CompChecksTrans!$A:$C,3,FALSE), "     ")</f>
        <v xml:space="preserve">     </v>
      </c>
    </row>
    <row r="954" spans="1:4" x14ac:dyDescent="0.25">
      <c r="A954" s="12" t="s">
        <v>7315</v>
      </c>
      <c r="B954" s="10" t="str">
        <f>_xlfn.IFNA(VLOOKUP($A954,CompChecksTrans!$A:$C,2,FALSE), "")</f>
        <v/>
      </c>
      <c r="C954" s="10" t="str">
        <f>_xlfn.IFNA(VLOOKUP(B954,Phase3!A$4:C$1000,3,FALSE),"")</f>
        <v/>
      </c>
      <c r="D954" s="10" t="str">
        <f>_xlfn.IFNA(VLOOKUP($A954,CompChecksTrans!$A:$C,3,FALSE), "     ")</f>
        <v xml:space="preserve">     </v>
      </c>
    </row>
    <row r="955" spans="1:4" x14ac:dyDescent="0.25">
      <c r="A955" s="12" t="s">
        <v>7316</v>
      </c>
      <c r="B955" s="10" t="str">
        <f>_xlfn.IFNA(VLOOKUP($A955,CompChecksTrans!$A:$C,2,FALSE), "")</f>
        <v/>
      </c>
      <c r="C955" s="10" t="str">
        <f>_xlfn.IFNA(VLOOKUP(B955,Phase3!A$4:C$1000,3,FALSE),"")</f>
        <v/>
      </c>
      <c r="D955" s="10" t="str">
        <f>_xlfn.IFNA(VLOOKUP($A955,CompChecksTrans!$A:$C,3,FALSE), "     ")</f>
        <v xml:space="preserve">     </v>
      </c>
    </row>
    <row r="956" spans="1:4" x14ac:dyDescent="0.25">
      <c r="A956" s="12" t="s">
        <v>7317</v>
      </c>
      <c r="B956" s="10" t="str">
        <f>_xlfn.IFNA(VLOOKUP($A956,CompChecksTrans!$A:$C,2,FALSE), "")</f>
        <v/>
      </c>
      <c r="C956" s="10" t="str">
        <f>_xlfn.IFNA(VLOOKUP(B956,Phase3!A$4:C$1000,3,FALSE),"")</f>
        <v/>
      </c>
      <c r="D956" s="10" t="str">
        <f>_xlfn.IFNA(VLOOKUP($A956,CompChecksTrans!$A:$C,3,FALSE), "     ")</f>
        <v xml:space="preserve">     </v>
      </c>
    </row>
    <row r="957" spans="1:4" x14ac:dyDescent="0.25">
      <c r="A957" s="12" t="s">
        <v>7318</v>
      </c>
      <c r="B957" s="10" t="str">
        <f>_xlfn.IFNA(VLOOKUP($A957,CompChecksTrans!$A:$C,2,FALSE), "")</f>
        <v/>
      </c>
      <c r="C957" s="10" t="str">
        <f>_xlfn.IFNA(VLOOKUP(B957,Phase3!A$4:C$1000,3,FALSE),"")</f>
        <v/>
      </c>
      <c r="D957" s="10" t="str">
        <f>_xlfn.IFNA(VLOOKUP($A957,CompChecksTrans!$A:$C,3,FALSE), "     ")</f>
        <v xml:space="preserve">     </v>
      </c>
    </row>
    <row r="958" spans="1:4" x14ac:dyDescent="0.25">
      <c r="A958" s="12" t="s">
        <v>7319</v>
      </c>
      <c r="B958" s="10" t="str">
        <f>_xlfn.IFNA(VLOOKUP($A958,CompChecksTrans!$A:$C,2,FALSE), "")</f>
        <v/>
      </c>
      <c r="C958" s="10" t="str">
        <f>_xlfn.IFNA(VLOOKUP(B958,Phase3!A$4:C$1000,3,FALSE),"")</f>
        <v/>
      </c>
      <c r="D958" s="10" t="str">
        <f>_xlfn.IFNA(VLOOKUP($A958,CompChecksTrans!$A:$C,3,FALSE), "     ")</f>
        <v xml:space="preserve">     </v>
      </c>
    </row>
    <row r="959" spans="1:4" x14ac:dyDescent="0.25">
      <c r="A959" s="12" t="s">
        <v>7320</v>
      </c>
      <c r="B959" s="10" t="str">
        <f>_xlfn.IFNA(VLOOKUP($A959,CompChecksTrans!$A:$C,2,FALSE), "")</f>
        <v/>
      </c>
      <c r="C959" s="10" t="str">
        <f>_xlfn.IFNA(VLOOKUP(B959,Phase3!A$4:C$1000,3,FALSE),"")</f>
        <v/>
      </c>
      <c r="D959" s="10" t="str">
        <f>_xlfn.IFNA(VLOOKUP($A959,CompChecksTrans!$A:$C,3,FALSE), "     ")</f>
        <v xml:space="preserve">     </v>
      </c>
    </row>
    <row r="960" spans="1:4" x14ac:dyDescent="0.25">
      <c r="A960" s="12" t="s">
        <v>7321</v>
      </c>
      <c r="B960" s="10" t="str">
        <f>_xlfn.IFNA(VLOOKUP($A960,CompChecksTrans!$A:$C,2,FALSE), "")</f>
        <v/>
      </c>
      <c r="C960" s="10" t="str">
        <f>_xlfn.IFNA(VLOOKUP(B960,Phase3!A$4:C$1000,3,FALSE),"")</f>
        <v/>
      </c>
      <c r="D960" s="10" t="str">
        <f>_xlfn.IFNA(VLOOKUP($A960,CompChecksTrans!$A:$C,3,FALSE), "     ")</f>
        <v xml:space="preserve">     </v>
      </c>
    </row>
    <row r="961" spans="1:4" x14ac:dyDescent="0.25">
      <c r="A961" s="12" t="s">
        <v>7322</v>
      </c>
      <c r="B961" s="10" t="str">
        <f>_xlfn.IFNA(VLOOKUP($A961,CompChecksTrans!$A:$C,2,FALSE), "")</f>
        <v/>
      </c>
      <c r="C961" s="10" t="str">
        <f>_xlfn.IFNA(VLOOKUP(B961,Phase3!A$4:C$1000,3,FALSE),"")</f>
        <v/>
      </c>
      <c r="D961" s="10" t="str">
        <f>_xlfn.IFNA(VLOOKUP($A961,CompChecksTrans!$A:$C,3,FALSE), "     ")</f>
        <v xml:space="preserve">     </v>
      </c>
    </row>
    <row r="962" spans="1:4" x14ac:dyDescent="0.25">
      <c r="A962" s="12" t="s">
        <v>7323</v>
      </c>
      <c r="B962" s="10" t="str">
        <f>_xlfn.IFNA(VLOOKUP($A962,CompChecksTrans!$A:$C,2,FALSE), "")</f>
        <v/>
      </c>
      <c r="C962" s="10" t="str">
        <f>_xlfn.IFNA(VLOOKUP(B962,Phase3!A$4:C$1000,3,FALSE),"")</f>
        <v/>
      </c>
      <c r="D962" s="10" t="str">
        <f>_xlfn.IFNA(VLOOKUP($A962,CompChecksTrans!$A:$C,3,FALSE), "     ")</f>
        <v xml:space="preserve">     </v>
      </c>
    </row>
    <row r="963" spans="1:4" x14ac:dyDescent="0.25">
      <c r="A963" s="12" t="s">
        <v>7324</v>
      </c>
      <c r="B963" s="10" t="str">
        <f>_xlfn.IFNA(VLOOKUP($A963,CompChecksTrans!$A:$C,2,FALSE), "")</f>
        <v/>
      </c>
      <c r="C963" s="10" t="str">
        <f>_xlfn.IFNA(VLOOKUP(B963,Phase3!A$4:C$1000,3,FALSE),"")</f>
        <v/>
      </c>
      <c r="D963" s="10" t="str">
        <f>_xlfn.IFNA(VLOOKUP($A963,CompChecksTrans!$A:$C,3,FALSE), "     ")</f>
        <v xml:space="preserve">     </v>
      </c>
    </row>
    <row r="964" spans="1:4" x14ac:dyDescent="0.25">
      <c r="A964" s="12" t="s">
        <v>7325</v>
      </c>
      <c r="B964" s="10" t="str">
        <f>_xlfn.IFNA(VLOOKUP($A964,CompChecksTrans!$A:$C,2,FALSE), "")</f>
        <v/>
      </c>
      <c r="C964" s="10" t="str">
        <f>_xlfn.IFNA(VLOOKUP(B964,Phase3!A$4:C$1000,3,FALSE),"")</f>
        <v/>
      </c>
      <c r="D964" s="10" t="str">
        <f>_xlfn.IFNA(VLOOKUP($A964,CompChecksTrans!$A:$C,3,FALSE), "     ")</f>
        <v xml:space="preserve">     </v>
      </c>
    </row>
    <row r="965" spans="1:4" x14ac:dyDescent="0.25">
      <c r="A965" s="12" t="s">
        <v>7326</v>
      </c>
      <c r="B965" s="10" t="str">
        <f>_xlfn.IFNA(VLOOKUP($A965,CompChecksTrans!$A:$C,2,FALSE), "")</f>
        <v/>
      </c>
      <c r="C965" s="10" t="str">
        <f>_xlfn.IFNA(VLOOKUP(B965,Phase3!A$4:C$1000,3,FALSE),"")</f>
        <v/>
      </c>
      <c r="D965" s="10" t="str">
        <f>_xlfn.IFNA(VLOOKUP($A965,CompChecksTrans!$A:$C,3,FALSE), "     ")</f>
        <v xml:space="preserve">     </v>
      </c>
    </row>
    <row r="966" spans="1:4" x14ac:dyDescent="0.25">
      <c r="A966" s="12" t="s">
        <v>7327</v>
      </c>
      <c r="B966" s="10" t="str">
        <f>_xlfn.IFNA(VLOOKUP($A966,CompChecksTrans!$A:$C,2,FALSE), "")</f>
        <v/>
      </c>
      <c r="C966" s="10" t="str">
        <f>_xlfn.IFNA(VLOOKUP(B966,Phase3!A$4:C$1000,3,FALSE),"")</f>
        <v/>
      </c>
      <c r="D966" s="10" t="str">
        <f>_xlfn.IFNA(VLOOKUP($A966,CompChecksTrans!$A:$C,3,FALSE), "     ")</f>
        <v xml:space="preserve">     </v>
      </c>
    </row>
    <row r="967" spans="1:4" x14ac:dyDescent="0.25">
      <c r="A967" s="12" t="s">
        <v>7328</v>
      </c>
      <c r="B967" s="10" t="str">
        <f>_xlfn.IFNA(VLOOKUP($A967,CompChecksTrans!$A:$C,2,FALSE), "")</f>
        <v/>
      </c>
      <c r="C967" s="10" t="str">
        <f>_xlfn.IFNA(VLOOKUP(B967,Phase3!A$4:C$1000,3,FALSE),"")</f>
        <v/>
      </c>
      <c r="D967" s="10" t="str">
        <f>_xlfn.IFNA(VLOOKUP($A967,CompChecksTrans!$A:$C,3,FALSE), "     ")</f>
        <v xml:space="preserve">     </v>
      </c>
    </row>
    <row r="968" spans="1:4" x14ac:dyDescent="0.25">
      <c r="A968" s="12" t="s">
        <v>7329</v>
      </c>
      <c r="B968" s="10" t="str">
        <f>_xlfn.IFNA(VLOOKUP($A968,CompChecksTrans!$A:$C,2,FALSE), "")</f>
        <v/>
      </c>
      <c r="C968" s="10" t="str">
        <f>_xlfn.IFNA(VLOOKUP(B968,Phase3!A$4:C$1000,3,FALSE),"")</f>
        <v/>
      </c>
      <c r="D968" s="10" t="str">
        <f>_xlfn.IFNA(VLOOKUP($A968,CompChecksTrans!$A:$C,3,FALSE), "     ")</f>
        <v xml:space="preserve">     </v>
      </c>
    </row>
    <row r="969" spans="1:4" x14ac:dyDescent="0.25">
      <c r="A969" s="12" t="s">
        <v>7330</v>
      </c>
      <c r="B969" s="10" t="str">
        <f>_xlfn.IFNA(VLOOKUP($A969,CompChecksTrans!$A:$C,2,FALSE), "")</f>
        <v/>
      </c>
      <c r="C969" s="10" t="str">
        <f>_xlfn.IFNA(VLOOKUP(B969,Phase3!A$4:C$1000,3,FALSE),"")</f>
        <v/>
      </c>
      <c r="D969" s="10" t="str">
        <f>_xlfn.IFNA(VLOOKUP($A969,CompChecksTrans!$A:$C,3,FALSE), "     ")</f>
        <v xml:space="preserve">     </v>
      </c>
    </row>
    <row r="970" spans="1:4" x14ac:dyDescent="0.25">
      <c r="A970" s="12" t="s">
        <v>7331</v>
      </c>
      <c r="B970" s="10" t="str">
        <f>_xlfn.IFNA(VLOOKUP($A970,CompChecksTrans!$A:$C,2,FALSE), "")</f>
        <v/>
      </c>
      <c r="C970" s="10" t="str">
        <f>_xlfn.IFNA(VLOOKUP(B970,Phase3!A$4:C$1000,3,FALSE),"")</f>
        <v/>
      </c>
      <c r="D970" s="10" t="str">
        <f>_xlfn.IFNA(VLOOKUP($A970,CompChecksTrans!$A:$C,3,FALSE), "     ")</f>
        <v xml:space="preserve">     </v>
      </c>
    </row>
    <row r="971" spans="1:4" x14ac:dyDescent="0.25">
      <c r="A971" s="12" t="s">
        <v>7332</v>
      </c>
      <c r="B971" s="10" t="str">
        <f>_xlfn.IFNA(VLOOKUP($A971,CompChecksTrans!$A:$C,2,FALSE), "")</f>
        <v/>
      </c>
      <c r="C971" s="10" t="str">
        <f>_xlfn.IFNA(VLOOKUP(B971,Phase3!A$4:C$1000,3,FALSE),"")</f>
        <v/>
      </c>
      <c r="D971" s="10" t="str">
        <f>_xlfn.IFNA(VLOOKUP($A971,CompChecksTrans!$A:$C,3,FALSE), "     ")</f>
        <v xml:space="preserve">     </v>
      </c>
    </row>
    <row r="972" spans="1:4" x14ac:dyDescent="0.25">
      <c r="A972" s="12" t="s">
        <v>7333</v>
      </c>
      <c r="B972" s="10" t="str">
        <f>_xlfn.IFNA(VLOOKUP($A972,CompChecksTrans!$A:$C,2,FALSE), "")</f>
        <v/>
      </c>
      <c r="C972" s="10" t="str">
        <f>_xlfn.IFNA(VLOOKUP(B972,Phase3!A$4:C$1000,3,FALSE),"")</f>
        <v/>
      </c>
      <c r="D972" s="10" t="str">
        <f>_xlfn.IFNA(VLOOKUP($A972,CompChecksTrans!$A:$C,3,FALSE), "     ")</f>
        <v xml:space="preserve">     </v>
      </c>
    </row>
    <row r="973" spans="1:4" x14ac:dyDescent="0.25">
      <c r="A973" s="12" t="s">
        <v>7334</v>
      </c>
      <c r="B973" s="10" t="str">
        <f>_xlfn.IFNA(VLOOKUP($A973,CompChecksTrans!$A:$C,2,FALSE), "")</f>
        <v/>
      </c>
      <c r="C973" s="10" t="str">
        <f>_xlfn.IFNA(VLOOKUP(B973,Phase3!A$4:C$1000,3,FALSE),"")</f>
        <v/>
      </c>
      <c r="D973" s="10" t="str">
        <f>_xlfn.IFNA(VLOOKUP($A973,CompChecksTrans!$A:$C,3,FALSE), "     ")</f>
        <v xml:space="preserve">     </v>
      </c>
    </row>
    <row r="974" spans="1:4" x14ac:dyDescent="0.25">
      <c r="A974" s="12" t="s">
        <v>7335</v>
      </c>
      <c r="B974" s="10" t="str">
        <f>_xlfn.IFNA(VLOOKUP($A974,CompChecksTrans!$A:$C,2,FALSE), "")</f>
        <v/>
      </c>
      <c r="C974" s="10" t="str">
        <f>_xlfn.IFNA(VLOOKUP(B974,Phase3!A$4:C$1000,3,FALSE),"")</f>
        <v/>
      </c>
      <c r="D974" s="10" t="str">
        <f>_xlfn.IFNA(VLOOKUP($A974,CompChecksTrans!$A:$C,3,FALSE), "     ")</f>
        <v xml:space="preserve">     </v>
      </c>
    </row>
    <row r="975" spans="1:4" x14ac:dyDescent="0.25">
      <c r="A975" s="12" t="s">
        <v>7336</v>
      </c>
      <c r="B975" s="10" t="str">
        <f>_xlfn.IFNA(VLOOKUP($A975,CompChecksTrans!$A:$C,2,FALSE), "")</f>
        <v/>
      </c>
      <c r="C975" s="10" t="str">
        <f>_xlfn.IFNA(VLOOKUP(B975,Phase3!A$4:C$1000,3,FALSE),"")</f>
        <v/>
      </c>
      <c r="D975" s="10" t="str">
        <f>_xlfn.IFNA(VLOOKUP($A975,CompChecksTrans!$A:$C,3,FALSE), "     ")</f>
        <v xml:space="preserve">     </v>
      </c>
    </row>
    <row r="976" spans="1:4" x14ac:dyDescent="0.25">
      <c r="A976" s="12" t="s">
        <v>7337</v>
      </c>
      <c r="B976" s="10" t="str">
        <f>_xlfn.IFNA(VLOOKUP($A976,CompChecksTrans!$A:$C,2,FALSE), "")</f>
        <v/>
      </c>
      <c r="C976" s="10" t="str">
        <f>_xlfn.IFNA(VLOOKUP(B976,Phase3!A$4:C$1000,3,FALSE),"")</f>
        <v/>
      </c>
      <c r="D976" s="10" t="str">
        <f>_xlfn.IFNA(VLOOKUP($A976,CompChecksTrans!$A:$C,3,FALSE), "     ")</f>
        <v xml:space="preserve">     </v>
      </c>
    </row>
    <row r="977" spans="1:4" x14ac:dyDescent="0.25">
      <c r="A977" s="12" t="s">
        <v>7338</v>
      </c>
      <c r="B977" s="10" t="str">
        <f>_xlfn.IFNA(VLOOKUP($A977,CompChecksTrans!$A:$C,2,FALSE), "")</f>
        <v/>
      </c>
      <c r="C977" s="10" t="str">
        <f>_xlfn.IFNA(VLOOKUP(B977,Phase3!A$4:C$1000,3,FALSE),"")</f>
        <v/>
      </c>
      <c r="D977" s="10" t="str">
        <f>_xlfn.IFNA(VLOOKUP($A977,CompChecksTrans!$A:$C,3,FALSE), "     ")</f>
        <v xml:space="preserve">     </v>
      </c>
    </row>
    <row r="978" spans="1:4" x14ac:dyDescent="0.25">
      <c r="A978" s="12" t="s">
        <v>7339</v>
      </c>
      <c r="B978" s="10" t="str">
        <f>_xlfn.IFNA(VLOOKUP($A978,CompChecksTrans!$A:$C,2,FALSE), "")</f>
        <v/>
      </c>
      <c r="C978" s="10" t="str">
        <f>_xlfn.IFNA(VLOOKUP(B978,Phase3!A$4:C$1000,3,FALSE),"")</f>
        <v/>
      </c>
      <c r="D978" s="10" t="str">
        <f>_xlfn.IFNA(VLOOKUP($A978,CompChecksTrans!$A:$C,3,FALSE), "     ")</f>
        <v xml:space="preserve">     </v>
      </c>
    </row>
    <row r="979" spans="1:4" x14ac:dyDescent="0.25">
      <c r="A979" s="12" t="s">
        <v>7340</v>
      </c>
      <c r="B979" s="10" t="str">
        <f>_xlfn.IFNA(VLOOKUP($A979,CompChecksTrans!$A:$C,2,FALSE), "")</f>
        <v/>
      </c>
      <c r="C979" s="10" t="str">
        <f>_xlfn.IFNA(VLOOKUP(B979,Phase3!A$4:C$1000,3,FALSE),"")</f>
        <v/>
      </c>
      <c r="D979" s="10" t="str">
        <f>_xlfn.IFNA(VLOOKUP($A979,CompChecksTrans!$A:$C,3,FALSE), "     ")</f>
        <v xml:space="preserve">     </v>
      </c>
    </row>
    <row r="980" spans="1:4" x14ac:dyDescent="0.25">
      <c r="A980" s="12" t="s">
        <v>7341</v>
      </c>
      <c r="B980" s="10" t="str">
        <f>_xlfn.IFNA(VLOOKUP($A980,CompChecksTrans!$A:$C,2,FALSE), "")</f>
        <v/>
      </c>
      <c r="C980" s="10" t="str">
        <f>_xlfn.IFNA(VLOOKUP(B980,Phase3!A$4:C$1000,3,FALSE),"")</f>
        <v/>
      </c>
      <c r="D980" s="10" t="str">
        <f>_xlfn.IFNA(VLOOKUP($A980,CompChecksTrans!$A:$C,3,FALSE), "     ")</f>
        <v xml:space="preserve">     </v>
      </c>
    </row>
    <row r="981" spans="1:4" x14ac:dyDescent="0.25">
      <c r="A981" s="12" t="s">
        <v>7342</v>
      </c>
      <c r="B981" s="10" t="str">
        <f>_xlfn.IFNA(VLOOKUP($A981,CompChecksTrans!$A:$C,2,FALSE), "")</f>
        <v/>
      </c>
      <c r="C981" s="10" t="str">
        <f>_xlfn.IFNA(VLOOKUP(B981,Phase3!A$4:C$1000,3,FALSE),"")</f>
        <v/>
      </c>
      <c r="D981" s="10" t="str">
        <f>_xlfn.IFNA(VLOOKUP($A981,CompChecksTrans!$A:$C,3,FALSE), "     ")</f>
        <v xml:space="preserve">     </v>
      </c>
    </row>
    <row r="982" spans="1:4" x14ac:dyDescent="0.25">
      <c r="A982" s="12" t="s">
        <v>7343</v>
      </c>
      <c r="B982" s="10" t="str">
        <f>_xlfn.IFNA(VLOOKUP($A982,CompChecksTrans!$A:$C,2,FALSE), "")</f>
        <v/>
      </c>
      <c r="C982" s="10" t="str">
        <f>_xlfn.IFNA(VLOOKUP(B982,Phase3!A$4:C$1000,3,FALSE),"")</f>
        <v/>
      </c>
      <c r="D982" s="10" t="str">
        <f>_xlfn.IFNA(VLOOKUP($A982,CompChecksTrans!$A:$C,3,FALSE), "     ")</f>
        <v xml:space="preserve">     </v>
      </c>
    </row>
    <row r="983" spans="1:4" x14ac:dyDescent="0.25">
      <c r="A983" s="12" t="s">
        <v>7344</v>
      </c>
      <c r="B983" s="10" t="str">
        <f>_xlfn.IFNA(VLOOKUP($A983,CompChecksTrans!$A:$C,2,FALSE), "")</f>
        <v/>
      </c>
      <c r="C983" s="10" t="str">
        <f>_xlfn.IFNA(VLOOKUP(B983,Phase3!A$4:C$1000,3,FALSE),"")</f>
        <v/>
      </c>
      <c r="D983" s="10" t="str">
        <f>_xlfn.IFNA(VLOOKUP($A983,CompChecksTrans!$A:$C,3,FALSE), "     ")</f>
        <v xml:space="preserve">     </v>
      </c>
    </row>
    <row r="984" spans="1:4" x14ac:dyDescent="0.25">
      <c r="A984" s="12" t="s">
        <v>7345</v>
      </c>
      <c r="B984" s="10" t="str">
        <f>_xlfn.IFNA(VLOOKUP($A984,CompChecksTrans!$A:$C,2,FALSE), "")</f>
        <v/>
      </c>
      <c r="C984" s="10" t="str">
        <f>_xlfn.IFNA(VLOOKUP(B984,Phase3!A$4:C$1000,3,FALSE),"")</f>
        <v/>
      </c>
      <c r="D984" s="10" t="str">
        <f>_xlfn.IFNA(VLOOKUP($A984,CompChecksTrans!$A:$C,3,FALSE), "     ")</f>
        <v xml:space="preserve">     </v>
      </c>
    </row>
    <row r="985" spans="1:4" x14ac:dyDescent="0.25">
      <c r="A985" s="12" t="s">
        <v>7346</v>
      </c>
      <c r="B985" s="10" t="str">
        <f>_xlfn.IFNA(VLOOKUP($A985,CompChecksTrans!$A:$C,2,FALSE), "")</f>
        <v/>
      </c>
      <c r="C985" s="10" t="str">
        <f>_xlfn.IFNA(VLOOKUP(B985,Phase3!A$4:C$1000,3,FALSE),"")</f>
        <v/>
      </c>
      <c r="D985" s="10" t="str">
        <f>_xlfn.IFNA(VLOOKUP($A985,CompChecksTrans!$A:$C,3,FALSE), "     ")</f>
        <v xml:space="preserve">     </v>
      </c>
    </row>
    <row r="986" spans="1:4" x14ac:dyDescent="0.25">
      <c r="A986" s="12" t="s">
        <v>7347</v>
      </c>
      <c r="B986" s="10" t="str">
        <f>_xlfn.IFNA(VLOOKUP($A986,CompChecksTrans!$A:$C,2,FALSE), "")</f>
        <v/>
      </c>
      <c r="C986" s="10" t="str">
        <f>_xlfn.IFNA(VLOOKUP(B986,Phase3!A$4:C$1000,3,FALSE),"")</f>
        <v/>
      </c>
      <c r="D986" s="10" t="str">
        <f>_xlfn.IFNA(VLOOKUP($A986,CompChecksTrans!$A:$C,3,FALSE), "     ")</f>
        <v xml:space="preserve">     </v>
      </c>
    </row>
    <row r="987" spans="1:4" x14ac:dyDescent="0.25">
      <c r="A987" s="12" t="s">
        <v>7348</v>
      </c>
      <c r="B987" s="10" t="str">
        <f>_xlfn.IFNA(VLOOKUP($A987,CompChecksTrans!$A:$C,2,FALSE), "")</f>
        <v/>
      </c>
      <c r="C987" s="10" t="str">
        <f>_xlfn.IFNA(VLOOKUP(B987,Phase3!A$4:C$1000,3,FALSE),"")</f>
        <v/>
      </c>
      <c r="D987" s="10" t="str">
        <f>_xlfn.IFNA(VLOOKUP($A987,CompChecksTrans!$A:$C,3,FALSE), "     ")</f>
        <v xml:space="preserve">     </v>
      </c>
    </row>
    <row r="988" spans="1:4" x14ac:dyDescent="0.25">
      <c r="A988" s="12" t="s">
        <v>7349</v>
      </c>
      <c r="B988" s="10" t="str">
        <f>_xlfn.IFNA(VLOOKUP($A988,CompChecksTrans!$A:$C,2,FALSE), "")</f>
        <v/>
      </c>
      <c r="C988" s="10" t="str">
        <f>_xlfn.IFNA(VLOOKUP(B988,Phase3!A$4:C$1000,3,FALSE),"")</f>
        <v/>
      </c>
      <c r="D988" s="10" t="str">
        <f>_xlfn.IFNA(VLOOKUP($A988,CompChecksTrans!$A:$C,3,FALSE), "     ")</f>
        <v xml:space="preserve">     </v>
      </c>
    </row>
    <row r="989" spans="1:4" x14ac:dyDescent="0.25">
      <c r="A989" s="12" t="s">
        <v>7350</v>
      </c>
      <c r="B989" s="10" t="str">
        <f>_xlfn.IFNA(VLOOKUP($A989,CompChecksTrans!$A:$C,2,FALSE), "")</f>
        <v/>
      </c>
      <c r="C989" s="10" t="str">
        <f>_xlfn.IFNA(VLOOKUP(B989,Phase3!A$4:C$1000,3,FALSE),"")</f>
        <v/>
      </c>
      <c r="D989" s="10" t="str">
        <f>_xlfn.IFNA(VLOOKUP($A989,CompChecksTrans!$A:$C,3,FALSE), "     ")</f>
        <v xml:space="preserve">     </v>
      </c>
    </row>
    <row r="990" spans="1:4" x14ac:dyDescent="0.25">
      <c r="A990" s="12" t="s">
        <v>7351</v>
      </c>
      <c r="B990" s="10" t="str">
        <f>_xlfn.IFNA(VLOOKUP($A990,CompChecksTrans!$A:$C,2,FALSE), "")</f>
        <v/>
      </c>
      <c r="C990" s="10" t="str">
        <f>_xlfn.IFNA(VLOOKUP(B990,Phase3!A$4:C$1000,3,FALSE),"")</f>
        <v/>
      </c>
      <c r="D990" s="10" t="str">
        <f>_xlfn.IFNA(VLOOKUP($A990,CompChecksTrans!$A:$C,3,FALSE), "     ")</f>
        <v xml:space="preserve">     </v>
      </c>
    </row>
    <row r="991" spans="1:4" x14ac:dyDescent="0.25">
      <c r="A991" s="12" t="s">
        <v>7352</v>
      </c>
      <c r="B991" s="10" t="str">
        <f>_xlfn.IFNA(VLOOKUP($A991,CompChecksTrans!$A:$C,2,FALSE), "")</f>
        <v/>
      </c>
      <c r="C991" s="10" t="str">
        <f>_xlfn.IFNA(VLOOKUP(B991,Phase3!A$4:C$1000,3,FALSE),"")</f>
        <v/>
      </c>
      <c r="D991" s="10" t="str">
        <f>_xlfn.IFNA(VLOOKUP($A991,CompChecksTrans!$A:$C,3,FALSE), "     ")</f>
        <v xml:space="preserve">     </v>
      </c>
    </row>
    <row r="992" spans="1:4" x14ac:dyDescent="0.25">
      <c r="A992" s="12" t="s">
        <v>7353</v>
      </c>
      <c r="B992" s="10" t="str">
        <f>_xlfn.IFNA(VLOOKUP($A992,CompChecksTrans!$A:$C,2,FALSE), "")</f>
        <v/>
      </c>
      <c r="C992" s="10" t="str">
        <f>_xlfn.IFNA(VLOOKUP(B992,Phase3!A$4:C$1000,3,FALSE),"")</f>
        <v/>
      </c>
      <c r="D992" s="10" t="str">
        <f>_xlfn.IFNA(VLOOKUP($A992,CompChecksTrans!$A:$C,3,FALSE), "     ")</f>
        <v xml:space="preserve">     </v>
      </c>
    </row>
    <row r="993" spans="1:4" x14ac:dyDescent="0.25">
      <c r="A993" s="12" t="s">
        <v>7354</v>
      </c>
      <c r="B993" s="10" t="str">
        <f>_xlfn.IFNA(VLOOKUP($A993,CompChecksTrans!$A:$C,2,FALSE), "")</f>
        <v/>
      </c>
      <c r="C993" s="10" t="str">
        <f>_xlfn.IFNA(VLOOKUP(B993,Phase3!A$4:C$1000,3,FALSE),"")</f>
        <v/>
      </c>
      <c r="D993" s="10" t="str">
        <f>_xlfn.IFNA(VLOOKUP($A993,CompChecksTrans!$A:$C,3,FALSE), "     ")</f>
        <v xml:space="preserve">     </v>
      </c>
    </row>
    <row r="994" spans="1:4" x14ac:dyDescent="0.25">
      <c r="A994" s="12" t="s">
        <v>7355</v>
      </c>
      <c r="B994" s="10" t="str">
        <f>_xlfn.IFNA(VLOOKUP($A994,CompChecksTrans!$A:$C,2,FALSE), "")</f>
        <v/>
      </c>
      <c r="C994" s="10" t="str">
        <f>_xlfn.IFNA(VLOOKUP(B994,Phase3!A$4:C$1000,3,FALSE),"")</f>
        <v/>
      </c>
      <c r="D994" s="10" t="str">
        <f>_xlfn.IFNA(VLOOKUP($A994,CompChecksTrans!$A:$C,3,FALSE), "     ")</f>
        <v xml:space="preserve">     </v>
      </c>
    </row>
    <row r="995" spans="1:4" x14ac:dyDescent="0.25">
      <c r="A995" s="12" t="s">
        <v>7356</v>
      </c>
      <c r="B995" s="10" t="str">
        <f>_xlfn.IFNA(VLOOKUP($A995,CompChecksTrans!$A:$C,2,FALSE), "")</f>
        <v/>
      </c>
      <c r="C995" s="10" t="str">
        <f>_xlfn.IFNA(VLOOKUP(B995,Phase3!A$4:C$1000,3,FALSE),"")</f>
        <v/>
      </c>
      <c r="D995" s="10" t="str">
        <f>_xlfn.IFNA(VLOOKUP($A995,CompChecksTrans!$A:$C,3,FALSE), "     ")</f>
        <v xml:space="preserve">     </v>
      </c>
    </row>
    <row r="996" spans="1:4" x14ac:dyDescent="0.25">
      <c r="A996" s="12" t="s">
        <v>7357</v>
      </c>
      <c r="B996" s="10" t="str">
        <f>_xlfn.IFNA(VLOOKUP($A996,CompChecksTrans!$A:$C,2,FALSE), "")</f>
        <v/>
      </c>
      <c r="C996" s="10" t="str">
        <f>_xlfn.IFNA(VLOOKUP(B996,Phase3!A$4:C$1000,3,FALSE),"")</f>
        <v/>
      </c>
      <c r="D996" s="10" t="str">
        <f>_xlfn.IFNA(VLOOKUP($A996,CompChecksTrans!$A:$C,3,FALSE), "     ")</f>
        <v xml:space="preserve">     </v>
      </c>
    </row>
    <row r="997" spans="1:4" x14ac:dyDescent="0.25">
      <c r="A997" s="12" t="s">
        <v>7358</v>
      </c>
      <c r="B997" s="10" t="str">
        <f>_xlfn.IFNA(VLOOKUP($A997,CompChecksTrans!$A:$C,2,FALSE), "")</f>
        <v/>
      </c>
      <c r="C997" s="10" t="str">
        <f>_xlfn.IFNA(VLOOKUP(B997,Phase3!A$4:C$1000,3,FALSE),"")</f>
        <v/>
      </c>
      <c r="D997" s="10" t="str">
        <f>_xlfn.IFNA(VLOOKUP($A997,CompChecksTrans!$A:$C,3,FALSE), "     ")</f>
        <v xml:space="preserve">     </v>
      </c>
    </row>
    <row r="998" spans="1:4" x14ac:dyDescent="0.25">
      <c r="A998" s="12" t="s">
        <v>7359</v>
      </c>
      <c r="B998" s="10" t="str">
        <f>_xlfn.IFNA(VLOOKUP($A998,CompChecksTrans!$A:$C,2,FALSE), "")</f>
        <v/>
      </c>
      <c r="C998" s="10" t="str">
        <f>_xlfn.IFNA(VLOOKUP(B998,Phase3!A$4:C$1000,3,FALSE),"")</f>
        <v/>
      </c>
      <c r="D998" s="10" t="str">
        <f>_xlfn.IFNA(VLOOKUP($A998,CompChecksTrans!$A:$C,3,FALSE), "     ")</f>
        <v xml:space="preserve">     </v>
      </c>
    </row>
    <row r="999" spans="1:4" x14ac:dyDescent="0.25">
      <c r="A999" s="12" t="s">
        <v>7360</v>
      </c>
      <c r="B999" s="10" t="str">
        <f>_xlfn.IFNA(VLOOKUP($A999,CompChecksTrans!$A:$C,2,FALSE), "")</f>
        <v/>
      </c>
      <c r="C999" s="10" t="str">
        <f>_xlfn.IFNA(VLOOKUP(B999,Phase3!A$4:C$1000,3,FALSE),"")</f>
        <v/>
      </c>
      <c r="D999" s="10" t="str">
        <f>_xlfn.IFNA(VLOOKUP($A999,CompChecksTrans!$A:$C,3,FALSE), "     ")</f>
        <v xml:space="preserve">     </v>
      </c>
    </row>
    <row r="1000" spans="1:4" x14ac:dyDescent="0.25">
      <c r="A1000" s="12" t="s">
        <v>7361</v>
      </c>
      <c r="B1000" s="10" t="str">
        <f>_xlfn.IFNA(VLOOKUP($A1000,CompChecksTrans!$A:$C,2,FALSE), "")</f>
        <v/>
      </c>
      <c r="C1000" s="10" t="str">
        <f>_xlfn.IFNA(VLOOKUP(B1000,Phase3!A$4:C$1000,3,FALSE),"")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{EA029245-64B8-4C40-8470-D3E2232E066D}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A029245-64B8-4C40-8470-D3E2232E066D}">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64"/>
  <sheetViews>
    <sheetView workbookViewId="0">
      <pane ySplit="1" topLeftCell="A74" activePane="bottomLeft" state="frozen"/>
      <selection pane="bottomLeft" activeCell="G12" sqref="G12"/>
    </sheetView>
  </sheetViews>
  <sheetFormatPr defaultColWidth="8.85546875" defaultRowHeight="15" x14ac:dyDescent="0.25"/>
  <cols>
    <col min="1" max="1" width="9.7109375" style="206" bestFit="1" customWidth="1"/>
    <col min="2" max="2" width="24.140625" style="3" bestFit="1" customWidth="1"/>
    <col min="3" max="3" width="65.42578125" style="3" customWidth="1"/>
  </cols>
  <sheetData>
    <row r="1" spans="1:6" x14ac:dyDescent="0.25">
      <c r="B1" s="297">
        <f>COUNTA(D4:D153)/COUNTA(C4:C153)</f>
        <v>1</v>
      </c>
      <c r="C1" s="297"/>
      <c r="D1" s="297"/>
    </row>
    <row r="2" spans="1:6" s="1" customFormat="1" ht="53.1" customHeight="1" x14ac:dyDescent="0.25">
      <c r="A2" s="206"/>
      <c r="B2" s="296" t="s">
        <v>3196</v>
      </c>
      <c r="C2" s="296"/>
      <c r="D2" s="296"/>
      <c r="E2" s="240"/>
    </row>
    <row r="3" spans="1:6" s="1" customFormat="1" ht="15.75" x14ac:dyDescent="0.25">
      <c r="A3" s="206"/>
      <c r="B3" s="11" t="s">
        <v>1377</v>
      </c>
      <c r="C3" s="105" t="s">
        <v>1378</v>
      </c>
      <c r="D3" s="11" t="s">
        <v>1460</v>
      </c>
      <c r="E3" s="105" t="s">
        <v>1459</v>
      </c>
    </row>
    <row r="4" spans="1:6" s="1" customFormat="1" ht="31.5" x14ac:dyDescent="0.25">
      <c r="A4" s="207" t="str">
        <f>Dictionnary!A444</f>
        <v>FS3.1</v>
      </c>
      <c r="B4" s="14" t="str">
        <f>Dictionnary!B444</f>
        <v>Facilities and Safety</v>
      </c>
      <c r="C4" s="15" t="str">
        <f>Dictionnary!C444</f>
        <v>Is access to first aid secured at the laboratory?</v>
      </c>
      <c r="D4" s="16" t="s">
        <v>1408</v>
      </c>
      <c r="E4" s="103" t="e">
        <f>(COUNTIFS('Phase3 - Fill-in'!B$1:B$1000,A4,'Phase3 - Fill-in'!E$1:E$1000,Dictionnary!C$666)+0.5*COUNTIFS('Phase3 - Fill-in'!B$1:B$1000,A4,'Phase3 - Fill-in'!E$1:E$1000,Dictionnary!C$669))/(COUNTIFS('Phase3 - Fill-in'!B$5:B$1000,A4,'Phase3 - Fill-in'!E$5:E$1000,"&lt;&gt;Dictionnary!C669"))</f>
        <v>#DIV/0!</v>
      </c>
      <c r="F4" s="13"/>
    </row>
    <row r="5" spans="1:6" s="1" customFormat="1" ht="63" x14ac:dyDescent="0.25">
      <c r="A5" s="207" t="str">
        <f>Dictionnary!A445</f>
        <v>FS3.2</v>
      </c>
      <c r="B5" s="99" t="str">
        <f>Dictionnary!B445</f>
        <v>Facilities and Safety</v>
      </c>
      <c r="C5" s="17" t="str">
        <f>Dictionnary!C445</f>
        <v>In laboratories where the presence of first aid providers is necessary: have enough staff members been appointed as first aid provider such that continuous presence of at least one first aid provider is ensured?</v>
      </c>
      <c r="D5" s="12" t="s">
        <v>1409</v>
      </c>
      <c r="E5" s="103" t="e">
        <f>(COUNTIFS('Phase3 - Fill-in'!B$1:B$1000,A5,'Phase3 - Fill-in'!E$1:E$1000,Dictionnary!C$666)+0.5*COUNTIFS('Phase3 - Fill-in'!B$1:B$1000,A5,'Phase3 - Fill-in'!E$1:E$1000,Dictionnary!C$669))/(COUNTIFS('Phase3 - Fill-in'!B$5:B$1000,A5,'Phase3 - Fill-in'!E$5:E$1000,"&lt;&gt;Dictionnary!C669"))</f>
        <v>#DIV/0!</v>
      </c>
      <c r="F5" s="13"/>
    </row>
    <row r="6" spans="1:6" s="1" customFormat="1" ht="31.5" x14ac:dyDescent="0.25">
      <c r="A6" s="207" t="str">
        <f>Dictionnary!A446</f>
        <v>FS3.3</v>
      </c>
      <c r="B6" s="14" t="str">
        <f>Dictionnary!B446</f>
        <v>Facilities and Safety</v>
      </c>
      <c r="C6" s="15" t="str">
        <f>Dictionnary!C446</f>
        <v>Is the training of the first aid providers up-to-date?</v>
      </c>
      <c r="D6" s="16" t="s">
        <v>1408</v>
      </c>
      <c r="E6" s="103" t="e">
        <f>(COUNTIFS('Phase3 - Fill-in'!B$1:B$1000,A6,'Phase3 - Fill-in'!E$1:E$1000,Dictionnary!C$666)+0.5*COUNTIFS('Phase3 - Fill-in'!B$1:B$1000,A6,'Phase3 - Fill-in'!E$1:E$1000,Dictionnary!C$669))/(COUNTIFS('Phase3 - Fill-in'!B$5:B$1000,A6,'Phase3 - Fill-in'!E$5:E$1000,"&lt;&gt;Dictionnary!C669"))</f>
        <v>#DIV/0!</v>
      </c>
      <c r="F6" s="13"/>
    </row>
    <row r="7" spans="1:6" s="1" customFormat="1" ht="31.5" x14ac:dyDescent="0.25">
      <c r="A7" s="207" t="str">
        <f>Dictionnary!A447</f>
        <v>FS3.4</v>
      </c>
      <c r="B7" s="99" t="str">
        <f>Dictionnary!B447</f>
        <v>Facilities and Safety</v>
      </c>
      <c r="C7" s="17" t="str">
        <f>Dictionnary!C447</f>
        <v>Does the Biosafety Manual contain an explanation of the tasks and responsibilities of first aid providers?</v>
      </c>
      <c r="D7" s="12" t="s">
        <v>1408</v>
      </c>
      <c r="E7" s="103" t="e">
        <f>(COUNTIFS('Phase3 - Fill-in'!B$1:B$1000,A7,'Phase3 - Fill-in'!E$1:E$1000,Dictionnary!C$666)+0.5*COUNTIFS('Phase3 - Fill-in'!B$1:B$1000,A7,'Phase3 - Fill-in'!E$1:E$1000,Dictionnary!C$669))/(COUNTIFS('Phase3 - Fill-in'!B$5:B$1000,A7,'Phase3 - Fill-in'!E$5:E$1000,"&lt;&gt;Dictionnary!C669"))</f>
        <v>#DIV/0!</v>
      </c>
      <c r="F7" s="13"/>
    </row>
    <row r="8" spans="1:6" s="1" customFormat="1" ht="31.5" x14ac:dyDescent="0.25">
      <c r="A8" s="207" t="str">
        <f>Dictionnary!A448</f>
        <v>FS3.5</v>
      </c>
      <c r="B8" s="14" t="str">
        <f>Dictionnary!B448</f>
        <v>Facilities and Safety</v>
      </c>
      <c r="C8" s="15" t="str">
        <f>Dictionnary!C448</f>
        <v>Is the laboratory staff aware of who the first aid providers are?</v>
      </c>
      <c r="D8" s="16" t="s">
        <v>1408</v>
      </c>
      <c r="E8" s="103" t="e">
        <f>(COUNTIFS('Phase3 - Fill-in'!B$1:B$1000,A8,'Phase3 - Fill-in'!E$1:E$1000,Dictionnary!C$666)+0.5*COUNTIFS('Phase3 - Fill-in'!B$1:B$1000,A8,'Phase3 - Fill-in'!E$1:E$1000,Dictionnary!C$669))/(COUNTIFS('Phase3 - Fill-in'!B$5:B$1000,A8,'Phase3 - Fill-in'!E$5:E$1000,"&lt;&gt;Dictionnary!C669"))</f>
        <v>#DIV/0!</v>
      </c>
      <c r="F8" s="13"/>
    </row>
    <row r="9" spans="1:6" s="1" customFormat="1" ht="47.25" x14ac:dyDescent="0.25">
      <c r="A9" s="207" t="str">
        <f>Dictionnary!A449</f>
        <v>FS3.6</v>
      </c>
      <c r="B9" s="99" t="str">
        <f>Dictionnary!B449</f>
        <v>Facilities and Safety</v>
      </c>
      <c r="C9" s="17" t="str">
        <f>Dictionnary!C449</f>
        <v>Have the Personal Job Descrptions of the first aid providers been adapted to reflect the authorizations of their position as first aid provider?</v>
      </c>
      <c r="D9" s="12" t="s">
        <v>1408</v>
      </c>
      <c r="E9" s="103" t="e">
        <f>(COUNTIFS('Phase3 - Fill-in'!B$1:B$1000,A9,'Phase3 - Fill-in'!E$1:E$1000,Dictionnary!C$666)+0.5*COUNTIFS('Phase3 - Fill-in'!B$1:B$1000,A9,'Phase3 - Fill-in'!E$1:E$1000,Dictionnary!C$669))/(COUNTIFS('Phase3 - Fill-in'!B$5:B$1000,A9,'Phase3 - Fill-in'!E$5:E$1000,"&lt;&gt;Dictionnary!C669"))</f>
        <v>#DIV/0!</v>
      </c>
      <c r="F9" s="13"/>
    </row>
    <row r="10" spans="1:6" s="1" customFormat="1" ht="31.5" x14ac:dyDescent="0.25">
      <c r="A10" s="207" t="str">
        <f>Dictionnary!A450</f>
        <v>FS3.7</v>
      </c>
      <c r="B10" s="14" t="str">
        <f>Dictionnary!B450</f>
        <v>Facilities and Safety</v>
      </c>
      <c r="C10" s="15" t="str">
        <f>Dictionnary!C450</f>
        <v>Is the biosafety level III laboratory equipped with a negative pressure system?</v>
      </c>
      <c r="D10" s="16" t="s">
        <v>1408</v>
      </c>
      <c r="E10" s="103" t="e">
        <f>(COUNTIFS('Phase3 - Fill-in'!B$1:B$1000,A10,'Phase3 - Fill-in'!E$1:E$1000,Dictionnary!C$666)+0.5*COUNTIFS('Phase3 - Fill-in'!B$1:B$1000,A10,'Phase3 - Fill-in'!E$1:E$1000,Dictionnary!C$669))/(COUNTIFS('Phase3 - Fill-in'!B$5:B$1000,A10,'Phase3 - Fill-in'!E$5:E$1000,"&lt;&gt;Dictionnary!C669"))</f>
        <v>#DIV/0!</v>
      </c>
      <c r="F10" s="13"/>
    </row>
    <row r="11" spans="1:6" s="1" customFormat="1" ht="31.5" x14ac:dyDescent="0.25">
      <c r="A11" s="207" t="str">
        <f>Dictionnary!A451</f>
        <v>FS3.8</v>
      </c>
      <c r="B11" s="99" t="str">
        <f>Dictionnary!B451</f>
        <v>Facilities and Safety</v>
      </c>
      <c r="C11" s="17" t="str">
        <f>Dictionnary!C451</f>
        <v>Is the pressure of the biosafety level III regularly monitored and recorded?</v>
      </c>
      <c r="D11" s="12" t="s">
        <v>1408</v>
      </c>
      <c r="E11" s="103" t="e">
        <f>(COUNTIFS('Phase3 - Fill-in'!B$1:B$1000,A11,'Phase3 - Fill-in'!E$1:E$1000,Dictionnary!C$666)+0.5*COUNTIFS('Phase3 - Fill-in'!B$1:B$1000,A11,'Phase3 - Fill-in'!E$1:E$1000,Dictionnary!C$669))/(COUNTIFS('Phase3 - Fill-in'!B$5:B$1000,A11,'Phase3 - Fill-in'!E$5:E$1000,"&lt;&gt;Dictionnary!C669"))</f>
        <v>#DIV/0!</v>
      </c>
      <c r="F11" s="13"/>
    </row>
    <row r="12" spans="1:6" s="1" customFormat="1" ht="47.25" x14ac:dyDescent="0.25">
      <c r="A12" s="207" t="str">
        <f>Dictionnary!A452</f>
        <v>FS3.9</v>
      </c>
      <c r="B12" s="14" t="str">
        <f>Dictionnary!B452</f>
        <v>Facilities and Safety</v>
      </c>
      <c r="C12" s="15" t="str">
        <f>Dictionnary!C452</f>
        <v>Is the negative pressure system connected to a backup electricity supply to ensure that it keeps functioning during a power failure?</v>
      </c>
      <c r="D12" s="16" t="s">
        <v>1408</v>
      </c>
      <c r="E12" s="103" t="e">
        <f>(COUNTIFS('Phase3 - Fill-in'!B$1:B$1000,A12,'Phase3 - Fill-in'!E$1:E$1000,Dictionnary!C$666)+0.5*COUNTIFS('Phase3 - Fill-in'!B$1:B$1000,A12,'Phase3 - Fill-in'!E$1:E$1000,Dictionnary!C$669))/(COUNTIFS('Phase3 - Fill-in'!B$5:B$1000,A12,'Phase3 - Fill-in'!E$5:E$1000,"&lt;&gt;Dictionnary!C669"))</f>
        <v>#DIV/0!</v>
      </c>
      <c r="F12" s="13"/>
    </row>
    <row r="13" spans="1:6" s="1" customFormat="1" ht="31.5" x14ac:dyDescent="0.25">
      <c r="A13" s="207" t="str">
        <f>Dictionnary!A453</f>
        <v>FS3.10</v>
      </c>
      <c r="B13" s="99" t="str">
        <f>Dictionnary!B453</f>
        <v>Facilities and Safety</v>
      </c>
      <c r="C13" s="17" t="str">
        <f>Dictionnary!C453</f>
        <v>Is the negative pressure system included in the preventive maintenance program of the laboratory?</v>
      </c>
      <c r="D13" s="12" t="s">
        <v>1409</v>
      </c>
      <c r="E13" s="103" t="e">
        <f>(COUNTIFS('Phase3 - Fill-in'!B$1:B$1000,A13,'Phase3 - Fill-in'!E$1:E$1000,Dictionnary!C$666)+0.5*COUNTIFS('Phase3 - Fill-in'!B$1:B$1000,A13,'Phase3 - Fill-in'!E$1:E$1000,Dictionnary!C$669))/(COUNTIFS('Phase3 - Fill-in'!B$5:B$1000,A13,'Phase3 - Fill-in'!E$5:E$1000,"&lt;&gt;Dictionnary!C669"))</f>
        <v>#DIV/0!</v>
      </c>
      <c r="F13" s="13"/>
    </row>
    <row r="14" spans="1:6" s="1" customFormat="1" ht="47.25" x14ac:dyDescent="0.25">
      <c r="A14" s="207" t="str">
        <f>Dictionnary!A454</f>
        <v>FS3.11</v>
      </c>
      <c r="B14" s="14" t="str">
        <f>Dictionnary!B454</f>
        <v>Facilities and Safety</v>
      </c>
      <c r="C14" s="15" t="str">
        <f>Dictionnary!C454</f>
        <v>Is access into the BSL III laboratory controlled to prevent unauthorized access?</v>
      </c>
      <c r="D14" s="16" t="s">
        <v>1408</v>
      </c>
      <c r="E14" s="103" t="e">
        <f>(COUNTIFS('Phase3 - Fill-in'!B$1:B$1000,A14,'Phase3 - Fill-in'!E$1:E$1000,Dictionnary!C$666)+0.5*COUNTIFS('Phase3 - Fill-in'!B$1:B$1000,A14,'Phase3 - Fill-in'!E$1:E$1000,Dictionnary!C$669))/(COUNTIFS('Phase3 - Fill-in'!B$5:B$1000,A14,'Phase3 - Fill-in'!E$5:E$1000,"&lt;&gt;Dictionnary!C669"))</f>
        <v>#DIV/0!</v>
      </c>
      <c r="F14" s="13"/>
    </row>
    <row r="15" spans="1:6" s="1" customFormat="1" ht="31.5" x14ac:dyDescent="0.25">
      <c r="A15" s="207" t="str">
        <f>Dictionnary!A455</f>
        <v>FS3.12</v>
      </c>
      <c r="B15" s="99" t="str">
        <f>Dictionnary!B455</f>
        <v>Facilities and Safety</v>
      </c>
      <c r="C15" s="17" t="str">
        <f>Dictionnary!C455</f>
        <v>Is a primary sample collection facility available and physically separate from the laboratory activities?</v>
      </c>
      <c r="D15" s="12" t="s">
        <v>1408</v>
      </c>
      <c r="E15" s="103">
        <f>(COUNTIFS('Phase3 - Fill-in'!B$1:B$1000,A15,'Phase3 - Fill-in'!E$1:E$1000,Dictionnary!C$666)+0.5*COUNTIFS('Phase3 - Fill-in'!B$1:B$1000,A15,'Phase3 - Fill-in'!E$1:E$1000,Dictionnary!C$669))/(COUNTIFS('Phase3 - Fill-in'!B$5:B$1000,A15,'Phase3 - Fill-in'!E$5:E$1000,"&lt;&gt;Dictionnary!C669"))</f>
        <v>1</v>
      </c>
      <c r="F15" s="13"/>
    </row>
    <row r="16" spans="1:6" s="1" customFormat="1" ht="31.5" x14ac:dyDescent="0.25">
      <c r="A16" s="207" t="str">
        <f>Dictionnary!A456</f>
        <v>FS3.13</v>
      </c>
      <c r="B16" s="14" t="str">
        <f>Dictionnary!B456</f>
        <v>Facilities and Safety</v>
      </c>
      <c r="C16" s="15" t="str">
        <f>Dictionnary!C456</f>
        <v>Are patients in the waiting area and primary sample collection facility protected against rain and direct sunlight?</v>
      </c>
      <c r="D16" s="16" t="s">
        <v>1408</v>
      </c>
      <c r="E16" s="103" t="e">
        <f>(COUNTIFS('Phase3 - Fill-in'!B$1:B$1000,A16,'Phase3 - Fill-in'!E$1:E$1000,Dictionnary!C$666)+0.5*COUNTIFS('Phase3 - Fill-in'!B$1:B$1000,A16,'Phase3 - Fill-in'!E$1:E$1000,Dictionnary!C$669))/(COUNTIFS('Phase3 - Fill-in'!B$5:B$1000,A16,'Phase3 - Fill-in'!E$5:E$1000,"&lt;&gt;Dictionnary!C669"))</f>
        <v>#DIV/0!</v>
      </c>
      <c r="F16" s="13"/>
    </row>
    <row r="17" spans="1:6" s="1" customFormat="1" ht="31.5" x14ac:dyDescent="0.25">
      <c r="A17" s="207" t="str">
        <f>Dictionnary!A457</f>
        <v>FS3.14</v>
      </c>
      <c r="B17" s="99" t="str">
        <f>Dictionnary!B457</f>
        <v>Facilities and Safety</v>
      </c>
      <c r="C17" s="17" t="str">
        <f>Dictionnary!C457</f>
        <v>Does the patient sample collection facility allow for the protection of privacy of patients?</v>
      </c>
      <c r="D17" s="12" t="s">
        <v>1408</v>
      </c>
      <c r="E17" s="103" t="e">
        <f>(COUNTIFS('Phase3 - Fill-in'!B$1:B$1000,A17,'Phase3 - Fill-in'!E$1:E$1000,Dictionnary!C$666)+0.5*COUNTIFS('Phase3 - Fill-in'!B$1:B$1000,A17,'Phase3 - Fill-in'!E$1:E$1000,Dictionnary!C$669))/(COUNTIFS('Phase3 - Fill-in'!B$5:B$1000,A17,'Phase3 - Fill-in'!E$5:E$1000,"&lt;&gt;Dictionnary!C669"))</f>
        <v>#DIV/0!</v>
      </c>
      <c r="F17" s="13"/>
    </row>
    <row r="18" spans="1:6" s="1" customFormat="1" ht="31.5" x14ac:dyDescent="0.25">
      <c r="A18" s="207" t="str">
        <f>Dictionnary!A458</f>
        <v>FS3.15</v>
      </c>
      <c r="B18" s="14" t="str">
        <f>Dictionnary!B458</f>
        <v>Facilities and Safety</v>
      </c>
      <c r="C18" s="15" t="str">
        <f>Dictionnary!C458</f>
        <v>Are there enough chairs in the waiting area and primary sample collection facility so that every patient can sit?</v>
      </c>
      <c r="D18" s="16" t="s">
        <v>1408</v>
      </c>
      <c r="E18" s="103" t="e">
        <f>(COUNTIFS('Phase3 - Fill-in'!B$1:B$1000,A18,'Phase3 - Fill-in'!E$1:E$1000,Dictionnary!C$666)+0.5*COUNTIFS('Phase3 - Fill-in'!B$1:B$1000,A18,'Phase3 - Fill-in'!E$1:E$1000,Dictionnary!C$669))/(COUNTIFS('Phase3 - Fill-in'!B$5:B$1000,A18,'Phase3 - Fill-in'!E$5:E$1000,"&lt;&gt;Dictionnary!C669"))</f>
        <v>#DIV/0!</v>
      </c>
      <c r="F18" s="13"/>
    </row>
    <row r="19" spans="1:6" s="1" customFormat="1" ht="31.5" x14ac:dyDescent="0.25">
      <c r="A19" s="207" t="str">
        <f>Dictionnary!A459</f>
        <v>FS3.16</v>
      </c>
      <c r="B19" s="99" t="str">
        <f>Dictionnary!B459</f>
        <v>Facilities and Safety</v>
      </c>
      <c r="C19" s="17" t="str">
        <f>Dictionnary!C459</f>
        <v>Is the waiting area and primary sample collection facility accessible for physically handicapped patients?</v>
      </c>
      <c r="D19" s="12" t="s">
        <v>1408</v>
      </c>
      <c r="E19" s="103">
        <f>(COUNTIFS('Phase3 - Fill-in'!B$1:B$1000,A19,'Phase3 - Fill-in'!E$1:E$1000,Dictionnary!C$666)+0.5*COUNTIFS('Phase3 - Fill-in'!B$1:B$1000,A19,'Phase3 - Fill-in'!E$1:E$1000,Dictionnary!C$669))/(COUNTIFS('Phase3 - Fill-in'!B$5:B$1000,A19,'Phase3 - Fill-in'!E$5:E$1000,"&lt;&gt;Dictionnary!C669"))</f>
        <v>0</v>
      </c>
      <c r="F19" s="13"/>
    </row>
    <row r="20" spans="1:6" s="1" customFormat="1" ht="31.5" x14ac:dyDescent="0.25">
      <c r="A20" s="207" t="str">
        <f>Dictionnary!A460</f>
        <v>FS3.17</v>
      </c>
      <c r="B20" s="14" t="str">
        <f>Dictionnary!B460</f>
        <v>Facilities and Safety</v>
      </c>
      <c r="C20" s="15" t="str">
        <f>Dictionnary!C460</f>
        <v>Are samples stored under appropriate conditions, protected from unauthorized access and demonstrably easily retrievable?</v>
      </c>
      <c r="D20" s="16" t="s">
        <v>1408</v>
      </c>
      <c r="E20" s="103">
        <f>(COUNTIFS('Phase3 - Fill-in'!B$1:B$1000,A20,'Phase3 - Fill-in'!E$1:E$1000,Dictionnary!C$666)+0.5*COUNTIFS('Phase3 - Fill-in'!B$1:B$1000,A20,'Phase3 - Fill-in'!E$1:E$1000,Dictionnary!C$669))/(COUNTIFS('Phase3 - Fill-in'!B$5:B$1000,A20,'Phase3 - Fill-in'!E$5:E$1000,"&lt;&gt;Dictionnary!C669"))</f>
        <v>0.5</v>
      </c>
      <c r="F20" s="13"/>
    </row>
    <row r="21" spans="1:6" s="1" customFormat="1" ht="47.25" x14ac:dyDescent="0.25">
      <c r="A21" s="207" t="str">
        <f>Dictionnary!A461</f>
        <v>FS3.18</v>
      </c>
      <c r="B21" s="99" t="str">
        <f>Dictionnary!B461</f>
        <v>Facilities and Safety</v>
      </c>
      <c r="C21" s="17" t="str">
        <f>Dictionnary!C461</f>
        <v>Are all reagents and supplies stored under the proper conditions, protected from unauthorized access and easily retrievable?</v>
      </c>
      <c r="D21" s="12" t="s">
        <v>1409</v>
      </c>
      <c r="E21" s="103">
        <f>(COUNTIFS('Phase3 - Fill-in'!B$1:B$1000,A21,'Phase3 - Fill-in'!E$1:E$1000,Dictionnary!C$666)+0.5*COUNTIFS('Phase3 - Fill-in'!B$1:B$1000,A21,'Phase3 - Fill-in'!E$1:E$1000,Dictionnary!C$669))/(COUNTIFS('Phase3 - Fill-in'!B$5:B$1000,A21,'Phase3 - Fill-in'!E$5:E$1000,"&lt;&gt;Dictionnary!C669"))</f>
        <v>0</v>
      </c>
      <c r="F21" s="13"/>
    </row>
    <row r="22" spans="1:6" s="1" customFormat="1" ht="31.5" x14ac:dyDescent="0.25">
      <c r="A22" s="207" t="str">
        <f>Dictionnary!A462</f>
        <v>FS3.19</v>
      </c>
      <c r="B22" s="14" t="str">
        <f>Dictionnary!B462</f>
        <v>Facilities and Safety</v>
      </c>
      <c r="C22" s="15" t="str">
        <f>Dictionnary!C462</f>
        <v>Is equipment stored under appropriate conditions protected from unauthorized use?</v>
      </c>
      <c r="D22" s="16" t="s">
        <v>1408</v>
      </c>
      <c r="E22" s="103">
        <f>(COUNTIFS('Phase3 - Fill-in'!B$1:B$1000,A22,'Phase3 - Fill-in'!E$1:E$1000,Dictionnary!C$666)+0.5*COUNTIFS('Phase3 - Fill-in'!B$1:B$1000,A22,'Phase3 - Fill-in'!E$1:E$1000,Dictionnary!C$669))/(COUNTIFS('Phase3 - Fill-in'!B$5:B$1000,A22,'Phase3 - Fill-in'!E$5:E$1000,"&lt;&gt;Dictionnary!C669"))</f>
        <v>0.5</v>
      </c>
      <c r="F22" s="13"/>
    </row>
    <row r="23" spans="1:6" s="1" customFormat="1" ht="47.25" x14ac:dyDescent="0.25">
      <c r="A23" s="207" t="str">
        <f>Dictionnary!A463</f>
        <v>FS3.20</v>
      </c>
      <c r="B23" s="99" t="str">
        <f>Dictionnary!B463</f>
        <v>Facilities and Safety</v>
      </c>
      <c r="C23" s="17" t="str">
        <f>Dictionnary!C463</f>
        <v>Is defective equipment demonstrably contaminated and stored outside the laboratory protected from use?</v>
      </c>
      <c r="D23" s="12" t="s">
        <v>1408</v>
      </c>
      <c r="E23" s="103">
        <f>(COUNTIFS('Phase3 - Fill-in'!B$1:B$1000,A23,'Phase3 - Fill-in'!E$1:E$1000,Dictionnary!C$666)+0.5*COUNTIFS('Phase3 - Fill-in'!B$1:B$1000,A23,'Phase3 - Fill-in'!E$1:E$1000,Dictionnary!C$669))/(COUNTIFS('Phase3 - Fill-in'!B$5:B$1000,A23,'Phase3 - Fill-in'!E$5:E$1000,"&lt;&gt;Dictionnary!C669"))</f>
        <v>1</v>
      </c>
      <c r="F23" s="13"/>
    </row>
    <row r="24" spans="1:6" s="1" customFormat="1" ht="47.25" x14ac:dyDescent="0.25">
      <c r="A24" s="207" t="str">
        <f>Dictionnary!A464</f>
        <v>FS3.21</v>
      </c>
      <c r="B24" s="14" t="str">
        <f>Dictionnary!B464</f>
        <v>Facilities and Safety</v>
      </c>
      <c r="C24" s="15" t="str">
        <f>Dictionnary!C464</f>
        <v>Are documents and records stored under appropriate conditions, protected from fire, insects, humidity and other harmful elements?</v>
      </c>
      <c r="D24" s="16" t="s">
        <v>1408</v>
      </c>
      <c r="E24" s="103">
        <f>(COUNTIFS('Phase3 - Fill-in'!B$1:B$1000,A24,'Phase3 - Fill-in'!E$1:E$1000,Dictionnary!C$666)+0.5*COUNTIFS('Phase3 - Fill-in'!B$1:B$1000,A24,'Phase3 - Fill-in'!E$1:E$1000,Dictionnary!C$669))/(COUNTIFS('Phase3 - Fill-in'!B$5:B$1000,A24,'Phase3 - Fill-in'!E$5:E$1000,"&lt;&gt;Dictionnary!C669"))</f>
        <v>0.66666666666666663</v>
      </c>
      <c r="F24" s="13"/>
    </row>
    <row r="25" spans="1:6" s="1" customFormat="1" ht="31.5" x14ac:dyDescent="0.25">
      <c r="A25" s="207" t="str">
        <f>Dictionnary!A465</f>
        <v>FS3.22</v>
      </c>
      <c r="B25" s="99" t="str">
        <f>Dictionnary!B465</f>
        <v>Facilities and Safety</v>
      </c>
      <c r="C25" s="17" t="str">
        <f>Dictionnary!C465</f>
        <v>Are documents and records protected from unauthorized access?</v>
      </c>
      <c r="D25" s="12" t="s">
        <v>1408</v>
      </c>
      <c r="E25" s="103" t="e">
        <f>(COUNTIFS('Phase3 - Fill-in'!B$1:B$1000,A25,'Phase3 - Fill-in'!E$1:E$1000,Dictionnary!C$666)+0.5*COUNTIFS('Phase3 - Fill-in'!B$1:B$1000,A25,'Phase3 - Fill-in'!E$1:E$1000,Dictionnary!C$669))/(COUNTIFS('Phase3 - Fill-in'!B$5:B$1000,A25,'Phase3 - Fill-in'!E$5:E$1000,"&lt;&gt;Dictionnary!C669"))</f>
        <v>#DIV/0!</v>
      </c>
      <c r="F25" s="13"/>
    </row>
    <row r="26" spans="1:6" s="1" customFormat="1" ht="31.5" x14ac:dyDescent="0.25">
      <c r="A26" s="207" t="str">
        <f>Dictionnary!A466</f>
        <v>FS3.23</v>
      </c>
      <c r="B26" s="14" t="str">
        <f>Dictionnary!B466</f>
        <v>Facilities and Safety</v>
      </c>
      <c r="C26" s="15" t="str">
        <f>Dictionnary!C466</f>
        <v>Are documents and records stored in a logical manner so that they are demonstrably easily retrievable?</v>
      </c>
      <c r="D26" s="16" t="s">
        <v>1408</v>
      </c>
      <c r="E26" s="103" t="e">
        <f>(COUNTIFS('Phase3 - Fill-in'!B$1:B$1000,A26,'Phase3 - Fill-in'!E$1:E$1000,Dictionnary!C$666)+0.5*COUNTIFS('Phase3 - Fill-in'!B$1:B$1000,A26,'Phase3 - Fill-in'!E$1:E$1000,Dictionnary!C$669))/(COUNTIFS('Phase3 - Fill-in'!B$5:B$1000,A26,'Phase3 - Fill-in'!E$5:E$1000,"&lt;&gt;Dictionnary!C669"))</f>
        <v>#DIV/0!</v>
      </c>
      <c r="F26" s="13"/>
    </row>
    <row r="27" spans="1:6" s="1" customFormat="1" ht="47.25" x14ac:dyDescent="0.25">
      <c r="A27" s="207" t="str">
        <f>Dictionnary!A467</f>
        <v>FS3.24</v>
      </c>
      <c r="B27" s="99" t="str">
        <f>Dictionnary!B467</f>
        <v>Facilities and Safety</v>
      </c>
      <c r="C27" s="17" t="str">
        <f>Dictionnary!C467</f>
        <v>Does the retention schedule for storing different types of materials include the storage durations for samples and slides?</v>
      </c>
      <c r="D27" s="12" t="s">
        <v>1408</v>
      </c>
      <c r="E27" s="103" t="e">
        <f>(COUNTIFS('Phase3 - Fill-in'!B$1:B$1000,A27,'Phase3 - Fill-in'!E$1:E$1000,Dictionnary!C$666)+0.5*COUNTIFS('Phase3 - Fill-in'!B$1:B$1000,A27,'Phase3 - Fill-in'!E$1:E$1000,Dictionnary!C$669))/(COUNTIFS('Phase3 - Fill-in'!B$5:B$1000,A27,'Phase3 - Fill-in'!E$5:E$1000,"&lt;&gt;Dictionnary!C669"))</f>
        <v>#DIV/0!</v>
      </c>
      <c r="F27" s="13"/>
    </row>
    <row r="28" spans="1:6" s="1" customFormat="1" ht="31.5" x14ac:dyDescent="0.25">
      <c r="A28" s="207" t="str">
        <f>Dictionnary!A468</f>
        <v>FS3.25</v>
      </c>
      <c r="B28" s="14" t="str">
        <f>Dictionnary!B468</f>
        <v>Facilities and Safety</v>
      </c>
      <c r="C28" s="15" t="str">
        <f>Dictionnary!C468</f>
        <v>Does the retention schedule for storing different types of materials include the following documents:</v>
      </c>
      <c r="D28" s="16" t="s">
        <v>1408</v>
      </c>
      <c r="E28" s="103" t="e">
        <f>(COUNTIFS('Phase3 - Fill-in'!B$1:B$1000,A28,'Phase3 - Fill-in'!E$1:E$1000,Dictionnary!C$666)+0.5*COUNTIFS('Phase3 - Fill-in'!B$1:B$1000,A28,'Phase3 - Fill-in'!E$1:E$1000,Dictionnary!C$669))/(COUNTIFS('Phase3 - Fill-in'!B$5:B$1000,A28,'Phase3 - Fill-in'!E$5:E$1000,"&lt;&gt;Dictionnary!C669"))</f>
        <v>#DIV/0!</v>
      </c>
      <c r="F28" s="13"/>
    </row>
    <row r="29" spans="1:6" s="1" customFormat="1" ht="15.75" x14ac:dyDescent="0.25">
      <c r="A29" s="207" t="str">
        <f>Dictionnary!A469</f>
        <v>FS3.25a</v>
      </c>
      <c r="B29" s="14" t="str">
        <f>Dictionnary!B469</f>
        <v>Facilities and Safety</v>
      </c>
      <c r="C29" s="15" t="str">
        <f>Dictionnary!C469</f>
        <v>Replaced SOPs</v>
      </c>
      <c r="D29" s="16" t="s">
        <v>1409</v>
      </c>
      <c r="E29" s="103" t="e">
        <f>(COUNTIFS('Phase3 - Fill-in'!B$1:B$1000,A29,'Phase3 - Fill-in'!E$1:E$1000,Dictionnary!C$666)+0.5*COUNTIFS('Phase3 - Fill-in'!B$1:B$1000,A29,'Phase3 - Fill-in'!E$1:E$1000,Dictionnary!C$669))/(COUNTIFS('Phase3 - Fill-in'!B$5:B$1000,A29,'Phase3 - Fill-in'!E$5:E$1000,"&lt;&gt;Dictionnary!C669"))</f>
        <v>#DIV/0!</v>
      </c>
      <c r="F29" s="13"/>
    </row>
    <row r="30" spans="1:6" s="1" customFormat="1" ht="15.75" x14ac:dyDescent="0.25">
      <c r="A30" s="207" t="str">
        <f>Dictionnary!A470</f>
        <v>FS3.25b</v>
      </c>
      <c r="B30" s="14" t="str">
        <f>Dictionnary!B470</f>
        <v>Facilities and Safety</v>
      </c>
      <c r="C30" s="15" t="str">
        <f>Dictionnary!C470</f>
        <v>Completed worksheets</v>
      </c>
      <c r="D30" s="16" t="s">
        <v>1408</v>
      </c>
      <c r="E30" s="103" t="e">
        <f>(COUNTIFS('Phase3 - Fill-in'!B$1:B$1000,A30,'Phase3 - Fill-in'!E$1:E$1000,Dictionnary!C$666)+0.5*COUNTIFS('Phase3 - Fill-in'!B$1:B$1000,A30,'Phase3 - Fill-in'!E$1:E$1000,Dictionnary!C$669))/(COUNTIFS('Phase3 - Fill-in'!B$5:B$1000,A30,'Phase3 - Fill-in'!E$5:E$1000,"&lt;&gt;Dictionnary!C669"))</f>
        <v>#DIV/0!</v>
      </c>
      <c r="F30" s="13"/>
    </row>
    <row r="31" spans="1:6" s="1" customFormat="1" ht="15.75" x14ac:dyDescent="0.25">
      <c r="A31" s="207" t="str">
        <f>Dictionnary!A471</f>
        <v>FS3.25c</v>
      </c>
      <c r="B31" s="14" t="str">
        <f>Dictionnary!B471</f>
        <v>Facilities and Safety</v>
      </c>
      <c r="C31" s="15" t="str">
        <f>Dictionnary!C471</f>
        <v>Completed log sheets</v>
      </c>
      <c r="D31" s="16" t="s">
        <v>1408</v>
      </c>
      <c r="E31" s="103" t="e">
        <f>(COUNTIFS('Phase3 - Fill-in'!B$1:B$1000,A31,'Phase3 - Fill-in'!E$1:E$1000,Dictionnary!C$666)+0.5*COUNTIFS('Phase3 - Fill-in'!B$1:B$1000,A31,'Phase3 - Fill-in'!E$1:E$1000,Dictionnary!C$669))/(COUNTIFS('Phase3 - Fill-in'!B$5:B$1000,A31,'Phase3 - Fill-in'!E$5:E$1000,"&lt;&gt;Dictionnary!C669"))</f>
        <v>#DIV/0!</v>
      </c>
      <c r="F31" s="13"/>
    </row>
    <row r="32" spans="1:6" s="1" customFormat="1" ht="15.75" x14ac:dyDescent="0.25">
      <c r="A32" s="207" t="str">
        <f>Dictionnary!A472</f>
        <v>FS3.25d</v>
      </c>
      <c r="B32" s="14" t="str">
        <f>Dictionnary!B472</f>
        <v>Facilities and Safety</v>
      </c>
      <c r="C32" s="15" t="str">
        <f>Dictionnary!C472</f>
        <v>Completed Request Forms</v>
      </c>
      <c r="D32" s="16" t="s">
        <v>1408</v>
      </c>
      <c r="E32" s="103" t="e">
        <f>(COUNTIFS('Phase3 - Fill-in'!B$1:B$1000,A32,'Phase3 - Fill-in'!E$1:E$1000,Dictionnary!C$666)+0.5*COUNTIFS('Phase3 - Fill-in'!B$1:B$1000,A32,'Phase3 - Fill-in'!E$1:E$1000,Dictionnary!C$669))/(COUNTIFS('Phase3 - Fill-in'!B$5:B$1000,A32,'Phase3 - Fill-in'!E$5:E$1000,"&lt;&gt;Dictionnary!C669"))</f>
        <v>#DIV/0!</v>
      </c>
      <c r="F32" s="13"/>
    </row>
    <row r="33" spans="1:6" s="1" customFormat="1" ht="15.75" x14ac:dyDescent="0.25">
      <c r="A33" s="207" t="str">
        <f>Dictionnary!A473</f>
        <v>FS3.25e</v>
      </c>
      <c r="B33" s="14" t="str">
        <f>Dictionnary!B473</f>
        <v>Facilities and Safety</v>
      </c>
      <c r="C33" s="15" t="str">
        <f>Dictionnary!C473</f>
        <v>Patient reports</v>
      </c>
      <c r="D33" s="16" t="s">
        <v>1408</v>
      </c>
      <c r="E33" s="103" t="e">
        <f>(COUNTIFS('Phase3 - Fill-in'!B$1:B$1000,A33,'Phase3 - Fill-in'!E$1:E$1000,Dictionnary!C$666)+0.5*COUNTIFS('Phase3 - Fill-in'!B$1:B$1000,A33,'Phase3 - Fill-in'!E$1:E$1000,Dictionnary!C$669))/(COUNTIFS('Phase3 - Fill-in'!B$5:B$1000,A33,'Phase3 - Fill-in'!E$5:E$1000,"&lt;&gt;Dictionnary!C669"))</f>
        <v>#DIV/0!</v>
      </c>
      <c r="F33" s="13"/>
    </row>
    <row r="34" spans="1:6" s="1" customFormat="1" ht="15.75" x14ac:dyDescent="0.25">
      <c r="A34" s="207" t="str">
        <f>Dictionnary!A474</f>
        <v>FS3.25f</v>
      </c>
      <c r="B34" s="14" t="str">
        <f>Dictionnary!B474</f>
        <v>Facilities and Safety</v>
      </c>
      <c r="C34" s="15" t="str">
        <f>Dictionnary!C474</f>
        <v>Result registers</v>
      </c>
      <c r="D34" s="16" t="s">
        <v>1408</v>
      </c>
      <c r="E34" s="103" t="e">
        <f>(COUNTIFS('Phase3 - Fill-in'!B$1:B$1000,A34,'Phase3 - Fill-in'!E$1:E$1000,Dictionnary!C$666)+0.5*COUNTIFS('Phase3 - Fill-in'!B$1:B$1000,A34,'Phase3 - Fill-in'!E$1:E$1000,Dictionnary!C$669))/(COUNTIFS('Phase3 - Fill-in'!B$5:B$1000,A34,'Phase3 - Fill-in'!E$5:E$1000,"&lt;&gt;Dictionnary!C669"))</f>
        <v>#DIV/0!</v>
      </c>
      <c r="F34" s="13"/>
    </row>
    <row r="35" spans="1:6" s="1" customFormat="1" ht="15.75" x14ac:dyDescent="0.25">
      <c r="A35" s="207" t="str">
        <f>Dictionnary!A475</f>
        <v>FS3.25g</v>
      </c>
      <c r="B35" s="14" t="str">
        <f>Dictionnary!B475</f>
        <v>Facilities and Safety</v>
      </c>
      <c r="C35" s="15" t="str">
        <f>Dictionnary!C475</f>
        <v>All contracts of the laboratory with external parties</v>
      </c>
      <c r="D35" s="16" t="s">
        <v>1408</v>
      </c>
      <c r="E35" s="103" t="e">
        <f>(COUNTIFS('Phase3 - Fill-in'!B$1:B$1000,A35,'Phase3 - Fill-in'!E$1:E$1000,Dictionnary!C$666)+0.5*COUNTIFS('Phase3 - Fill-in'!B$1:B$1000,A35,'Phase3 - Fill-in'!E$1:E$1000,Dictionnary!C$669))/(COUNTIFS('Phase3 - Fill-in'!B$5:B$1000,A35,'Phase3 - Fill-in'!E$5:E$1000,"&lt;&gt;Dictionnary!C669"))</f>
        <v>#DIV/0!</v>
      </c>
      <c r="F35" s="13"/>
    </row>
    <row r="36" spans="1:6" s="1" customFormat="1" ht="15.75" x14ac:dyDescent="0.25">
      <c r="A36" s="207" t="str">
        <f>Dictionnary!A476</f>
        <v>FS3.25h</v>
      </c>
      <c r="B36" s="14" t="str">
        <f>Dictionnary!B476</f>
        <v>Facilities and Safety</v>
      </c>
      <c r="C36" s="15" t="str">
        <f>Dictionnary!C476</f>
        <v>Personnel data</v>
      </c>
      <c r="D36" s="16" t="s">
        <v>1408</v>
      </c>
      <c r="E36" s="103" t="e">
        <f>(COUNTIFS('Phase3 - Fill-in'!B$1:B$1000,A36,'Phase3 - Fill-in'!E$1:E$1000,Dictionnary!C$666)+0.5*COUNTIFS('Phase3 - Fill-in'!B$1:B$1000,A36,'Phase3 - Fill-in'!E$1:E$1000,Dictionnary!C$669))/(COUNTIFS('Phase3 - Fill-in'!B$5:B$1000,A36,'Phase3 - Fill-in'!E$5:E$1000,"&lt;&gt;Dictionnary!C669"))</f>
        <v>#DIV/0!</v>
      </c>
      <c r="F36" s="13"/>
    </row>
    <row r="37" spans="1:6" s="1" customFormat="1" ht="15.75" x14ac:dyDescent="0.25">
      <c r="A37" s="207" t="str">
        <f>Dictionnary!A477</f>
        <v>ORG3.1</v>
      </c>
      <c r="B37" s="99" t="str">
        <f>Dictionnary!B477</f>
        <v>Organization</v>
      </c>
      <c r="C37" s="17" t="str">
        <f>Dictionnary!C477</f>
        <v>Does the laboratory have a clear Vision?</v>
      </c>
      <c r="D37" s="12" t="s">
        <v>1409</v>
      </c>
      <c r="E37" s="103" t="e">
        <f>(COUNTIFS('Phase3 - Fill-in'!B$1:B$1000,A37,'Phase3 - Fill-in'!E$1:E$1000,Dictionnary!C$666)+0.5*COUNTIFS('Phase3 - Fill-in'!B$1:B$1000,A37,'Phase3 - Fill-in'!E$1:E$1000,Dictionnary!C$669))/(COUNTIFS('Phase3 - Fill-in'!B$5:B$1000,A37,'Phase3 - Fill-in'!E$5:E$1000,"&lt;&gt;Dictionnary!C669"))</f>
        <v>#DIV/0!</v>
      </c>
      <c r="F37" s="13"/>
    </row>
    <row r="38" spans="1:6" s="1" customFormat="1" ht="31.5" x14ac:dyDescent="0.25">
      <c r="A38" s="207" t="str">
        <f>Dictionnary!A478</f>
        <v>ORG3.2</v>
      </c>
      <c r="B38" s="14" t="str">
        <f>Dictionnary!B478</f>
        <v>Organization</v>
      </c>
      <c r="C38" s="15" t="str">
        <f>Dictionnary!C478</f>
        <v>Is the Vision of the laboratory documented and stored?</v>
      </c>
      <c r="D38" s="16" t="s">
        <v>1408</v>
      </c>
      <c r="E38" s="103">
        <f>(COUNTIFS('Phase3 - Fill-in'!B$1:B$1000,A38,'Phase3 - Fill-in'!E$1:E$1000,Dictionnary!C$666)+0.5*COUNTIFS('Phase3 - Fill-in'!B$1:B$1000,A38,'Phase3 - Fill-in'!E$1:E$1000,Dictionnary!C$669))/(COUNTIFS('Phase3 - Fill-in'!B$5:B$1000,A38,'Phase3 - Fill-in'!E$5:E$1000,"&lt;&gt;Dictionnary!C669"))</f>
        <v>0.33333333333333331</v>
      </c>
      <c r="F38" s="13"/>
    </row>
    <row r="39" spans="1:6" s="1" customFormat="1" ht="15.75" x14ac:dyDescent="0.25">
      <c r="A39" s="207" t="str">
        <f>Dictionnary!A479</f>
        <v>ORG3.3</v>
      </c>
      <c r="B39" s="99" t="str">
        <f>Dictionnary!B479</f>
        <v>Organization</v>
      </c>
      <c r="C39" s="17" t="str">
        <f>Dictionnary!C479</f>
        <v>Does the laboratory have a clear Mission?</v>
      </c>
      <c r="D39" s="12" t="s">
        <v>1408</v>
      </c>
      <c r="E39" s="103">
        <f>(COUNTIFS('Phase3 - Fill-in'!B$1:B$1000,A39,'Phase3 - Fill-in'!E$1:E$1000,Dictionnary!C$666)+0.5*COUNTIFS('Phase3 - Fill-in'!B$1:B$1000,A39,'Phase3 - Fill-in'!E$1:E$1000,Dictionnary!C$669))/(COUNTIFS('Phase3 - Fill-in'!B$5:B$1000,A39,'Phase3 - Fill-in'!E$5:E$1000,"&lt;&gt;Dictionnary!C669"))</f>
        <v>1</v>
      </c>
      <c r="F39" s="13"/>
    </row>
    <row r="40" spans="1:6" s="1" customFormat="1" ht="31.5" x14ac:dyDescent="0.25">
      <c r="A40" s="207" t="str">
        <f>Dictionnary!A480</f>
        <v>ORG3.4</v>
      </c>
      <c r="B40" s="14" t="str">
        <f>Dictionnary!B480</f>
        <v>Organization</v>
      </c>
      <c r="C40" s="15" t="str">
        <f>Dictionnary!C480</f>
        <v>Is the Mission of the laboratory documented and stored?</v>
      </c>
      <c r="D40" s="16" t="s">
        <v>1408</v>
      </c>
      <c r="E40" s="103" t="e">
        <f>(COUNTIFS('Phase3 - Fill-in'!B$1:B$1000,A40,'Phase3 - Fill-in'!E$1:E$1000,Dictionnary!C$666)+0.5*COUNTIFS('Phase3 - Fill-in'!B$1:B$1000,A40,'Phase3 - Fill-in'!E$1:E$1000,Dictionnary!C$669))/(COUNTIFS('Phase3 - Fill-in'!B$5:B$1000,A40,'Phase3 - Fill-in'!E$5:E$1000,"&lt;&gt;Dictionnary!C669"))</f>
        <v>#DIV/0!</v>
      </c>
      <c r="F40" s="13"/>
    </row>
    <row r="41" spans="1:6" s="1" customFormat="1" ht="15.75" x14ac:dyDescent="0.25">
      <c r="A41" s="207" t="str">
        <f>Dictionnary!A481</f>
        <v>ORG3.5</v>
      </c>
      <c r="B41" s="99" t="str">
        <f>Dictionnary!B481</f>
        <v>Organization</v>
      </c>
      <c r="C41" s="17" t="str">
        <f>Dictionnary!C481</f>
        <v>Does the laboratory have long-term goals?</v>
      </c>
      <c r="D41" s="12" t="s">
        <v>1408</v>
      </c>
      <c r="E41" s="103">
        <f>(COUNTIFS('Phase3 - Fill-in'!B$1:B$1000,A41,'Phase3 - Fill-in'!E$1:E$1000,Dictionnary!C$666)+0.5*COUNTIFS('Phase3 - Fill-in'!B$1:B$1000,A41,'Phase3 - Fill-in'!E$1:E$1000,Dictionnary!C$669))/(COUNTIFS('Phase3 - Fill-in'!B$5:B$1000,A41,'Phase3 - Fill-in'!E$5:E$1000,"&lt;&gt;Dictionnary!C669"))</f>
        <v>0</v>
      </c>
      <c r="F41" s="13"/>
    </row>
    <row r="42" spans="1:6" s="1" customFormat="1" ht="31.5" x14ac:dyDescent="0.25">
      <c r="A42" s="207" t="str">
        <f>Dictionnary!A482</f>
        <v>ORG3.6</v>
      </c>
      <c r="B42" s="14" t="str">
        <f>Dictionnary!B482</f>
        <v>Organization</v>
      </c>
      <c r="C42" s="15" t="str">
        <f>Dictionnary!C482</f>
        <v>Are the long-term goals of the laboratory covering all the core-activities?</v>
      </c>
      <c r="D42" s="16" t="s">
        <v>1408</v>
      </c>
      <c r="E42" s="103" t="e">
        <f>(COUNTIFS('Phase3 - Fill-in'!B$1:B$1000,A42,'Phase3 - Fill-in'!E$1:E$1000,Dictionnary!C$666)+0.5*COUNTIFS('Phase3 - Fill-in'!B$1:B$1000,A42,'Phase3 - Fill-in'!E$1:E$1000,Dictionnary!C$669))/(COUNTIFS('Phase3 - Fill-in'!B$5:B$1000,A42,'Phase3 - Fill-in'!E$5:E$1000,"&lt;&gt;Dictionnary!C669"))</f>
        <v>#DIV/0!</v>
      </c>
      <c r="F42" s="13"/>
    </row>
    <row r="43" spans="1:6" s="1" customFormat="1" ht="31.5" x14ac:dyDescent="0.25">
      <c r="A43" s="207" t="str">
        <f>Dictionnary!A483</f>
        <v>ORG3.7</v>
      </c>
      <c r="B43" s="99" t="str">
        <f>Dictionnary!B483</f>
        <v>Organization</v>
      </c>
      <c r="C43" s="17" t="str">
        <f>Dictionnary!C483</f>
        <v>Are the long-term goals of the laboratory aimed at improvement?</v>
      </c>
      <c r="D43" s="12" t="s">
        <v>1408</v>
      </c>
      <c r="E43" s="103" t="e">
        <f>(COUNTIFS('Phase3 - Fill-in'!B$1:B$1000,A43,'Phase3 - Fill-in'!E$1:E$1000,Dictionnary!C$666)+0.5*COUNTIFS('Phase3 - Fill-in'!B$1:B$1000,A43,'Phase3 - Fill-in'!E$1:E$1000,Dictionnary!C$669))/(COUNTIFS('Phase3 - Fill-in'!B$5:B$1000,A43,'Phase3 - Fill-in'!E$5:E$1000,"&lt;&gt;Dictionnary!C669"))</f>
        <v>#DIV/0!</v>
      </c>
      <c r="F43" s="13"/>
    </row>
    <row r="44" spans="1:6" s="1" customFormat="1" ht="31.5" x14ac:dyDescent="0.25">
      <c r="A44" s="207" t="str">
        <f>Dictionnary!A484</f>
        <v>ORG3.8</v>
      </c>
      <c r="B44" s="14" t="str">
        <f>Dictionnary!B484</f>
        <v>Organization</v>
      </c>
      <c r="C44" s="15" t="str">
        <f>Dictionnary!C484</f>
        <v>Are the long-term goals of the laboratory documented and stored?</v>
      </c>
      <c r="D44" s="16" t="s">
        <v>1408</v>
      </c>
      <c r="E44" s="103" t="e">
        <f>(COUNTIFS('Phase3 - Fill-in'!B$1:B$1000,A44,'Phase3 - Fill-in'!E$1:E$1000,Dictionnary!C$666)+0.5*COUNTIFS('Phase3 - Fill-in'!B$1:B$1000,A44,'Phase3 - Fill-in'!E$1:E$1000,Dictionnary!C$669))/(COUNTIFS('Phase3 - Fill-in'!B$5:B$1000,A44,'Phase3 - Fill-in'!E$5:E$1000,"&lt;&gt;Dictionnary!C669"))</f>
        <v>#DIV/0!</v>
      </c>
      <c r="F44" s="13"/>
    </row>
    <row r="45" spans="1:6" s="1" customFormat="1" ht="15.75" x14ac:dyDescent="0.25">
      <c r="A45" s="207" t="str">
        <f>Dictionnary!A485</f>
        <v>ORG3.9</v>
      </c>
      <c r="B45" s="99" t="str">
        <f>Dictionnary!B485</f>
        <v>Organization</v>
      </c>
      <c r="C45" s="17" t="str">
        <f>Dictionnary!C485</f>
        <v>Does the laboratory have a Quality Policy?</v>
      </c>
      <c r="D45" s="12" t="s">
        <v>1409</v>
      </c>
      <c r="E45" s="103">
        <f>(COUNTIFS('Phase3 - Fill-in'!B$1:B$1000,A45,'Phase3 - Fill-in'!E$1:E$1000,Dictionnary!C$666)+0.5*COUNTIFS('Phase3 - Fill-in'!B$1:B$1000,A45,'Phase3 - Fill-in'!E$1:E$1000,Dictionnary!C$669))/(COUNTIFS('Phase3 - Fill-in'!B$5:B$1000,A45,'Phase3 - Fill-in'!E$5:E$1000,"&lt;&gt;Dictionnary!C669"))</f>
        <v>1</v>
      </c>
      <c r="F45" s="13"/>
    </row>
    <row r="46" spans="1:6" s="1" customFormat="1" ht="31.5" x14ac:dyDescent="0.25">
      <c r="A46" s="207" t="str">
        <f>Dictionnary!A486</f>
        <v>ORG3.10</v>
      </c>
      <c r="B46" s="14" t="str">
        <f>Dictionnary!B486</f>
        <v>Organization</v>
      </c>
      <c r="C46" s="15" t="str">
        <f>Dictionnary!C486</f>
        <v>Does the Quality Policy describe clearly the scope of the laboratory services?</v>
      </c>
      <c r="D46" s="16" t="s">
        <v>1408</v>
      </c>
      <c r="E46" s="103" t="e">
        <f>(COUNTIFS('Phase3 - Fill-in'!B$1:B$1000,A46,'Phase3 - Fill-in'!E$1:E$1000,Dictionnary!C$666)+0.5*COUNTIFS('Phase3 - Fill-in'!B$1:B$1000,A46,'Phase3 - Fill-in'!E$1:E$1000,Dictionnary!C$669))/(COUNTIFS('Phase3 - Fill-in'!B$5:B$1000,A46,'Phase3 - Fill-in'!E$5:E$1000,"&lt;&gt;Dictionnary!C669"))</f>
        <v>#DIV/0!</v>
      </c>
      <c r="F46" s="13"/>
    </row>
    <row r="47" spans="1:6" s="1" customFormat="1" ht="47.25" x14ac:dyDescent="0.25">
      <c r="A47" s="207" t="str">
        <f>Dictionnary!A487</f>
        <v>ORG3.11</v>
      </c>
      <c r="B47" s="99" t="str">
        <f>Dictionnary!B487</f>
        <v>Organization</v>
      </c>
      <c r="C47" s="17" t="str">
        <f>Dictionnary!C487</f>
        <v>Does the Quality Policy describe clearly the Long Term Goals and what the laboratory will do to achieve these goals?</v>
      </c>
      <c r="D47" s="12" t="s">
        <v>1408</v>
      </c>
      <c r="E47" s="103" t="e">
        <f>(COUNTIFS('Phase3 - Fill-in'!B$1:B$1000,A47,'Phase3 - Fill-in'!E$1:E$1000,Dictionnary!C$666)+0.5*COUNTIFS('Phase3 - Fill-in'!B$1:B$1000,A47,'Phase3 - Fill-in'!E$1:E$1000,Dictionnary!C$669))/(COUNTIFS('Phase3 - Fill-in'!B$5:B$1000,A47,'Phase3 - Fill-in'!E$5:E$1000,"&lt;&gt;Dictionnary!C669"))</f>
        <v>#DIV/0!</v>
      </c>
      <c r="F47" s="13"/>
    </row>
    <row r="48" spans="1:6" s="1" customFormat="1" ht="47.25" x14ac:dyDescent="0.25">
      <c r="A48" s="207" t="str">
        <f>Dictionnary!A488</f>
        <v>ORG3.12</v>
      </c>
      <c r="B48" s="14" t="str">
        <f>Dictionnary!B488</f>
        <v>Organization</v>
      </c>
      <c r="C48" s="15" t="str">
        <f>Dictionnary!C488</f>
        <v>Does the Quality Policy contain a statement of the management’s commitment to implement and maintain the quality management system?</v>
      </c>
      <c r="D48" s="16" t="s">
        <v>1408</v>
      </c>
      <c r="E48" s="103" t="e">
        <f>(COUNTIFS('Phase3 - Fill-in'!B$1:B$1000,A48,'Phase3 - Fill-in'!E$1:E$1000,Dictionnary!C$666)+0.5*COUNTIFS('Phase3 - Fill-in'!B$1:B$1000,A48,'Phase3 - Fill-in'!E$1:E$1000,Dictionnary!C$669))/(COUNTIFS('Phase3 - Fill-in'!B$5:B$1000,A48,'Phase3 - Fill-in'!E$5:E$1000,"&lt;&gt;Dictionnary!C669"))</f>
        <v>#DIV/0!</v>
      </c>
      <c r="F48" s="13"/>
    </row>
    <row r="49" spans="1:6" s="1" customFormat="1" ht="63" x14ac:dyDescent="0.25">
      <c r="A49" s="207" t="str">
        <f>Dictionnary!A489</f>
        <v>ORG3.13</v>
      </c>
      <c r="B49" s="99" t="str">
        <f>Dictionnary!B489</f>
        <v>Organization</v>
      </c>
      <c r="C49" s="17" t="str">
        <f>Dictionnary!C489</f>
        <v>Does the Quality Policy contain a statement of the laboratory's commitment to provide good professional practice, quality examinations, in compliance with the quality management system adhering to ISO 15189?</v>
      </c>
      <c r="D49" s="12" t="s">
        <v>1408</v>
      </c>
      <c r="E49" s="103" t="e">
        <f>(COUNTIFS('Phase3 - Fill-in'!B$1:B$1000,A49,'Phase3 - Fill-in'!E$1:E$1000,Dictionnary!C$666)+0.5*COUNTIFS('Phase3 - Fill-in'!B$1:B$1000,A49,'Phase3 - Fill-in'!E$1:E$1000,Dictionnary!C$669))/(COUNTIFS('Phase3 - Fill-in'!B$5:B$1000,A49,'Phase3 - Fill-in'!E$5:E$1000,"&lt;&gt;Dictionnary!C669"))</f>
        <v>#DIV/0!</v>
      </c>
      <c r="F49" s="13"/>
    </row>
    <row r="50" spans="1:6" s="1" customFormat="1" ht="47.25" x14ac:dyDescent="0.25">
      <c r="A50" s="207" t="str">
        <f>Dictionnary!A490</f>
        <v>ORG3.14</v>
      </c>
      <c r="B50" s="14" t="str">
        <f>Dictionnary!B490</f>
        <v>Organization</v>
      </c>
      <c r="C50" s="15" t="str">
        <f>Dictionnary!C490</f>
        <v>Does the Quality Policy contain a requirement that all staff members of the laboratory must be familiar with the policies and procedures of the laboratory and implement these?</v>
      </c>
      <c r="D50" s="16" t="s">
        <v>1408</v>
      </c>
      <c r="E50" s="103" t="e">
        <f>(COUNTIFS('Phase3 - Fill-in'!B$1:B$1000,A50,'Phase3 - Fill-in'!E$1:E$1000,Dictionnary!C$666)+0.5*COUNTIFS('Phase3 - Fill-in'!B$1:B$1000,A50,'Phase3 - Fill-in'!E$1:E$1000,Dictionnary!C$669))/(COUNTIFS('Phase3 - Fill-in'!B$5:B$1000,A50,'Phase3 - Fill-in'!E$5:E$1000,"&lt;&gt;Dictionnary!C669"))</f>
        <v>#DIV/0!</v>
      </c>
      <c r="F50" s="13"/>
    </row>
    <row r="51" spans="1:6" s="1" customFormat="1" ht="47.25" x14ac:dyDescent="0.25">
      <c r="A51" s="207" t="str">
        <f>Dictionnary!A491</f>
        <v>ORG3.15</v>
      </c>
      <c r="B51" s="99" t="str">
        <f>Dictionnary!B491</f>
        <v>Organization</v>
      </c>
      <c r="C51" s="17" t="str">
        <f>Dictionnary!C491</f>
        <v>Are staff aware of existence of the Quality Policy?
Take a sample by randomly asking staff members.</v>
      </c>
      <c r="D51" s="12" t="s">
        <v>1408</v>
      </c>
      <c r="E51" s="103" t="e">
        <f>(COUNTIFS('Phase3 - Fill-in'!B$1:B$1000,A51,'Phase3 - Fill-in'!E$1:E$1000,Dictionnary!C$666)+0.5*COUNTIFS('Phase3 - Fill-in'!B$1:B$1000,A51,'Phase3 - Fill-in'!E$1:E$1000,Dictionnary!C$669))/(COUNTIFS('Phase3 - Fill-in'!B$5:B$1000,A51,'Phase3 - Fill-in'!E$5:E$1000,"&lt;&gt;Dictionnary!C669"))</f>
        <v>#DIV/0!</v>
      </c>
      <c r="F51" s="13"/>
    </row>
    <row r="52" spans="1:6" s="1" customFormat="1" ht="63" x14ac:dyDescent="0.25">
      <c r="A52" s="207" t="str">
        <f>Dictionnary!A492</f>
        <v>ORG3.16</v>
      </c>
      <c r="B52" s="14" t="str">
        <f>Dictionnary!B492</f>
        <v>Organization</v>
      </c>
      <c r="C52" s="15" t="str">
        <f>Dictionnary!C492</f>
        <v>Are staff familiar with the contents of the Quality Policy?
Take a sample by randomly asking staff members.</v>
      </c>
      <c r="D52" s="16" t="s">
        <v>1409</v>
      </c>
      <c r="E52" s="103" t="e">
        <f>(COUNTIFS('Phase3 - Fill-in'!B$1:B$1000,A52,'Phase3 - Fill-in'!E$1:E$1000,Dictionnary!C$666)+0.5*COUNTIFS('Phase3 - Fill-in'!B$1:B$1000,A52,'Phase3 - Fill-in'!E$1:E$1000,Dictionnary!C$669))/(COUNTIFS('Phase3 - Fill-in'!B$5:B$1000,A52,'Phase3 - Fill-in'!E$5:E$1000,"&lt;&gt;Dictionnary!C669"))</f>
        <v>#DIV/0!</v>
      </c>
      <c r="F52" s="13"/>
    </row>
    <row r="53" spans="1:6" s="1" customFormat="1" ht="63" x14ac:dyDescent="0.25">
      <c r="A53" s="207" t="str">
        <f>Dictionnary!A493</f>
        <v>ORG3.17</v>
      </c>
      <c r="B53" s="99" t="str">
        <f>Dictionnary!B493</f>
        <v>Organization</v>
      </c>
      <c r="C53" s="17" t="str">
        <f>Dictionnary!C493</f>
        <v>Have all staff members read the Quality Policy?
Request proof such as the Read &amp; Understand List and interview staff members about the contents of the quality policy.</v>
      </c>
      <c r="D53" s="12" t="s">
        <v>1408</v>
      </c>
      <c r="E53" s="103" t="e">
        <f>(COUNTIFS('Phase3 - Fill-in'!B$1:B$1000,A53,'Phase3 - Fill-in'!E$1:E$1000,Dictionnary!C$666)+0.5*COUNTIFS('Phase3 - Fill-in'!B$1:B$1000,A53,'Phase3 - Fill-in'!E$1:E$1000,Dictionnary!C$669))/(COUNTIFS('Phase3 - Fill-in'!B$5:B$1000,A53,'Phase3 - Fill-in'!E$5:E$1000,"&lt;&gt;Dictionnary!C669"))</f>
        <v>#DIV/0!</v>
      </c>
      <c r="F53" s="13"/>
    </row>
    <row r="54" spans="1:6" s="1" customFormat="1" ht="31.5" x14ac:dyDescent="0.25">
      <c r="A54" s="207" t="str">
        <f>Dictionnary!A494</f>
        <v>ORG3.18</v>
      </c>
      <c r="B54" s="14" t="str">
        <f>Dictionnary!B494</f>
        <v>Organization</v>
      </c>
      <c r="C54" s="15" t="str">
        <f>Dictionnary!C494</f>
        <v>Does the laboratory have measures to prevent interruption of services due to break down of old equipment?</v>
      </c>
      <c r="D54" s="16" t="s">
        <v>1408</v>
      </c>
      <c r="E54" s="103">
        <f>(COUNTIFS('Phase3 - Fill-in'!B$1:B$1000,A54,'Phase3 - Fill-in'!E$1:E$1000,Dictionnary!C$666)+0.5*COUNTIFS('Phase3 - Fill-in'!B$1:B$1000,A54,'Phase3 - Fill-in'!E$1:E$1000,Dictionnary!C$669))/(COUNTIFS('Phase3 - Fill-in'!B$5:B$1000,A54,'Phase3 - Fill-in'!E$5:E$1000,"&lt;&gt;Dictionnary!C669"))</f>
        <v>0.5</v>
      </c>
      <c r="F54" s="13"/>
    </row>
    <row r="55" spans="1:6" s="1" customFormat="1" ht="31.5" x14ac:dyDescent="0.25">
      <c r="A55" s="207" t="str">
        <f>Dictionnary!A495</f>
        <v>ORG3.19</v>
      </c>
      <c r="B55" s="99" t="str">
        <f>Dictionnary!B495</f>
        <v>Organization</v>
      </c>
      <c r="C55" s="17" t="str">
        <f>Dictionnary!C495</f>
        <v>Is purchasing of new equipment taken into account in making the laboratory budget for the next year?</v>
      </c>
      <c r="D55" s="12" t="s">
        <v>1408</v>
      </c>
      <c r="E55" s="103" t="e">
        <f>(COUNTIFS('Phase3 - Fill-in'!B$1:B$1000,A55,'Phase3 - Fill-in'!E$1:E$1000,Dictionnary!C$666)+0.5*COUNTIFS('Phase3 - Fill-in'!B$1:B$1000,A55,'Phase3 - Fill-in'!E$1:E$1000,Dictionnary!C$669))/(COUNTIFS('Phase3 - Fill-in'!B$5:B$1000,A55,'Phase3 - Fill-in'!E$5:E$1000,"&lt;&gt;Dictionnary!C669"))</f>
        <v>#DIV/0!</v>
      </c>
      <c r="F55" s="13"/>
    </row>
    <row r="56" spans="1:6" s="1" customFormat="1" ht="31.5" x14ac:dyDescent="0.25">
      <c r="A56" s="207" t="str">
        <f>Dictionnary!A496</f>
        <v>ORG3.20</v>
      </c>
      <c r="B56" s="14" t="str">
        <f>Dictionnary!B496</f>
        <v>Organization</v>
      </c>
      <c r="C56" s="15" t="str">
        <f>Dictionnary!C496</f>
        <v>Are maintenance costs (including repairs) taken into account in the laboratory budget?</v>
      </c>
      <c r="D56" s="16" t="s">
        <v>1408</v>
      </c>
      <c r="E56" s="103" t="e">
        <f>(COUNTIFS('Phase3 - Fill-in'!B$1:B$1000,A56,'Phase3 - Fill-in'!E$1:E$1000,Dictionnary!C$666)+0.5*COUNTIFS('Phase3 - Fill-in'!B$1:B$1000,A56,'Phase3 - Fill-in'!E$1:E$1000,Dictionnary!C$669))/(COUNTIFS('Phase3 - Fill-in'!B$5:B$1000,A56,'Phase3 - Fill-in'!E$5:E$1000,"&lt;&gt;Dictionnary!C669"))</f>
        <v>#DIV/0!</v>
      </c>
      <c r="F56" s="13"/>
    </row>
    <row r="57" spans="1:6" s="1" customFormat="1" ht="31.5" x14ac:dyDescent="0.25">
      <c r="A57" s="207" t="str">
        <f>Dictionnary!A497</f>
        <v>ORG3.21</v>
      </c>
      <c r="B57" s="99" t="str">
        <f>Dictionnary!B497</f>
        <v>Organization</v>
      </c>
      <c r="C57" s="17" t="str">
        <f>Dictionnary!C497</f>
        <v>Did the laboratory formulate goals for the coming year prior to drafting the Quality Year Plan?</v>
      </c>
      <c r="D57" s="12" t="s">
        <v>1408</v>
      </c>
      <c r="E57" s="103">
        <f>(COUNTIFS('Phase3 - Fill-in'!B$1:B$1000,A57,'Phase3 - Fill-in'!E$1:E$1000,Dictionnary!C$666)+0.5*COUNTIFS('Phase3 - Fill-in'!B$1:B$1000,A57,'Phase3 - Fill-in'!E$1:E$1000,Dictionnary!C$669))/(COUNTIFS('Phase3 - Fill-in'!B$5:B$1000,A57,'Phase3 - Fill-in'!E$5:E$1000,"&lt;&gt;Dictionnary!C669"))</f>
        <v>1</v>
      </c>
      <c r="F57" s="13"/>
    </row>
    <row r="58" spans="1:6" s="1" customFormat="1" ht="31.5" x14ac:dyDescent="0.25">
      <c r="A58" s="207" t="str">
        <f>Dictionnary!A498</f>
        <v>ORG3.22</v>
      </c>
      <c r="B58" s="14" t="str">
        <f>Dictionnary!B498</f>
        <v>Organization</v>
      </c>
      <c r="C58" s="15" t="str">
        <f>Dictionnary!C498</f>
        <v>Does the laboratory plan its activities through a Quality Year Plan?</v>
      </c>
      <c r="D58" s="16" t="s">
        <v>1409</v>
      </c>
      <c r="E58" s="103">
        <f>(COUNTIFS('Phase3 - Fill-in'!B$1:B$1000,A58,'Phase3 - Fill-in'!E$1:E$1000,Dictionnary!C$666)+0.5*COUNTIFS('Phase3 - Fill-in'!B$1:B$1000,A58,'Phase3 - Fill-in'!E$1:E$1000,Dictionnary!C$669))/(COUNTIFS('Phase3 - Fill-in'!B$5:B$1000,A58,'Phase3 - Fill-in'!E$5:E$1000,"&lt;&gt;Dictionnary!C669"))</f>
        <v>0.5</v>
      </c>
      <c r="F58" s="13"/>
    </row>
    <row r="59" spans="1:6" s="1" customFormat="1" ht="31.5" x14ac:dyDescent="0.25">
      <c r="A59" s="207" t="str">
        <f>Dictionnary!A499</f>
        <v>ORG3.23</v>
      </c>
      <c r="B59" s="99" t="str">
        <f>Dictionnary!B499</f>
        <v>Organization</v>
      </c>
      <c r="C59" s="17" t="str">
        <f>Dictionnary!C499</f>
        <v>Is the Quality Year Plan complete (does it cover all the aspects of the quality management system)?</v>
      </c>
      <c r="D59" s="12" t="s">
        <v>1408</v>
      </c>
      <c r="E59" s="103" t="e">
        <f>(COUNTIFS('Phase3 - Fill-in'!B$1:B$1000,A59,'Phase3 - Fill-in'!E$1:E$1000,Dictionnary!C$666)+0.5*COUNTIFS('Phase3 - Fill-in'!B$1:B$1000,A59,'Phase3 - Fill-in'!E$1:E$1000,Dictionnary!C$669))/(COUNTIFS('Phase3 - Fill-in'!B$5:B$1000,A59,'Phase3 - Fill-in'!E$5:E$1000,"&lt;&gt;Dictionnary!C669"))</f>
        <v>#DIV/0!</v>
      </c>
      <c r="F59" s="13"/>
    </row>
    <row r="60" spans="1:6" s="1" customFormat="1" ht="63" x14ac:dyDescent="0.25">
      <c r="A60" s="207" t="str">
        <f>Dictionnary!A500</f>
        <v>ORG3.24</v>
      </c>
      <c r="B60" s="14" t="str">
        <f>Dictionnary!B500</f>
        <v>Organization</v>
      </c>
      <c r="C60" s="15" t="str">
        <f>Dictionnary!C500</f>
        <v>Has the Quality Year Plan been formulated with input from the Quality Officer?
Take a sample by asking the Quality Officer and some members of the Quality Project Team.</v>
      </c>
      <c r="D60" s="16" t="s">
        <v>1408</v>
      </c>
      <c r="E60" s="103" t="e">
        <f>(COUNTIFS('Phase3 - Fill-in'!B$1:B$1000,A60,'Phase3 - Fill-in'!E$1:E$1000,Dictionnary!C$666)+0.5*COUNTIFS('Phase3 - Fill-in'!B$1:B$1000,A60,'Phase3 - Fill-in'!E$1:E$1000,Dictionnary!C$669))/(COUNTIFS('Phase3 - Fill-in'!B$5:B$1000,A60,'Phase3 - Fill-in'!E$5:E$1000,"&lt;&gt;Dictionnary!C669"))</f>
        <v>#DIV/0!</v>
      </c>
      <c r="F60" s="13"/>
    </row>
    <row r="61" spans="1:6" s="1" customFormat="1" ht="31.5" x14ac:dyDescent="0.25">
      <c r="A61" s="207" t="str">
        <f>Dictionnary!A501</f>
        <v>ORG3.25</v>
      </c>
      <c r="B61" s="99" t="str">
        <f>Dictionnary!B501</f>
        <v>Organization</v>
      </c>
      <c r="C61" s="17" t="str">
        <f>Dictionnary!C501</f>
        <v>Is the Quality Year Plan appropriately stored and easily retrievable?</v>
      </c>
      <c r="D61" s="12" t="s">
        <v>1408</v>
      </c>
      <c r="E61" s="103" t="e">
        <f>(COUNTIFS('Phase3 - Fill-in'!B$1:B$1000,A61,'Phase3 - Fill-in'!E$1:E$1000,Dictionnary!C$666)+0.5*COUNTIFS('Phase3 - Fill-in'!B$1:B$1000,A61,'Phase3 - Fill-in'!E$1:E$1000,Dictionnary!C$669))/(COUNTIFS('Phase3 - Fill-in'!B$5:B$1000,A61,'Phase3 - Fill-in'!E$5:E$1000,"&lt;&gt;Dictionnary!C669"))</f>
        <v>#DIV/0!</v>
      </c>
      <c r="F61" s="13"/>
    </row>
    <row r="62" spans="1:6" s="1" customFormat="1" ht="31.5" x14ac:dyDescent="0.25">
      <c r="A62" s="207" t="str">
        <f>Dictionnary!A502</f>
        <v>ORG3.26</v>
      </c>
      <c r="B62" s="14" t="str">
        <f>Dictionnary!B502</f>
        <v>Organization</v>
      </c>
      <c r="C62" s="15" t="str">
        <f>Dictionnary!C502</f>
        <v>Is the Quality Year Plan signed and dated by management?</v>
      </c>
      <c r="D62" s="16" t="s">
        <v>1408</v>
      </c>
      <c r="E62" s="103" t="e">
        <f>(COUNTIFS('Phase3 - Fill-in'!B$1:B$1000,A62,'Phase3 - Fill-in'!E$1:E$1000,Dictionnary!C$666)+0.5*COUNTIFS('Phase3 - Fill-in'!B$1:B$1000,A62,'Phase3 - Fill-in'!E$1:E$1000,Dictionnary!C$669))/(COUNTIFS('Phase3 - Fill-in'!B$5:B$1000,A62,'Phase3 - Fill-in'!E$5:E$1000,"&lt;&gt;Dictionnary!C669"))</f>
        <v>#DIV/0!</v>
      </c>
      <c r="F62" s="13"/>
    </row>
    <row r="63" spans="1:6" s="1" customFormat="1" ht="31.5" x14ac:dyDescent="0.25">
      <c r="A63" s="207" t="str">
        <f>Dictionnary!A503</f>
        <v>ORG3.27</v>
      </c>
      <c r="B63" s="99" t="str">
        <f>Dictionnary!B503</f>
        <v>Organization</v>
      </c>
      <c r="C63" s="17" t="str">
        <f>Dictionnary!C503</f>
        <v>Is the Quality Year Plan translated into an action plan?</v>
      </c>
      <c r="D63" s="12" t="s">
        <v>1408</v>
      </c>
      <c r="E63" s="103">
        <f>(COUNTIFS('Phase3 - Fill-in'!B$1:B$1000,A63,'Phase3 - Fill-in'!E$1:E$1000,Dictionnary!C$666)+0.5*COUNTIFS('Phase3 - Fill-in'!B$1:B$1000,A63,'Phase3 - Fill-in'!E$1:E$1000,Dictionnary!C$669))/(COUNTIFS('Phase3 - Fill-in'!B$5:B$1000,A63,'Phase3 - Fill-in'!E$5:E$1000,"&lt;&gt;Dictionnary!C669"))</f>
        <v>0.5</v>
      </c>
      <c r="F63" s="13"/>
    </row>
    <row r="64" spans="1:6" s="1" customFormat="1" ht="47.25" x14ac:dyDescent="0.25">
      <c r="A64" s="207" t="str">
        <f>Dictionnary!A504</f>
        <v>ORG3.28</v>
      </c>
      <c r="B64" s="14" t="str">
        <f>Dictionnary!B504</f>
        <v>Organization</v>
      </c>
      <c r="C64" s="15" t="str">
        <f>Dictionnary!C504</f>
        <v>Is this action plan of the Quality Year Plan signed and dated by the Laboratory Manager for approval?</v>
      </c>
      <c r="D64" s="16" t="s">
        <v>1408</v>
      </c>
      <c r="E64" s="103" t="e">
        <f>(COUNTIFS('Phase3 - Fill-in'!B$1:B$1000,A64,'Phase3 - Fill-in'!E$1:E$1000,Dictionnary!C$666)+0.5*COUNTIFS('Phase3 - Fill-in'!B$1:B$1000,A64,'Phase3 - Fill-in'!E$1:E$1000,Dictionnary!C$669))/(COUNTIFS('Phase3 - Fill-in'!B$5:B$1000,A64,'Phase3 - Fill-in'!E$5:E$1000,"&lt;&gt;Dictionnary!C669"))</f>
        <v>#DIV/0!</v>
      </c>
      <c r="F64" s="13"/>
    </row>
    <row r="65" spans="1:6" s="1" customFormat="1" ht="63" x14ac:dyDescent="0.25">
      <c r="A65" s="207" t="str">
        <f>Dictionnary!A505</f>
        <v>ORG3.29</v>
      </c>
      <c r="B65" s="99" t="str">
        <f>Dictionnary!B505</f>
        <v>Organization</v>
      </c>
      <c r="C65" s="17" t="str">
        <f>Dictionnary!C505</f>
        <v>Is staff aware of the existence of the Quality Year Plan?
Take a sample by asking some random staff member to explain what the Quality Year Plan is.</v>
      </c>
      <c r="D65" s="12" t="s">
        <v>1409</v>
      </c>
      <c r="E65" s="103" t="e">
        <f>(COUNTIFS('Phase3 - Fill-in'!B$1:B$1000,A65,'Phase3 - Fill-in'!E$1:E$1000,Dictionnary!C$666)+0.5*COUNTIFS('Phase3 - Fill-in'!B$1:B$1000,A65,'Phase3 - Fill-in'!E$1:E$1000,Dictionnary!C$669))/(COUNTIFS('Phase3 - Fill-in'!B$5:B$1000,A65,'Phase3 - Fill-in'!E$5:E$1000,"&lt;&gt;Dictionnary!C669"))</f>
        <v>#DIV/0!</v>
      </c>
      <c r="F65" s="13"/>
    </row>
    <row r="66" spans="1:6" s="1" customFormat="1" ht="78.75" x14ac:dyDescent="0.25">
      <c r="A66" s="207" t="str">
        <f>Dictionnary!A506</f>
        <v>ORG3.30</v>
      </c>
      <c r="B66" s="14" t="str">
        <f>Dictionnary!B506</f>
        <v>Organization</v>
      </c>
      <c r="C66" s="15" t="str">
        <f>Dictionnary!C506</f>
        <v>Are staff members aware of action points assigned to them?
Take a sample by asking staff members about action points assigned to them.</v>
      </c>
      <c r="D66" s="16" t="s">
        <v>1408</v>
      </c>
      <c r="E66" s="103" t="e">
        <f>(COUNTIFS('Phase3 - Fill-in'!B$1:B$1000,A66,'Phase3 - Fill-in'!E$1:E$1000,Dictionnary!C$666)+0.5*COUNTIFS('Phase3 - Fill-in'!B$1:B$1000,A66,'Phase3 - Fill-in'!E$1:E$1000,Dictionnary!C$669))/(COUNTIFS('Phase3 - Fill-in'!B$5:B$1000,A66,'Phase3 - Fill-in'!E$5:E$1000,"&lt;&gt;Dictionnary!C669"))</f>
        <v>#DIV/0!</v>
      </c>
      <c r="F66" s="13"/>
    </row>
    <row r="67" spans="1:6" s="1" customFormat="1" ht="63" x14ac:dyDescent="0.25">
      <c r="A67" s="207" t="str">
        <f>Dictionnary!A507</f>
        <v>ORG3.31</v>
      </c>
      <c r="B67" s="99" t="str">
        <f>Dictionnary!B507</f>
        <v>Organization</v>
      </c>
      <c r="C67" s="17" t="str">
        <f>Dictionnary!C507</f>
        <v>Is the quality management system appropriately documented in a quality manual, i.e. does it include information on each of the 12 quality system essentials and how these are implemented in the laboratory?</v>
      </c>
      <c r="D67" s="12" t="s">
        <v>1408</v>
      </c>
      <c r="E67" s="103">
        <f>(COUNTIFS('Phase3 - Fill-in'!B$1:B$1000,A67,'Phase3 - Fill-in'!E$1:E$1000,Dictionnary!C$666)+0.5*COUNTIFS('Phase3 - Fill-in'!B$1:B$1000,A67,'Phase3 - Fill-in'!E$1:E$1000,Dictionnary!C$669))/(COUNTIFS('Phase3 - Fill-in'!B$5:B$1000,A67,'Phase3 - Fill-in'!E$5:E$1000,"&lt;&gt;Dictionnary!C669"))</f>
        <v>0</v>
      </c>
      <c r="F67" s="13"/>
    </row>
    <row r="68" spans="1:6" s="1" customFormat="1" ht="31.5" x14ac:dyDescent="0.25">
      <c r="A68" s="207" t="str">
        <f>Dictionnary!A508</f>
        <v>ORG3.32</v>
      </c>
      <c r="B68" s="14" t="str">
        <f>Dictionnary!B508</f>
        <v>Organization</v>
      </c>
      <c r="C68" s="15" t="str">
        <f>Dictionnary!C508</f>
        <v>Is the quality manual part of the document control system?</v>
      </c>
      <c r="D68" s="16" t="s">
        <v>1408</v>
      </c>
      <c r="E68" s="103" t="e">
        <f>(COUNTIFS('Phase3 - Fill-in'!B$1:B$1000,A68,'Phase3 - Fill-in'!E$1:E$1000,Dictionnary!C$666)+0.5*COUNTIFS('Phase3 - Fill-in'!B$1:B$1000,A68,'Phase3 - Fill-in'!E$1:E$1000,Dictionnary!C$669))/(COUNTIFS('Phase3 - Fill-in'!B$5:B$1000,A68,'Phase3 - Fill-in'!E$5:E$1000,"&lt;&gt;Dictionnary!C669"))</f>
        <v>#DIV/0!</v>
      </c>
      <c r="F68" s="13"/>
    </row>
    <row r="69" spans="1:6" s="1" customFormat="1" ht="31.5" x14ac:dyDescent="0.25">
      <c r="A69" s="207" t="str">
        <f>Dictionnary!A509</f>
        <v>ORG3.33</v>
      </c>
      <c r="B69" s="99" t="str">
        <f>Dictionnary!B509</f>
        <v>Organization</v>
      </c>
      <c r="C69" s="17" t="str">
        <f>Dictionnary!C509</f>
        <v>Have all staff members read the quality manual?</v>
      </c>
      <c r="D69" s="12" t="s">
        <v>1408</v>
      </c>
      <c r="E69" s="103" t="e">
        <f>(COUNTIFS('Phase3 - Fill-in'!B$1:B$1000,A69,'Phase3 - Fill-in'!E$1:E$1000,Dictionnary!C$666)+0.5*COUNTIFS('Phase3 - Fill-in'!B$1:B$1000,A69,'Phase3 - Fill-in'!E$1:E$1000,Dictionnary!C$669))/(COUNTIFS('Phase3 - Fill-in'!B$5:B$1000,A69,'Phase3 - Fill-in'!E$5:E$1000,"&lt;&gt;Dictionnary!C669"))</f>
        <v>#DIV/0!</v>
      </c>
      <c r="F69" s="13"/>
    </row>
    <row r="70" spans="1:6" s="1" customFormat="1" ht="31.5" x14ac:dyDescent="0.25">
      <c r="A70" s="207" t="str">
        <f>Dictionnary!A510</f>
        <v>ORG3.34</v>
      </c>
      <c r="B70" s="14" t="str">
        <f>Dictionnary!B510</f>
        <v>Organization</v>
      </c>
      <c r="C70" s="15" t="str">
        <f>Dictionnary!C510</f>
        <v>Is the performance of the quality management system recorded in Quarterly Reports?</v>
      </c>
      <c r="D70" s="16" t="s">
        <v>1408</v>
      </c>
      <c r="E70" s="103">
        <f>(COUNTIFS('Phase3 - Fill-in'!B$1:B$1000,A70,'Phase3 - Fill-in'!E$1:E$1000,Dictionnary!C$666)+0.5*COUNTIFS('Phase3 - Fill-in'!B$1:B$1000,A70,'Phase3 - Fill-in'!E$1:E$1000,Dictionnary!C$669))/(COUNTIFS('Phase3 - Fill-in'!B$5:B$1000,A70,'Phase3 - Fill-in'!E$5:E$1000,"&lt;&gt;Dictionnary!C669"))</f>
        <v>1</v>
      </c>
      <c r="F70" s="13"/>
    </row>
    <row r="71" spans="1:6" s="1" customFormat="1" ht="31.5" x14ac:dyDescent="0.25">
      <c r="A71" s="207" t="str">
        <f>Dictionnary!A511</f>
        <v>ORG3.35</v>
      </c>
      <c r="B71" s="99" t="str">
        <f>Dictionnary!B511</f>
        <v>Organization</v>
      </c>
      <c r="C71" s="17" t="str">
        <f>Dictionnary!C511</f>
        <v>Is the functioning of the quality management system reviewed annually by laboratory management?</v>
      </c>
      <c r="D71" s="12" t="s">
        <v>1409</v>
      </c>
      <c r="E71" s="103">
        <f>(COUNTIFS('Phase3 - Fill-in'!B$1:B$1000,A71,'Phase3 - Fill-in'!E$1:E$1000,Dictionnary!C$666)+0.5*COUNTIFS('Phase3 - Fill-in'!B$1:B$1000,A71,'Phase3 - Fill-in'!E$1:E$1000,Dictionnary!C$669))/(COUNTIFS('Phase3 - Fill-in'!B$5:B$1000,A71,'Phase3 - Fill-in'!E$5:E$1000,"&lt;&gt;Dictionnary!C669"))</f>
        <v>0.5</v>
      </c>
      <c r="F71" s="13"/>
    </row>
    <row r="72" spans="1:6" s="1" customFormat="1" ht="31.5" x14ac:dyDescent="0.25">
      <c r="A72" s="207" t="str">
        <f>Dictionnary!A512</f>
        <v>ORG3.36</v>
      </c>
      <c r="B72" s="14" t="str">
        <f>Dictionnary!B512</f>
        <v>Organization</v>
      </c>
      <c r="C72" s="15" t="str">
        <f>Dictionnary!C512</f>
        <v>Are reports drafted of management reviews?</v>
      </c>
      <c r="D72" s="16" t="s">
        <v>1408</v>
      </c>
      <c r="E72" s="103" t="e">
        <f>(COUNTIFS('Phase3 - Fill-in'!B$1:B$1000,A72,'Phase3 - Fill-in'!E$1:E$1000,Dictionnary!C$666)+0.5*COUNTIFS('Phase3 - Fill-in'!B$1:B$1000,A72,'Phase3 - Fill-in'!E$1:E$1000,Dictionnary!C$669))/(COUNTIFS('Phase3 - Fill-in'!B$5:B$1000,A72,'Phase3 - Fill-in'!E$5:E$1000,"&lt;&gt;Dictionnary!C669"))</f>
        <v>#DIV/0!</v>
      </c>
      <c r="F72" s="13"/>
    </row>
    <row r="73" spans="1:6" s="1" customFormat="1" ht="31.5" x14ac:dyDescent="0.25">
      <c r="A73" s="207" t="str">
        <f>Dictionnary!A513</f>
        <v>ORG3.37</v>
      </c>
      <c r="B73" s="99" t="str">
        <f>Dictionnary!B513</f>
        <v>Organization</v>
      </c>
      <c r="C73" s="17" t="str">
        <f>Dictionnary!C513</f>
        <v>Do Management Review Reports include action points if applicable?</v>
      </c>
      <c r="D73" s="12" t="s">
        <v>1408</v>
      </c>
      <c r="E73" s="103" t="e">
        <f>(COUNTIFS('Phase3 - Fill-in'!B$1:B$1000,A73,'Phase3 - Fill-in'!E$1:E$1000,Dictionnary!C$666)+0.5*COUNTIFS('Phase3 - Fill-in'!B$1:B$1000,A73,'Phase3 - Fill-in'!E$1:E$1000,Dictionnary!C$669))/(COUNTIFS('Phase3 - Fill-in'!B$5:B$1000,A73,'Phase3 - Fill-in'!E$5:E$1000,"&lt;&gt;Dictionnary!C669"))</f>
        <v>#DIV/0!</v>
      </c>
      <c r="F73" s="13"/>
    </row>
    <row r="74" spans="1:6" s="1" customFormat="1" ht="63" x14ac:dyDescent="0.25">
      <c r="A74" s="207" t="str">
        <f>Dictionnary!A514</f>
        <v>ORG3.38</v>
      </c>
      <c r="B74" s="14" t="str">
        <f>Dictionnary!B514</f>
        <v>Organization</v>
      </c>
      <c r="C74" s="15" t="str">
        <f>Dictionnary!C514</f>
        <v>Are the result of the management review presented to all staff?
See meeting minutes.</v>
      </c>
      <c r="D74" s="16" t="s">
        <v>1408</v>
      </c>
      <c r="E74" s="103" t="e">
        <f>(COUNTIFS('Phase3 - Fill-in'!B$1:B$1000,A74,'Phase3 - Fill-in'!E$1:E$1000,Dictionnary!C$666)+0.5*COUNTIFS('Phase3 - Fill-in'!B$1:B$1000,A74,'Phase3 - Fill-in'!E$1:E$1000,Dictionnary!C$669))/(COUNTIFS('Phase3 - Fill-in'!B$5:B$1000,A74,'Phase3 - Fill-in'!E$5:E$1000,"&lt;&gt;Dictionnary!C669"))</f>
        <v>#DIV/0!</v>
      </c>
      <c r="F74" s="13"/>
    </row>
    <row r="75" spans="1:6" s="1" customFormat="1" ht="31.5" x14ac:dyDescent="0.25">
      <c r="A75" s="207" t="str">
        <f>Dictionnary!A515</f>
        <v>ORG3.39</v>
      </c>
      <c r="B75" s="14" t="str">
        <f>Dictionnary!B515</f>
        <v>Organization</v>
      </c>
      <c r="C75" s="15" t="str">
        <f>Dictionnary!C515</f>
        <v>Are Management Review Reports securely and orderly stored?</v>
      </c>
      <c r="D75" s="16" t="s">
        <v>1408</v>
      </c>
      <c r="E75" s="103" t="e">
        <f>(COUNTIFS('Phase3 - Fill-in'!B$1:B$1000,A75,'Phase3 - Fill-in'!E$1:E$1000,Dictionnary!C$666)+0.5*COUNTIFS('Phase3 - Fill-in'!B$1:B$1000,A75,'Phase3 - Fill-in'!E$1:E$1000,Dictionnary!C$669))/(COUNTIFS('Phase3 - Fill-in'!B$5:B$1000,A75,'Phase3 - Fill-in'!E$5:E$1000,"&lt;&gt;Dictionnary!C669"))</f>
        <v>#DIV/0!</v>
      </c>
      <c r="F75" s="13"/>
    </row>
    <row r="76" spans="1:6" s="1" customFormat="1" ht="31.5" x14ac:dyDescent="0.25">
      <c r="A76" s="207" t="str">
        <f>Dictionnary!A516</f>
        <v>ORG3.40</v>
      </c>
      <c r="B76" s="99" t="str">
        <f>Dictionnary!B516</f>
        <v>Organization</v>
      </c>
      <c r="C76" s="17" t="str">
        <f>Dictionnary!C516</f>
        <v>Does the Quality Year Plan include action points from the management review?</v>
      </c>
      <c r="D76" s="12" t="s">
        <v>1408</v>
      </c>
      <c r="E76" s="103">
        <f>(COUNTIFS('Phase3 - Fill-in'!B$1:B$1000,A76,'Phase3 - Fill-in'!E$1:E$1000,Dictionnary!C$666)+0.5*COUNTIFS('Phase3 - Fill-in'!B$1:B$1000,A76,'Phase3 - Fill-in'!E$1:E$1000,Dictionnary!C$669))/(COUNTIFS('Phase3 - Fill-in'!B$5:B$1000,A76,'Phase3 - Fill-in'!E$5:E$1000,"&lt;&gt;Dictionnary!C669"))</f>
        <v>0.5</v>
      </c>
      <c r="F76" s="13"/>
    </row>
    <row r="77" spans="1:6" s="1" customFormat="1" ht="47.25" x14ac:dyDescent="0.25">
      <c r="A77" s="207" t="str">
        <f>Dictionnary!A517</f>
        <v>ORG3.41</v>
      </c>
      <c r="B77" s="14" t="str">
        <f>Dictionnary!B517</f>
        <v>Organization</v>
      </c>
      <c r="C77" s="15" t="str">
        <f>Dictionnary!C517</f>
        <v>Does the Quality Year Plan take into account the Quality Policy, Long Term Goals, Core Values, Mission and Vision of the laboratory?</v>
      </c>
      <c r="D77" s="16" t="s">
        <v>1408</v>
      </c>
      <c r="E77" s="103" t="e">
        <f>(COUNTIFS('Phase3 - Fill-in'!B$1:B$1000,A77,'Phase3 - Fill-in'!E$1:E$1000,Dictionnary!C$666)+0.5*COUNTIFS('Phase3 - Fill-in'!B$1:B$1000,A77,'Phase3 - Fill-in'!E$1:E$1000,Dictionnary!C$669))/(COUNTIFS('Phase3 - Fill-in'!B$5:B$1000,A77,'Phase3 - Fill-in'!E$5:E$1000,"&lt;&gt;Dictionnary!C669"))</f>
        <v>#DIV/0!</v>
      </c>
      <c r="F77" s="13"/>
    </row>
    <row r="78" spans="1:6" s="1" customFormat="1" ht="31.5" x14ac:dyDescent="0.25">
      <c r="A78" s="207" t="str">
        <f>Dictionnary!A518</f>
        <v>ORG3.42</v>
      </c>
      <c r="B78" s="99" t="str">
        <f>Dictionnary!B518</f>
        <v>Organization</v>
      </c>
      <c r="C78" s="17" t="str">
        <f>Dictionnary!C518</f>
        <v>Is an action plan drafted based on the action points yielding from the Quality Year Plan?</v>
      </c>
      <c r="D78" s="12" t="s">
        <v>1409</v>
      </c>
      <c r="E78" s="103" t="e">
        <f>(COUNTIFS('Phase3 - Fill-in'!B$1:B$1000,A78,'Phase3 - Fill-in'!E$1:E$1000,Dictionnary!C$666)+0.5*COUNTIFS('Phase3 - Fill-in'!B$1:B$1000,A78,'Phase3 - Fill-in'!E$1:E$1000,Dictionnary!C$669))/(COUNTIFS('Phase3 - Fill-in'!B$5:B$1000,A78,'Phase3 - Fill-in'!E$5:E$1000,"&lt;&gt;Dictionnary!C669"))</f>
        <v>#DIV/0!</v>
      </c>
      <c r="F78" s="13"/>
    </row>
    <row r="79" spans="1:6" s="1" customFormat="1" ht="63" x14ac:dyDescent="0.25">
      <c r="A79" s="207" t="str">
        <f>Dictionnary!A519</f>
        <v>ORG3.43</v>
      </c>
      <c r="B79" s="14" t="str">
        <f>Dictionnary!B519</f>
        <v>Organization</v>
      </c>
      <c r="C79" s="15" t="str">
        <f>Dictionnary!C519</f>
        <v>Has the Quality Year Plan and the action plan based on the Quality Year Plan been presented to the laboratory staff?
See minutes of that meeting.</v>
      </c>
      <c r="D79" s="16" t="s">
        <v>1408</v>
      </c>
      <c r="E79" s="103" t="e">
        <f>(COUNTIFS('Phase3 - Fill-in'!B$1:B$1000,A79,'Phase3 - Fill-in'!E$1:E$1000,Dictionnary!C$666)+0.5*COUNTIFS('Phase3 - Fill-in'!B$1:B$1000,A79,'Phase3 - Fill-in'!E$1:E$1000,Dictionnary!C$669))/(COUNTIFS('Phase3 - Fill-in'!B$5:B$1000,A79,'Phase3 - Fill-in'!E$5:E$1000,"&lt;&gt;Dictionnary!C669"))</f>
        <v>#DIV/0!</v>
      </c>
      <c r="F79" s="13"/>
    </row>
    <row r="80" spans="1:6" s="1" customFormat="1" ht="78.75" x14ac:dyDescent="0.25">
      <c r="A80" s="207" t="str">
        <f>Dictionnary!A520</f>
        <v>ORG3.44</v>
      </c>
      <c r="B80" s="99" t="str">
        <f>Dictionnary!B520</f>
        <v>Organization</v>
      </c>
      <c r="C80" s="17" t="str">
        <f>Dictionnary!C520</f>
        <v>Have all the policy cycle activities been documented in an SOP (i.e. drafting a quality year plan, monitoring of performance of the quality management system and drafting quarterly reports, and performing a management review)?</v>
      </c>
      <c r="D80" s="12" t="s">
        <v>1408</v>
      </c>
      <c r="E80" s="103">
        <f>(COUNTIFS('Phase3 - Fill-in'!B$1:B$1000,A80,'Phase3 - Fill-in'!E$1:E$1000,Dictionnary!C$666)+0.5*COUNTIFS('Phase3 - Fill-in'!B$1:B$1000,A80,'Phase3 - Fill-in'!E$1:E$1000,Dictionnary!C$669))/(COUNTIFS('Phase3 - Fill-in'!B$5:B$1000,A80,'Phase3 - Fill-in'!E$5:E$1000,"&lt;&gt;Dictionnary!C669"))</f>
        <v>1</v>
      </c>
      <c r="F80" s="13"/>
    </row>
    <row r="81" spans="1:6" s="1" customFormat="1" ht="31.5" x14ac:dyDescent="0.25">
      <c r="A81" s="207" t="str">
        <f>Dictionnary!A521</f>
        <v>PERS3.1</v>
      </c>
      <c r="B81" s="14" t="str">
        <f>Dictionnary!B521</f>
        <v>Personnel</v>
      </c>
      <c r="C81" s="15" t="str">
        <f>Dictionnary!C521</f>
        <v>Has the laboratory investigated if there are potential conflicts of interest among laboratory staff?</v>
      </c>
      <c r="D81" s="16" t="s">
        <v>1408</v>
      </c>
      <c r="E81" s="103" t="e">
        <f>(COUNTIFS('Phase3 - Fill-in'!B$1:B$1000,A81,'Phase3 - Fill-in'!E$1:E$1000,Dictionnary!C$666)+0.5*COUNTIFS('Phase3 - Fill-in'!B$1:B$1000,A81,'Phase3 - Fill-in'!E$1:E$1000,Dictionnary!C$669))/(COUNTIFS('Phase3 - Fill-in'!B$5:B$1000,A81,'Phase3 - Fill-in'!E$5:E$1000,"&lt;&gt;Dictionnary!C669"))</f>
        <v>#DIV/0!</v>
      </c>
      <c r="F81" s="13"/>
    </row>
    <row r="82" spans="1:6" s="1" customFormat="1" ht="31.5" x14ac:dyDescent="0.25">
      <c r="A82" s="207" t="str">
        <f>Dictionnary!A522</f>
        <v>PERS3.2</v>
      </c>
      <c r="B82" s="99" t="str">
        <f>Dictionnary!B522</f>
        <v>Personnel</v>
      </c>
      <c r="C82" s="17" t="str">
        <f>Dictionnary!C522</f>
        <v>If potential conflicts of interest among laboratory staff were identified, were they appropriately solved and documented?</v>
      </c>
      <c r="D82" s="12" t="s">
        <v>1408</v>
      </c>
      <c r="E82" s="103" t="e">
        <f>(COUNTIFS('Phase3 - Fill-in'!B$1:B$1000,A82,'Phase3 - Fill-in'!E$1:E$1000,Dictionnary!C$666)+0.5*COUNTIFS('Phase3 - Fill-in'!B$1:B$1000,A82,'Phase3 - Fill-in'!E$1:E$1000,Dictionnary!C$669))/(COUNTIFS('Phase3 - Fill-in'!B$5:B$1000,A82,'Phase3 - Fill-in'!E$5:E$1000,"&lt;&gt;Dictionnary!C669"))</f>
        <v>#DIV/0!</v>
      </c>
      <c r="F82" s="13"/>
    </row>
    <row r="83" spans="1:6" s="1" customFormat="1" ht="31.5" x14ac:dyDescent="0.25">
      <c r="A83" s="207" t="str">
        <f>Dictionnary!A523</f>
        <v>PERS3.3</v>
      </c>
      <c r="B83" s="14" t="str">
        <f>Dictionnary!B523</f>
        <v>Personnel</v>
      </c>
      <c r="C83" s="15" t="str">
        <f>Dictionnary!C523</f>
        <v>Is a personnel replacement matrix present in the laboratory?</v>
      </c>
      <c r="D83" s="16" t="s">
        <v>1408</v>
      </c>
      <c r="E83" s="103">
        <f>(COUNTIFS('Phase3 - Fill-in'!B$1:B$1000,A83,'Phase3 - Fill-in'!E$1:E$1000,Dictionnary!C$666)+0.5*COUNTIFS('Phase3 - Fill-in'!B$1:B$1000,A83,'Phase3 - Fill-in'!E$1:E$1000,Dictionnary!C$669))/(COUNTIFS('Phase3 - Fill-in'!B$5:B$1000,A83,'Phase3 - Fill-in'!E$5:E$1000,"&lt;&gt;Dictionnary!C669"))</f>
        <v>0.66666666666666663</v>
      </c>
      <c r="F83" s="13"/>
    </row>
    <row r="84" spans="1:6" s="1" customFormat="1" ht="31.5" x14ac:dyDescent="0.25">
      <c r="A84" s="207" t="str">
        <f>Dictionnary!A524</f>
        <v>PERS3.4</v>
      </c>
      <c r="B84" s="99" t="str">
        <f>Dictionnary!B524</f>
        <v>Personnel</v>
      </c>
      <c r="C84" s="17" t="str">
        <f>Dictionnary!C524</f>
        <v>Is a backup staff member defined for each staff member in the laboratory?</v>
      </c>
      <c r="D84" s="12" t="s">
        <v>1408</v>
      </c>
      <c r="E84" s="103" t="e">
        <f>(COUNTIFS('Phase3 - Fill-in'!B$1:B$1000,A84,'Phase3 - Fill-in'!E$1:E$1000,Dictionnary!C$666)+0.5*COUNTIFS('Phase3 - Fill-in'!B$1:B$1000,A84,'Phase3 - Fill-in'!E$1:E$1000,Dictionnary!C$669))/(COUNTIFS('Phase3 - Fill-in'!B$5:B$1000,A84,'Phase3 - Fill-in'!E$5:E$1000,"&lt;&gt;Dictionnary!C669"))</f>
        <v>#DIV/0!</v>
      </c>
      <c r="F84" s="13"/>
    </row>
    <row r="85" spans="1:6" s="1" customFormat="1" ht="31.5" x14ac:dyDescent="0.25">
      <c r="A85" s="207" t="str">
        <f>Dictionnary!A525</f>
        <v>PERS3.5</v>
      </c>
      <c r="B85" s="14" t="str">
        <f>Dictionnary!B525</f>
        <v>Personnel</v>
      </c>
      <c r="C85" s="15" t="str">
        <f>Dictionnary!C525</f>
        <v>Is the competency of the backup staff members checked for the tasks they need to take over from absent staff members?</v>
      </c>
      <c r="D85" s="16" t="s">
        <v>1409</v>
      </c>
      <c r="E85" s="103" t="e">
        <f>(COUNTIFS('Phase3 - Fill-in'!B$1:B$1000,A85,'Phase3 - Fill-in'!E$1:E$1000,Dictionnary!C$666)+0.5*COUNTIFS('Phase3 - Fill-in'!B$1:B$1000,A85,'Phase3 - Fill-in'!E$1:E$1000,Dictionnary!C$669))/(COUNTIFS('Phase3 - Fill-in'!B$5:B$1000,A85,'Phase3 - Fill-in'!E$5:E$1000,"&lt;&gt;Dictionnary!C669"))</f>
        <v>#DIV/0!</v>
      </c>
      <c r="F85" s="13"/>
    </row>
    <row r="86" spans="1:6" s="1" customFormat="1" ht="78.75" x14ac:dyDescent="0.25">
      <c r="A86" s="207" t="str">
        <f>Dictionnary!A526</f>
        <v>PERS3.6</v>
      </c>
      <c r="B86" s="99" t="str">
        <f>Dictionnary!B526</f>
        <v>Personnel</v>
      </c>
      <c r="C86" s="17" t="str">
        <f>Dictionnary!C526</f>
        <v>Is the laboratory staff aware of the existence of the personnel replacement matrix and which purpose it serves?
Take a sample by interviewing some staff members.</v>
      </c>
      <c r="D86" s="12" t="s">
        <v>1408</v>
      </c>
      <c r="E86" s="103" t="e">
        <f>(COUNTIFS('Phase3 - Fill-in'!B$1:B$1000,A86,'Phase3 - Fill-in'!E$1:E$1000,Dictionnary!C$666)+0.5*COUNTIFS('Phase3 - Fill-in'!B$1:B$1000,A86,'Phase3 - Fill-in'!E$1:E$1000,Dictionnary!C$669))/(COUNTIFS('Phase3 - Fill-in'!B$5:B$1000,A86,'Phase3 - Fill-in'!E$5:E$1000,"&lt;&gt;Dictionnary!C669"))</f>
        <v>#DIV/0!</v>
      </c>
      <c r="F86" s="13"/>
    </row>
    <row r="87" spans="1:6" s="1" customFormat="1" ht="31.5" x14ac:dyDescent="0.25">
      <c r="A87" s="207" t="str">
        <f>Dictionnary!A527</f>
        <v>PI3.1</v>
      </c>
      <c r="B87" s="14" t="str">
        <f>Dictionnary!B527</f>
        <v>Puchasing and Inventory</v>
      </c>
      <c r="C87" s="15" t="str">
        <f>Dictionnary!C527</f>
        <v>Does the laboratory perform a financial analysis on a regular basis to anticipate income versus expenditure for the coming year?</v>
      </c>
      <c r="D87" s="16" t="s">
        <v>1408</v>
      </c>
      <c r="E87" s="103" t="e">
        <f>(COUNTIFS('Phase3 - Fill-in'!B$1:B$1000,A87,'Phase3 - Fill-in'!E$1:E$1000,Dictionnary!C$666)+0.5*COUNTIFS('Phase3 - Fill-in'!B$1:B$1000,A87,'Phase3 - Fill-in'!E$1:E$1000,Dictionnary!C$669))/(COUNTIFS('Phase3 - Fill-in'!B$5:B$1000,A87,'Phase3 - Fill-in'!E$5:E$1000,"&lt;&gt;Dictionnary!C669"))</f>
        <v>#DIV/0!</v>
      </c>
      <c r="F87" s="13"/>
    </row>
    <row r="88" spans="1:6" s="1" customFormat="1" ht="31.5" x14ac:dyDescent="0.25">
      <c r="A88" s="207" t="str">
        <f>Dictionnary!A528</f>
        <v>PI3.2</v>
      </c>
      <c r="B88" s="99" t="str">
        <f>Dictionnary!B528</f>
        <v>Puchasing and Inventory</v>
      </c>
      <c r="C88" s="17" t="str">
        <f>Dictionnary!C528</f>
        <v>Does the laboratory have an SOP for Selection and Evaluation of Suppliers?</v>
      </c>
      <c r="D88" s="12" t="s">
        <v>1408</v>
      </c>
      <c r="E88" s="103">
        <f>(COUNTIFS('Phase3 - Fill-in'!B$1:B$1000,A88,'Phase3 - Fill-in'!E$1:E$1000,Dictionnary!C$666)+0.5*COUNTIFS('Phase3 - Fill-in'!B$1:B$1000,A88,'Phase3 - Fill-in'!E$1:E$1000,Dictionnary!C$669))/(COUNTIFS('Phase3 - Fill-in'!B$5:B$1000,A88,'Phase3 - Fill-in'!E$5:E$1000,"&lt;&gt;Dictionnary!C669"))</f>
        <v>0</v>
      </c>
      <c r="F88" s="13"/>
    </row>
    <row r="89" spans="1:6" s="1" customFormat="1" ht="31.5" x14ac:dyDescent="0.25">
      <c r="A89" s="207" t="str">
        <f>Dictionnary!A529</f>
        <v>PI3.3</v>
      </c>
      <c r="B89" s="14" t="str">
        <f>Dictionnary!B529</f>
        <v>Puchasing and Inventory</v>
      </c>
      <c r="C89" s="15" t="str">
        <f>Dictionnary!C529</f>
        <v>Does the laboratory select suppliers in a standardized way and documents this procedure?</v>
      </c>
      <c r="D89" s="16" t="s">
        <v>1408</v>
      </c>
      <c r="E89" s="103">
        <f>(COUNTIFS('Phase3 - Fill-in'!B$1:B$1000,A89,'Phase3 - Fill-in'!E$1:E$1000,Dictionnary!C$666)+0.5*COUNTIFS('Phase3 - Fill-in'!B$1:B$1000,A89,'Phase3 - Fill-in'!E$1:E$1000,Dictionnary!C$669))/(COUNTIFS('Phase3 - Fill-in'!B$5:B$1000,A89,'Phase3 - Fill-in'!E$5:E$1000,"&lt;&gt;Dictionnary!C669"))</f>
        <v>0</v>
      </c>
      <c r="F89" s="13"/>
    </row>
    <row r="90" spans="1:6" s="1" customFormat="1" ht="31.5" x14ac:dyDescent="0.25">
      <c r="A90" s="207" t="str">
        <f>Dictionnary!A530</f>
        <v>PI3.4</v>
      </c>
      <c r="B90" s="99" t="str">
        <f>Dictionnary!B530</f>
        <v>Puchasing and Inventory</v>
      </c>
      <c r="C90" s="17" t="str">
        <f>Dictionnary!C530</f>
        <v>Does the laboratory develop contracts for reception of services in a standardized way?</v>
      </c>
      <c r="D90" s="12" t="s">
        <v>1408</v>
      </c>
      <c r="E90" s="103">
        <f>(COUNTIFS('Phase3 - Fill-in'!B$1:B$1000,A90,'Phase3 - Fill-in'!E$1:E$1000,Dictionnary!C$666)+0.5*COUNTIFS('Phase3 - Fill-in'!B$1:B$1000,A90,'Phase3 - Fill-in'!E$1:E$1000,Dictionnary!C$669))/(COUNTIFS('Phase3 - Fill-in'!B$5:B$1000,A90,'Phase3 - Fill-in'!E$5:E$1000,"&lt;&gt;Dictionnary!C669"))</f>
        <v>1</v>
      </c>
      <c r="F90" s="13"/>
    </row>
    <row r="91" spans="1:6" s="1" customFormat="1" ht="47.25" x14ac:dyDescent="0.25">
      <c r="A91" s="207" t="str">
        <f>Dictionnary!A531</f>
        <v>PI3.5</v>
      </c>
      <c r="B91" s="14" t="str">
        <f>Dictionnary!B531</f>
        <v>Puchasing and Inventory</v>
      </c>
      <c r="C91" s="15" t="str">
        <f>Dictionnary!C531</f>
        <v>Does the laboratory evaluate contracts for reception of services in a standardized way and documents this procedure?</v>
      </c>
      <c r="D91" s="16" t="s">
        <v>1408</v>
      </c>
      <c r="E91" s="103">
        <f>(COUNTIFS('Phase3 - Fill-in'!B$1:B$1000,A91,'Phase3 - Fill-in'!E$1:E$1000,Dictionnary!C$666)+0.5*COUNTIFS('Phase3 - Fill-in'!B$1:B$1000,A91,'Phase3 - Fill-in'!E$1:E$1000,Dictionnary!C$669))/(COUNTIFS('Phase3 - Fill-in'!B$5:B$1000,A91,'Phase3 - Fill-in'!E$5:E$1000,"&lt;&gt;Dictionnary!C669"))</f>
        <v>0</v>
      </c>
      <c r="F91" s="13"/>
    </row>
    <row r="92" spans="1:6" s="1" customFormat="1" ht="47.25" x14ac:dyDescent="0.25">
      <c r="A92" s="207" t="str">
        <f>Dictionnary!A532</f>
        <v>PI3.6</v>
      </c>
      <c r="B92" s="99" t="str">
        <f>Dictionnary!B532</f>
        <v>Puchasing and Inventory</v>
      </c>
      <c r="C92" s="17" t="str">
        <f>Dictionnary!C532</f>
        <v>If contracts are amended/changed, does the laboratory have records/minutes explaining the amendments/changes and why they were made?</v>
      </c>
      <c r="D92" s="12" t="s">
        <v>1409</v>
      </c>
      <c r="E92" s="103">
        <f>(COUNTIFS('Phase3 - Fill-in'!B$1:B$1000,A92,'Phase3 - Fill-in'!E$1:E$1000,Dictionnary!C$666)+0.5*COUNTIFS('Phase3 - Fill-in'!B$1:B$1000,A92,'Phase3 - Fill-in'!E$1:E$1000,Dictionnary!C$669))/(COUNTIFS('Phase3 - Fill-in'!B$5:B$1000,A92,'Phase3 - Fill-in'!E$5:E$1000,"&lt;&gt;Dictionnary!C669"))</f>
        <v>1</v>
      </c>
      <c r="F92" s="13"/>
    </row>
    <row r="93" spans="1:6" s="1" customFormat="1" ht="78.75" x14ac:dyDescent="0.25">
      <c r="A93" s="207" t="str">
        <f>Dictionnary!A533</f>
        <v>PI3.7</v>
      </c>
      <c r="B93" s="14" t="str">
        <f>Dictionnary!B533</f>
        <v>Puchasing and Inventory</v>
      </c>
      <c r="C93" s="15" t="str">
        <f>Dictionnary!C533</f>
        <v>Has the laboratory formulated the procedure for selecting referral laboratories? If the laboratory does not refer samples to other laboratories: is a statement included in the quality manual explaining that no samples are referred to other laboratories?</v>
      </c>
      <c r="D93" s="16" t="s">
        <v>1408</v>
      </c>
      <c r="E93" s="103">
        <f>(COUNTIFS('Phase3 - Fill-in'!B$1:B$1000,A93,'Phase3 - Fill-in'!E$1:E$1000,Dictionnary!C$666)+0.5*COUNTIFS('Phase3 - Fill-in'!B$1:B$1000,A93,'Phase3 - Fill-in'!E$1:E$1000,Dictionnary!C$669))/(COUNTIFS('Phase3 - Fill-in'!B$5:B$1000,A93,'Phase3 - Fill-in'!E$5:E$1000,"&lt;&gt;Dictionnary!C669"))</f>
        <v>1</v>
      </c>
      <c r="F93" s="13"/>
    </row>
    <row r="94" spans="1:6" s="1" customFormat="1" ht="31.5" x14ac:dyDescent="0.25">
      <c r="A94" s="207" t="str">
        <f>Dictionnary!A534</f>
        <v>PI3.8</v>
      </c>
      <c r="B94" s="99" t="str">
        <f>Dictionnary!B534</f>
        <v>Puchasing and Inventory</v>
      </c>
      <c r="C94" s="17" t="str">
        <f>Dictionnary!C534</f>
        <v>Has the laboratory formulated the procedure for monitoring referral laboratories on a regular basis?</v>
      </c>
      <c r="D94" s="12" t="s">
        <v>1408</v>
      </c>
      <c r="E94" s="103" t="e">
        <f>(COUNTIFS('Phase3 - Fill-in'!B$1:B$1000,A94,'Phase3 - Fill-in'!E$1:E$1000,Dictionnary!C$666)+0.5*COUNTIFS('Phase3 - Fill-in'!B$1:B$1000,A94,'Phase3 - Fill-in'!E$1:E$1000,Dictionnary!C$669))/(COUNTIFS('Phase3 - Fill-in'!B$5:B$1000,A94,'Phase3 - Fill-in'!E$5:E$1000,"&lt;&gt;Dictionnary!C669"))</f>
        <v>#DIV/0!</v>
      </c>
      <c r="F94" s="13"/>
    </row>
    <row r="95" spans="1:6" s="1" customFormat="1" ht="31.5" x14ac:dyDescent="0.25">
      <c r="A95" s="207" t="str">
        <f>Dictionnary!A535</f>
        <v>PI3.9</v>
      </c>
      <c r="B95" s="14" t="str">
        <f>Dictionnary!B535</f>
        <v>Puchasing and Inventory</v>
      </c>
      <c r="C95" s="15" t="str">
        <f>Dictionnary!C535</f>
        <v>Is a folder present containing documents with appointments between the referral laboratories and this laboratory and monitoring data?</v>
      </c>
      <c r="D95" s="16" t="s">
        <v>1408</v>
      </c>
      <c r="E95" s="103">
        <f>(COUNTIFS('Phase3 - Fill-in'!B$1:B$1000,A95,'Phase3 - Fill-in'!E$1:E$1000,Dictionnary!C$666)+0.5*COUNTIFS('Phase3 - Fill-in'!B$1:B$1000,A95,'Phase3 - Fill-in'!E$1:E$1000,Dictionnary!C$669))/(COUNTIFS('Phase3 - Fill-in'!B$5:B$1000,A95,'Phase3 - Fill-in'!E$5:E$1000,"&lt;&gt;Dictionnary!C669"))</f>
        <v>0</v>
      </c>
      <c r="F95" s="13"/>
    </row>
    <row r="96" spans="1:6" s="1" customFormat="1" ht="31.5" x14ac:dyDescent="0.25">
      <c r="A96" s="207" t="str">
        <f>Dictionnary!A536</f>
        <v>PI3.10</v>
      </c>
      <c r="B96" s="99" t="str">
        <f>Dictionnary!B536</f>
        <v>Puchasing and Inventory</v>
      </c>
      <c r="C96" s="17" t="str">
        <f>Dictionnary!C536</f>
        <v>Is a folder present containing records of samples referred to referral laboratories, including the result reports?</v>
      </c>
      <c r="D96" s="12" t="s">
        <v>1408</v>
      </c>
      <c r="E96" s="103">
        <f>(COUNTIFS('Phase3 - Fill-in'!B$1:B$1000,A96,'Phase3 - Fill-in'!E$1:E$1000,Dictionnary!C$666)+0.5*COUNTIFS('Phase3 - Fill-in'!B$1:B$1000,A96,'Phase3 - Fill-in'!E$1:E$1000,Dictionnary!C$669))/(COUNTIFS('Phase3 - Fill-in'!B$5:B$1000,A96,'Phase3 - Fill-in'!E$5:E$1000,"&lt;&gt;Dictionnary!C669"))</f>
        <v>1</v>
      </c>
      <c r="F96" s="13"/>
    </row>
    <row r="97" spans="1:6" s="1" customFormat="1" ht="31.5" x14ac:dyDescent="0.25">
      <c r="A97" s="207" t="str">
        <f>Dictionnary!A537</f>
        <v>PM3.1</v>
      </c>
      <c r="B97" s="14" t="str">
        <f>Dictionnary!B537</f>
        <v>Process Management</v>
      </c>
      <c r="C97" s="15" t="str">
        <f>Dictionnary!C537</f>
        <v>Have the maximum allowed turnaround time been determined for each examination performed in the laboratory?</v>
      </c>
      <c r="D97" s="16" t="s">
        <v>1408</v>
      </c>
      <c r="E97" s="103">
        <f>(COUNTIFS('Phase3 - Fill-in'!B$1:B$1000,A97,'Phase3 - Fill-in'!E$1:E$1000,Dictionnary!C$666)+0.5*COUNTIFS('Phase3 - Fill-in'!B$1:B$1000,A97,'Phase3 - Fill-in'!E$1:E$1000,Dictionnary!C$669))/(COUNTIFS('Phase3 - Fill-in'!B$5:B$1000,A97,'Phase3 - Fill-in'!E$5:E$1000,"&lt;&gt;Dictionnary!C669"))</f>
        <v>1</v>
      </c>
      <c r="F97" s="13"/>
    </row>
    <row r="98" spans="1:6" s="1" customFormat="1" ht="31.5" x14ac:dyDescent="0.25">
      <c r="A98" s="207" t="str">
        <f>Dictionnary!A538</f>
        <v>PM3.2</v>
      </c>
      <c r="B98" s="99" t="str">
        <f>Dictionnary!B538</f>
        <v>Process Management</v>
      </c>
      <c r="C98" s="17" t="str">
        <f>Dictionnary!C538</f>
        <v>Is a table with the maximum allowed turnaround times for each examination included in the quality manual of the laboratory?</v>
      </c>
      <c r="D98" s="12" t="s">
        <v>1408</v>
      </c>
      <c r="E98" s="103">
        <f>(COUNTIFS('Phase3 - Fill-in'!B$1:B$1000,A98,'Phase3 - Fill-in'!E$1:E$1000,Dictionnary!C$666)+0.5*COUNTIFS('Phase3 - Fill-in'!B$1:B$1000,A98,'Phase3 - Fill-in'!E$1:E$1000,Dictionnary!C$669))/(COUNTIFS('Phase3 - Fill-in'!B$5:B$1000,A98,'Phase3 - Fill-in'!E$5:E$1000,"&lt;&gt;Dictionnary!C669"))</f>
        <v>0</v>
      </c>
      <c r="F98" s="13"/>
    </row>
    <row r="99" spans="1:6" s="1" customFormat="1" ht="47.25" x14ac:dyDescent="0.25">
      <c r="A99" s="207" t="str">
        <f>Dictionnary!A539</f>
        <v>PM3.3</v>
      </c>
      <c r="B99" s="14" t="str">
        <f>Dictionnary!B539</f>
        <v>Process Management</v>
      </c>
      <c r="C99" s="15" t="str">
        <f>Dictionnary!C539</f>
        <v>Is a table with the maximum allowed turnaround times for each examination included in the SOP on Reporting and Archiving of Results?</v>
      </c>
      <c r="D99" s="16" t="s">
        <v>1408</v>
      </c>
      <c r="E99" s="103">
        <f>(COUNTIFS('Phase3 - Fill-in'!B$1:B$1000,A99,'Phase3 - Fill-in'!E$1:E$1000,Dictionnary!C$666)+0.5*COUNTIFS('Phase3 - Fill-in'!B$1:B$1000,A99,'Phase3 - Fill-in'!E$1:E$1000,Dictionnary!C$669))/(COUNTIFS('Phase3 - Fill-in'!B$5:B$1000,A99,'Phase3 - Fill-in'!E$5:E$1000,"&lt;&gt;Dictionnary!C669"))</f>
        <v>0.5</v>
      </c>
      <c r="F99" s="13"/>
    </row>
    <row r="100" spans="1:6" s="1" customFormat="1" ht="47.25" x14ac:dyDescent="0.25">
      <c r="A100" s="207" t="str">
        <f>Dictionnary!A540</f>
        <v>PM3.4</v>
      </c>
      <c r="B100" s="99" t="str">
        <f>Dictionnary!B540</f>
        <v>Process Management</v>
      </c>
      <c r="C100" s="17" t="str">
        <f>Dictionnary!C540</f>
        <v>Does the SOP on Reporting and Archiving of Results include the procedure that the requester is immediately informed if the TAT of an examination is exceeded and this can compromise patient care?</v>
      </c>
      <c r="D100" s="12" t="s">
        <v>1409</v>
      </c>
      <c r="E100" s="103" t="e">
        <f>(COUNTIFS('Phase3 - Fill-in'!B$1:B$1000,A100,'Phase3 - Fill-in'!E$1:E$1000,Dictionnary!C$666)+0.5*COUNTIFS('Phase3 - Fill-in'!B$1:B$1000,A100,'Phase3 - Fill-in'!E$1:E$1000,Dictionnary!C$669))/(COUNTIFS('Phase3 - Fill-in'!B$5:B$1000,A100,'Phase3 - Fill-in'!E$5:E$1000,"&lt;&gt;Dictionnary!C669"))</f>
        <v>#DIV/0!</v>
      </c>
      <c r="F100" s="13"/>
    </row>
    <row r="101" spans="1:6" s="1" customFormat="1" ht="47.25" x14ac:dyDescent="0.25">
      <c r="A101" s="207" t="str">
        <f>Dictionnary!A541</f>
        <v>PM3.5</v>
      </c>
      <c r="B101" s="14" t="str">
        <f>Dictionnary!B541</f>
        <v>Process Management</v>
      </c>
      <c r="C101" s="15" t="str">
        <f>Dictionnary!C541</f>
        <v>Are staff members aware of the procedure for immediately informing the requester if an examination is exceeding the turnaround time when this can compromise patient care?</v>
      </c>
      <c r="D101" s="16" t="s">
        <v>1408</v>
      </c>
      <c r="E101" s="103" t="e">
        <f>(COUNTIFS('Phase3 - Fill-in'!B$1:B$1000,A101,'Phase3 - Fill-in'!E$1:E$1000,Dictionnary!C$666)+0.5*COUNTIFS('Phase3 - Fill-in'!B$1:B$1000,A101,'Phase3 - Fill-in'!E$1:E$1000,Dictionnary!C$669))/(COUNTIFS('Phase3 - Fill-in'!B$5:B$1000,A101,'Phase3 - Fill-in'!E$5:E$1000,"&lt;&gt;Dictionnary!C669"))</f>
        <v>#DIV/0!</v>
      </c>
      <c r="F101" s="13"/>
    </row>
    <row r="102" spans="1:6" s="1" customFormat="1" ht="31.5" x14ac:dyDescent="0.25">
      <c r="A102" s="207" t="str">
        <f>Dictionnary!A542</f>
        <v>PM3.6</v>
      </c>
      <c r="B102" s="99" t="str">
        <f>Dictionnary!B542</f>
        <v>Process Management</v>
      </c>
      <c r="C102" s="17" t="str">
        <f>Dictionnary!C542</f>
        <v>Is the turnaround time monitored on a continuous basis for each examinations?</v>
      </c>
      <c r="D102" s="12" t="s">
        <v>1408</v>
      </c>
      <c r="E102" s="103">
        <f>(COUNTIFS('Phase3 - Fill-in'!B$1:B$1000,A102,'Phase3 - Fill-in'!E$1:E$1000,Dictionnary!C$666)+0.5*COUNTIFS('Phase3 - Fill-in'!B$1:B$1000,A102,'Phase3 - Fill-in'!E$1:E$1000,Dictionnary!C$669))/(COUNTIFS('Phase3 - Fill-in'!B$5:B$1000,A102,'Phase3 - Fill-in'!E$5:E$1000,"&lt;&gt;Dictionnary!C669"))</f>
        <v>0</v>
      </c>
      <c r="F102" s="13"/>
    </row>
    <row r="103" spans="1:6" s="1" customFormat="1" ht="31.5" x14ac:dyDescent="0.25">
      <c r="A103" s="207" t="str">
        <f>Dictionnary!A543</f>
        <v>PM3.7</v>
      </c>
      <c r="B103" s="14" t="str">
        <f>Dictionnary!B543</f>
        <v>Process Management</v>
      </c>
      <c r="C103" s="15" t="str">
        <f>Dictionnary!C543</f>
        <v>Is the result of turnaround time assessment included in the Quarterly Reports?</v>
      </c>
      <c r="D103" s="16" t="s">
        <v>1408</v>
      </c>
      <c r="E103" s="103">
        <f>(COUNTIFS('Phase3 - Fill-in'!B$1:B$1000,A103,'Phase3 - Fill-in'!E$1:E$1000,Dictionnary!C$666)+0.5*COUNTIFS('Phase3 - Fill-in'!B$1:B$1000,A103,'Phase3 - Fill-in'!E$1:E$1000,Dictionnary!C$669))/(COUNTIFS('Phase3 - Fill-in'!B$5:B$1000,A103,'Phase3 - Fill-in'!E$5:E$1000,"&lt;&gt;Dictionnary!C669"))</f>
        <v>1</v>
      </c>
      <c r="F103" s="13"/>
    </row>
    <row r="104" spans="1:6" s="1" customFormat="1" ht="47.25" x14ac:dyDescent="0.25">
      <c r="A104" s="207" t="str">
        <f>Dictionnary!A544</f>
        <v>PM3.8</v>
      </c>
      <c r="B104" s="99" t="str">
        <f>Dictionnary!B544</f>
        <v>Process Management</v>
      </c>
      <c r="C104" s="17" t="str">
        <f>Dictionnary!C544</f>
        <v>Are corrective and preventive actions implemented in an attempt to decrease the percentage of samples exceeding the turnaround time to a minimum?</v>
      </c>
      <c r="D104" s="12" t="s">
        <v>1408</v>
      </c>
      <c r="E104" s="103">
        <f>(COUNTIFS('Phase3 - Fill-in'!B$1:B$1000,A104,'Phase3 - Fill-in'!E$1:E$1000,Dictionnary!C$666)+0.5*COUNTIFS('Phase3 - Fill-in'!B$1:B$1000,A104,'Phase3 - Fill-in'!E$1:E$1000,Dictionnary!C$669))/(COUNTIFS('Phase3 - Fill-in'!B$5:B$1000,A104,'Phase3 - Fill-in'!E$5:E$1000,"&lt;&gt;Dictionnary!C669"))</f>
        <v>0.5</v>
      </c>
      <c r="F104" s="13"/>
    </row>
    <row r="105" spans="1:6" s="1" customFormat="1" ht="47.25" x14ac:dyDescent="0.25">
      <c r="A105" s="207" t="str">
        <f>Dictionnary!A545</f>
        <v>PM3.9</v>
      </c>
      <c r="B105" s="14" t="str">
        <f>Dictionnary!B545</f>
        <v>Process Management</v>
      </c>
      <c r="C105" s="15" t="str">
        <f>Dictionnary!C545</f>
        <v>When sudden increases are seen in the percentage of samples exceeding turnaround time, is an analysis performed to identify the cause and implement corrective and preventive actions?</v>
      </c>
      <c r="D105" s="16" t="s">
        <v>1408</v>
      </c>
      <c r="E105" s="103">
        <f>(COUNTIFS('Phase3 - Fill-in'!B$1:B$1000,A105,'Phase3 - Fill-in'!E$1:E$1000,Dictionnary!C$666)+0.5*COUNTIFS('Phase3 - Fill-in'!B$1:B$1000,A105,'Phase3 - Fill-in'!E$1:E$1000,Dictionnary!C$669))/(COUNTIFS('Phase3 - Fill-in'!B$5:B$1000,A105,'Phase3 - Fill-in'!E$5:E$1000,"&lt;&gt;Dictionnary!C669"))</f>
        <v>1</v>
      </c>
      <c r="F105" s="13"/>
    </row>
    <row r="106" spans="1:6" s="1" customFormat="1" ht="47.25" x14ac:dyDescent="0.25">
      <c r="A106" s="207" t="str">
        <f>Dictionnary!A546</f>
        <v>PM3.10</v>
      </c>
      <c r="B106" s="99" t="str">
        <f>Dictionnary!B546</f>
        <v>Process Management</v>
      </c>
      <c r="C106" s="17" t="str">
        <f>Dictionnary!C546</f>
        <v>Is the efficacy of corrective and preventive actions to minimize/counteract increase of samples exceeding turnaround time determined in subsequent turnaround time assessments?</v>
      </c>
      <c r="D106" s="12" t="s">
        <v>1408</v>
      </c>
      <c r="E106" s="103">
        <f>(COUNTIFS('Phase3 - Fill-in'!B$1:B$1000,A106,'Phase3 - Fill-in'!E$1:E$1000,Dictionnary!C$666)+0.5*COUNTIFS('Phase3 - Fill-in'!B$1:B$1000,A106,'Phase3 - Fill-in'!E$1:E$1000,Dictionnary!C$669))/(COUNTIFS('Phase3 - Fill-in'!B$5:B$1000,A106,'Phase3 - Fill-in'!E$5:E$1000,"&lt;&gt;Dictionnary!C669"))</f>
        <v>0</v>
      </c>
      <c r="F106" s="13"/>
    </row>
    <row r="107" spans="1:6" s="1" customFormat="1" ht="31.5" x14ac:dyDescent="0.25">
      <c r="A107" s="207" t="str">
        <f>Dictionnary!A547</f>
        <v>PM3.11</v>
      </c>
      <c r="B107" s="14" t="str">
        <f>Dictionnary!B547</f>
        <v>Process Management</v>
      </c>
      <c r="C107" s="15" t="str">
        <f>Dictionnary!C547</f>
        <v>Has the laboratory standardized the procedure of validation of examination methods and equipment in an SOP?</v>
      </c>
      <c r="D107" s="16" t="s">
        <v>1408</v>
      </c>
      <c r="E107" s="103">
        <f>(COUNTIFS('Phase3 - Fill-in'!B$1:B$1000,A107,'Phase3 - Fill-in'!E$1:E$1000,Dictionnary!C$666)+0.5*COUNTIFS('Phase3 - Fill-in'!B$1:B$1000,A107,'Phase3 - Fill-in'!E$1:E$1000,Dictionnary!C$669))/(COUNTIFS('Phase3 - Fill-in'!B$5:B$1000,A107,'Phase3 - Fill-in'!E$5:E$1000,"&lt;&gt;Dictionnary!C669"))</f>
        <v>0.5</v>
      </c>
      <c r="F107" s="13"/>
    </row>
    <row r="108" spans="1:6" s="1" customFormat="1" ht="63" x14ac:dyDescent="0.25">
      <c r="A108" s="207" t="str">
        <f>Dictionnary!A548</f>
        <v>PM3.12</v>
      </c>
      <c r="B108" s="99" t="str">
        <f>Dictionnary!B548</f>
        <v>Process Management</v>
      </c>
      <c r="C108" s="17" t="str">
        <f>Dictionnary!C548</f>
        <v>Has the laboratory validated all the examination methods performed in the laboratory?
Find evidence by asking for the validation reports.</v>
      </c>
      <c r="D108" s="12" t="s">
        <v>1409</v>
      </c>
      <c r="E108" s="103">
        <f>(COUNTIFS('Phase3 - Fill-in'!B$1:B$1000,A108,'Phase3 - Fill-in'!E$1:E$1000,Dictionnary!C$666)+0.5*COUNTIFS('Phase3 - Fill-in'!B$1:B$1000,A108,'Phase3 - Fill-in'!E$1:E$1000,Dictionnary!C$669))/(COUNTIFS('Phase3 - Fill-in'!B$5:B$1000,A108,'Phase3 - Fill-in'!E$5:E$1000,"&lt;&gt;Dictionnary!C669"))</f>
        <v>0.66666666666666663</v>
      </c>
      <c r="F108" s="13"/>
    </row>
    <row r="109" spans="1:6" s="1" customFormat="1" ht="47.25" x14ac:dyDescent="0.25">
      <c r="A109" s="207" t="str">
        <f>Dictionnary!A549</f>
        <v>PM3.13</v>
      </c>
      <c r="B109" s="14" t="str">
        <f>Dictionnary!B549</f>
        <v>Process Management</v>
      </c>
      <c r="C109" s="15" t="str">
        <f>Dictionnary!C549</f>
        <v>When the laboratory, through validation, identified the need to change an examination method, was this change made (including adaption of the SOP for that method)?</v>
      </c>
      <c r="D109" s="16" t="s">
        <v>1408</v>
      </c>
      <c r="E109" s="103" t="e">
        <f>(COUNTIFS('Phase3 - Fill-in'!B$1:B$1000,A109,'Phase3 - Fill-in'!E$1:E$1000,Dictionnary!C$666)+0.5*COUNTIFS('Phase3 - Fill-in'!B$1:B$1000,A109,'Phase3 - Fill-in'!E$1:E$1000,Dictionnary!C$669))/(COUNTIFS('Phase3 - Fill-in'!B$5:B$1000,A109,'Phase3 - Fill-in'!E$5:E$1000,"&lt;&gt;Dictionnary!C669"))</f>
        <v>#DIV/0!</v>
      </c>
      <c r="F109" s="13"/>
    </row>
    <row r="110" spans="1:6" s="1" customFormat="1" ht="47.25" x14ac:dyDescent="0.25">
      <c r="A110" s="207" t="str">
        <f>Dictionnary!A550</f>
        <v>INFO3.1</v>
      </c>
      <c r="B110" s="99" t="str">
        <f>Dictionnary!B550</f>
        <v>Information Management</v>
      </c>
      <c r="C110" s="17" t="str">
        <f>Dictionnary!C550</f>
        <v>Does the laboratory have an archive for laboratory records that is constructed in a logical way allowing for quick and easy access to information?</v>
      </c>
      <c r="D110" s="12" t="s">
        <v>1408</v>
      </c>
      <c r="E110" s="103">
        <f>(COUNTIFS('Phase3 - Fill-in'!B$1:B$1000,A110,'Phase3 - Fill-in'!E$1:E$1000,Dictionnary!C$666)+0.5*COUNTIFS('Phase3 - Fill-in'!B$1:B$1000,A110,'Phase3 - Fill-in'!E$1:E$1000,Dictionnary!C$669))/(COUNTIFS('Phase3 - Fill-in'!B$5:B$1000,A110,'Phase3 - Fill-in'!E$5:E$1000,"&lt;&gt;Dictionnary!C669"))</f>
        <v>0.5</v>
      </c>
      <c r="F110" s="13"/>
    </row>
    <row r="111" spans="1:6" s="1" customFormat="1" ht="15.75" x14ac:dyDescent="0.25">
      <c r="A111" s="207" t="str">
        <f>Dictionnary!A551</f>
        <v>INFO3.2</v>
      </c>
      <c r="B111" s="14" t="str">
        <f>Dictionnary!B551</f>
        <v>Information Management</v>
      </c>
      <c r="C111" s="15" t="str">
        <f>Dictionnary!C551</f>
        <v>Is the laboratory archive lockable?</v>
      </c>
      <c r="D111" s="16" t="s">
        <v>1408</v>
      </c>
      <c r="E111" s="103">
        <f>(COUNTIFS('Phase3 - Fill-in'!B$1:B$1000,A111,'Phase3 - Fill-in'!E$1:E$1000,Dictionnary!C$666)+0.5*COUNTIFS('Phase3 - Fill-in'!B$1:B$1000,A111,'Phase3 - Fill-in'!E$1:E$1000,Dictionnary!C$669))/(COUNTIFS('Phase3 - Fill-in'!B$5:B$1000,A111,'Phase3 - Fill-in'!E$5:E$1000,"&lt;&gt;Dictionnary!C669"))</f>
        <v>1</v>
      </c>
      <c r="F111" s="13"/>
    </row>
    <row r="112" spans="1:6" s="1" customFormat="1" ht="31.5" x14ac:dyDescent="0.25">
      <c r="A112" s="207" t="str">
        <f>Dictionnary!A552</f>
        <v>INFO3.3</v>
      </c>
      <c r="B112" s="99" t="str">
        <f>Dictionnary!B552</f>
        <v>Information Management</v>
      </c>
      <c r="C112" s="17" t="str">
        <f>Dictionnary!C552</f>
        <v>Does the laboratory archive protect records from deteriorating influences such as fire, humidity, insects, sunlight, etc.?</v>
      </c>
      <c r="D112" s="12" t="s">
        <v>1408</v>
      </c>
      <c r="E112" s="103">
        <f>(COUNTIFS('Phase3 - Fill-in'!B$1:B$1000,A112,'Phase3 - Fill-in'!E$1:E$1000,Dictionnary!C$666)+0.5*COUNTIFS('Phase3 - Fill-in'!B$1:B$1000,A112,'Phase3 - Fill-in'!E$1:E$1000,Dictionnary!C$669))/(COUNTIFS('Phase3 - Fill-in'!B$5:B$1000,A112,'Phase3 - Fill-in'!E$5:E$1000,"&lt;&gt;Dictionnary!C669"))</f>
        <v>0</v>
      </c>
      <c r="F112" s="13"/>
    </row>
    <row r="113" spans="1:6" s="1" customFormat="1" ht="15.75" x14ac:dyDescent="0.25">
      <c r="A113" s="207" t="str">
        <f>Dictionnary!A553</f>
        <v>INFO3.4</v>
      </c>
      <c r="B113" s="14" t="str">
        <f>Dictionnary!B553</f>
        <v>Information Management</v>
      </c>
      <c r="C113" s="15" t="str">
        <f>Dictionnary!C553</f>
        <v>Is access to the laboratory archive controlled?</v>
      </c>
      <c r="D113" s="16" t="s">
        <v>1408</v>
      </c>
      <c r="E113" s="103">
        <f>(COUNTIFS('Phase3 - Fill-in'!B$1:B$1000,A113,'Phase3 - Fill-in'!E$1:E$1000,Dictionnary!C$666)+0.5*COUNTIFS('Phase3 - Fill-in'!B$1:B$1000,A113,'Phase3 - Fill-in'!E$1:E$1000,Dictionnary!C$669))/(COUNTIFS('Phase3 - Fill-in'!B$5:B$1000,A113,'Phase3 - Fill-in'!E$5:E$1000,"&lt;&gt;Dictionnary!C669"))</f>
        <v>0</v>
      </c>
      <c r="F113" s="13"/>
    </row>
    <row r="114" spans="1:6" s="1" customFormat="1" ht="15.75" x14ac:dyDescent="0.25">
      <c r="A114" s="207" t="str">
        <f>Dictionnary!A554</f>
        <v>INFO3.5</v>
      </c>
      <c r="B114" s="99" t="str">
        <f>Dictionnary!B554</f>
        <v>Information Management</v>
      </c>
      <c r="C114" s="17" t="str">
        <f>Dictionnary!C554</f>
        <v>Is the computerized system properly protected by a firewall?</v>
      </c>
      <c r="D114" s="12" t="s">
        <v>1408</v>
      </c>
      <c r="E114" s="103">
        <f>(COUNTIFS('Phase3 - Fill-in'!B$1:B$1000,A114,'Phase3 - Fill-in'!E$1:E$1000,Dictionnary!C$666)+0.5*COUNTIFS('Phase3 - Fill-in'!B$1:B$1000,A114,'Phase3 - Fill-in'!E$1:E$1000,Dictionnary!C$669))/(COUNTIFS('Phase3 - Fill-in'!B$5:B$1000,A114,'Phase3 - Fill-in'!E$5:E$1000,"&lt;&gt;Dictionnary!C669"))</f>
        <v>0.66666666666666663</v>
      </c>
      <c r="F114" s="13"/>
    </row>
    <row r="115" spans="1:6" s="1" customFormat="1" ht="31.5" x14ac:dyDescent="0.25">
      <c r="A115" s="207" t="str">
        <f>Dictionnary!A555</f>
        <v>INFO3.6</v>
      </c>
      <c r="B115" s="14" t="str">
        <f>Dictionnary!B555</f>
        <v>Information Management</v>
      </c>
      <c r="C115" s="15" t="str">
        <f>Dictionnary!C555</f>
        <v>Is the computerized system scanned for viruses on a weekly basis by a proper, up to date virus scanner?</v>
      </c>
      <c r="D115" s="16" t="s">
        <v>1409</v>
      </c>
      <c r="E115" s="103">
        <f>(COUNTIFS('Phase3 - Fill-in'!B$1:B$1000,A115,'Phase3 - Fill-in'!E$1:E$1000,Dictionnary!C$666)+0.5*COUNTIFS('Phase3 - Fill-in'!B$1:B$1000,A115,'Phase3 - Fill-in'!E$1:E$1000,Dictionnary!C$669))/(COUNTIFS('Phase3 - Fill-in'!B$5:B$1000,A115,'Phase3 - Fill-in'!E$5:E$1000,"&lt;&gt;Dictionnary!C669"))</f>
        <v>1</v>
      </c>
      <c r="F115" s="13"/>
    </row>
    <row r="116" spans="1:6" s="1" customFormat="1" ht="78.75" x14ac:dyDescent="0.25">
      <c r="A116" s="207" t="str">
        <f>Dictionnary!A556</f>
        <v>INFO3.7</v>
      </c>
      <c r="B116" s="99" t="str">
        <f>Dictionnary!B556</f>
        <v>Information Management</v>
      </c>
      <c r="C116" s="17" t="str">
        <f>Dictionnary!C556</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116" s="12" t="s">
        <v>1408</v>
      </c>
      <c r="E116" s="103">
        <f>(COUNTIFS('Phase3 - Fill-in'!B$1:B$1000,A116,'Phase3 - Fill-in'!E$1:E$1000,Dictionnary!C$666)+0.5*COUNTIFS('Phase3 - Fill-in'!B$1:B$1000,A116,'Phase3 - Fill-in'!E$1:E$1000,Dictionnary!C$669))/(COUNTIFS('Phase3 - Fill-in'!B$5:B$1000,A116,'Phase3 - Fill-in'!E$5:E$1000,"&lt;&gt;Dictionnary!C669"))</f>
        <v>0.66666666666666663</v>
      </c>
      <c r="F116" s="13"/>
    </row>
    <row r="117" spans="1:6" s="1" customFormat="1" ht="31.5" x14ac:dyDescent="0.25">
      <c r="A117" s="207" t="str">
        <f>Dictionnary!A557</f>
        <v>INFO3.8</v>
      </c>
      <c r="B117" s="14" t="str">
        <f>Dictionnary!B557</f>
        <v>Information Management</v>
      </c>
      <c r="C117" s="15" t="str">
        <f>Dictionnary!C557</f>
        <v>Are the Personal Job Descriptions adapted of the staff members who are authorized to access or access and change laboratory information?</v>
      </c>
      <c r="D117" s="16" t="s">
        <v>1408</v>
      </c>
      <c r="E117" s="103" t="e">
        <f>(COUNTIFS('Phase3 - Fill-in'!B$1:B$1000,A117,'Phase3 - Fill-in'!E$1:E$1000,Dictionnary!C$666)+0.5*COUNTIFS('Phase3 - Fill-in'!B$1:B$1000,A117,'Phase3 - Fill-in'!E$1:E$1000,Dictionnary!C$669))/(COUNTIFS('Phase3 - Fill-in'!B$5:B$1000,A117,'Phase3 - Fill-in'!E$5:E$1000,"&lt;&gt;Dictionnary!C669"))</f>
        <v>#DIV/0!</v>
      </c>
      <c r="F117" s="13"/>
    </row>
    <row r="118" spans="1:6" s="1" customFormat="1" ht="63" x14ac:dyDescent="0.25">
      <c r="A118" s="207" t="str">
        <f>Dictionnary!A558</f>
        <v>INFO3.9</v>
      </c>
      <c r="B118" s="99" t="str">
        <f>Dictionnary!B558</f>
        <v>Information Management</v>
      </c>
      <c r="C118" s="17" t="str">
        <f>Dictionnary!C558</f>
        <v>Is a documented contingency plan present in the laboratory that should be followed in case of downtime of the computerized information system, to ensure access to laboratory information at all times?</v>
      </c>
      <c r="D118" s="12" t="s">
        <v>1408</v>
      </c>
      <c r="E118" s="103">
        <f>(COUNTIFS('Phase3 - Fill-in'!B$1:B$1000,A118,'Phase3 - Fill-in'!E$1:E$1000,Dictionnary!C$666)+0.5*COUNTIFS('Phase3 - Fill-in'!B$1:B$1000,A118,'Phase3 - Fill-in'!E$1:E$1000,Dictionnary!C$669))/(COUNTIFS('Phase3 - Fill-in'!B$5:B$1000,A118,'Phase3 - Fill-in'!E$5:E$1000,"&lt;&gt;Dictionnary!C669"))</f>
        <v>0</v>
      </c>
      <c r="F118" s="13"/>
    </row>
    <row r="119" spans="1:6" s="1" customFormat="1" ht="31.5" x14ac:dyDescent="0.25">
      <c r="A119" s="207" t="str">
        <f>Dictionnary!A559</f>
        <v>INFO3.10</v>
      </c>
      <c r="B119" s="14" t="str">
        <f>Dictionnary!B559</f>
        <v>Information Management</v>
      </c>
      <c r="C119" s="15" t="str">
        <f>Dictionnary!C559</f>
        <v>Has the laboratory standardized the procedures for information management in an SOP?</v>
      </c>
      <c r="D119" s="16" t="s">
        <v>1408</v>
      </c>
      <c r="E119" s="103">
        <f>(COUNTIFS('Phase3 - Fill-in'!B$1:B$1000,A119,'Phase3 - Fill-in'!E$1:E$1000,Dictionnary!C$666)+0.5*COUNTIFS('Phase3 - Fill-in'!B$1:B$1000,A119,'Phase3 - Fill-in'!E$1:E$1000,Dictionnary!C$669))/(COUNTIFS('Phase3 - Fill-in'!B$5:B$1000,A119,'Phase3 - Fill-in'!E$5:E$1000,"&lt;&gt;Dictionnary!C669"))</f>
        <v>0</v>
      </c>
      <c r="F119" s="13"/>
    </row>
    <row r="120" spans="1:6" s="1" customFormat="1" ht="31.5" x14ac:dyDescent="0.25">
      <c r="A120" s="207" t="str">
        <f>Dictionnary!A560</f>
        <v>INFO3.11</v>
      </c>
      <c r="B120" s="99" t="str">
        <f>Dictionnary!B560</f>
        <v>Information Management</v>
      </c>
      <c r="C120" s="17" t="str">
        <f>Dictionnary!C560</f>
        <v>Does the SOP on management of laboratory information include at least the following procedures:</v>
      </c>
      <c r="D120" s="12" t="s">
        <v>1408</v>
      </c>
      <c r="E120" s="103" t="e">
        <f>(COUNTIFS('Phase3 - Fill-in'!B$1:B$1000,A120,'Phase3 - Fill-in'!E$1:E$1000,Dictionnary!C$666)+0.5*COUNTIFS('Phase3 - Fill-in'!B$1:B$1000,A120,'Phase3 - Fill-in'!E$1:E$1000,Dictionnary!C$669))/(COUNTIFS('Phase3 - Fill-in'!B$5:B$1000,A120,'Phase3 - Fill-in'!E$5:E$1000,"&lt;&gt;Dictionnary!C669"))</f>
        <v>#DIV/0!</v>
      </c>
      <c r="F120" s="13"/>
    </row>
    <row r="121" spans="1:6" s="1" customFormat="1" ht="31.5" x14ac:dyDescent="0.25">
      <c r="A121" s="207" t="str">
        <f>Dictionnary!A561</f>
        <v>INFO3.11a</v>
      </c>
      <c r="B121" s="99" t="str">
        <f>Dictionnary!B561</f>
        <v>Information Management</v>
      </c>
      <c r="C121" s="17" t="str">
        <f>Dictionnary!C561</f>
        <v>Management and maintenance of the computerized laboratory information system, including procedures regarding:</v>
      </c>
      <c r="D121" s="12" t="s">
        <v>1408</v>
      </c>
      <c r="E121" s="103" t="e">
        <f>(COUNTIFS('Phase3 - Fill-in'!B$1:B$1000,A121,'Phase3 - Fill-in'!E$1:E$1000,Dictionnary!C$666)+0.5*COUNTIFS('Phase3 - Fill-in'!B$1:B$1000,A121,'Phase3 - Fill-in'!E$1:E$1000,Dictionnary!C$669))/(COUNTIFS('Phase3 - Fill-in'!B$5:B$1000,A121,'Phase3 - Fill-in'!E$5:E$1000,"&lt;&gt;Dictionnary!C669"))</f>
        <v>#DIV/0!</v>
      </c>
      <c r="F121" s="13"/>
    </row>
    <row r="122" spans="1:6" s="1" customFormat="1" ht="31.5" x14ac:dyDescent="0.25">
      <c r="A122" s="207" t="str">
        <f>Dictionnary!A562</f>
        <v>INFO3.11b</v>
      </c>
      <c r="B122" s="99" t="str">
        <f>Dictionnary!B562</f>
        <v>Information Management</v>
      </c>
      <c r="C122" s="17" t="str">
        <f>Dictionnary!C562</f>
        <v>Regular backup, regular virus scanning and the contingency plan protocols</v>
      </c>
      <c r="D122" s="12" t="s">
        <v>1408</v>
      </c>
      <c r="E122" s="103" t="e">
        <f>(COUNTIFS('Phase3 - Fill-in'!B$1:B$1000,A122,'Phase3 - Fill-in'!E$1:E$1000,Dictionnary!C$666)+0.5*COUNTIFS('Phase3 - Fill-in'!B$1:B$1000,A122,'Phase3 - Fill-in'!E$1:E$1000,Dictionnary!C$669))/(COUNTIFS('Phase3 - Fill-in'!B$5:B$1000,A122,'Phase3 - Fill-in'!E$5:E$1000,"&lt;&gt;Dictionnary!C669"))</f>
        <v>#DIV/0!</v>
      </c>
      <c r="F122" s="13"/>
    </row>
    <row r="123" spans="1:6" s="1" customFormat="1" ht="15.75" x14ac:dyDescent="0.25">
      <c r="A123" s="207" t="str">
        <f>Dictionnary!A563</f>
        <v>INFO3.11c</v>
      </c>
      <c r="B123" s="99" t="str">
        <f>Dictionnary!B563</f>
        <v>Information Management</v>
      </c>
      <c r="C123" s="17" t="str">
        <f>Dictionnary!C563</f>
        <v>Accessing laboratory information in the computerized system</v>
      </c>
      <c r="D123" s="12" t="s">
        <v>1409</v>
      </c>
      <c r="E123" s="103" t="e">
        <f>(COUNTIFS('Phase3 - Fill-in'!B$1:B$1000,A123,'Phase3 - Fill-in'!E$1:E$1000,Dictionnary!C$666)+0.5*COUNTIFS('Phase3 - Fill-in'!B$1:B$1000,A123,'Phase3 - Fill-in'!E$1:E$1000,Dictionnary!C$669))/(COUNTIFS('Phase3 - Fill-in'!B$5:B$1000,A123,'Phase3 - Fill-in'!E$5:E$1000,"&lt;&gt;Dictionnary!C669"))</f>
        <v>#DIV/0!</v>
      </c>
      <c r="F123" s="13"/>
    </row>
    <row r="124" spans="1:6" s="1" customFormat="1" ht="15.75" x14ac:dyDescent="0.25">
      <c r="A124" s="207" t="str">
        <f>Dictionnary!A564</f>
        <v>INFO3.11d</v>
      </c>
      <c r="B124" s="99" t="str">
        <f>Dictionnary!B564</f>
        <v>Information Management</v>
      </c>
      <c r="C124" s="17" t="str">
        <f>Dictionnary!C564</f>
        <v>Entering laboratory information</v>
      </c>
      <c r="D124" s="12" t="s">
        <v>1408</v>
      </c>
      <c r="E124" s="103" t="e">
        <f>(COUNTIFS('Phase3 - Fill-in'!B$1:B$1000,A124,'Phase3 - Fill-in'!E$1:E$1000,Dictionnary!C$666)+0.5*COUNTIFS('Phase3 - Fill-in'!B$1:B$1000,A124,'Phase3 - Fill-in'!E$1:E$1000,Dictionnary!C$669))/(COUNTIFS('Phase3 - Fill-in'!B$5:B$1000,A124,'Phase3 - Fill-in'!E$5:E$1000,"&lt;&gt;Dictionnary!C669"))</f>
        <v>#DIV/0!</v>
      </c>
      <c r="F124" s="13"/>
    </row>
    <row r="125" spans="1:6" s="1" customFormat="1" ht="15.75" x14ac:dyDescent="0.25">
      <c r="A125" s="207" t="str">
        <f>Dictionnary!A565</f>
        <v>INFO3.11e</v>
      </c>
      <c r="B125" s="99" t="str">
        <f>Dictionnary!B565</f>
        <v>Information Management</v>
      </c>
      <c r="C125" s="17" t="str">
        <f>Dictionnary!C565</f>
        <v>Changing laboratory information stored in the computerized system</v>
      </c>
      <c r="D125" s="12" t="s">
        <v>1408</v>
      </c>
      <c r="E125" s="103" t="e">
        <f>(COUNTIFS('Phase3 - Fill-in'!B$1:B$1000,A125,'Phase3 - Fill-in'!E$1:E$1000,Dictionnary!C$666)+0.5*COUNTIFS('Phase3 - Fill-in'!B$1:B$1000,A125,'Phase3 - Fill-in'!E$1:E$1000,Dictionnary!C$669))/(COUNTIFS('Phase3 - Fill-in'!B$5:B$1000,A125,'Phase3 - Fill-in'!E$5:E$1000,"&lt;&gt;Dictionnary!C669"))</f>
        <v>#DIV/0!</v>
      </c>
      <c r="F125" s="13"/>
    </row>
    <row r="126" spans="1:6" s="1" customFormat="1" ht="47.25" x14ac:dyDescent="0.25">
      <c r="A126" s="207" t="str">
        <f>Dictionnary!A566</f>
        <v>INFO3.11f</v>
      </c>
      <c r="B126" s="99" t="str">
        <f>Dictionnary!B566</f>
        <v>Information Management</v>
      </c>
      <c r="C126" s="17" t="str">
        <f>Dictionnary!C566</f>
        <v>Defining authorizations for accessing, accessing and entering laboratory information, and accessing, entering and changing laboratory information in the computerized system</v>
      </c>
      <c r="D126" s="12" t="s">
        <v>1408</v>
      </c>
      <c r="E126" s="103" t="e">
        <f>(COUNTIFS('Phase3 - Fill-in'!B$1:B$1000,A126,'Phase3 - Fill-in'!E$1:E$1000,Dictionnary!C$666)+0.5*COUNTIFS('Phase3 - Fill-in'!B$1:B$1000,A126,'Phase3 - Fill-in'!E$1:E$1000,Dictionnary!C$669))/(COUNTIFS('Phase3 - Fill-in'!B$5:B$1000,A126,'Phase3 - Fill-in'!E$5:E$1000,"&lt;&gt;Dictionnary!C669"))</f>
        <v>#DIV/0!</v>
      </c>
      <c r="F126" s="13"/>
    </row>
    <row r="127" spans="1:6" s="1" customFormat="1" ht="15.75" x14ac:dyDescent="0.25">
      <c r="A127" s="207" t="str">
        <f>Dictionnary!A567</f>
        <v>INFO3.11g</v>
      </c>
      <c r="B127" s="99" t="str">
        <f>Dictionnary!B567</f>
        <v>Information Management</v>
      </c>
      <c r="C127" s="17" t="str">
        <f>Dictionnary!C567</f>
        <v>Protocol for ensuring confidentiality of patient data</v>
      </c>
      <c r="D127" s="12" t="s">
        <v>1408</v>
      </c>
      <c r="E127" s="103" t="e">
        <f>(COUNTIFS('Phase3 - Fill-in'!B$1:B$1000,A127,'Phase3 - Fill-in'!E$1:E$1000,Dictionnary!C$666)+0.5*COUNTIFS('Phase3 - Fill-in'!B$1:B$1000,A127,'Phase3 - Fill-in'!E$1:E$1000,Dictionnary!C$669))/(COUNTIFS('Phase3 - Fill-in'!B$5:B$1000,A127,'Phase3 - Fill-in'!E$5:E$1000,"&lt;&gt;Dictionnary!C669"))</f>
        <v>#DIV/0!</v>
      </c>
      <c r="F127" s="13"/>
    </row>
    <row r="128" spans="1:6" s="1" customFormat="1" ht="31.5" x14ac:dyDescent="0.25">
      <c r="A128" s="207" t="str">
        <f>Dictionnary!A568</f>
        <v>INFO3.11h</v>
      </c>
      <c r="B128" s="99" t="str">
        <f>Dictionnary!B568</f>
        <v>Information Management</v>
      </c>
      <c r="C128" s="17" t="str">
        <f>Dictionnary!C568</f>
        <v>Management and maintenance of the laboratory archive, including procedures regarding:</v>
      </c>
      <c r="D128" s="12" t="s">
        <v>1408</v>
      </c>
      <c r="E128" s="103" t="e">
        <f>(COUNTIFS('Phase3 - Fill-in'!B$1:B$1000,A128,'Phase3 - Fill-in'!E$1:E$1000,Dictionnary!C$666)+0.5*COUNTIFS('Phase3 - Fill-in'!B$1:B$1000,A128,'Phase3 - Fill-in'!E$1:E$1000,Dictionnary!C$669))/(COUNTIFS('Phase3 - Fill-in'!B$5:B$1000,A128,'Phase3 - Fill-in'!E$5:E$1000,"&lt;&gt;Dictionnary!C669"))</f>
        <v>#DIV/0!</v>
      </c>
      <c r="F128" s="13"/>
    </row>
    <row r="129" spans="1:6" s="1" customFormat="1" ht="15.75" x14ac:dyDescent="0.25">
      <c r="A129" s="207" t="str">
        <f>Dictionnary!A569</f>
        <v>INFO3.11i</v>
      </c>
      <c r="B129" s="99" t="str">
        <f>Dictionnary!B569</f>
        <v>Information Management</v>
      </c>
      <c r="C129" s="17" t="str">
        <f>Dictionnary!C569</f>
        <v>Accessing information</v>
      </c>
      <c r="D129" s="12" t="s">
        <v>1408</v>
      </c>
      <c r="E129" s="103" t="e">
        <f>(COUNTIFS('Phase3 - Fill-in'!B$1:B$1000,A129,'Phase3 - Fill-in'!E$1:E$1000,Dictionnary!C$666)+0.5*COUNTIFS('Phase3 - Fill-in'!B$1:B$1000,A129,'Phase3 - Fill-in'!E$1:E$1000,Dictionnary!C$669))/(COUNTIFS('Phase3 - Fill-in'!B$5:B$1000,A129,'Phase3 - Fill-in'!E$5:E$1000,"&lt;&gt;Dictionnary!C669"))</f>
        <v>#DIV/0!</v>
      </c>
      <c r="F129" s="13"/>
    </row>
    <row r="130" spans="1:6" s="1" customFormat="1" ht="15.75" x14ac:dyDescent="0.25">
      <c r="A130" s="207" t="str">
        <f>Dictionnary!A570</f>
        <v>INFO3.11j</v>
      </c>
      <c r="B130" s="99" t="str">
        <f>Dictionnary!B570</f>
        <v>Information Management</v>
      </c>
      <c r="C130" s="17" t="str">
        <f>Dictionnary!C570</f>
        <v>Storing information</v>
      </c>
      <c r="D130" s="12" t="s">
        <v>1408</v>
      </c>
      <c r="E130" s="103" t="e">
        <f>(COUNTIFS('Phase3 - Fill-in'!B$1:B$1000,A130,'Phase3 - Fill-in'!E$1:E$1000,Dictionnary!C$666)+0.5*COUNTIFS('Phase3 - Fill-in'!B$1:B$1000,A130,'Phase3 - Fill-in'!E$1:E$1000,Dictionnary!C$669))/(COUNTIFS('Phase3 - Fill-in'!B$5:B$1000,A130,'Phase3 - Fill-in'!E$5:E$1000,"&lt;&gt;Dictionnary!C669"))</f>
        <v>#DIV/0!</v>
      </c>
      <c r="F130" s="13"/>
    </row>
    <row r="131" spans="1:6" s="1" customFormat="1" ht="15.75" x14ac:dyDescent="0.25">
      <c r="A131" s="207" t="str">
        <f>Dictionnary!A571</f>
        <v>INFO3.11k</v>
      </c>
      <c r="B131" s="99" t="str">
        <f>Dictionnary!B571</f>
        <v>Information Management</v>
      </c>
      <c r="C131" s="17" t="str">
        <f>Dictionnary!C571</f>
        <v>Changing information in the archive</v>
      </c>
      <c r="D131" s="12" t="s">
        <v>1409</v>
      </c>
      <c r="E131" s="103" t="e">
        <f>(COUNTIFS('Phase3 - Fill-in'!B$1:B$1000,A131,'Phase3 - Fill-in'!E$1:E$1000,Dictionnary!C$666)+0.5*COUNTIFS('Phase3 - Fill-in'!B$1:B$1000,A131,'Phase3 - Fill-in'!E$1:E$1000,Dictionnary!C$669))/(COUNTIFS('Phase3 - Fill-in'!B$5:B$1000,A131,'Phase3 - Fill-in'!E$5:E$1000,"&lt;&gt;Dictionnary!C669"))</f>
        <v>#DIV/0!</v>
      </c>
      <c r="F131" s="13"/>
    </row>
    <row r="132" spans="1:6" s="1" customFormat="1" ht="31.5" x14ac:dyDescent="0.25">
      <c r="A132" s="207" t="str">
        <f>Dictionnary!A572</f>
        <v>INFO3.11l</v>
      </c>
      <c r="B132" s="99" t="str">
        <f>Dictionnary!B572</f>
        <v>Information Management</v>
      </c>
      <c r="C132" s="17" t="str">
        <f>Dictionnary!C572</f>
        <v>Ensuring protection of records from external deteriorating factors such as humidity, fire, insects, sunlight, etc.</v>
      </c>
      <c r="D132" s="12" t="s">
        <v>1408</v>
      </c>
      <c r="E132" s="103" t="e">
        <f>(COUNTIFS('Phase3 - Fill-in'!B$1:B$1000,A132,'Phase3 - Fill-in'!E$1:E$1000,Dictionnary!C$666)+0.5*COUNTIFS('Phase3 - Fill-in'!B$1:B$1000,A132,'Phase3 - Fill-in'!E$1:E$1000,Dictionnary!C$669))/(COUNTIFS('Phase3 - Fill-in'!B$5:B$1000,A132,'Phase3 - Fill-in'!E$5:E$1000,"&lt;&gt;Dictionnary!C669"))</f>
        <v>#DIV/0!</v>
      </c>
      <c r="F132" s="13"/>
    </row>
    <row r="133" spans="1:6" s="1" customFormat="1" ht="47.25" x14ac:dyDescent="0.25">
      <c r="A133" s="207" t="str">
        <f>Dictionnary!A573</f>
        <v>INFO3.11m</v>
      </c>
      <c r="B133" s="99" t="str">
        <f>Dictionnary!B573</f>
        <v>Information Management</v>
      </c>
      <c r="C133" s="17" t="str">
        <f>Dictionnary!C573</f>
        <v>Defining authorizations for accessing, accessing and storing laboratory information, and accessing, storing and changing laboratory information in the archive</v>
      </c>
      <c r="D133" s="12" t="s">
        <v>1408</v>
      </c>
      <c r="E133" s="103" t="e">
        <f>(COUNTIFS('Phase3 - Fill-in'!B$1:B$1000,A133,'Phase3 - Fill-in'!E$1:E$1000,Dictionnary!C$666)+0.5*COUNTIFS('Phase3 - Fill-in'!B$1:B$1000,A133,'Phase3 - Fill-in'!E$1:E$1000,Dictionnary!C$669))/(COUNTIFS('Phase3 - Fill-in'!B$5:B$1000,A133,'Phase3 - Fill-in'!E$5:E$1000,"&lt;&gt;Dictionnary!C669"))</f>
        <v>#DIV/0!</v>
      </c>
      <c r="F133" s="13"/>
    </row>
    <row r="134" spans="1:6" s="1" customFormat="1" ht="15.75" x14ac:dyDescent="0.25">
      <c r="A134" s="207" t="str">
        <f>Dictionnary!A574</f>
        <v>CF3.1</v>
      </c>
      <c r="B134" s="99" t="str">
        <f>Dictionnary!B574</f>
        <v>Customer Focus</v>
      </c>
      <c r="C134" s="17" t="str">
        <f>Dictionnary!C574</f>
        <v>Is a client satisfaction survey conducted on a two-yearly basis?</v>
      </c>
      <c r="D134" s="12" t="s">
        <v>1408</v>
      </c>
      <c r="E134" s="103">
        <f>(COUNTIFS('Phase3 - Fill-in'!B$1:B$1000,A134,'Phase3 - Fill-in'!E$1:E$1000,Dictionnary!C$666)+0.5*COUNTIFS('Phase3 - Fill-in'!B$1:B$1000,A134,'Phase3 - Fill-in'!E$1:E$1000,Dictionnary!C$669))/(COUNTIFS('Phase3 - Fill-in'!B$5:B$1000,A134,'Phase3 - Fill-in'!E$5:E$1000,"&lt;&gt;Dictionnary!C669"))</f>
        <v>1</v>
      </c>
      <c r="F134" s="13"/>
    </row>
    <row r="135" spans="1:6" s="1" customFormat="1" ht="31.5" x14ac:dyDescent="0.25">
      <c r="A135" s="207" t="str">
        <f>Dictionnary!A575</f>
        <v>CF3.2</v>
      </c>
      <c r="B135" s="14" t="str">
        <f>Dictionnary!B575</f>
        <v>Customer Focus</v>
      </c>
      <c r="C135" s="15" t="str">
        <f>Dictionnary!C575</f>
        <v>Is a report drafted of the client satisfaction survey that shows the main findings and points for improvement that were identified?</v>
      </c>
      <c r="D135" s="16" t="s">
        <v>1408</v>
      </c>
      <c r="E135" s="103">
        <f>(COUNTIFS('Phase3 - Fill-in'!B$1:B$1000,A135,'Phase3 - Fill-in'!E$1:E$1000,Dictionnary!C$666)+0.5*COUNTIFS('Phase3 - Fill-in'!B$1:B$1000,A135,'Phase3 - Fill-in'!E$1:E$1000,Dictionnary!C$669))/(COUNTIFS('Phase3 - Fill-in'!B$5:B$1000,A135,'Phase3 - Fill-in'!E$5:E$1000,"&lt;&gt;Dictionnary!C669"))</f>
        <v>0</v>
      </c>
      <c r="F135" s="13"/>
    </row>
    <row r="136" spans="1:6" s="1" customFormat="1" ht="31.5" x14ac:dyDescent="0.25">
      <c r="A136" s="207" t="str">
        <f>Dictionnary!A576</f>
        <v>CF3.3</v>
      </c>
      <c r="B136" s="99" t="str">
        <f>Dictionnary!B576</f>
        <v>Customer Focus</v>
      </c>
      <c r="C136" s="17" t="str">
        <f>Dictionnary!C576</f>
        <v>Is a SMART action plan drafted to implement points for improvement identified in client satisfaction surveys in practice?</v>
      </c>
      <c r="D136" s="12" t="s">
        <v>1408</v>
      </c>
      <c r="E136" s="103">
        <f>(COUNTIFS('Phase3 - Fill-in'!B$1:B$1000,A136,'Phase3 - Fill-in'!E$1:E$1000,Dictionnary!C$666)+0.5*COUNTIFS('Phase3 - Fill-in'!B$1:B$1000,A136,'Phase3 - Fill-in'!E$1:E$1000,Dictionnary!C$669))/(COUNTIFS('Phase3 - Fill-in'!B$5:B$1000,A136,'Phase3 - Fill-in'!E$5:E$1000,"&lt;&gt;Dictionnary!C669"))</f>
        <v>1</v>
      </c>
      <c r="F136" s="13"/>
    </row>
    <row r="137" spans="1:6" s="1" customFormat="1" ht="31.5" x14ac:dyDescent="0.25">
      <c r="A137" s="207" t="str">
        <f>Dictionnary!A577</f>
        <v>CF3.4</v>
      </c>
      <c r="B137" s="14" t="str">
        <f>Dictionnary!B577</f>
        <v>Customer Focus</v>
      </c>
      <c r="C137" s="15" t="str">
        <f>Dictionnary!C577</f>
        <v>Does the laboratory have a standardized procedure for entering into a contract for service delivery?</v>
      </c>
      <c r="D137" s="16" t="s">
        <v>1408</v>
      </c>
      <c r="E137" s="103">
        <f>(COUNTIFS('Phase3 - Fill-in'!B$1:B$1000,A137,'Phase3 - Fill-in'!E$1:E$1000,Dictionnary!C$666)+0.5*COUNTIFS('Phase3 - Fill-in'!B$1:B$1000,A137,'Phase3 - Fill-in'!E$1:E$1000,Dictionnary!C$669))/(COUNTIFS('Phase3 - Fill-in'!B$5:B$1000,A137,'Phase3 - Fill-in'!E$5:E$1000,"&lt;&gt;Dictionnary!C669"))</f>
        <v>1</v>
      </c>
      <c r="F137" s="13"/>
    </row>
    <row r="138" spans="1:6" s="1" customFormat="1" ht="31.5" x14ac:dyDescent="0.25">
      <c r="A138" s="207" t="str">
        <f>Dictionnary!A578</f>
        <v>CF3.5</v>
      </c>
      <c r="B138" s="99" t="str">
        <f>Dictionnary!B578</f>
        <v>Customer Focus</v>
      </c>
      <c r="C138" s="17" t="str">
        <f>Dictionnary!C578</f>
        <v>Does the laboratory maintain minutes of meetings to discuss the contents of the contracts for service delivery?</v>
      </c>
      <c r="D138" s="12" t="s">
        <v>1408</v>
      </c>
      <c r="E138" s="103">
        <f>(COUNTIFS('Phase3 - Fill-in'!B$1:B$1000,A138,'Phase3 - Fill-in'!E$1:E$1000,Dictionnary!C$666)+0.5*COUNTIFS('Phase3 - Fill-in'!B$1:B$1000,A138,'Phase3 - Fill-in'!E$1:E$1000,Dictionnary!C$669))/(COUNTIFS('Phase3 - Fill-in'!B$5:B$1000,A138,'Phase3 - Fill-in'!E$5:E$1000,"&lt;&gt;Dictionnary!C669"))</f>
        <v>0</v>
      </c>
      <c r="F138" s="13"/>
    </row>
    <row r="139" spans="1:6" s="1" customFormat="1" ht="126" x14ac:dyDescent="0.25">
      <c r="A139" s="207" t="str">
        <f>Dictionnary!A579</f>
        <v>ASSESS3.1</v>
      </c>
      <c r="B139" s="14" t="str">
        <f>Dictionnary!B579</f>
        <v>Assessment</v>
      </c>
      <c r="C139" s="15" t="str">
        <f>Dictionnary!C579</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139" s="16" t="s">
        <v>1409</v>
      </c>
      <c r="E139" s="103">
        <f>(COUNTIFS('Phase3 - Fill-in'!B$1:B$1000,A139,'Phase3 - Fill-in'!E$1:E$1000,Dictionnary!C$666)+0.5*COUNTIFS('Phase3 - Fill-in'!B$1:B$1000,A139,'Phase3 - Fill-in'!E$1:E$1000,Dictionnary!C$669))/(COUNTIFS('Phase3 - Fill-in'!B$5:B$1000,A139,'Phase3 - Fill-in'!E$5:E$1000,"&lt;&gt;Dictionnary!C669"))</f>
        <v>0.5714285714285714</v>
      </c>
      <c r="F139" s="13"/>
    </row>
    <row r="140" spans="1:6" s="1" customFormat="1" ht="15.75" x14ac:dyDescent="0.25">
      <c r="A140" s="207" t="str">
        <f>Dictionnary!A580</f>
        <v>ASSESS3.2</v>
      </c>
      <c r="B140" s="99" t="str">
        <f>Dictionnary!B580</f>
        <v>Assessment</v>
      </c>
      <c r="C140" s="17" t="str">
        <f>Dictionnary!C580</f>
        <v>Is the Quality Officer appointed as Internal Auditor?</v>
      </c>
      <c r="D140" s="12" t="s">
        <v>1408</v>
      </c>
      <c r="E140" s="103" t="e">
        <f>(COUNTIFS('Phase3 - Fill-in'!B$1:B$1000,A140,'Phase3 - Fill-in'!E$1:E$1000,Dictionnary!C$666)+0.5*COUNTIFS('Phase3 - Fill-in'!B$1:B$1000,A140,'Phase3 - Fill-in'!E$1:E$1000,Dictionnary!C$669))/(COUNTIFS('Phase3 - Fill-in'!B$5:B$1000,A140,'Phase3 - Fill-in'!E$5:E$1000,"&lt;&gt;Dictionnary!C669"))</f>
        <v>#DIV/0!</v>
      </c>
      <c r="F140" s="13"/>
    </row>
    <row r="141" spans="1:6" s="1" customFormat="1" ht="15.75" x14ac:dyDescent="0.25">
      <c r="A141" s="207" t="str">
        <f>Dictionnary!A581</f>
        <v>ASSESS3.3</v>
      </c>
      <c r="B141" s="14" t="str">
        <f>Dictionnary!B581</f>
        <v>Assessment</v>
      </c>
      <c r="C141" s="15" t="str">
        <f>Dictionnary!C581</f>
        <v>Have Internal Auditors been appropriately trained and certified?</v>
      </c>
      <c r="D141" s="16" t="s">
        <v>1408</v>
      </c>
      <c r="E141" s="103" t="e">
        <f>(COUNTIFS('Phase3 - Fill-in'!B$1:B$1000,A141,'Phase3 - Fill-in'!E$1:E$1000,Dictionnary!C$666)+0.5*COUNTIFS('Phase3 - Fill-in'!B$1:B$1000,A141,'Phase3 - Fill-in'!E$1:E$1000,Dictionnary!C$669))/(COUNTIFS('Phase3 - Fill-in'!B$5:B$1000,A141,'Phase3 - Fill-in'!E$5:E$1000,"&lt;&gt;Dictionnary!C669"))</f>
        <v>#DIV/0!</v>
      </c>
      <c r="F141" s="13"/>
    </row>
    <row r="142" spans="1:6" s="1" customFormat="1" ht="31.5" x14ac:dyDescent="0.25">
      <c r="A142" s="207" t="str">
        <f>Dictionnary!A582</f>
        <v>ASSESS3.4</v>
      </c>
      <c r="B142" s="99" t="str">
        <f>Dictionnary!B582</f>
        <v>Assessment</v>
      </c>
      <c r="C142" s="17" t="str">
        <f>Dictionnary!C582</f>
        <v>Is a Position Job Description present for the position of Internal Auditor?</v>
      </c>
      <c r="D142" s="12" t="s">
        <v>1408</v>
      </c>
      <c r="E142" s="103" t="e">
        <f>(COUNTIFS('Phase3 - Fill-in'!B$1:B$1000,A142,'Phase3 - Fill-in'!E$1:E$1000,Dictionnary!C$666)+0.5*COUNTIFS('Phase3 - Fill-in'!B$1:B$1000,A142,'Phase3 - Fill-in'!E$1:E$1000,Dictionnary!C$669))/(COUNTIFS('Phase3 - Fill-in'!B$5:B$1000,A142,'Phase3 - Fill-in'!E$5:E$1000,"&lt;&gt;Dictionnary!C669"))</f>
        <v>#DIV/0!</v>
      </c>
      <c r="F142" s="13"/>
    </row>
    <row r="143" spans="1:6" s="1" customFormat="1" ht="47.25" x14ac:dyDescent="0.25">
      <c r="A143" s="207" t="str">
        <f>Dictionnary!A583</f>
        <v>ASSESS3.5</v>
      </c>
      <c r="B143" s="14" t="str">
        <f>Dictionnary!B583</f>
        <v>Assessment</v>
      </c>
      <c r="C143" s="15" t="str">
        <f>Dictionnary!C583</f>
        <v>Have the Personal Job Descriptions of the staff members appointed as Internal Auditors been adapted to include the tasks and responsibilities for their position as Internal Auditor?</v>
      </c>
      <c r="D143" s="16" t="s">
        <v>1408</v>
      </c>
      <c r="E143" s="103" t="e">
        <f>(COUNTIFS('Phase3 - Fill-in'!B$1:B$1000,A143,'Phase3 - Fill-in'!E$1:E$1000,Dictionnary!C$666)+0.5*COUNTIFS('Phase3 - Fill-in'!B$1:B$1000,A143,'Phase3 - Fill-in'!E$1:E$1000,Dictionnary!C$669))/(COUNTIFS('Phase3 - Fill-in'!B$5:B$1000,A143,'Phase3 - Fill-in'!E$5:E$1000,"&lt;&gt;Dictionnary!C669"))</f>
        <v>#DIV/0!</v>
      </c>
      <c r="F143" s="13"/>
    </row>
    <row r="144" spans="1:6" s="1" customFormat="1" ht="31.5" x14ac:dyDescent="0.25">
      <c r="A144" s="207" t="str">
        <f>Dictionnary!A584</f>
        <v>ASSESS3.6</v>
      </c>
      <c r="B144" s="99" t="str">
        <f>Dictionnary!B584</f>
        <v>Assessment</v>
      </c>
      <c r="C144" s="17" t="str">
        <f>Dictionnary!C584</f>
        <v>Does the Authorization Matrix include the tasks and responsibilities pertaining to the position of Internal Auditor?</v>
      </c>
      <c r="D144" s="12" t="s">
        <v>1408</v>
      </c>
      <c r="E144" s="103" t="e">
        <f>(COUNTIFS('Phase3 - Fill-in'!B$1:B$1000,A144,'Phase3 - Fill-in'!E$1:E$1000,Dictionnary!C$666)+0.5*COUNTIFS('Phase3 - Fill-in'!B$1:B$1000,A144,'Phase3 - Fill-in'!E$1:E$1000,Dictionnary!C$669))/(COUNTIFS('Phase3 - Fill-in'!B$5:B$1000,A144,'Phase3 - Fill-in'!E$5:E$1000,"&lt;&gt;Dictionnary!C669"))</f>
        <v>#DIV/0!</v>
      </c>
      <c r="F144" s="13"/>
    </row>
    <row r="145" spans="1:6" s="1" customFormat="1" ht="31.5" x14ac:dyDescent="0.25">
      <c r="A145" s="207" t="str">
        <f>Dictionnary!A585</f>
        <v>ASSESS3.7</v>
      </c>
      <c r="B145" s="14" t="str">
        <f>Dictionnary!B585</f>
        <v>Assessment</v>
      </c>
      <c r="C145" s="15" t="str">
        <f>Dictionnary!C585</f>
        <v>Have staff adequately been informed about what internal auditing is, why it is done, and who the Internal Auditors are?</v>
      </c>
      <c r="D145" s="16" t="s">
        <v>1408</v>
      </c>
      <c r="E145" s="103" t="e">
        <f>(COUNTIFS('Phase3 - Fill-in'!B$1:B$1000,A145,'Phase3 - Fill-in'!E$1:E$1000,Dictionnary!C$666)+0.5*COUNTIFS('Phase3 - Fill-in'!B$1:B$1000,A145,'Phase3 - Fill-in'!E$1:E$1000,Dictionnary!C$669))/(COUNTIFS('Phase3 - Fill-in'!B$5:B$1000,A145,'Phase3 - Fill-in'!E$5:E$1000,"&lt;&gt;Dictionnary!C669"))</f>
        <v>#DIV/0!</v>
      </c>
      <c r="F145" s="13"/>
    </row>
    <row r="146" spans="1:6" s="1" customFormat="1" ht="31.5" x14ac:dyDescent="0.25">
      <c r="A146" s="207" t="str">
        <f>Dictionnary!A586</f>
        <v>ASSESS3.8</v>
      </c>
      <c r="B146" s="99" t="str">
        <f>Dictionnary!B586</f>
        <v>Assessment</v>
      </c>
      <c r="C146" s="17" t="str">
        <f>Dictionnary!C586</f>
        <v>Are internal audits planned on a yearly basis and is this audit plan communicated to all the laboratory staff involved?</v>
      </c>
      <c r="D146" s="12" t="s">
        <v>1409</v>
      </c>
      <c r="E146" s="103">
        <f>(COUNTIFS('Phase3 - Fill-in'!B$1:B$1000,A146,'Phase3 - Fill-in'!E$1:E$1000,Dictionnary!C$666)+0.5*COUNTIFS('Phase3 - Fill-in'!B$1:B$1000,A146,'Phase3 - Fill-in'!E$1:E$1000,Dictionnary!C$669))/(COUNTIFS('Phase3 - Fill-in'!B$5:B$1000,A146,'Phase3 - Fill-in'!E$5:E$1000,"&lt;&gt;Dictionnary!C669"))</f>
        <v>0.66666666666666663</v>
      </c>
      <c r="F146" s="13"/>
    </row>
    <row r="147" spans="1:6" s="1" customFormat="1" ht="47.25" x14ac:dyDescent="0.25">
      <c r="A147" s="207" t="str">
        <f>Dictionnary!A587</f>
        <v>ASSESS3.9</v>
      </c>
      <c r="B147" s="14" t="str">
        <f>Dictionnary!B587</f>
        <v>Assessment</v>
      </c>
      <c r="C147" s="15" t="str">
        <f>Dictionnary!C587</f>
        <v>Are internal audits carried out in such a way that the complete quality management system and all examinations are audited every 12 months?</v>
      </c>
      <c r="D147" s="16" t="s">
        <v>1408</v>
      </c>
      <c r="E147" s="103" t="e">
        <f>(COUNTIFS('Phase3 - Fill-in'!B$1:B$1000,A147,'Phase3 - Fill-in'!E$1:E$1000,Dictionnary!C$666)+0.5*COUNTIFS('Phase3 - Fill-in'!B$1:B$1000,A147,'Phase3 - Fill-in'!E$1:E$1000,Dictionnary!C$669))/(COUNTIFS('Phase3 - Fill-in'!B$5:B$1000,A147,'Phase3 - Fill-in'!E$5:E$1000,"&lt;&gt;Dictionnary!C669"))</f>
        <v>#DIV/0!</v>
      </c>
      <c r="F147" s="13"/>
    </row>
    <row r="148" spans="1:6" s="1" customFormat="1" ht="31.5" x14ac:dyDescent="0.25">
      <c r="A148" s="207" t="str">
        <f>Dictionnary!A588</f>
        <v>ASSESS3.10</v>
      </c>
      <c r="B148" s="99" t="str">
        <f>Dictionnary!B588</f>
        <v>Assessment</v>
      </c>
      <c r="C148" s="17" t="str">
        <f>Dictionnary!C588</f>
        <v>Are observations made during internal audits reported and are nonconformities identified and scored according to severity?</v>
      </c>
      <c r="D148" s="12" t="s">
        <v>1408</v>
      </c>
      <c r="E148" s="103">
        <f>(COUNTIFS('Phase3 - Fill-in'!B$1:B$1000,A148,'Phase3 - Fill-in'!E$1:E$1000,Dictionnary!C$666)+0.5*COUNTIFS('Phase3 - Fill-in'!B$1:B$1000,A148,'Phase3 - Fill-in'!E$1:E$1000,Dictionnary!C$669))/(COUNTIFS('Phase3 - Fill-in'!B$5:B$1000,A148,'Phase3 - Fill-in'!E$5:E$1000,"&lt;&gt;Dictionnary!C669"))</f>
        <v>0.5</v>
      </c>
      <c r="F148" s="13"/>
    </row>
    <row r="149" spans="1:6" s="1" customFormat="1" ht="47.25" x14ac:dyDescent="0.25">
      <c r="A149" s="207" t="str">
        <f>Dictionnary!A589</f>
        <v>ASSESS3.11</v>
      </c>
      <c r="B149" s="14" t="str">
        <f>Dictionnary!B589</f>
        <v>Assessment</v>
      </c>
      <c r="C149" s="15" t="str">
        <f>Dictionnary!C589</f>
        <v>Is the audit report submitted to laboratory management for translation into a SMART action plan to ensure correcting/solving of all the nonconformities noted?</v>
      </c>
      <c r="D149" s="16" t="s">
        <v>1408</v>
      </c>
      <c r="E149" s="103" t="e">
        <f>(COUNTIFS('Phase3 - Fill-in'!B$1:B$1000,A149,'Phase3 - Fill-in'!E$1:E$1000,Dictionnary!C$666)+0.5*COUNTIFS('Phase3 - Fill-in'!B$1:B$1000,A149,'Phase3 - Fill-in'!E$1:E$1000,Dictionnary!C$669))/(COUNTIFS('Phase3 - Fill-in'!B$5:B$1000,A149,'Phase3 - Fill-in'!E$5:E$1000,"&lt;&gt;Dictionnary!C669"))</f>
        <v>#DIV/0!</v>
      </c>
      <c r="F149" s="13"/>
    </row>
    <row r="150" spans="1:6" s="1" customFormat="1" ht="47.25" x14ac:dyDescent="0.25">
      <c r="A150" s="207" t="str">
        <f>Dictionnary!A590</f>
        <v>ASSESS3.12</v>
      </c>
      <c r="B150" s="99" t="str">
        <f>Dictionnary!B590</f>
        <v>Assessment</v>
      </c>
      <c r="C150" s="17" t="str">
        <f>Dictionnary!C590</f>
        <v>Are action plans made to solve/correct the nonconformities identified in internal audits with corrective actions, control steps and preventive actions when necessary and applicable?</v>
      </c>
      <c r="D150" s="12" t="s">
        <v>1408</v>
      </c>
      <c r="E150" s="103">
        <f>(COUNTIFS('Phase3 - Fill-in'!B$1:B$1000,A150,'Phase3 - Fill-in'!E$1:E$1000,Dictionnary!C$666)+0.5*COUNTIFS('Phase3 - Fill-in'!B$1:B$1000,A150,'Phase3 - Fill-in'!E$1:E$1000,Dictionnary!C$669))/(COUNTIFS('Phase3 - Fill-in'!B$5:B$1000,A150,'Phase3 - Fill-in'!E$5:E$1000,"&lt;&gt;Dictionnary!C669"))</f>
        <v>0</v>
      </c>
      <c r="F150" s="13"/>
    </row>
    <row r="151" spans="1:6" s="1" customFormat="1" ht="31.5" x14ac:dyDescent="0.25">
      <c r="A151" s="207" t="str">
        <f>Dictionnary!A591</f>
        <v>ASSESS3.13</v>
      </c>
      <c r="B151" s="14" t="str">
        <f>Dictionnary!B591</f>
        <v>Assessment</v>
      </c>
      <c r="C151" s="15" t="str">
        <f>Dictionnary!C591</f>
        <v>Is timely implementation of the action plans following internal audit monitored?</v>
      </c>
      <c r="D151" s="16" t="s">
        <v>1408</v>
      </c>
      <c r="E151" s="103">
        <f>(COUNTIFS('Phase3 - Fill-in'!B$1:B$1000,A151,'Phase3 - Fill-in'!E$1:E$1000,Dictionnary!C$666)+0.5*COUNTIFS('Phase3 - Fill-in'!B$1:B$1000,A151,'Phase3 - Fill-in'!E$1:E$1000,Dictionnary!C$669))/(COUNTIFS('Phase3 - Fill-in'!B$5:B$1000,A151,'Phase3 - Fill-in'!E$5:E$1000,"&lt;&gt;Dictionnary!C669"))</f>
        <v>0.5</v>
      </c>
      <c r="F151" s="13"/>
    </row>
    <row r="152" spans="1:6" s="1" customFormat="1" ht="31.5" x14ac:dyDescent="0.25">
      <c r="A152" s="207" t="str">
        <f>Dictionnary!A592</f>
        <v>ASSESS3.14</v>
      </c>
      <c r="B152" s="99" t="str">
        <f>Dictionnary!B592</f>
        <v>Assessment</v>
      </c>
      <c r="C152" s="17" t="str">
        <f>Dictionnary!C592</f>
        <v>Are Internal Audit Reports with action plans archived when all action points have been completed?</v>
      </c>
      <c r="D152" s="12" t="s">
        <v>1408</v>
      </c>
      <c r="E152" s="103">
        <f>(COUNTIFS('Phase3 - Fill-in'!B$1:B$1000,A152,'Phase3 - Fill-in'!E$1:E$1000,Dictionnary!C$666)+0.5*COUNTIFS('Phase3 - Fill-in'!B$1:B$1000,A152,'Phase3 - Fill-in'!E$1:E$1000,Dictionnary!C$669))/(COUNTIFS('Phase3 - Fill-in'!B$5:B$1000,A152,'Phase3 - Fill-in'!E$5:E$1000,"&lt;&gt;Dictionnary!C669"))</f>
        <v>1</v>
      </c>
      <c r="F152" s="13"/>
    </row>
    <row r="153" spans="1:6" s="1" customFormat="1" ht="31.5" x14ac:dyDescent="0.25">
      <c r="A153" s="207" t="str">
        <f>Dictionnary!A593</f>
        <v>ASSESS3.15</v>
      </c>
      <c r="B153" s="14" t="str">
        <f>Dictionnary!B593</f>
        <v>Assessment</v>
      </c>
      <c r="C153" s="15" t="str">
        <f>Dictionnary!C593</f>
        <v>Is the procedure for planning, conducting and processing internal audits standardized in an SOP?</v>
      </c>
      <c r="D153" s="16" t="s">
        <v>1409</v>
      </c>
      <c r="E153" s="103" t="e">
        <f>(COUNTIFS('Phase3 - Fill-in'!B$1:B$1000,A153,'Phase3 - Fill-in'!E$1:E$1000,Dictionnary!C$666)+0.5*COUNTIFS('Phase3 - Fill-in'!B$1:B$1000,A153,'Phase3 - Fill-in'!E$1:E$1000,Dictionnary!C$669))/(COUNTIFS('Phase3 - Fill-in'!B$5:B$1000,A153,'Phase3 - Fill-in'!E$5:E$1000,"&lt;&gt;Dictionnary!C669"))</f>
        <v>#DIV/0!</v>
      </c>
      <c r="F153" s="13"/>
    </row>
    <row r="154" spans="1:6" x14ac:dyDescent="0.25">
      <c r="C154" s="4"/>
    </row>
    <row r="155" spans="1:6" x14ac:dyDescent="0.25">
      <c r="C155" s="4"/>
    </row>
    <row r="156" spans="1:6" x14ac:dyDescent="0.25">
      <c r="C156" s="4"/>
    </row>
    <row r="157" spans="1:6" x14ac:dyDescent="0.25">
      <c r="C157" s="4"/>
    </row>
    <row r="158" spans="1:6" x14ac:dyDescent="0.25">
      <c r="C158" s="4"/>
    </row>
    <row r="159" spans="1:6" x14ac:dyDescent="0.25">
      <c r="C159" s="4"/>
    </row>
    <row r="160" spans="1:6" x14ac:dyDescent="0.25">
      <c r="C160" s="4"/>
    </row>
    <row r="161" spans="3:3" x14ac:dyDescent="0.25">
      <c r="C161" s="4"/>
    </row>
    <row r="162" spans="3:3" x14ac:dyDescent="0.25">
      <c r="C162" s="4"/>
    </row>
    <row r="163" spans="3:3" x14ac:dyDescent="0.25">
      <c r="C163" s="4"/>
    </row>
    <row r="164" spans="3:3" x14ac:dyDescent="0.25">
      <c r="C164" s="4"/>
    </row>
  </sheetData>
  <mergeCells count="2">
    <mergeCell ref="B1:D1"/>
    <mergeCell ref="B2:D2"/>
  </mergeCells>
  <conditionalFormatting sqref="B1:D1">
    <cfRule type="dataBar" priority="25">
      <dataBar>
        <cfvo type="num" val="0"/>
        <cfvo type="num" val="1"/>
        <color theme="8" tint="-0.249977111117893"/>
      </dataBar>
      <extLst>
        <ext xmlns:x14="http://schemas.microsoft.com/office/spreadsheetml/2009/9/main" uri="{B025F937-C7B1-47D3-B67F-A62EFF666E3E}">
          <x14:id>{3BD525D7-D861-4A58-88E0-433CFED236A9}</x14:id>
        </ext>
      </extLst>
    </cfRule>
  </conditionalFormatting>
  <conditionalFormatting sqref="F4:F28">
    <cfRule type="colorScale" priority="24">
      <colorScale>
        <cfvo type="num" val="0"/>
        <cfvo type="num" val="1"/>
        <color rgb="FFC00000"/>
        <color theme="9"/>
      </colorScale>
    </cfRule>
  </conditionalFormatting>
  <conditionalFormatting sqref="F29:F36">
    <cfRule type="colorScale" priority="22">
      <colorScale>
        <cfvo type="num" val="0"/>
        <cfvo type="num" val="1"/>
        <color rgb="FFC00000"/>
        <color theme="9"/>
      </colorScale>
    </cfRule>
  </conditionalFormatting>
  <conditionalFormatting sqref="F37">
    <cfRule type="colorScale" priority="20">
      <colorScale>
        <cfvo type="num" val="0"/>
        <cfvo type="num" val="1"/>
        <color rgb="FFC00000"/>
        <color theme="9"/>
      </colorScale>
    </cfRule>
  </conditionalFormatting>
  <conditionalFormatting sqref="F38 F40 F42 F44 F46 F48 F50 F52 F54 F56 F58 F60 F62 F64 F66 F68 F70 F72 F74:F75 F77">
    <cfRule type="colorScale" priority="18">
      <colorScale>
        <cfvo type="num" val="0"/>
        <cfvo type="num" val="1"/>
        <color rgb="FFC00000"/>
        <color theme="9"/>
      </colorScale>
    </cfRule>
  </conditionalFormatting>
  <conditionalFormatting sqref="F39 F41 F43 F45 F47 F49 F51 F53 F55 F57 F59 F61 F63 F65 F67 F69 F71 F73 F76">
    <cfRule type="colorScale" priority="16">
      <colorScale>
        <cfvo type="num" val="0"/>
        <cfvo type="num" val="1"/>
        <color rgb="FFC00000"/>
        <color theme="9"/>
      </colorScale>
    </cfRule>
  </conditionalFormatting>
  <conditionalFormatting sqref="F79 F81 F83 F85 F87 F89 F91 F93 F95 F97 F99 F101 F103 F105 F107 F109 F111 F113 F115 F117 F119">
    <cfRule type="colorScale" priority="14">
      <colorScale>
        <cfvo type="num" val="0"/>
        <cfvo type="num" val="1"/>
        <color rgb="FFC00000"/>
        <color theme="9"/>
      </colorScale>
    </cfRule>
  </conditionalFormatting>
  <conditionalFormatting sqref="F78 F80 F82 F84 F86 F88 F90 F92 F94 F96 F98 F100 F102 F104 F106 F108 F110 F112 F114 F116 F118 F120">
    <cfRule type="colorScale" priority="12">
      <colorScale>
        <cfvo type="num" val="0"/>
        <cfvo type="num" val="1"/>
        <color rgb="FFC00000"/>
        <color theme="9"/>
      </colorScale>
    </cfRule>
  </conditionalFormatting>
  <conditionalFormatting sqref="F121:F134">
    <cfRule type="colorScale" priority="10">
      <colorScale>
        <cfvo type="num" val="0"/>
        <cfvo type="num" val="1"/>
        <color rgb="FFC00000"/>
        <color theme="9"/>
      </colorScale>
    </cfRule>
  </conditionalFormatting>
  <conditionalFormatting sqref="F135">
    <cfRule type="colorScale" priority="8">
      <colorScale>
        <cfvo type="num" val="0"/>
        <cfvo type="num" val="1"/>
        <color rgb="FFC00000"/>
        <color theme="9"/>
      </colorScale>
    </cfRule>
  </conditionalFormatting>
  <conditionalFormatting sqref="F136 F138 F140 F142 F144 F146 F148 F150 F152">
    <cfRule type="colorScale" priority="6">
      <colorScale>
        <cfvo type="num" val="0"/>
        <cfvo type="num" val="1"/>
        <color rgb="FFC00000"/>
        <color theme="9"/>
      </colorScale>
    </cfRule>
  </conditionalFormatting>
  <conditionalFormatting sqref="F137 F139 F141 F143 F145 F147 F149 F151 F153">
    <cfRule type="colorScale" priority="4">
      <colorScale>
        <cfvo type="num" val="0"/>
        <cfvo type="num" val="1"/>
        <color rgb="FFC00000"/>
        <color theme="9"/>
      </colorScale>
    </cfRule>
  </conditionalFormatting>
  <conditionalFormatting sqref="E4:E153">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{AE076ED5-F670-8A4D-87A4-31EFF4FEB9CA}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BD525D7-D861-4A58-88E0-433CFED236A9}">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AE076ED5-F670-8A4D-87A4-31EFF4FEB9CA}">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D4:D153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76"/>
  <sheetViews>
    <sheetView zoomScale="83" zoomScaleNormal="115" workbookViewId="0">
      <selection activeCell="E4" sqref="E4"/>
    </sheetView>
  </sheetViews>
  <sheetFormatPr defaultColWidth="33" defaultRowHeight="15" x14ac:dyDescent="0.25"/>
  <cols>
    <col min="3" max="3" width="75.140625" style="20" customWidth="1"/>
    <col min="4" max="7" width="39.7109375" customWidth="1"/>
  </cols>
  <sheetData>
    <row r="1" spans="1:7" s="239" customFormat="1" ht="87.95" customHeight="1" x14ac:dyDescent="0.25">
      <c r="B1" s="291" t="s">
        <v>3193</v>
      </c>
      <c r="C1" s="291"/>
      <c r="D1" s="291"/>
    </row>
    <row r="2" spans="1:7" s="239" customFormat="1" ht="16.5" thickBot="1" x14ac:dyDescent="0.3">
      <c r="A2" s="290"/>
      <c r="B2" s="290"/>
      <c r="C2" s="239" t="s">
        <v>1414</v>
      </c>
      <c r="D2" s="239" t="s">
        <v>1461</v>
      </c>
      <c r="E2" s="239" t="s">
        <v>1462</v>
      </c>
      <c r="F2" s="239" t="s">
        <v>1463</v>
      </c>
      <c r="G2" s="239" t="s">
        <v>1464</v>
      </c>
    </row>
    <row r="3" spans="1:7" s="150" customFormat="1" ht="32.25" thickBot="1" x14ac:dyDescent="0.3">
      <c r="A3" s="148" t="str">
        <f>Phase4!A4</f>
        <v>ORG4.1</v>
      </c>
      <c r="B3" s="149" t="str">
        <f>Phase4!B4</f>
        <v>Organization</v>
      </c>
      <c r="C3" s="149" t="str">
        <f>Phase4!C4</f>
        <v>Is the SOP on performing a management review up-to-date?
Compare elements in most recent Management Review Report with required elements defined in the SOP.</v>
      </c>
      <c r="D3" s="150" t="s">
        <v>3111</v>
      </c>
    </row>
    <row r="4" spans="1:7" s="208" customFormat="1" ht="16.5" thickBot="1" x14ac:dyDescent="0.3"/>
    <row r="5" spans="1:7" s="52" customFormat="1" ht="16.5" thickBot="1" x14ac:dyDescent="0.3">
      <c r="A5" s="50" t="str">
        <f>Phase4!A5</f>
        <v>PERS4.1</v>
      </c>
      <c r="B5" s="51" t="str">
        <f>Phase4!B5</f>
        <v>Personnel</v>
      </c>
      <c r="C5" s="51" t="str">
        <f>Phase4!C5</f>
        <v>Is staff safeguarded from overburdening?</v>
      </c>
    </row>
    <row r="6" spans="1:7" ht="15.75" thickBot="1" x14ac:dyDescent="0.3"/>
    <row r="7" spans="1:7" s="215" customFormat="1" ht="31.5" x14ac:dyDescent="0.25">
      <c r="A7" s="213" t="str">
        <f>Phase4!A6</f>
        <v>PERS4.2</v>
      </c>
      <c r="B7" s="214" t="str">
        <f>Phase4!B6</f>
        <v>Personnel</v>
      </c>
      <c r="C7" s="214" t="str">
        <f>Phase4!C6</f>
        <v>Does the laboratory have a standardized procedure for hiring new permanent and temporary staff, and having guests?</v>
      </c>
    </row>
    <row r="8" spans="1:7" s="61" customFormat="1" ht="31.5" x14ac:dyDescent="0.25">
      <c r="A8" s="59" t="str">
        <f>Phase4!A7</f>
        <v>PERS4.3</v>
      </c>
      <c r="B8" s="60" t="str">
        <f>Phase4!B7</f>
        <v>Personnel</v>
      </c>
      <c r="C8" s="60" t="str">
        <f>Phase4!C7</f>
        <v>Is the procedure for hiring new permanent and temporary staff and having guests correctly documented?</v>
      </c>
    </row>
    <row r="9" spans="1:7" s="58" customFormat="1" ht="32.25" thickBot="1" x14ac:dyDescent="0.3">
      <c r="A9" s="55" t="str">
        <f>Phase4!A8</f>
        <v>PERS4.4</v>
      </c>
      <c r="B9" s="56" t="str">
        <f>Phase4!B8</f>
        <v>Personnel</v>
      </c>
      <c r="C9" s="56" t="str">
        <f>Phase4!C8</f>
        <v>Does the procedure for hiring new permanent and temporary staff cover all the following elements:</v>
      </c>
    </row>
    <row r="10" spans="1:7" ht="15.75" thickBot="1" x14ac:dyDescent="0.3"/>
    <row r="11" spans="1:7" s="215" customFormat="1" ht="78.75" x14ac:dyDescent="0.25">
      <c r="A11" s="213" t="str">
        <f>Phase4!A27</f>
        <v>PERS4.5</v>
      </c>
      <c r="B11" s="214" t="str">
        <f>Phase4!B27</f>
        <v>Personnel</v>
      </c>
      <c r="C11" s="214" t="str">
        <f>Phase4!C27</f>
        <v>Are all staff members appropriately trained for the tasks performed?</v>
      </c>
      <c r="D11" s="215" t="s">
        <v>3132</v>
      </c>
      <c r="E11" s="215" t="s">
        <v>3130</v>
      </c>
      <c r="F11" s="215" t="s">
        <v>3131</v>
      </c>
    </row>
    <row r="12" spans="1:7" s="61" customFormat="1" ht="31.5" x14ac:dyDescent="0.25">
      <c r="A12" s="59" t="str">
        <f>Phase4!A28</f>
        <v>PERS4.6</v>
      </c>
      <c r="B12" s="60" t="str">
        <f>Phase4!B28</f>
        <v>Personnel</v>
      </c>
      <c r="C12" s="60" t="str">
        <f>Phase4!C28</f>
        <v>Are educational needs consistently assessed in competency assessments and performance appraisals?</v>
      </c>
    </row>
    <row r="13" spans="1:7" s="58" customFormat="1" ht="16.5" thickBot="1" x14ac:dyDescent="0.3">
      <c r="A13" s="55" t="str">
        <f>Phase4!A29</f>
        <v>PERS4.7</v>
      </c>
      <c r="B13" s="56" t="str">
        <f>Phase4!B29</f>
        <v>Personnel</v>
      </c>
      <c r="C13" s="56" t="str">
        <f>Phase4!C29</f>
        <v>Are training needs consistently fulfilled?</v>
      </c>
    </row>
    <row r="14" spans="1:7" ht="15.75" thickBot="1" x14ac:dyDescent="0.3"/>
    <row r="15" spans="1:7" s="215" customFormat="1" ht="15.75" x14ac:dyDescent="0.25">
      <c r="A15" s="213" t="str">
        <f>Phase4!A30</f>
        <v>PERS4.8</v>
      </c>
      <c r="B15" s="214" t="str">
        <f>Phase4!B30</f>
        <v>Personnel</v>
      </c>
      <c r="C15" s="214" t="str">
        <f>Phase4!C30</f>
        <v>Does the laboratory have a Continuous Education Program?</v>
      </c>
    </row>
    <row r="16" spans="1:7" s="61" customFormat="1" ht="15.75" x14ac:dyDescent="0.25">
      <c r="A16" s="59" t="str">
        <f>Phase4!A31</f>
        <v>PERS4.9</v>
      </c>
      <c r="B16" s="60" t="str">
        <f>Phase4!B31</f>
        <v>Personnel</v>
      </c>
      <c r="C16" s="60" t="str">
        <f>Phase4!C31</f>
        <v>Is budget available for the Continuous Education Program?</v>
      </c>
    </row>
    <row r="17" spans="1:7" s="58" customFormat="1" ht="16.5" thickBot="1" x14ac:dyDescent="0.3">
      <c r="A17" s="55" t="str">
        <f>Phase4!A32</f>
        <v>PERS4.10</v>
      </c>
      <c r="B17" s="56" t="str">
        <f>Phase4!B32</f>
        <v>Personnel</v>
      </c>
      <c r="C17" s="56" t="str">
        <f>Phase4!C32</f>
        <v>Is the Continuous Education Program included as element in the Quality Year Plan?</v>
      </c>
    </row>
    <row r="18" spans="1:7" ht="15.75" thickBot="1" x14ac:dyDescent="0.3"/>
    <row r="19" spans="1:7" s="52" customFormat="1" ht="79.5" thickBot="1" x14ac:dyDescent="0.3">
      <c r="A19" s="50" t="str">
        <f>Phase4!A33</f>
        <v>PERS4.11</v>
      </c>
      <c r="B19" s="51" t="str">
        <f>Phase4!B33</f>
        <v>Personnel</v>
      </c>
      <c r="C19" s="51" t="str">
        <f>Phase4!C33</f>
        <v>Is the ability of all technical staff members to correctly perform examinations observed by letting them analyze external quality assessment samples and evaluating the results?</v>
      </c>
      <c r="D19" s="52" t="s">
        <v>3133</v>
      </c>
      <c r="E19" s="52" t="s">
        <v>3134</v>
      </c>
      <c r="F19" s="52" t="s">
        <v>3135</v>
      </c>
      <c r="G19" s="52" t="s">
        <v>3136</v>
      </c>
    </row>
    <row r="20" spans="1:7" ht="15.75" thickBot="1" x14ac:dyDescent="0.3"/>
    <row r="21" spans="1:7" s="215" customFormat="1" ht="31.5" x14ac:dyDescent="0.25">
      <c r="A21" s="213" t="str">
        <f>Phase4!A34</f>
        <v>PERS4.12</v>
      </c>
      <c r="B21" s="214" t="str">
        <f>Phase4!B34</f>
        <v>Personnel</v>
      </c>
      <c r="C21" s="214" t="str">
        <f>Phase4!C34</f>
        <v>Has a laboratory staff member appropriately been trained in performing failure-mode-effect-analyses?</v>
      </c>
    </row>
    <row r="22" spans="1:7" s="58" customFormat="1" ht="32.25" thickBot="1" x14ac:dyDescent="0.3">
      <c r="A22" s="55" t="str">
        <f>Phase4!A35</f>
        <v>PERS4.13</v>
      </c>
      <c r="B22" s="56" t="str">
        <f>Phase4!B35</f>
        <v>Personnel</v>
      </c>
      <c r="C22" s="56" t="str">
        <f>Phase4!C35</f>
        <v>Has the personnel file of the staff member participating in failure mode effect analysis training been updated after completing this training?</v>
      </c>
    </row>
    <row r="23" spans="1:7" ht="15.75" thickBot="1" x14ac:dyDescent="0.3"/>
    <row r="24" spans="1:7" s="70" customFormat="1" ht="63" x14ac:dyDescent="0.25">
      <c r="A24" s="62" t="str">
        <f>Phase4!A36</f>
        <v>EQUIP4.1</v>
      </c>
      <c r="B24" s="63" t="str">
        <f>Phase4!B36</f>
        <v>Equipment</v>
      </c>
      <c r="C24" s="63" t="str">
        <f>Phase4!C36</f>
        <v>Have all pieces of equipment that have a direct influence on the outcome of examinations been validated?</v>
      </c>
      <c r="D24" s="70" t="s">
        <v>3137</v>
      </c>
    </row>
    <row r="25" spans="1:7" s="73" customFormat="1" ht="32.25" thickBot="1" x14ac:dyDescent="0.3">
      <c r="A25" s="68" t="str">
        <f>Phase4!A37</f>
        <v>EQUIP4.2</v>
      </c>
      <c r="B25" s="69" t="str">
        <f>Phase4!B37</f>
        <v>Equipment</v>
      </c>
      <c r="C25" s="69" t="str">
        <f>Phase4!C37</f>
        <v>Are all findings of validations (both validation of examination methods and validation of equipment) documented in validation reports?</v>
      </c>
    </row>
    <row r="26" spans="1:7" ht="15.75" thickBot="1" x14ac:dyDescent="0.3">
      <c r="D26" s="209"/>
    </row>
    <row r="27" spans="1:7" s="70" customFormat="1" ht="78.75" x14ac:dyDescent="0.25">
      <c r="A27" s="62" t="str">
        <f>Phase4!A38</f>
        <v>EQUIP4.3</v>
      </c>
      <c r="B27" s="63" t="str">
        <f>Phase4!B38</f>
        <v>Equipment</v>
      </c>
      <c r="C27" s="63" t="str">
        <f>Phase4!C38</f>
        <v>Is there an standardized procedure in place assuring that the laboratory determines and corrects the negative influence of defective equipment on laboratory testing?</v>
      </c>
      <c r="D27" s="70" t="s">
        <v>3141</v>
      </c>
      <c r="E27" s="70" t="s">
        <v>3139</v>
      </c>
      <c r="F27" s="70" t="s">
        <v>3140</v>
      </c>
    </row>
    <row r="28" spans="1:7" s="72" customFormat="1" ht="47.25" x14ac:dyDescent="0.25">
      <c r="A28" s="66" t="str">
        <f>Phase4!A39</f>
        <v>EQUIP4.4</v>
      </c>
      <c r="B28" s="67" t="str">
        <f>Phase4!B39</f>
        <v>Equipment</v>
      </c>
      <c r="C28" s="67" t="str">
        <f>Phase4!C39</f>
        <v>Is the procedure for determining and correcting the negative influence of defective equipment documented in an SOP?</v>
      </c>
    </row>
    <row r="29" spans="1:7" s="73" customFormat="1" ht="79.5" thickBot="1" x14ac:dyDescent="0.3">
      <c r="A29" s="68" t="str">
        <f>Phase4!A40</f>
        <v>EQUIP4.5</v>
      </c>
      <c r="B29" s="69" t="str">
        <f>Phase4!B40</f>
        <v>Equipment</v>
      </c>
      <c r="C29" s="69" t="str">
        <f>Phase4!C40</f>
        <v>Has procedure for determining and correcting the negative influence of defective equipment routinely been performed in the past when equipment appeared to be defective?
Ask the interviewee to show an example.</v>
      </c>
      <c r="D29" s="73" t="s">
        <v>3138</v>
      </c>
    </row>
    <row r="30" spans="1:7" ht="15.75" thickBot="1" x14ac:dyDescent="0.3">
      <c r="D30" s="210"/>
    </row>
    <row r="31" spans="1:7" s="171" customFormat="1" ht="174" thickBot="1" x14ac:dyDescent="0.3">
      <c r="A31" s="169" t="str">
        <f>Phase4!A41</f>
        <v>PM4.1</v>
      </c>
      <c r="B31" s="170" t="str">
        <f>Phase4!B41</f>
        <v>Process Management</v>
      </c>
      <c r="C31" s="170" t="str">
        <f>Phase4!C41</f>
        <v>Is there an SOP that covers all the more simple procedures for which it is too laborious/inefficient to make separate SOPs but that are critical for proper functioning of the laboratory?</v>
      </c>
      <c r="D31" s="171" t="s">
        <v>3142</v>
      </c>
    </row>
    <row r="32" spans="1:7" ht="15.75" thickBot="1" x14ac:dyDescent="0.3">
      <c r="D32" s="209"/>
    </row>
    <row r="33" spans="1:6" s="163" customFormat="1" ht="47.25" x14ac:dyDescent="0.25">
      <c r="A33" s="161" t="str">
        <f>Phase4!A42</f>
        <v>PM4.2</v>
      </c>
      <c r="B33" s="162" t="str">
        <f>Phase4!B42</f>
        <v>Process Management</v>
      </c>
      <c r="C33" s="162" t="str">
        <f>Phase4!C42</f>
        <v>Is correct transportation of samples monitored on a continuous basis by the laboratory by checking of the transportation requirements in the SOP for Sample Collection are met?</v>
      </c>
      <c r="D33" s="163" t="s">
        <v>3148</v>
      </c>
      <c r="E33" s="163" t="s">
        <v>3149</v>
      </c>
    </row>
    <row r="34" spans="1:6" s="168" customFormat="1" ht="47.25" x14ac:dyDescent="0.25">
      <c r="A34" s="160" t="str">
        <f>Phase4!A43</f>
        <v>PM4.3</v>
      </c>
      <c r="B34" s="167" t="str">
        <f>Phase4!B43</f>
        <v>Process Management</v>
      </c>
      <c r="C34" s="167" t="str">
        <f>Phase4!C43</f>
        <v>If problems arise in transportation of samples, does the laboratory investigate these problems to find the cause?</v>
      </c>
      <c r="D34" s="168" t="s">
        <v>3143</v>
      </c>
    </row>
    <row r="35" spans="1:6" s="168" customFormat="1" ht="47.25" x14ac:dyDescent="0.25">
      <c r="A35" s="160" t="str">
        <f>Phase4!A44</f>
        <v>PM4.4</v>
      </c>
      <c r="B35" s="167" t="str">
        <f>Phase4!B44</f>
        <v>Process Management</v>
      </c>
      <c r="C35" s="167" t="str">
        <f>Phase4!C44</f>
        <v>If problems arise in transportation of samples, is a nonconformity form always completed?</v>
      </c>
      <c r="D35" s="168" t="s">
        <v>3151</v>
      </c>
      <c r="E35" s="168" t="s">
        <v>3150</v>
      </c>
    </row>
    <row r="36" spans="1:6" s="168" customFormat="1" ht="63" x14ac:dyDescent="0.25">
      <c r="A36" s="160" t="str">
        <f>Phase4!A45</f>
        <v>PM4.5</v>
      </c>
      <c r="B36" s="167" t="str">
        <f>Phase4!B45</f>
        <v>Process Management</v>
      </c>
      <c r="C36" s="167" t="str">
        <f>Phase4!C45</f>
        <v>Are corrective and preventive actions undertaken to solve problems in sample transportation?</v>
      </c>
      <c r="D36" s="168" t="s">
        <v>3153</v>
      </c>
      <c r="E36" s="168" t="s">
        <v>3152</v>
      </c>
    </row>
    <row r="37" spans="1:6" s="159" customFormat="1" ht="63.75" thickBot="1" x14ac:dyDescent="0.3">
      <c r="A37" s="157" t="str">
        <f>Phase4!A46</f>
        <v>PM4.6</v>
      </c>
      <c r="B37" s="158" t="str">
        <f>Phase4!B46</f>
        <v>Process Management</v>
      </c>
      <c r="C37" s="158" t="str">
        <f>Phase4!C46</f>
        <v>Is the effect of the preventive/corrective actions to solve problems regarding sample transport evaluated to see if they worked?</v>
      </c>
      <c r="D37" s="159" t="s">
        <v>3144</v>
      </c>
    </row>
    <row r="38" spans="1:6" ht="15.75" thickBot="1" x14ac:dyDescent="0.3">
      <c r="D38" s="209"/>
    </row>
    <row r="39" spans="1:6" s="156" customFormat="1" ht="31.5" x14ac:dyDescent="0.25">
      <c r="A39" s="154" t="str">
        <f>Phase4!A47</f>
        <v>PM4.7</v>
      </c>
      <c r="B39" s="155" t="str">
        <f>Phase4!B47</f>
        <v>Process Management</v>
      </c>
      <c r="C39" s="155" t="str">
        <f>Phase4!C47</f>
        <v>Does the laboratory monitor correct performance of all its processes using quality indicators?</v>
      </c>
      <c r="D39" s="156" t="s">
        <v>3154</v>
      </c>
      <c r="E39" s="156" t="s">
        <v>3155</v>
      </c>
    </row>
    <row r="40" spans="1:6" s="168" customFormat="1" ht="78.75" x14ac:dyDescent="0.25">
      <c r="A40" s="160" t="str">
        <f>Phase4!A48</f>
        <v>PM4.8</v>
      </c>
      <c r="B40" s="167" t="str">
        <f>Phase4!B48</f>
        <v>Process Management</v>
      </c>
      <c r="C40" s="167" t="str">
        <f>Phase4!C48</f>
        <v>Is action undertaken upon detection of a sudden change in the value of a quality indictors to identify and solve the problem and prevent it from reoccurring?</v>
      </c>
      <c r="D40" s="168" t="s">
        <v>3158</v>
      </c>
      <c r="E40" s="168" t="s">
        <v>3156</v>
      </c>
      <c r="F40" s="168" t="s">
        <v>3157</v>
      </c>
    </row>
    <row r="41" spans="1:6" s="168" customFormat="1" ht="31.5" x14ac:dyDescent="0.25">
      <c r="A41" s="160" t="str">
        <f>Phase4!A49</f>
        <v>PM4.9</v>
      </c>
      <c r="B41" s="167" t="str">
        <f>Phase4!B49</f>
        <v>Process Management</v>
      </c>
      <c r="C41" s="167" t="str">
        <f>Phase4!C49</f>
        <v>Have limits of acceptability been set for each quality indicator?</v>
      </c>
      <c r="D41" s="168" t="s">
        <v>3145</v>
      </c>
    </row>
    <row r="42" spans="1:6" s="159" customFormat="1" ht="63.75" thickBot="1" x14ac:dyDescent="0.3">
      <c r="A42" s="157" t="str">
        <f>Phase4!A50</f>
        <v>PM4.10</v>
      </c>
      <c r="B42" s="158" t="str">
        <f>Phase4!B50</f>
        <v>Process Management</v>
      </c>
      <c r="C42" s="158" t="str">
        <f>Phase4!C50</f>
        <v>Are actions undertaken to optimize the laboratory processes such that the limits of acceptability for each quality indicator aren’t exceeded any longer?</v>
      </c>
      <c r="D42" s="159" t="s">
        <v>3160</v>
      </c>
      <c r="E42" s="159" t="s">
        <v>3159</v>
      </c>
    </row>
    <row r="43" spans="1:6" ht="15.75" thickBot="1" x14ac:dyDescent="0.3">
      <c r="D43" s="209"/>
    </row>
    <row r="44" spans="1:6" s="203" customFormat="1" ht="48" thickBot="1" x14ac:dyDescent="0.3">
      <c r="A44" s="201" t="str">
        <f>Phase4!A51</f>
        <v>CF4.1</v>
      </c>
      <c r="B44" s="202" t="str">
        <f>Phase4!B51</f>
        <v>Customer Focus</v>
      </c>
      <c r="C44" s="202" t="str">
        <f>Phase4!C51</f>
        <v>Have specific staff members been authorized to communicate with clients so that proper communication and information provision to clients is ensured?</v>
      </c>
      <c r="D44" s="203" t="s">
        <v>3163</v>
      </c>
      <c r="E44" s="203" t="s">
        <v>3161</v>
      </c>
      <c r="F44" s="203" t="s">
        <v>3162</v>
      </c>
    </row>
    <row r="45" spans="1:6" ht="15.75" thickBot="1" x14ac:dyDescent="0.3">
      <c r="D45" s="216"/>
    </row>
    <row r="46" spans="1:6" s="194" customFormat="1" ht="63" x14ac:dyDescent="0.25">
      <c r="A46" s="188" t="str">
        <f>Phase4!A52</f>
        <v>CF4.2</v>
      </c>
      <c r="B46" s="189" t="str">
        <f>Phase4!B52</f>
        <v>Customer Focus</v>
      </c>
      <c r="C46" s="189" t="str">
        <f>Phase4!C52</f>
        <v>Are specific laboratory staff members authorized to participate in clinical rounds?</v>
      </c>
      <c r="D46" s="194" t="s">
        <v>3165</v>
      </c>
      <c r="E46" s="194" t="s">
        <v>3164</v>
      </c>
    </row>
    <row r="47" spans="1:6" s="195" customFormat="1" ht="31.5" x14ac:dyDescent="0.25">
      <c r="A47" s="190" t="str">
        <f>Phase4!A53</f>
        <v>CF4.3</v>
      </c>
      <c r="B47" s="191" t="str">
        <f>Phase4!B53</f>
        <v>Customer Focus</v>
      </c>
      <c r="C47" s="191" t="str">
        <f>Phase4!C53</f>
        <v>Do laboratory staff members participate in clinical rounds at least 4 times per year?</v>
      </c>
      <c r="D47" s="195" t="s">
        <v>3146</v>
      </c>
    </row>
    <row r="48" spans="1:6" s="195" customFormat="1" ht="31.5" x14ac:dyDescent="0.25">
      <c r="A48" s="190" t="str">
        <f>Phase4!A54</f>
        <v>CF4.4</v>
      </c>
      <c r="B48" s="191" t="str">
        <f>Phase4!B54</f>
        <v>Customer Focus</v>
      </c>
      <c r="C48" s="191" t="str">
        <f>Phase4!C54</f>
        <v>Are meetings between laboratory staff and clinical staff held at least 4 times per year?</v>
      </c>
      <c r="D48" s="195" t="s">
        <v>3146</v>
      </c>
    </row>
    <row r="49" spans="1:6" s="195" customFormat="1" ht="47.25" x14ac:dyDescent="0.25">
      <c r="A49" s="190" t="str">
        <f>Phase4!A55</f>
        <v>CF4.5</v>
      </c>
      <c r="B49" s="191" t="str">
        <f>Phase4!B55</f>
        <v>Customer Focus</v>
      </c>
      <c r="C49" s="191" t="str">
        <f>Phase4!C55</f>
        <v>Are minutes made of meetings between laboratory staff and clinical staff?</v>
      </c>
      <c r="D49" s="195" t="s">
        <v>3147</v>
      </c>
    </row>
    <row r="50" spans="1:6" s="199" customFormat="1" ht="48" thickBot="1" x14ac:dyDescent="0.3">
      <c r="A50" s="197" t="str">
        <f>Phase4!A56</f>
        <v>CF4.6</v>
      </c>
      <c r="B50" s="198" t="str">
        <f>Phase4!B56</f>
        <v>Customer Focus</v>
      </c>
      <c r="C50" s="198" t="str">
        <f>Phase4!C56</f>
        <v>If action points arise from a meeting between clinical staff and laboratory staff, is feedback given in the following meeting?</v>
      </c>
      <c r="D50" s="199" t="s">
        <v>3168</v>
      </c>
      <c r="E50" s="199" t="s">
        <v>3166</v>
      </c>
      <c r="F50" s="199" t="s">
        <v>3167</v>
      </c>
    </row>
    <row r="51" spans="1:6" ht="15.75" thickBot="1" x14ac:dyDescent="0.3">
      <c r="D51" s="210"/>
    </row>
    <row r="52" spans="1:6" s="135" customFormat="1" ht="48" thickBot="1" x14ac:dyDescent="0.3">
      <c r="A52" s="133" t="str">
        <f>Phase4!A57</f>
        <v>ASSESS4.1</v>
      </c>
      <c r="B52" s="134" t="str">
        <f>Phase4!B57</f>
        <v>Assessment</v>
      </c>
      <c r="C52" s="134" t="str">
        <f>Phase4!C57</f>
        <v>Has an external audit been performed to verify complete and correct implementation of the quality management system in compliance with ISO 15189 before the laboratory applies for accreditation?</v>
      </c>
    </row>
    <row r="53" spans="1:6" ht="15.75" thickBot="1" x14ac:dyDescent="0.3"/>
    <row r="54" spans="1:6" s="144" customFormat="1" ht="47.25" x14ac:dyDescent="0.25">
      <c r="A54" s="139" t="str">
        <f>Phase4!A58</f>
        <v>ASSESS4.2</v>
      </c>
      <c r="B54" s="140" t="str">
        <f>Phase4!B58</f>
        <v>Assessment</v>
      </c>
      <c r="C54" s="140" t="str">
        <f>Phase4!C58</f>
        <v>Are action plans made to solve/correct the nonconformities identified in the external mock audit with corrective actions and control steps and preventive actions when necessary and applicable?</v>
      </c>
    </row>
    <row r="55" spans="1:6" s="145" customFormat="1" ht="31.5" x14ac:dyDescent="0.25">
      <c r="A55" s="136" t="str">
        <f>Phase4!A59</f>
        <v>ASSESS4.3</v>
      </c>
      <c r="B55" s="143" t="str">
        <f>Phase4!B59</f>
        <v>Assessment</v>
      </c>
      <c r="C55" s="143" t="str">
        <f>Phase4!C59</f>
        <v>Is timely implementation of the action plans following the external mock audit monitored?</v>
      </c>
    </row>
    <row r="56" spans="1:6" s="147" customFormat="1" ht="32.25" thickBot="1" x14ac:dyDescent="0.3">
      <c r="A56" s="137" t="str">
        <f>Phase4!A60</f>
        <v>ASSESS4.4</v>
      </c>
      <c r="B56" s="138" t="str">
        <f>Phase4!B60</f>
        <v>Assessment</v>
      </c>
      <c r="C56" s="138" t="str">
        <f>Phase4!C60</f>
        <v>Is the audit report of the external mock audit with the action plan archived when all action points have been completed?</v>
      </c>
    </row>
    <row r="57" spans="1:6" ht="15.75" thickBot="1" x14ac:dyDescent="0.3"/>
    <row r="58" spans="1:6" s="229" customFormat="1" ht="63.75" thickBot="1" x14ac:dyDescent="0.3">
      <c r="A58" s="227" t="str">
        <f>Phase4!A61</f>
        <v>CONFORM4.1</v>
      </c>
      <c r="B58" s="228" t="str">
        <f>Phase4!B61</f>
        <v>Nonconforming Event Management</v>
      </c>
      <c r="C58" s="228" t="str">
        <f>Phase4!C61</f>
        <v>Does the laboratory have an SOP for Nonconformity Management that ensures that nonconformities are always solved/corrected in a standardized way with corrective and preventive actions and, if necessary and applicable, control steps?</v>
      </c>
      <c r="D58" s="229" t="s">
        <v>3171</v>
      </c>
      <c r="E58" s="229" t="s">
        <v>3169</v>
      </c>
      <c r="F58" s="229" t="s">
        <v>3170</v>
      </c>
    </row>
    <row r="59" spans="1:6" ht="15.75" thickBot="1" x14ac:dyDescent="0.3">
      <c r="D59" s="226"/>
    </row>
    <row r="60" spans="1:6" s="223" customFormat="1" ht="78.75" x14ac:dyDescent="0.25">
      <c r="A60" s="217" t="str">
        <f>Phase4!A62</f>
        <v>CONFORM4.2</v>
      </c>
      <c r="B60" s="218" t="str">
        <f>Phase4!B62</f>
        <v>Nonconforming Event Management</v>
      </c>
      <c r="C60" s="218" t="str">
        <f>Phase4!C62</f>
        <v>Does the laboratory have an SOP on Handling of Complaints?</v>
      </c>
      <c r="D60" s="223" t="s">
        <v>3172</v>
      </c>
      <c r="E60" s="223" t="s">
        <v>3173</v>
      </c>
    </row>
    <row r="61" spans="1:6" s="224" customFormat="1" ht="78.75" x14ac:dyDescent="0.25">
      <c r="A61" s="219" t="str">
        <f>Phase4!A63</f>
        <v>CONFORM4.3</v>
      </c>
      <c r="B61" s="220" t="str">
        <f>Phase4!B63</f>
        <v>Nonconforming Event Management</v>
      </c>
      <c r="C61" s="220" t="str">
        <f>Phase4!C63</f>
        <v>Are complaints handled in a standardized way?</v>
      </c>
      <c r="D61" s="224" t="s">
        <v>3174</v>
      </c>
      <c r="E61" s="224" t="s">
        <v>3175</v>
      </c>
    </row>
    <row r="62" spans="1:6" s="225" customFormat="1" ht="48" thickBot="1" x14ac:dyDescent="0.3">
      <c r="A62" s="221" t="str">
        <f>Phase4!A64</f>
        <v>CONFORM4.4</v>
      </c>
      <c r="B62" s="222" t="str">
        <f>Phase4!B64</f>
        <v>Nonconforming Event Management</v>
      </c>
      <c r="C62" s="222" t="str">
        <f>Phase4!C64</f>
        <v>Are complainers informed about the solution that was developed based on their complaint?</v>
      </c>
      <c r="D62" s="225" t="s">
        <v>3176</v>
      </c>
      <c r="E62" s="225" t="s">
        <v>3177</v>
      </c>
    </row>
    <row r="63" spans="1:6" ht="15.75" thickBot="1" x14ac:dyDescent="0.3">
      <c r="D63" s="210"/>
    </row>
    <row r="64" spans="1:6" s="223" customFormat="1" ht="31.5" x14ac:dyDescent="0.25">
      <c r="A64" s="217" t="str">
        <f>Phase4!A65</f>
        <v>CONFORM4.5</v>
      </c>
      <c r="B64" s="218" t="str">
        <f>Phase4!B65</f>
        <v>Nonconforming Event Management</v>
      </c>
      <c r="C64" s="218" t="str">
        <f>Phase4!C65</f>
        <v>Has the laboratory procedures in place on how to act in specific emergency situations?</v>
      </c>
      <c r="D64" s="223" t="s">
        <v>3178</v>
      </c>
    </row>
    <row r="65" spans="1:4" s="224" customFormat="1" ht="31.5" x14ac:dyDescent="0.25">
      <c r="A65" s="219" t="str">
        <f>Phase4!A66</f>
        <v>CONFORM4.6</v>
      </c>
      <c r="B65" s="220" t="str">
        <f>Phase4!B66</f>
        <v>Nonconforming Event Management</v>
      </c>
      <c r="C65" s="220" t="str">
        <f>Phase4!C66</f>
        <v>Is firefighting equipment in place?</v>
      </c>
      <c r="D65" s="224" t="s">
        <v>3179</v>
      </c>
    </row>
    <row r="66" spans="1:4" s="224" customFormat="1" ht="31.5" x14ac:dyDescent="0.25">
      <c r="A66" s="219" t="str">
        <f>Phase4!A67</f>
        <v>CONFORM4.7</v>
      </c>
      <c r="B66" s="220" t="str">
        <f>Phase4!B67</f>
        <v>Nonconforming Event Management</v>
      </c>
      <c r="C66" s="220" t="str">
        <f>Phase4!C67</f>
        <v>Is an evacuation plan in place?</v>
      </c>
    </row>
    <row r="67" spans="1:4" s="224" customFormat="1" ht="31.5" x14ac:dyDescent="0.25">
      <c r="A67" s="219" t="str">
        <f>Phase4!A68</f>
        <v>CONFORM4.8</v>
      </c>
      <c r="B67" s="220" t="str">
        <f>Phase4!B68</f>
        <v>Nonconforming Event Management</v>
      </c>
      <c r="C67" s="220" t="str">
        <f>Phase4!C68</f>
        <v>Are evacuation routes indicated?</v>
      </c>
      <c r="D67" s="224" t="s">
        <v>3180</v>
      </c>
    </row>
    <row r="68" spans="1:4" s="224" customFormat="1" ht="31.5" x14ac:dyDescent="0.25">
      <c r="A68" s="219" t="str">
        <f>Phase4!A69</f>
        <v>CONFORM4.9</v>
      </c>
      <c r="B68" s="220" t="str">
        <f>Phase4!B69</f>
        <v>Nonconforming Event Management</v>
      </c>
      <c r="C68" s="220" t="str">
        <f>Phase4!C69</f>
        <v>Are there organizational emergency arrangements in place including a division of roles and responsibilities for specific emergency situations?</v>
      </c>
    </row>
    <row r="69" spans="1:4" s="225" customFormat="1" ht="32.25" thickBot="1" x14ac:dyDescent="0.3">
      <c r="A69" s="221" t="str">
        <f>Phase4!A70</f>
        <v>CONFORM4.10</v>
      </c>
      <c r="B69" s="222" t="str">
        <f>Phase4!B70</f>
        <v>Nonconforming Event Management</v>
      </c>
      <c r="C69" s="222" t="str">
        <f>Phase4!C70</f>
        <v>Are procedures in place on how to handle in different emergency situations?</v>
      </c>
    </row>
    <row r="70" spans="1:4" ht="15.75" thickBot="1" x14ac:dyDescent="0.3"/>
    <row r="71" spans="1:4" s="238" customFormat="1" ht="47.25" x14ac:dyDescent="0.25">
      <c r="A71" s="236" t="str">
        <f>Phase4!A71</f>
        <v>CI4.1</v>
      </c>
      <c r="B71" s="237" t="str">
        <f>Phase4!B71</f>
        <v>Continual Improvement</v>
      </c>
      <c r="C71" s="237" t="str">
        <f>Phase4!C71</f>
        <v>Have failure mode and effect analyses been performed on all the procedures routinely performed in the laboratory to identify potential sources of nonconformity?</v>
      </c>
    </row>
    <row r="72" spans="1:4" s="235" customFormat="1" ht="142.5" thickBot="1" x14ac:dyDescent="0.3">
      <c r="A72" s="232" t="str">
        <f>Phase4!A72</f>
        <v>CI4.2</v>
      </c>
      <c r="B72" s="233" t="str">
        <f>Phase4!B72</f>
        <v>Continual Improvement</v>
      </c>
      <c r="C72" s="233" t="str">
        <f>Phase4!C72</f>
        <v>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row>
    <row r="73" spans="1:4" ht="15.75" thickBot="1" x14ac:dyDescent="0.3"/>
    <row r="74" spans="1:4" s="238" customFormat="1" ht="47.25" x14ac:dyDescent="0.25">
      <c r="A74" s="236" t="str">
        <f>Phase4!A73</f>
        <v>CI4.3</v>
      </c>
      <c r="B74" s="237" t="str">
        <f>Phase4!B73</f>
        <v>Continual Improvement</v>
      </c>
      <c r="C74" s="237" t="str">
        <f>Phase4!C73</f>
        <v>Has the effectiveness of control steps and preventive/corrective actions implemented in the laboratory routine procedures following the Failure-Mode-Effect-Analysis been evaluated?</v>
      </c>
    </row>
    <row r="75" spans="1:4" s="234" customFormat="1" ht="47.25" x14ac:dyDescent="0.25">
      <c r="A75" s="230" t="str">
        <f>Phase4!A74</f>
        <v>CI4.4</v>
      </c>
      <c r="B75" s="231" t="str">
        <f>Phase4!B74</f>
        <v>Continual Improvement</v>
      </c>
      <c r="C75" s="231" t="str">
        <f>Phase4!C74</f>
        <v>When control steps and preventive/corrective actions of the Failure-Mode-Effect-Analysis appeared to be ineffective, have they been replaced by more feasible ones?</v>
      </c>
    </row>
    <row r="76" spans="1:4" s="235" customFormat="1" ht="48" thickBot="1" x14ac:dyDescent="0.3">
      <c r="A76" s="232" t="str">
        <f>Phase4!A75</f>
        <v>CI4.5</v>
      </c>
      <c r="B76" s="233" t="str">
        <f>Phase4!B75</f>
        <v>Continual Improvement</v>
      </c>
      <c r="C76" s="233" t="str">
        <f>Phase4!C75</f>
        <v>Has the effectiveness and feasibility of the control steps and preventive/corrective actions that were optimized based on the first audit been evaluated in subsequent audits?</v>
      </c>
    </row>
  </sheetData>
  <mergeCells count="2">
    <mergeCell ref="B1:D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1000"/>
  <sheetViews>
    <sheetView workbookViewId="0">
      <selection activeCell="D5" sqref="D5"/>
    </sheetView>
  </sheetViews>
  <sheetFormatPr defaultColWidth="65.7109375" defaultRowHeight="15.75" x14ac:dyDescent="0.25"/>
  <cols>
    <col min="1" max="1" width="10.5703125" style="241" customWidth="1"/>
    <col min="2" max="2" width="12.7109375" style="241" bestFit="1" customWidth="1"/>
    <col min="3" max="4" width="65.7109375" style="23"/>
    <col min="5" max="5" width="12.28515625" style="241" customWidth="1"/>
    <col min="6" max="16384" width="65.7109375" style="241"/>
  </cols>
  <sheetData>
    <row r="1" spans="1:7" x14ac:dyDescent="0.25">
      <c r="B1" s="294">
        <f>COUNTA(E3:E1000)/COUNTIF(D5:D1000,"&lt;&gt;*     *")</f>
        <v>0.98113207547169812</v>
      </c>
      <c r="C1" s="294"/>
      <c r="D1" s="294"/>
      <c r="E1" s="294"/>
    </row>
    <row r="2" spans="1:7" ht="15" customHeight="1" x14ac:dyDescent="0.25">
      <c r="B2" s="298"/>
      <c r="C2" s="299" t="s">
        <v>3194</v>
      </c>
      <c r="D2" s="299"/>
      <c r="E2" s="290" t="s">
        <v>1460</v>
      </c>
      <c r="F2" s="323" t="s">
        <v>5654</v>
      </c>
      <c r="G2" s="323" t="s">
        <v>5655</v>
      </c>
    </row>
    <row r="3" spans="1:7" x14ac:dyDescent="0.25">
      <c r="B3" s="298"/>
      <c r="C3" s="299"/>
      <c r="D3" s="299"/>
      <c r="E3" s="290"/>
      <c r="F3" s="323"/>
      <c r="G3" s="323"/>
    </row>
    <row r="4" spans="1:7" ht="48" customHeight="1" x14ac:dyDescent="0.25">
      <c r="B4" s="298"/>
      <c r="C4" s="299"/>
      <c r="D4" s="299"/>
      <c r="E4" s="290"/>
      <c r="F4" s="323"/>
      <c r="G4" s="323"/>
    </row>
    <row r="5" spans="1:7" ht="31.5" x14ac:dyDescent="0.25">
      <c r="A5" s="241" t="s">
        <v>5601</v>
      </c>
      <c r="B5" s="10" t="str">
        <f>_xlfn.IFNA(VLOOKUP($A5,CompChecksTrans!$A:$C,2,FALSE),"")</f>
        <v>ORG4.1</v>
      </c>
      <c r="C5" s="10" t="str">
        <f>_xlfn.IFNA(VLOOKUP(B5,Phase4!A$4:C$1000,3,FALSE),"")</f>
        <v>Is the SOP on performing a management review up-to-date?
Compare elements in most recent Management Review Report with required elements defined in the SOP.</v>
      </c>
      <c r="D5" s="10" t="str">
        <f>_xlfn.IFNA(VLOOKUP($A5,CompChecksTrans!$A:$C,3,FALSE), "      ")</f>
        <v>Presence of an up-to-date SOP on performing a management review</v>
      </c>
      <c r="E5" s="241" t="s">
        <v>1408</v>
      </c>
    </row>
    <row r="6" spans="1:7" ht="31.5" x14ac:dyDescent="0.25">
      <c r="A6" s="241" t="s">
        <v>5602</v>
      </c>
      <c r="B6" s="10" t="str">
        <f>_xlfn.IFNA(VLOOKUP($A6,CompChecksTrans!$A:$C,2,FALSE),"")</f>
        <v>PERS4.5</v>
      </c>
      <c r="C6" s="10" t="str">
        <f>_xlfn.IFNA(VLOOKUP(B6,Phase4!A$4:C$1000,3,FALSE),"")</f>
        <v>Are all staff members appropriately trained for the tasks performed?</v>
      </c>
      <c r="D6" s="10" t="str">
        <f>_xlfn.IFNA(VLOOKUP($A6,CompChecksTrans!$A:$C,3,FALSE), "      ")</f>
        <v>Presence of:
1. Report/evidence on staff competency assessment/ performance appraisals, with potential gaps identified for the training of each staff member.</v>
      </c>
      <c r="E6" s="241" t="s">
        <v>1408</v>
      </c>
    </row>
    <row r="7" spans="1:7" ht="31.5" x14ac:dyDescent="0.25">
      <c r="A7" s="241" t="s">
        <v>5603</v>
      </c>
      <c r="B7" s="10" t="str">
        <f>_xlfn.IFNA(VLOOKUP($A7,CompChecksTrans!$A:$C,2,FALSE),"")</f>
        <v>PERS4.5</v>
      </c>
      <c r="C7" s="10" t="str">
        <f>_xlfn.IFNA(VLOOKUP(B7,Phase4!A$4:C$1000,3,FALSE),"")</f>
        <v>Are all staff members appropriately trained for the tasks performed?</v>
      </c>
      <c r="D7" s="10" t="str">
        <f>_xlfn.IFNA(VLOOKUP($A7,CompChecksTrans!$A:$C,3,FALSE), "      ")</f>
        <v>2. Quality Year Plan with the needs for training of specific staff members</v>
      </c>
      <c r="E7" s="241" t="s">
        <v>1409</v>
      </c>
    </row>
    <row r="8" spans="1:7" ht="31.5" x14ac:dyDescent="0.25">
      <c r="A8" s="241" t="s">
        <v>5604</v>
      </c>
      <c r="B8" s="10" t="str">
        <f>_xlfn.IFNA(VLOOKUP($A8,CompChecksTrans!$A:$C,2,FALSE),"")</f>
        <v>PERS4.5</v>
      </c>
      <c r="C8" s="10" t="str">
        <f>_xlfn.IFNA(VLOOKUP(B8,Phase4!A$4:C$1000,3,FALSE),"")</f>
        <v>Are all staff members appropriately trained for the tasks performed?</v>
      </c>
      <c r="D8" s="10" t="str">
        <f>_xlfn.IFNA(VLOOKUP($A8,CompChecksTrans!$A:$C,3,FALSE), "      ")</f>
        <v>3. Copies of certificates of trainings followed by staff members in their personnel files.</v>
      </c>
      <c r="E8" s="241" t="s">
        <v>1408</v>
      </c>
    </row>
    <row r="9" spans="1:7" ht="47.25" x14ac:dyDescent="0.25">
      <c r="A9" s="241" t="s">
        <v>5605</v>
      </c>
      <c r="B9" s="10" t="str">
        <f>_xlfn.IFNA(VLOOKUP($A9,CompChecksTrans!$A:$C,2,FALSE),"")</f>
        <v>PERS4.11</v>
      </c>
      <c r="C9" s="10" t="str">
        <f>_xlfn.IFNA(VLOOKUP(B9,Phase4!A$4:C$1000,3,FALSE),"")</f>
        <v>Is the ability of all technical staff members to correctly perform examinations observed by letting them analyze external quality assessment samples and evaluating the results?</v>
      </c>
      <c r="D9" s="10" t="str">
        <f>_xlfn.IFNA(VLOOKUP($A9,CompChecksTrans!$A:$C,3,FALSE), "      ")</f>
        <v xml:space="preserve">Presence of:
1. Schedule for EQA testing with different technologist assigned to test the panel each time.
</v>
      </c>
      <c r="E9" s="241" t="s">
        <v>1408</v>
      </c>
    </row>
    <row r="10" spans="1:7" ht="47.25" x14ac:dyDescent="0.25">
      <c r="A10" s="241" t="s">
        <v>5606</v>
      </c>
      <c r="B10" s="10" t="str">
        <f>_xlfn.IFNA(VLOOKUP($A10,CompChecksTrans!$A:$C,2,FALSE),"")</f>
        <v>PERS4.11</v>
      </c>
      <c r="C10" s="10" t="str">
        <f>_xlfn.IFNA(VLOOKUP(B10,Phase4!A$4:C$1000,3,FALSE),"")</f>
        <v>Is the ability of all technical staff members to correctly perform examinations observed by letting them analyze external quality assessment samples and evaluating the results?</v>
      </c>
      <c r="D10" s="10" t="str">
        <f>_xlfn.IFNA(VLOOKUP($A10,CompChecksTrans!$A:$C,3,FALSE), "      ")</f>
        <v>2. Report on weekly staff meeting explaining on the above schedule.</v>
      </c>
      <c r="E10" s="241" t="s">
        <v>1409</v>
      </c>
    </row>
    <row r="11" spans="1:7" ht="47.25" x14ac:dyDescent="0.25">
      <c r="A11" s="241" t="s">
        <v>5607</v>
      </c>
      <c r="B11" s="10" t="str">
        <f>_xlfn.IFNA(VLOOKUP($A11,CompChecksTrans!$A:$C,2,FALSE),"")</f>
        <v>PERS4.11</v>
      </c>
      <c r="C11" s="10" t="str">
        <f>_xlfn.IFNA(VLOOKUP(B11,Phase4!A$4:C$1000,3,FALSE),"")</f>
        <v>Is the ability of all technical staff members to correctly perform examinations observed by letting them analyze external quality assessment samples and evaluating the results?</v>
      </c>
      <c r="D11" s="10" t="str">
        <f>_xlfn.IFNA(VLOOKUP($A11,CompChecksTrans!$A:$C,3,FALSE), "      ")</f>
        <v>3. Above schedule at a location that is visible to all staff members, such as a notice board.</v>
      </c>
      <c r="E11" s="241" t="s">
        <v>1409</v>
      </c>
    </row>
    <row r="12" spans="1:7" ht="47.25" x14ac:dyDescent="0.25">
      <c r="A12" s="241" t="s">
        <v>5608</v>
      </c>
      <c r="B12" s="10" t="str">
        <f>_xlfn.IFNA(VLOOKUP($A12,CompChecksTrans!$A:$C,2,FALSE),"")</f>
        <v>PERS4.11</v>
      </c>
      <c r="C12" s="10" t="str">
        <f>_xlfn.IFNA(VLOOKUP(B12,Phase4!A$4:C$1000,3,FALSE),"")</f>
        <v>Is the ability of all technical staff members to correctly perform examinations observed by letting them analyze external quality assessment samples and evaluating the results?</v>
      </c>
      <c r="D12" s="10" t="str">
        <f>_xlfn.IFNA(VLOOKUP($A12,CompChecksTrans!$A:$C,3,FALSE), "      ")</f>
        <v>4. Evidence that the above schedule is implemented effectively.</v>
      </c>
      <c r="E12" s="241" t="s">
        <v>1408</v>
      </c>
    </row>
    <row r="13" spans="1:7" ht="31.5" x14ac:dyDescent="0.25">
      <c r="A13" s="241" t="s">
        <v>5609</v>
      </c>
      <c r="B13" s="10" t="str">
        <f>_xlfn.IFNA(VLOOKUP($A13,CompChecksTrans!$A:$C,2,FALSE),"")</f>
        <v>EQUIP4.1</v>
      </c>
      <c r="C13" s="10" t="str">
        <f>_xlfn.IFNA(VLOOKUP(B13,Phase4!A$4:C$1000,3,FALSE),"")</f>
        <v>Have all pieces of equipment that have a direct influence on the outcome of examinations been validated?</v>
      </c>
      <c r="D13" s="10" t="str">
        <f>_xlfn.IFNA(VLOOKUP($A13,CompChecksTrans!$A:$C,3,FALSE), "      ")</f>
        <v xml:space="preserve">Presence of report on  verification each time a verification is performed (both verifications of examination methods and verifications of equipment) . </v>
      </c>
      <c r="E13" s="241" t="s">
        <v>1409</v>
      </c>
    </row>
    <row r="14" spans="1:7" ht="47.25" x14ac:dyDescent="0.25">
      <c r="A14" s="241" t="s">
        <v>5610</v>
      </c>
      <c r="B14" s="10" t="str">
        <f>_xlfn.IFNA(VLOOKUP($A14,CompChecksTrans!$A:$C,2,FALSE),"")</f>
        <v>EQUIP4.3</v>
      </c>
      <c r="C14" s="10" t="str">
        <f>_xlfn.IFNA(VLOOKUP(B14,Phase4!A$4:C$1000,3,FALSE),"")</f>
        <v>Is there an standardized procedure in place assuring that the laboratory determines and corrects the negative influence of defective equipment on laboratory testing?</v>
      </c>
      <c r="D14" s="10" t="str">
        <f>_xlfn.IFNA(VLOOKUP($A14,CompChecksTrans!$A:$C,3,FALSE), "      ")</f>
        <v>Presence of:
1. SOP for Equipment Repair, which includes the procedure for determining and correcting the negative influence of defective equipment on test results</v>
      </c>
      <c r="E14" s="241" t="s">
        <v>1408</v>
      </c>
    </row>
    <row r="15" spans="1:7" ht="47.25" x14ac:dyDescent="0.25">
      <c r="A15" s="241" t="s">
        <v>5611</v>
      </c>
      <c r="B15" s="10" t="str">
        <f>_xlfn.IFNA(VLOOKUP($A15,CompChecksTrans!$A:$C,2,FALSE),"")</f>
        <v>EQUIP4.3</v>
      </c>
      <c r="C15" s="10" t="str">
        <f>_xlfn.IFNA(VLOOKUP(B15,Phase4!A$4:C$1000,3,FALSE),"")</f>
        <v>Is there an standardized procedure in place assuring that the laboratory determines and corrects the negative influence of defective equipment on laboratory testing?</v>
      </c>
      <c r="D15" s="10" t="str">
        <f>_xlfn.IFNA(VLOOKUP($A15,CompChecksTrans!$A:$C,3,FALSE), "      ")</f>
        <v>2. Read and Understand List</v>
      </c>
      <c r="E15" s="241" t="s">
        <v>1408</v>
      </c>
    </row>
    <row r="16" spans="1:7" ht="47.25" x14ac:dyDescent="0.25">
      <c r="A16" s="241" t="s">
        <v>5612</v>
      </c>
      <c r="B16" s="10" t="str">
        <f>_xlfn.IFNA(VLOOKUP($A16,CompChecksTrans!$A:$C,2,FALSE),"")</f>
        <v>EQUIP4.3</v>
      </c>
      <c r="C16" s="10" t="str">
        <f>_xlfn.IFNA(VLOOKUP(B16,Phase4!A$4:C$1000,3,FALSE),"")</f>
        <v>Is there an standardized procedure in place assuring that the laboratory determines and corrects the negative influence of defective equipment on laboratory testing?</v>
      </c>
      <c r="D16" s="10" t="str">
        <f>_xlfn.IFNA(VLOOKUP($A16,CompChecksTrans!$A:$C,3,FALSE), "      ")</f>
        <v>3. Report on staff meeting, explaining the important to determine the potential negative influence of defective equipment on laboratory testing.</v>
      </c>
      <c r="E16" s="241" t="s">
        <v>1409</v>
      </c>
    </row>
    <row r="17" spans="1:5" ht="63" x14ac:dyDescent="0.25">
      <c r="A17" s="241" t="s">
        <v>5613</v>
      </c>
      <c r="B17" s="10" t="str">
        <f>_xlfn.IFNA(VLOOKUP($A17,CompChecksTrans!$A:$C,2,FALSE),"")</f>
        <v>EQUIP4.5</v>
      </c>
      <c r="C17" s="10" t="str">
        <f>_xlfn.IFNA(VLOOKUP(B17,Phase4!A$4:C$1000,3,FALSE),"")</f>
        <v>Has procedure for determining and correcting the negative influence of defective equipment routinely been performed in the past when equipment appeared to be defective?
Ask the interviewee to show an example.</v>
      </c>
      <c r="D17" s="10" t="str">
        <f>_xlfn.IFNA(VLOOKUP($A17,CompChecksTrans!$A:$C,3,FALSE), "      ")</f>
        <v>Presence of record/ evidence 
on the implementation of the procedure for determining and correcting the negative influence of defective equipment on test results.</v>
      </c>
      <c r="E17" s="241" t="s">
        <v>1408</v>
      </c>
    </row>
    <row r="18" spans="1:5" ht="63" x14ac:dyDescent="0.25">
      <c r="A18" s="241" t="s">
        <v>5614</v>
      </c>
      <c r="B18" s="10" t="str">
        <f>_xlfn.IFNA(VLOOKUP($A18,CompChecksTrans!$A:$C,2,FALSE),"")</f>
        <v>PM4.1</v>
      </c>
      <c r="C18" s="10" t="str">
        <f>_xlfn.IFNA(VLOOKUP(B18,Phase4!A$4:C$1000,3,FALSE),"")</f>
        <v>Is there an SOP that covers all the more simple procedures for which it is too laborious/inefficient to make separate SOPs but that are critical for proper functioning of the laboratory?</v>
      </c>
      <c r="D18" s="10" t="str">
        <f>_xlfn.IFNA(VLOOKUP($A18,CompChecksTrans!$A:$C,3,FALSE), "      ")</f>
        <v xml:space="preserve">Presence of an SOP for General Activities which include:
• Internal communication: organization of meetings and drafting of minutes
• Monitoring of transportation of samples
• Cleaning of the containment laboratory
• Temperature monitoring
• Cleaning of refrigerators, freezers, incubators, etc.
</v>
      </c>
      <c r="E18" s="241" t="s">
        <v>1408</v>
      </c>
    </row>
    <row r="19" spans="1:5" ht="63" x14ac:dyDescent="0.25">
      <c r="A19" s="241" t="s">
        <v>5615</v>
      </c>
      <c r="B19" s="10" t="str">
        <f>_xlfn.IFNA(VLOOKUP($A19,CompChecksTrans!$A:$C,2,FALSE),"")</f>
        <v>PM4.2</v>
      </c>
      <c r="C19" s="10" t="str">
        <f>_xlfn.IFNA(VLOOKUP(B19,Phase4!A$4:C$1000,3,FALSE),"")</f>
        <v>Is correct transportation of samples monitored on a continuous basis by the laboratory by checking of the transportation requirements in the SOP for Sample Collection are met?</v>
      </c>
      <c r="D19" s="10" t="str">
        <f>_xlfn.IFNA(VLOOKUP($A19,CompChecksTrans!$A:$C,3,FALSE), "      ")</f>
        <v xml:space="preserve">Presence of:
1. a checklist on the criteria for correct transportation of samples </v>
      </c>
      <c r="E19" s="241" t="s">
        <v>1409</v>
      </c>
    </row>
    <row r="20" spans="1:5" ht="63" x14ac:dyDescent="0.25">
      <c r="A20" s="241" t="s">
        <v>5616</v>
      </c>
      <c r="B20" s="10" t="str">
        <f>_xlfn.IFNA(VLOOKUP($A20,CompChecksTrans!$A:$C,2,FALSE),"")</f>
        <v>PM4.2</v>
      </c>
      <c r="C20" s="10" t="str">
        <f>_xlfn.IFNA(VLOOKUP(B20,Phase4!A$4:C$1000,3,FALSE),"")</f>
        <v>Is correct transportation of samples monitored on a continuous basis by the laboratory by checking of the transportation requirements in the SOP for Sample Collection are met?</v>
      </c>
      <c r="D20" s="10" t="str">
        <f>_xlfn.IFNA(VLOOKUP($A20,CompChecksTrans!$A:$C,3,FALSE), "      ")</f>
        <v>2.  a record on the continuously monitor the correct transportation of samples.</v>
      </c>
      <c r="E20" s="241" t="s">
        <v>1409</v>
      </c>
    </row>
    <row r="21" spans="1:5" ht="47.25" x14ac:dyDescent="0.25">
      <c r="A21" s="241" t="s">
        <v>5617</v>
      </c>
      <c r="B21" s="10" t="str">
        <f>_xlfn.IFNA(VLOOKUP($A21,CompChecksTrans!$A:$C,2,FALSE),"")</f>
        <v>PM4.3</v>
      </c>
      <c r="C21" s="10" t="str">
        <f>_xlfn.IFNA(VLOOKUP(B21,Phase4!A$4:C$1000,3,FALSE),"")</f>
        <v>If problems arise in transportation of samples, does the laboratory investigate these problems to find the cause?</v>
      </c>
      <c r="D21" s="10" t="str">
        <f>_xlfn.IFNA(VLOOKUP($A21,CompChecksTrans!$A:$C,3,FALSE), "      ")</f>
        <v>Presence of an evidence for root cause analysis in case bad quality samples are received</v>
      </c>
      <c r="E21" s="241" t="s">
        <v>1408</v>
      </c>
    </row>
    <row r="22" spans="1:5" ht="31.5" x14ac:dyDescent="0.25">
      <c r="A22" s="241" t="s">
        <v>5618</v>
      </c>
      <c r="B22" s="10" t="str">
        <f>_xlfn.IFNA(VLOOKUP($A22,CompChecksTrans!$A:$C,2,FALSE),"")</f>
        <v>PM4.4</v>
      </c>
      <c r="C22" s="10" t="str">
        <f>_xlfn.IFNA(VLOOKUP(B22,Phase4!A$4:C$1000,3,FALSE),"")</f>
        <v>If problems arise in transportation of samples, is a nonconformity form always completed?</v>
      </c>
      <c r="D22" s="10" t="str">
        <f>_xlfn.IFNA(VLOOKUP($A22,CompChecksTrans!$A:$C,3,FALSE), "      ")</f>
        <v>Presence of:
1. a nonconformity form</v>
      </c>
      <c r="E22" s="241" t="s">
        <v>1409</v>
      </c>
    </row>
    <row r="23" spans="1:5" ht="31.5" x14ac:dyDescent="0.25">
      <c r="A23" s="241" t="s">
        <v>5619</v>
      </c>
      <c r="B23" s="10" t="str">
        <f>_xlfn.IFNA(VLOOKUP($A23,CompChecksTrans!$A:$C,2,FALSE),"")</f>
        <v>PM4.4</v>
      </c>
      <c r="C23" s="10" t="str">
        <f>_xlfn.IFNA(VLOOKUP(B23,Phase4!A$4:C$1000,3,FALSE),"")</f>
        <v>If problems arise in transportation of samples, is a nonconformity form always completed?</v>
      </c>
      <c r="D23" s="10" t="str">
        <f>_xlfn.IFNA(VLOOKUP($A23,CompChecksTrans!$A:$C,3,FALSE), "      ")</f>
        <v>2. a completed nonconformity form for any problem arise in transportation of samples</v>
      </c>
      <c r="E23" s="241" t="s">
        <v>1408</v>
      </c>
    </row>
    <row r="24" spans="1:5" ht="31.5" x14ac:dyDescent="0.25">
      <c r="A24" s="241" t="s">
        <v>5620</v>
      </c>
      <c r="B24" s="10" t="str">
        <f>_xlfn.IFNA(VLOOKUP($A24,CompChecksTrans!$A:$C,2,FALSE),"")</f>
        <v>PM4.5</v>
      </c>
      <c r="C24" s="10" t="str">
        <f>_xlfn.IFNA(VLOOKUP(B24,Phase4!A$4:C$1000,3,FALSE),"")</f>
        <v>Are corrective and preventive actions undertaken to solve problems in sample transportation?</v>
      </c>
      <c r="D24" s="10" t="str">
        <f>_xlfn.IFNA(VLOOKUP($A24,CompChecksTrans!$A:$C,3,FALSE), "      ")</f>
        <v>Presence of:
1. an action plans (if required) from the corrective and preventive actions indicated in the nonconformity form</v>
      </c>
      <c r="E24" s="241" t="s">
        <v>1408</v>
      </c>
    </row>
    <row r="25" spans="1:5" ht="31.5" x14ac:dyDescent="0.25">
      <c r="A25" s="241" t="s">
        <v>5621</v>
      </c>
      <c r="B25" s="10" t="str">
        <f>_xlfn.IFNA(VLOOKUP($A25,CompChecksTrans!$A:$C,2,FALSE),"")</f>
        <v>PM4.5</v>
      </c>
      <c r="C25" s="10" t="str">
        <f>_xlfn.IFNA(VLOOKUP(B25,Phase4!A$4:C$1000,3,FALSE),"")</f>
        <v>Are corrective and preventive actions undertaken to solve problems in sample transportation?</v>
      </c>
      <c r="D25" s="10" t="str">
        <f>_xlfn.IFNA(VLOOKUP($A25,CompChecksTrans!$A:$C,3,FALSE), "      ")</f>
        <v xml:space="preserve">2. a record/ report on the implementation of the corrective and preventive actions </v>
      </c>
      <c r="E25" s="241" t="s">
        <v>1409</v>
      </c>
    </row>
    <row r="26" spans="1:5" ht="31.5" x14ac:dyDescent="0.25">
      <c r="A26" s="241" t="s">
        <v>5622</v>
      </c>
      <c r="B26" s="10" t="str">
        <f>_xlfn.IFNA(VLOOKUP($A26,CompChecksTrans!$A:$C,2,FALSE),"")</f>
        <v>PM4.6</v>
      </c>
      <c r="C26" s="10" t="str">
        <f>_xlfn.IFNA(VLOOKUP(B26,Phase4!A$4:C$1000,3,FALSE),"")</f>
        <v>Is the effect of the preventive/corrective actions to solve problems regarding sample transport evaluated to see if they worked?</v>
      </c>
      <c r="D26" s="10" t="str">
        <f>_xlfn.IFNA(VLOOKUP($A26,CompChecksTrans!$A:$C,3,FALSE), "      ")</f>
        <v xml:space="preserve">Presence of a record on the monitoring and evaluation of the effectiveness of the preventive/corrective actions to solve problems of sample transportation </v>
      </c>
      <c r="E26" s="241" t="s">
        <v>1408</v>
      </c>
    </row>
    <row r="27" spans="1:5" ht="31.5" x14ac:dyDescent="0.25">
      <c r="A27" s="241" t="s">
        <v>5623</v>
      </c>
      <c r="B27" s="10" t="str">
        <f>_xlfn.IFNA(VLOOKUP($A27,CompChecksTrans!$A:$C,2,FALSE),"")</f>
        <v>PM4.7</v>
      </c>
      <c r="C27" s="10" t="str">
        <f>_xlfn.IFNA(VLOOKUP(B27,Phase4!A$4:C$1000,3,FALSE),"")</f>
        <v>Does the laboratory monitor correct performance of all its processes using quality indicators?</v>
      </c>
      <c r="D27" s="10" t="str">
        <f>_xlfn.IFNA(VLOOKUP($A27,CompChecksTrans!$A:$C,3,FALSE), "      ")</f>
        <v xml:space="preserve">Presence of:
1. List of quality indicators. 
</v>
      </c>
      <c r="E27" s="241" t="s">
        <v>1408</v>
      </c>
    </row>
    <row r="28" spans="1:5" ht="31.5" x14ac:dyDescent="0.25">
      <c r="A28" s="241" t="s">
        <v>5624</v>
      </c>
      <c r="B28" s="10" t="str">
        <f>_xlfn.IFNA(VLOOKUP($A28,CompChecksTrans!$A:$C,2,FALSE),"")</f>
        <v>PM4.7</v>
      </c>
      <c r="C28" s="10" t="str">
        <f>_xlfn.IFNA(VLOOKUP(B28,Phase4!A$4:C$1000,3,FALSE),"")</f>
        <v>Does the laboratory monitor correct performance of all its processes using quality indicators?</v>
      </c>
      <c r="D28" s="10" t="str">
        <f>_xlfn.IFNA(VLOOKUP($A28,CompChecksTrans!$A:$C,3,FALSE), "      ")</f>
        <v>2. Record on the monitoring of the quality indicators on a monthly basis.</v>
      </c>
      <c r="E28" s="241" t="s">
        <v>1409</v>
      </c>
    </row>
    <row r="29" spans="1:5" ht="47.25" x14ac:dyDescent="0.25">
      <c r="A29" s="241" t="s">
        <v>5625</v>
      </c>
      <c r="B29" s="10" t="str">
        <f>_xlfn.IFNA(VLOOKUP($A29,CompChecksTrans!$A:$C,2,FALSE),"")</f>
        <v>PM4.8</v>
      </c>
      <c r="C29" s="10" t="str">
        <f>_xlfn.IFNA(VLOOKUP(B29,Phase4!A$4:C$1000,3,FALSE),"")</f>
        <v>Is action undertaken upon detection of a sudden change in the value of a quality indictors to identify and solve the problem and prevent it from reoccurring?</v>
      </c>
      <c r="D29" s="10" t="str">
        <f>_xlfn.IFNA(VLOOKUP($A29,CompChecksTrans!$A:$C,3,FALSE), "      ")</f>
        <v xml:space="preserve">Presence of: 
1. a completed nonconformity form (when there is a sudden change in the trends for a specific indicator) included the identified root cause   </v>
      </c>
      <c r="E29" s="241" t="s">
        <v>1409</v>
      </c>
    </row>
    <row r="30" spans="1:5" ht="47.25" x14ac:dyDescent="0.25">
      <c r="A30" s="241" t="s">
        <v>5626</v>
      </c>
      <c r="B30" s="10" t="str">
        <f>_xlfn.IFNA(VLOOKUP($A30,CompChecksTrans!$A:$C,2,FALSE),"")</f>
        <v>PM4.8</v>
      </c>
      <c r="C30" s="10" t="str">
        <f>_xlfn.IFNA(VLOOKUP(B30,Phase4!A$4:C$1000,3,FALSE),"")</f>
        <v>Is action undertaken upon detection of a sudden change in the value of a quality indictors to identify and solve the problem and prevent it from reoccurring?</v>
      </c>
      <c r="D30" s="10" t="str">
        <f>_xlfn.IFNA(VLOOKUP($A30,CompChecksTrans!$A:$C,3,FALSE), "      ")</f>
        <v xml:space="preserve">2. a report/ evidence on the resolving of the nonconformity </v>
      </c>
      <c r="E30" s="241" t="s">
        <v>1408</v>
      </c>
    </row>
    <row r="31" spans="1:5" ht="47.25" x14ac:dyDescent="0.25">
      <c r="A31" s="241" t="s">
        <v>5627</v>
      </c>
      <c r="B31" s="10" t="str">
        <f>_xlfn.IFNA(VLOOKUP($A31,CompChecksTrans!$A:$C,2,FALSE),"")</f>
        <v>PM4.8</v>
      </c>
      <c r="C31" s="10" t="str">
        <f>_xlfn.IFNA(VLOOKUP(B31,Phase4!A$4:C$1000,3,FALSE),"")</f>
        <v>Is action undertaken upon detection of a sudden change in the value of a quality indictors to identify and solve the problem and prevent it from reoccurring?</v>
      </c>
      <c r="D31" s="10" t="str">
        <f>_xlfn.IFNA(VLOOKUP($A31,CompChecksTrans!$A:$C,3,FALSE), "      ")</f>
        <v>3. a preventive actions to prevent the same problem from reoccurring.</v>
      </c>
      <c r="E31" s="241" t="s">
        <v>1409</v>
      </c>
    </row>
    <row r="32" spans="1:5" ht="47.25" x14ac:dyDescent="0.25">
      <c r="A32" s="241" t="s">
        <v>5628</v>
      </c>
      <c r="B32" s="10" t="str">
        <f>_xlfn.IFNA(VLOOKUP($A32,CompChecksTrans!$A:$C,2,FALSE),"")</f>
        <v>PM4.9</v>
      </c>
      <c r="C32" s="10" t="str">
        <f>_xlfn.IFNA(VLOOKUP(B32,Phase4!A$4:C$1000,3,FALSE),"")</f>
        <v>Have limits of acceptability been set for each quality indicator?</v>
      </c>
      <c r="D32" s="10" t="str">
        <f>_xlfn.IFNA(VLOOKUP($A32,CompChecksTrans!$A:$C,3,FALSE), "      ")</f>
        <v>Presence of limits of acceptability for each quality indicator</v>
      </c>
      <c r="E32" s="241" t="s">
        <v>1408</v>
      </c>
    </row>
    <row r="33" spans="1:5" ht="63" x14ac:dyDescent="0.25">
      <c r="A33" s="241" t="s">
        <v>5629</v>
      </c>
      <c r="B33" s="10" t="str">
        <f>_xlfn.IFNA(VLOOKUP($A33,CompChecksTrans!$A:$C,2,FALSE),"")</f>
        <v>PM4.10</v>
      </c>
      <c r="C33" s="10" t="str">
        <f>_xlfn.IFNA(VLOOKUP(B33,Phase4!A$4:C$1000,3,FALSE),"")</f>
        <v>Are actions undertaken to optimize the laboratory processes such that the limits of acceptability for each quality indicator aren’t exceeded any longer?</v>
      </c>
      <c r="D33" s="10" t="str">
        <f>_xlfn.IFNA(VLOOKUP($A33,CompChecksTrans!$A:$C,3,FALSE), "      ")</f>
        <v>Presence of:
1. new limits of acceptability for each indicator, overtime (every quarter, or semester, or year) if needed</v>
      </c>
      <c r="E33" s="241" t="s">
        <v>1408</v>
      </c>
    </row>
    <row r="34" spans="1:5" ht="63" x14ac:dyDescent="0.25">
      <c r="A34" s="241" t="s">
        <v>5630</v>
      </c>
      <c r="B34" s="10" t="str">
        <f>_xlfn.IFNA(VLOOKUP($A34,CompChecksTrans!$A:$C,2,FALSE),"")</f>
        <v>PM4.10</v>
      </c>
      <c r="C34" s="10" t="str">
        <f>_xlfn.IFNA(VLOOKUP(B34,Phase4!A$4:C$1000,3,FALSE),"")</f>
        <v>Are actions undertaken to optimize the laboratory processes such that the limits of acceptability for each quality indicator aren’t exceeded any longer?</v>
      </c>
      <c r="D34" s="10" t="str">
        <f>_xlfn.IFNA(VLOOKUP($A34,CompChecksTrans!$A:$C,3,FALSE), "      ")</f>
        <v>2. record/ evidence showing that the limits of acceptability for each indicator is improved overtime</v>
      </c>
      <c r="E34" s="241" t="s">
        <v>1409</v>
      </c>
    </row>
    <row r="35" spans="1:5" ht="47.25" x14ac:dyDescent="0.25">
      <c r="A35" s="241" t="s">
        <v>5631</v>
      </c>
      <c r="B35" s="10" t="str">
        <f>_xlfn.IFNA(VLOOKUP($A35,CompChecksTrans!$A:$C,2,FALSE),"")</f>
        <v>CF4.1</v>
      </c>
      <c r="C35" s="10" t="str">
        <f>_xlfn.IFNA(VLOOKUP(B35,Phase4!A$4:C$1000,3,FALSE),"")</f>
        <v>Have specific staff members been authorized to communicate with clients so that proper communication and information provision to clients is ensured?</v>
      </c>
      <c r="D35" s="10" t="str">
        <f>_xlfn.IFNA(VLOOKUP($A35,CompChecksTrans!$A:$C,3,FALSE), "      ")</f>
        <v>Presence of:
1. at least two staff members to answer questions from clients of the laboratory</v>
      </c>
      <c r="E35" s="241" t="s">
        <v>1408</v>
      </c>
    </row>
    <row r="36" spans="1:5" ht="47.25" x14ac:dyDescent="0.25">
      <c r="A36" s="241" t="s">
        <v>5632</v>
      </c>
      <c r="B36" s="10" t="str">
        <f>_xlfn.IFNA(VLOOKUP($A36,CompChecksTrans!$A:$C,2,FALSE),"")</f>
        <v>CF4.1</v>
      </c>
      <c r="C36" s="10" t="str">
        <f>_xlfn.IFNA(VLOOKUP(B36,Phase4!A$4:C$1000,3,FALSE),"")</f>
        <v>Have specific staff members been authorized to communicate with clients so that proper communication and information provision to clients is ensured?</v>
      </c>
      <c r="D36" s="10" t="str">
        <f>_xlfn.IFNA(VLOOKUP($A36,CompChecksTrans!$A:$C,3,FALSE), "      ")</f>
        <v xml:space="preserve">2. a minute of weekly staff meeting regarding the Job Description of the selected staff members </v>
      </c>
      <c r="E36" s="241" t="s">
        <v>1408</v>
      </c>
    </row>
    <row r="37" spans="1:5" ht="47.25" x14ac:dyDescent="0.25">
      <c r="A37" s="241" t="s">
        <v>5633</v>
      </c>
      <c r="B37" s="10" t="str">
        <f>_xlfn.IFNA(VLOOKUP($A37,CompChecksTrans!$A:$C,2,FALSE),"")</f>
        <v>CF4.1</v>
      </c>
      <c r="C37" s="10" t="str">
        <f>_xlfn.IFNA(VLOOKUP(B37,Phase4!A$4:C$1000,3,FALSE),"")</f>
        <v>Have specific staff members been authorized to communicate with clients so that proper communication and information provision to clients is ensured?</v>
      </c>
      <c r="D37" s="10" t="str">
        <f>_xlfn.IFNA(VLOOKUP($A37,CompChecksTrans!$A:$C,3,FALSE), "      ")</f>
        <v>3. an updated Personal Job Description of the selected staff members</v>
      </c>
      <c r="E37" s="241" t="s">
        <v>1409</v>
      </c>
    </row>
    <row r="38" spans="1:5" ht="31.5" x14ac:dyDescent="0.25">
      <c r="A38" s="241" t="s">
        <v>5634</v>
      </c>
      <c r="B38" s="10" t="str">
        <f>_xlfn.IFNA(VLOOKUP($A38,CompChecksTrans!$A:$C,2,FALSE),"")</f>
        <v>CF4.2</v>
      </c>
      <c r="C38" s="10" t="str">
        <f>_xlfn.IFNA(VLOOKUP(B38,Phase4!A$4:C$1000,3,FALSE),"")</f>
        <v>Are specific laboratory staff members authorized to participate in clinical rounds?</v>
      </c>
      <c r="D38" s="10" t="str">
        <f>_xlfn.IFNA(VLOOKUP($A38,CompChecksTrans!$A:$C,3,FALSE), "      ")</f>
        <v>Presence of 
1. a list of authorized staff to participate in clinical rounds with clinicians</v>
      </c>
      <c r="E38" s="241" t="s">
        <v>1409</v>
      </c>
    </row>
    <row r="39" spans="1:5" ht="31.5" x14ac:dyDescent="0.25">
      <c r="A39" s="241" t="s">
        <v>5635</v>
      </c>
      <c r="B39" s="10" t="str">
        <f>_xlfn.IFNA(VLOOKUP($A39,CompChecksTrans!$A:$C,2,FALSE),"")</f>
        <v>CF4.2</v>
      </c>
      <c r="C39" s="10" t="str">
        <f>_xlfn.IFNA(VLOOKUP(B39,Phase4!A$4:C$1000,3,FALSE),"")</f>
        <v>Are specific laboratory staff members authorized to participate in clinical rounds?</v>
      </c>
      <c r="D39" s="10" t="str">
        <f>_xlfn.IFNA(VLOOKUP($A39,CompChecksTrans!$A:$C,3,FALSE), "      ")</f>
        <v>2. a minute of the meeting</v>
      </c>
      <c r="E39" s="241" t="s">
        <v>1408</v>
      </c>
    </row>
    <row r="40" spans="1:5" ht="31.5" x14ac:dyDescent="0.25">
      <c r="A40" s="241" t="s">
        <v>5636</v>
      </c>
      <c r="B40" s="10" t="str">
        <f>_xlfn.IFNA(VLOOKUP($A40,CompChecksTrans!$A:$C,2,FALSE),"")</f>
        <v>CF4.3</v>
      </c>
      <c r="C40" s="10" t="str">
        <f>_xlfn.IFNA(VLOOKUP(B40,Phase4!A$4:C$1000,3,FALSE),"")</f>
        <v>Do laboratory staff members participate in clinical rounds at least 4 times per year?</v>
      </c>
      <c r="D40" s="10" t="str">
        <f>_xlfn.IFNA(VLOOKUP($A40,CompChecksTrans!$A:$C,3,FALSE), "      ")</f>
        <v>Presence of a minute of the meeting</v>
      </c>
      <c r="E40" s="241" t="s">
        <v>1409</v>
      </c>
    </row>
    <row r="41" spans="1:5" ht="47.25" x14ac:dyDescent="0.25">
      <c r="A41" s="241" t="s">
        <v>5637</v>
      </c>
      <c r="B41" s="10" t="str">
        <f>_xlfn.IFNA(VLOOKUP($A41,CompChecksTrans!$A:$C,2,FALSE),"")</f>
        <v>CF4.4</v>
      </c>
      <c r="C41" s="10" t="str">
        <f>_xlfn.IFNA(VLOOKUP(B41,Phase4!A$4:C$1000,3,FALSE),"")</f>
        <v>Are meetings between laboratory staff and clinical staff held at least 4 times per year?</v>
      </c>
      <c r="D41" s="10" t="str">
        <f>_xlfn.IFNA(VLOOKUP($A41,CompChecksTrans!$A:$C,3,FALSE), "      ")</f>
        <v>Presence of a minute of the meeting</v>
      </c>
      <c r="E41" s="241" t="s">
        <v>1408</v>
      </c>
    </row>
    <row r="42" spans="1:5" ht="31.5" x14ac:dyDescent="0.25">
      <c r="A42" s="241" t="s">
        <v>5638</v>
      </c>
      <c r="B42" s="10" t="str">
        <f>_xlfn.IFNA(VLOOKUP($A42,CompChecksTrans!$A:$C,2,FALSE),"")</f>
        <v>CF4.5</v>
      </c>
      <c r="C42" s="10" t="str">
        <f>_xlfn.IFNA(VLOOKUP(B42,Phase4!A$4:C$1000,3,FALSE),"")</f>
        <v>Are minutes made of meetings between laboratory staff and clinical staff?</v>
      </c>
      <c r="D42" s="10" t="str">
        <f>_xlfn.IFNA(VLOOKUP($A42,CompChecksTrans!$A:$C,3,FALSE), "      ")</f>
        <v>Presence of a minute of the meeting in folder Minutes behind a new tab titled Clinical Staff Meetings</v>
      </c>
      <c r="E42" s="241" t="s">
        <v>1408</v>
      </c>
    </row>
    <row r="43" spans="1:5" ht="47.25" x14ac:dyDescent="0.25">
      <c r="A43" s="241" t="s">
        <v>5639</v>
      </c>
      <c r="B43" s="10" t="str">
        <f>_xlfn.IFNA(VLOOKUP($A43,CompChecksTrans!$A:$C,2,FALSE),"")</f>
        <v>CF4.6</v>
      </c>
      <c r="C43" s="10" t="str">
        <f>_xlfn.IFNA(VLOOKUP(B43,Phase4!A$4:C$1000,3,FALSE),"")</f>
        <v>If action points arise from a meeting between clinical staff and laboratory staff, is feedback given in the following meeting?</v>
      </c>
      <c r="D43" s="10" t="str">
        <f>_xlfn.IFNA(VLOOKUP($A43,CompChecksTrans!$A:$C,3,FALSE), "      ")</f>
        <v>Presence of
1. action plans to solve all the action points arise from these meetings</v>
      </c>
      <c r="E43" s="241" t="s">
        <v>1409</v>
      </c>
    </row>
    <row r="44" spans="1:5" ht="47.25" x14ac:dyDescent="0.25">
      <c r="A44" s="241" t="s">
        <v>5640</v>
      </c>
      <c r="B44" s="10" t="str">
        <f>_xlfn.IFNA(VLOOKUP($A44,CompChecksTrans!$A:$C,2,FALSE),"")</f>
        <v>CF4.6</v>
      </c>
      <c r="C44" s="10" t="str">
        <f>_xlfn.IFNA(VLOOKUP(B44,Phase4!A$4:C$1000,3,FALSE),"")</f>
        <v>If action points arise from a meeting between clinical staff and laboratory staff, is feedback given in the following meeting?</v>
      </c>
      <c r="D44" s="10" t="str">
        <f>_xlfn.IFNA(VLOOKUP($A44,CompChecksTrans!$A:$C,3,FALSE), "      ")</f>
        <v>2. report/evidence on the execution of the action plans</v>
      </c>
      <c r="E44" s="241" t="s">
        <v>1408</v>
      </c>
    </row>
    <row r="45" spans="1:5" ht="47.25" x14ac:dyDescent="0.25">
      <c r="A45" s="241" t="s">
        <v>5641</v>
      </c>
      <c r="B45" s="10" t="str">
        <f>_xlfn.IFNA(VLOOKUP($A45,CompChecksTrans!$A:$C,2,FALSE),"")</f>
        <v>CF4.6</v>
      </c>
      <c r="C45" s="10" t="str">
        <f>_xlfn.IFNA(VLOOKUP(B45,Phase4!A$4:C$1000,3,FALSE),"")</f>
        <v>If action points arise from a meeting between clinical staff and laboratory staff, is feedback given in the following meeting?</v>
      </c>
      <c r="D45" s="10" t="str">
        <f>_xlfn.IFNA(VLOOKUP($A45,CompChecksTrans!$A:$C,3,FALSE), "      ")</f>
        <v>3. minute on the feedback about the execution to clinical staff in the next Clinical staff meeting.</v>
      </c>
      <c r="E45" s="241" t="s">
        <v>1408</v>
      </c>
    </row>
    <row r="46" spans="1:5" ht="94.5" x14ac:dyDescent="0.25">
      <c r="A46" s="241" t="s">
        <v>5642</v>
      </c>
      <c r="B46" s="10" t="str">
        <f>_xlfn.IFNA(VLOOKUP($A46,CompChecksTrans!$A:$C,2,FALSE),"")</f>
        <v>CONFORM4.1</v>
      </c>
      <c r="C46" s="10" t="str">
        <f>_xlfn.IFNA(VLOOKUP(B46,Phase4!A$4:C$1000,3,FALSE),"")</f>
        <v>Does the laboratory have an SOP for Nonconformity Management that ensures that nonconformities are always solved/corrected in a standardized way with corrective and preventive actions and, if necessary and applicable, control steps?</v>
      </c>
      <c r="D46" s="10" t="str">
        <f>_xlfn.IFNA(VLOOKUP($A46,CompChecksTrans!$A:$C,3,FALSE), "      ")</f>
        <v xml:space="preserve">Presence of:
1. an SOP for Nonconformity Management (include a filled Read and Understood). </v>
      </c>
      <c r="E46" s="241" t="s">
        <v>1409</v>
      </c>
    </row>
    <row r="47" spans="1:5" ht="94.5" x14ac:dyDescent="0.25">
      <c r="A47" s="241" t="s">
        <v>5643</v>
      </c>
      <c r="B47" s="10" t="str">
        <f>_xlfn.IFNA(VLOOKUP($A47,CompChecksTrans!$A:$C,2,FALSE),"")</f>
        <v>CONFORM4.1</v>
      </c>
      <c r="C47" s="10" t="str">
        <f>_xlfn.IFNA(VLOOKUP(B47,Phase4!A$4:C$1000,3,FALSE),"")</f>
        <v>Does the laboratory have an SOP for Nonconformity Management that ensures that nonconformities are always solved/corrected in a standardized way with corrective and preventive actions and, if necessary and applicable, control steps?</v>
      </c>
      <c r="D47" s="10" t="str">
        <f>_xlfn.IFNA(VLOOKUP($A47,CompChecksTrans!$A:$C,3,FALSE), "      ")</f>
        <v>2. a nonconformity form.</v>
      </c>
      <c r="E47" s="241" t="s">
        <v>1409</v>
      </c>
    </row>
    <row r="48" spans="1:5" ht="94.5" x14ac:dyDescent="0.25">
      <c r="A48" s="241" t="s">
        <v>5644</v>
      </c>
      <c r="B48" s="10" t="str">
        <f>_xlfn.IFNA(VLOOKUP($A48,CompChecksTrans!$A:$C,2,FALSE),"")</f>
        <v>CONFORM4.1</v>
      </c>
      <c r="C48" s="10" t="str">
        <f>_xlfn.IFNA(VLOOKUP(B48,Phase4!A$4:C$1000,3,FALSE),"")</f>
        <v>Does the laboratory have an SOP for Nonconformity Management that ensures that nonconformities are always solved/corrected in a standardized way with corrective and preventive actions and, if necessary and applicable, control steps?</v>
      </c>
      <c r="D48" s="10" t="str">
        <f>_xlfn.IFNA(VLOOKUP($A48,CompChecksTrans!$A:$C,3,FALSE), "      ")</f>
        <v>3. a Tally list form.</v>
      </c>
      <c r="E48" s="241" t="s">
        <v>1408</v>
      </c>
    </row>
    <row r="49" spans="1:5" ht="31.5" x14ac:dyDescent="0.25">
      <c r="A49" s="241" t="s">
        <v>5645</v>
      </c>
      <c r="B49" s="10" t="str">
        <f>_xlfn.IFNA(VLOOKUP($A49,CompChecksTrans!$A:$C,2,FALSE),"")</f>
        <v>CONFORM4.2</v>
      </c>
      <c r="C49" s="10" t="str">
        <f>_xlfn.IFNA(VLOOKUP(B49,Phase4!A$4:C$1000,3,FALSE),"")</f>
        <v>Does the laboratory have an SOP on Handling of Complaints?</v>
      </c>
      <c r="D49" s="10" t="str">
        <f>_xlfn.IFNA(VLOOKUP($A49,CompChecksTrans!$A:$C,3,FALSE), "      ")</f>
        <v xml:space="preserve">Presence of
1. an SOP on Handling of Complaints; included a complaint form and the Read and Understand List.
</v>
      </c>
      <c r="E49" s="241" t="s">
        <v>1409</v>
      </c>
    </row>
    <row r="50" spans="1:5" ht="31.5" x14ac:dyDescent="0.25">
      <c r="A50" s="241" t="s">
        <v>5646</v>
      </c>
      <c r="B50" s="10" t="str">
        <f>_xlfn.IFNA(VLOOKUP($A50,CompChecksTrans!$A:$C,2,FALSE),"")</f>
        <v>CONFORM4.2</v>
      </c>
      <c r="C50" s="10" t="str">
        <f>_xlfn.IFNA(VLOOKUP(B50,Phase4!A$4:C$1000,3,FALSE),"")</f>
        <v>Does the laboratory have an SOP on Handling of Complaints?</v>
      </c>
      <c r="D50" s="10" t="str">
        <f>_xlfn.IFNA(VLOOKUP($A50,CompChecksTrans!$A:$C,3,FALSE), "      ")</f>
        <v>2. a minute of a weekly staff meeting that explain the procedure for handling complaints and why complaints need to be handled according to this procedure.</v>
      </c>
      <c r="E50" s="241" t="s">
        <v>1408</v>
      </c>
    </row>
    <row r="51" spans="1:5" ht="31.5" x14ac:dyDescent="0.25">
      <c r="A51" s="241" t="s">
        <v>5647</v>
      </c>
      <c r="B51" s="10" t="str">
        <f>_xlfn.IFNA(VLOOKUP($A51,CompChecksTrans!$A:$C,2,FALSE),"")</f>
        <v>CONFORM4.3</v>
      </c>
      <c r="C51" s="10" t="str">
        <f>_xlfn.IFNA(VLOOKUP(B51,Phase4!A$4:C$1000,3,FALSE),"")</f>
        <v>Are complaints handled in a standardized way?</v>
      </c>
      <c r="D51" s="10" t="str">
        <f>_xlfn.IFNA(VLOOKUP($A51,CompChecksTrans!$A:$C,3,FALSE), "      ")</f>
        <v>Presence of:
1. an updated Authorization Matrix included the tasks and responsibilities described in the SOP on Handling of Complaint.</v>
      </c>
      <c r="E51" s="241" t="s">
        <v>1408</v>
      </c>
    </row>
    <row r="52" spans="1:5" ht="31.5" x14ac:dyDescent="0.25">
      <c r="A52" s="241" t="s">
        <v>5648</v>
      </c>
      <c r="B52" s="10" t="str">
        <f>_xlfn.IFNA(VLOOKUP($A52,CompChecksTrans!$A:$C,2,FALSE),"")</f>
        <v>CONFORM4.3</v>
      </c>
      <c r="C52" s="10" t="str">
        <f>_xlfn.IFNA(VLOOKUP(B52,Phase4!A$4:C$1000,3,FALSE),"")</f>
        <v>Are complaints handled in a standardized way?</v>
      </c>
      <c r="D52" s="10" t="str">
        <f>_xlfn.IFNA(VLOOKUP($A52,CompChecksTrans!$A:$C,3,FALSE), "      ")</f>
        <v>2. a complete filled-out complaint form accordance to the SOP</v>
      </c>
      <c r="E52" s="241" t="s">
        <v>1409</v>
      </c>
    </row>
    <row r="53" spans="1:5" ht="31.5" x14ac:dyDescent="0.25">
      <c r="A53" s="241" t="s">
        <v>5649</v>
      </c>
      <c r="B53" s="10" t="str">
        <f>_xlfn.IFNA(VLOOKUP($A53,CompChecksTrans!$A:$C,2,FALSE),"")</f>
        <v>CONFORM4.4</v>
      </c>
      <c r="C53" s="10" t="str">
        <f>_xlfn.IFNA(VLOOKUP(B53,Phase4!A$4:C$1000,3,FALSE),"")</f>
        <v>Are complainers informed about the solution that was developed based on their complaint?</v>
      </c>
      <c r="D53" s="10" t="str">
        <f>_xlfn.IFNA(VLOOKUP($A53,CompChecksTrans!$A:$C,3,FALSE), "      ")</f>
        <v>Presence of:
1. an evidence/record on the feedback to the complainer</v>
      </c>
      <c r="E53" s="241" t="s">
        <v>1408</v>
      </c>
    </row>
    <row r="54" spans="1:5" ht="31.5" x14ac:dyDescent="0.25">
      <c r="A54" s="241" t="s">
        <v>5650</v>
      </c>
      <c r="B54" s="10" t="str">
        <f>_xlfn.IFNA(VLOOKUP($A54,CompChecksTrans!$A:$C,2,FALSE),"")</f>
        <v>CONFORM4.4</v>
      </c>
      <c r="C54" s="10" t="str">
        <f>_xlfn.IFNA(VLOOKUP(B54,Phase4!A$4:C$1000,3,FALSE),"")</f>
        <v>Are complainers informed about the solution that was developed based on their complaint?</v>
      </c>
      <c r="D54" s="10" t="str">
        <f>_xlfn.IFNA(VLOOKUP($A54,CompChecksTrans!$A:$C,3,FALSE), "      ")</f>
        <v>2. a complete filled-out the complaint form</v>
      </c>
      <c r="E54" s="241" t="s">
        <v>1408</v>
      </c>
    </row>
    <row r="55" spans="1:5" ht="31.5" x14ac:dyDescent="0.25">
      <c r="A55" s="241" t="s">
        <v>5651</v>
      </c>
      <c r="B55" s="10" t="str">
        <f>_xlfn.IFNA(VLOOKUP($A55,CompChecksTrans!$A:$C,2,FALSE),"")</f>
        <v>CONFORM4.5</v>
      </c>
      <c r="C55" s="10" t="str">
        <f>_xlfn.IFNA(VLOOKUP(B55,Phase4!A$4:C$1000,3,FALSE),"")</f>
        <v>Has the laboratory procedures in place on how to act in specific emergency situations?</v>
      </c>
      <c r="D55" s="10" t="str">
        <f>_xlfn.IFNA(VLOOKUP($A55,CompChecksTrans!$A:$C,3,FALSE), "      ")</f>
        <v>Presence of the SOP on how to act in specific emergency situations</v>
      </c>
      <c r="E55" s="241" t="s">
        <v>1409</v>
      </c>
    </row>
    <row r="56" spans="1:5" ht="31.5" x14ac:dyDescent="0.25">
      <c r="A56" s="241" t="s">
        <v>5652</v>
      </c>
      <c r="B56" s="10" t="str">
        <f>_xlfn.IFNA(VLOOKUP($A56,CompChecksTrans!$A:$C,2,FALSE),"")</f>
        <v>CONFORM4.6</v>
      </c>
      <c r="C56" s="10" t="str">
        <f>_xlfn.IFNA(VLOOKUP(B56,Phase4!A$4:C$1000,3,FALSE),"")</f>
        <v>Is firefighting equipment in place?</v>
      </c>
      <c r="D56" s="10" t="str">
        <f>_xlfn.IFNA(VLOOKUP($A56,CompChecksTrans!$A:$C,3,FALSE), "      ")</f>
        <v xml:space="preserve">Presence of a firefighting equipment </v>
      </c>
      <c r="E56" s="241" t="s">
        <v>1409</v>
      </c>
    </row>
    <row r="57" spans="1:5" ht="31.5" x14ac:dyDescent="0.25">
      <c r="A57" s="241" t="s">
        <v>5653</v>
      </c>
      <c r="B57" s="10" t="str">
        <f>_xlfn.IFNA(VLOOKUP($A57,CompChecksTrans!$A:$C,2,FALSE),"")</f>
        <v>CONFORM4.8</v>
      </c>
      <c r="C57" s="10" t="str">
        <f>_xlfn.IFNA(VLOOKUP(B57,Phase4!A$4:C$1000,3,FALSE),"")</f>
        <v>Are evacuation routes indicated?</v>
      </c>
      <c r="D57" s="10" t="str">
        <f>_xlfn.IFNA(VLOOKUP($A57,CompChecksTrans!$A:$C,3,FALSE), "      ")</f>
        <v>Presence of signage for evacuation route</v>
      </c>
    </row>
    <row r="58" spans="1:5" x14ac:dyDescent="0.25">
      <c r="A58" s="241" t="s">
        <v>7362</v>
      </c>
      <c r="B58" s="10" t="str">
        <f>_xlfn.IFNA(VLOOKUP($A58,CompChecksTrans!$A:$C,2,FALSE),"")</f>
        <v/>
      </c>
      <c r="C58" s="10" t="str">
        <f>_xlfn.IFNA(VLOOKUP(B58,Phase4!A$4:C$1000,3,FALSE),"")</f>
        <v/>
      </c>
      <c r="D58" s="10" t="str">
        <f>_xlfn.IFNA(VLOOKUP($A58,CompChecksTrans!$A:$C,3,FALSE), "      ")</f>
        <v xml:space="preserve">      </v>
      </c>
    </row>
    <row r="59" spans="1:5" x14ac:dyDescent="0.25">
      <c r="A59" s="241" t="s">
        <v>7363</v>
      </c>
      <c r="B59" s="10" t="str">
        <f>_xlfn.IFNA(VLOOKUP($A59,CompChecksTrans!$A:$C,2,FALSE),"")</f>
        <v/>
      </c>
      <c r="C59" s="10" t="str">
        <f>_xlfn.IFNA(VLOOKUP(B59,Phase4!A$4:C$1000,3,FALSE),"")</f>
        <v/>
      </c>
      <c r="D59" s="10" t="str">
        <f>_xlfn.IFNA(VLOOKUP($A59,CompChecksTrans!$A:$C,3,FALSE), "      ")</f>
        <v xml:space="preserve">      </v>
      </c>
    </row>
    <row r="60" spans="1:5" x14ac:dyDescent="0.25">
      <c r="A60" s="241" t="s">
        <v>7364</v>
      </c>
      <c r="B60" s="10" t="str">
        <f>_xlfn.IFNA(VLOOKUP($A60,CompChecksTrans!$A:$C,2,FALSE),"")</f>
        <v/>
      </c>
      <c r="C60" s="10" t="str">
        <f>_xlfn.IFNA(VLOOKUP(B60,Phase4!A$4:C$1000,3,FALSE),"")</f>
        <v/>
      </c>
      <c r="D60" s="10" t="str">
        <f>_xlfn.IFNA(VLOOKUP($A60,CompChecksTrans!$A:$C,3,FALSE), "      ")</f>
        <v xml:space="preserve">      </v>
      </c>
    </row>
    <row r="61" spans="1:5" x14ac:dyDescent="0.25">
      <c r="A61" s="241" t="s">
        <v>7365</v>
      </c>
      <c r="B61" s="10" t="str">
        <f>_xlfn.IFNA(VLOOKUP($A61,CompChecksTrans!$A:$C,2,FALSE),"")</f>
        <v/>
      </c>
      <c r="C61" s="10" t="str">
        <f>_xlfn.IFNA(VLOOKUP(B61,Phase4!A$4:C$1000,3,FALSE),"")</f>
        <v/>
      </c>
      <c r="D61" s="10" t="str">
        <f>_xlfn.IFNA(VLOOKUP($A61,CompChecksTrans!$A:$C,3,FALSE), "      ")</f>
        <v xml:space="preserve">      </v>
      </c>
    </row>
    <row r="62" spans="1:5" x14ac:dyDescent="0.25">
      <c r="A62" s="241" t="s">
        <v>7366</v>
      </c>
      <c r="B62" s="10" t="str">
        <f>_xlfn.IFNA(VLOOKUP($A62,CompChecksTrans!$A:$C,2,FALSE),"")</f>
        <v/>
      </c>
      <c r="C62" s="10" t="str">
        <f>_xlfn.IFNA(VLOOKUP(B62,Phase4!A$4:C$1000,3,FALSE),"")</f>
        <v/>
      </c>
      <c r="D62" s="10" t="str">
        <f>_xlfn.IFNA(VLOOKUP($A62,CompChecksTrans!$A:$C,3,FALSE), "      ")</f>
        <v xml:space="preserve">      </v>
      </c>
    </row>
    <row r="63" spans="1:5" x14ac:dyDescent="0.25">
      <c r="A63" s="241" t="s">
        <v>7367</v>
      </c>
      <c r="B63" s="10" t="str">
        <f>_xlfn.IFNA(VLOOKUP($A63,CompChecksTrans!$A:$C,2,FALSE),"")</f>
        <v/>
      </c>
      <c r="C63" s="10" t="str">
        <f>_xlfn.IFNA(VLOOKUP(B63,Phase4!A$4:C$1000,3,FALSE),"")</f>
        <v/>
      </c>
      <c r="D63" s="10" t="str">
        <f>_xlfn.IFNA(VLOOKUP($A63,CompChecksTrans!$A:$C,3,FALSE), "      ")</f>
        <v xml:space="preserve">      </v>
      </c>
    </row>
    <row r="64" spans="1:5" x14ac:dyDescent="0.25">
      <c r="A64" s="241" t="s">
        <v>7368</v>
      </c>
      <c r="B64" s="10" t="str">
        <f>_xlfn.IFNA(VLOOKUP($A64,CompChecksTrans!$A:$C,2,FALSE),"")</f>
        <v/>
      </c>
      <c r="C64" s="10" t="str">
        <f>_xlfn.IFNA(VLOOKUP(B64,Phase4!A$4:C$1000,3,FALSE),"")</f>
        <v/>
      </c>
      <c r="D64" s="10" t="str">
        <f>_xlfn.IFNA(VLOOKUP($A64,CompChecksTrans!$A:$C,3,FALSE), "      ")</f>
        <v xml:space="preserve">      </v>
      </c>
    </row>
    <row r="65" spans="1:4" x14ac:dyDescent="0.25">
      <c r="A65" s="241" t="s">
        <v>7369</v>
      </c>
      <c r="B65" s="10" t="str">
        <f>_xlfn.IFNA(VLOOKUP($A65,CompChecksTrans!$A:$C,2,FALSE),"")</f>
        <v/>
      </c>
      <c r="C65" s="10" t="str">
        <f>_xlfn.IFNA(VLOOKUP(B65,Phase4!A$4:C$1000,3,FALSE),"")</f>
        <v/>
      </c>
      <c r="D65" s="10" t="str">
        <f>_xlfn.IFNA(VLOOKUP($A65,CompChecksTrans!$A:$C,3,FALSE), "      ")</f>
        <v xml:space="preserve">      </v>
      </c>
    </row>
    <row r="66" spans="1:4" x14ac:dyDescent="0.25">
      <c r="A66" s="241" t="s">
        <v>7370</v>
      </c>
      <c r="B66" s="10" t="str">
        <f>_xlfn.IFNA(VLOOKUP($A66,CompChecksTrans!$A:$C,2,FALSE),"")</f>
        <v/>
      </c>
      <c r="C66" s="10" t="str">
        <f>_xlfn.IFNA(VLOOKUP(B66,Phase4!A$4:C$1000,3,FALSE),"")</f>
        <v/>
      </c>
      <c r="D66" s="10" t="str">
        <f>_xlfn.IFNA(VLOOKUP($A66,CompChecksTrans!$A:$C,3,FALSE), "      ")</f>
        <v xml:space="preserve">      </v>
      </c>
    </row>
    <row r="67" spans="1:4" x14ac:dyDescent="0.25">
      <c r="A67" s="241" t="s">
        <v>7371</v>
      </c>
      <c r="B67" s="10" t="str">
        <f>_xlfn.IFNA(VLOOKUP($A67,CompChecksTrans!$A:$C,2,FALSE),"")</f>
        <v/>
      </c>
      <c r="C67" s="10" t="str">
        <f>_xlfn.IFNA(VLOOKUP(B67,Phase4!A$4:C$1000,3,FALSE),"")</f>
        <v/>
      </c>
      <c r="D67" s="10" t="str">
        <f>_xlfn.IFNA(VLOOKUP($A67,CompChecksTrans!$A:$C,3,FALSE), "      ")</f>
        <v xml:space="preserve">      </v>
      </c>
    </row>
    <row r="68" spans="1:4" x14ac:dyDescent="0.25">
      <c r="A68" s="241" t="s">
        <v>7372</v>
      </c>
      <c r="B68" s="10" t="str">
        <f>_xlfn.IFNA(VLOOKUP($A68,CompChecksTrans!$A:$C,2,FALSE),"")</f>
        <v/>
      </c>
      <c r="C68" s="10" t="str">
        <f>_xlfn.IFNA(VLOOKUP(B68,Phase4!A$4:C$1000,3,FALSE),"")</f>
        <v/>
      </c>
      <c r="D68" s="10" t="str">
        <f>_xlfn.IFNA(VLOOKUP($A68,CompChecksTrans!$A:$C,3,FALSE), "      ")</f>
        <v xml:space="preserve">      </v>
      </c>
    </row>
    <row r="69" spans="1:4" x14ac:dyDescent="0.25">
      <c r="A69" s="241" t="s">
        <v>7373</v>
      </c>
      <c r="B69" s="10" t="str">
        <f>_xlfn.IFNA(VLOOKUP($A69,CompChecksTrans!$A:$C,2,FALSE),"")</f>
        <v/>
      </c>
      <c r="C69" s="10" t="str">
        <f>_xlfn.IFNA(VLOOKUP(B69,Phase4!A$4:C$1000,3,FALSE),"")</f>
        <v/>
      </c>
      <c r="D69" s="10" t="str">
        <f>_xlfn.IFNA(VLOOKUP($A69,CompChecksTrans!$A:$C,3,FALSE), "      ")</f>
        <v xml:space="preserve">      </v>
      </c>
    </row>
    <row r="70" spans="1:4" x14ac:dyDescent="0.25">
      <c r="A70" s="241" t="s">
        <v>7374</v>
      </c>
      <c r="B70" s="10" t="str">
        <f>_xlfn.IFNA(VLOOKUP($A70,CompChecksTrans!$A:$C,2,FALSE),"")</f>
        <v/>
      </c>
      <c r="C70" s="10" t="str">
        <f>_xlfn.IFNA(VLOOKUP(B70,Phase4!A$4:C$1000,3,FALSE),"")</f>
        <v/>
      </c>
      <c r="D70" s="10" t="str">
        <f>_xlfn.IFNA(VLOOKUP($A70,CompChecksTrans!$A:$C,3,FALSE), "      ")</f>
        <v xml:space="preserve">      </v>
      </c>
    </row>
    <row r="71" spans="1:4" x14ac:dyDescent="0.25">
      <c r="A71" s="241" t="s">
        <v>7375</v>
      </c>
      <c r="B71" s="10" t="str">
        <f>_xlfn.IFNA(VLOOKUP($A71,CompChecksTrans!$A:$C,2,FALSE),"")</f>
        <v/>
      </c>
      <c r="C71" s="10" t="str">
        <f>_xlfn.IFNA(VLOOKUP(B71,Phase4!A$4:C$1000,3,FALSE),"")</f>
        <v/>
      </c>
      <c r="D71" s="10" t="str">
        <f>_xlfn.IFNA(VLOOKUP($A71,CompChecksTrans!$A:$C,3,FALSE), "      ")</f>
        <v xml:space="preserve">      </v>
      </c>
    </row>
    <row r="72" spans="1:4" x14ac:dyDescent="0.25">
      <c r="A72" s="241" t="s">
        <v>7376</v>
      </c>
      <c r="B72" s="10" t="str">
        <f>_xlfn.IFNA(VLOOKUP($A72,CompChecksTrans!$A:$C,2,FALSE),"")</f>
        <v/>
      </c>
      <c r="C72" s="10" t="str">
        <f>_xlfn.IFNA(VLOOKUP(B72,Phase4!A$4:C$1000,3,FALSE),"")</f>
        <v/>
      </c>
      <c r="D72" s="10" t="str">
        <f>_xlfn.IFNA(VLOOKUP($A72,CompChecksTrans!$A:$C,3,FALSE), "      ")</f>
        <v xml:space="preserve">      </v>
      </c>
    </row>
    <row r="73" spans="1:4" x14ac:dyDescent="0.25">
      <c r="A73" s="241" t="s">
        <v>7377</v>
      </c>
      <c r="B73" s="10" t="str">
        <f>_xlfn.IFNA(VLOOKUP($A73,CompChecksTrans!$A:$C,2,FALSE),"")</f>
        <v/>
      </c>
      <c r="C73" s="10" t="str">
        <f>_xlfn.IFNA(VLOOKUP(B73,Phase4!A$4:C$1000,3,FALSE),"")</f>
        <v/>
      </c>
      <c r="D73" s="10" t="str">
        <f>_xlfn.IFNA(VLOOKUP($A73,CompChecksTrans!$A:$C,3,FALSE), "      ")</f>
        <v xml:space="preserve">      </v>
      </c>
    </row>
    <row r="74" spans="1:4" x14ac:dyDescent="0.25">
      <c r="A74" s="241" t="s">
        <v>7378</v>
      </c>
      <c r="B74" s="10" t="str">
        <f>_xlfn.IFNA(VLOOKUP($A74,CompChecksTrans!$A:$C,2,FALSE),"")</f>
        <v/>
      </c>
      <c r="C74" s="10" t="str">
        <f>_xlfn.IFNA(VLOOKUP(B74,Phase4!A$4:C$1000,3,FALSE),"")</f>
        <v/>
      </c>
      <c r="D74" s="10" t="str">
        <f>_xlfn.IFNA(VLOOKUP($A74,CompChecksTrans!$A:$C,3,FALSE), "      ")</f>
        <v xml:space="preserve">      </v>
      </c>
    </row>
    <row r="75" spans="1:4" x14ac:dyDescent="0.25">
      <c r="A75" s="241" t="s">
        <v>7379</v>
      </c>
      <c r="B75" s="10" t="str">
        <f>_xlfn.IFNA(VLOOKUP($A75,CompChecksTrans!$A:$C,2,FALSE),"")</f>
        <v/>
      </c>
      <c r="C75" s="10" t="str">
        <f>_xlfn.IFNA(VLOOKUP(B75,Phase4!A$4:C$1000,3,FALSE),"")</f>
        <v/>
      </c>
      <c r="D75" s="10" t="str">
        <f>_xlfn.IFNA(VLOOKUP($A75,CompChecksTrans!$A:$C,3,FALSE), "      ")</f>
        <v xml:space="preserve">      </v>
      </c>
    </row>
    <row r="76" spans="1:4" x14ac:dyDescent="0.25">
      <c r="A76" s="241" t="s">
        <v>7380</v>
      </c>
      <c r="B76" s="10" t="str">
        <f>_xlfn.IFNA(VLOOKUP($A76,CompChecksTrans!$A:$C,2,FALSE),"")</f>
        <v/>
      </c>
      <c r="C76" s="10" t="str">
        <f>_xlfn.IFNA(VLOOKUP(B76,Phase4!A$4:C$1000,3,FALSE),"")</f>
        <v/>
      </c>
      <c r="D76" s="10" t="str">
        <f>_xlfn.IFNA(VLOOKUP($A76,CompChecksTrans!$A:$C,3,FALSE), "      ")</f>
        <v xml:space="preserve">      </v>
      </c>
    </row>
    <row r="77" spans="1:4" x14ac:dyDescent="0.25">
      <c r="A77" s="241" t="s">
        <v>7381</v>
      </c>
      <c r="B77" s="10" t="str">
        <f>_xlfn.IFNA(VLOOKUP($A77,CompChecksTrans!$A:$C,2,FALSE),"")</f>
        <v/>
      </c>
      <c r="C77" s="10" t="str">
        <f>_xlfn.IFNA(VLOOKUP(B77,Phase4!A$4:C$1000,3,FALSE),"")</f>
        <v/>
      </c>
      <c r="D77" s="10" t="str">
        <f>_xlfn.IFNA(VLOOKUP($A77,CompChecksTrans!$A:$C,3,FALSE), "      ")</f>
        <v xml:space="preserve">      </v>
      </c>
    </row>
    <row r="78" spans="1:4" x14ac:dyDescent="0.25">
      <c r="A78" s="241" t="s">
        <v>7382</v>
      </c>
      <c r="B78" s="10" t="str">
        <f>_xlfn.IFNA(VLOOKUP($A78,CompChecksTrans!$A:$C,2,FALSE),"")</f>
        <v/>
      </c>
      <c r="C78" s="10" t="str">
        <f>_xlfn.IFNA(VLOOKUP(B78,Phase4!A$4:C$1000,3,FALSE),"")</f>
        <v/>
      </c>
      <c r="D78" s="10" t="str">
        <f>_xlfn.IFNA(VLOOKUP($A78,CompChecksTrans!$A:$C,3,FALSE), "      ")</f>
        <v xml:space="preserve">      </v>
      </c>
    </row>
    <row r="79" spans="1:4" x14ac:dyDescent="0.25">
      <c r="A79" s="241" t="s">
        <v>7383</v>
      </c>
      <c r="B79" s="10" t="str">
        <f>_xlfn.IFNA(VLOOKUP($A79,CompChecksTrans!$A:$C,2,FALSE),"")</f>
        <v/>
      </c>
      <c r="C79" s="10" t="str">
        <f>_xlfn.IFNA(VLOOKUP(B79,Phase4!A$4:C$1000,3,FALSE),"")</f>
        <v/>
      </c>
      <c r="D79" s="10" t="str">
        <f>_xlfn.IFNA(VLOOKUP($A79,CompChecksTrans!$A:$C,3,FALSE), "      ")</f>
        <v xml:space="preserve">      </v>
      </c>
    </row>
    <row r="80" spans="1:4" x14ac:dyDescent="0.25">
      <c r="A80" s="241" t="s">
        <v>7384</v>
      </c>
      <c r="B80" s="10" t="str">
        <f>_xlfn.IFNA(VLOOKUP($A80,CompChecksTrans!$A:$C,2,FALSE),"")</f>
        <v/>
      </c>
      <c r="C80" s="10" t="str">
        <f>_xlfn.IFNA(VLOOKUP(B80,Phase4!A$4:C$1000,3,FALSE),"")</f>
        <v/>
      </c>
      <c r="D80" s="10" t="str">
        <f>_xlfn.IFNA(VLOOKUP($A80,CompChecksTrans!$A:$C,3,FALSE), "      ")</f>
        <v xml:space="preserve">      </v>
      </c>
    </row>
    <row r="81" spans="1:4" x14ac:dyDescent="0.25">
      <c r="A81" s="241" t="s">
        <v>7385</v>
      </c>
      <c r="B81" s="10" t="str">
        <f>_xlfn.IFNA(VLOOKUP($A81,CompChecksTrans!$A:$C,2,FALSE),"")</f>
        <v/>
      </c>
      <c r="C81" s="10" t="str">
        <f>_xlfn.IFNA(VLOOKUP(B81,Phase4!A$4:C$1000,3,FALSE),"")</f>
        <v/>
      </c>
      <c r="D81" s="10" t="str">
        <f>_xlfn.IFNA(VLOOKUP($A81,CompChecksTrans!$A:$C,3,FALSE), "      ")</f>
        <v xml:space="preserve">      </v>
      </c>
    </row>
    <row r="82" spans="1:4" x14ac:dyDescent="0.25">
      <c r="A82" s="241" t="s">
        <v>7386</v>
      </c>
      <c r="B82" s="10" t="str">
        <f>_xlfn.IFNA(VLOOKUP($A82,CompChecksTrans!$A:$C,2,FALSE),"")</f>
        <v/>
      </c>
      <c r="C82" s="10" t="str">
        <f>_xlfn.IFNA(VLOOKUP(B82,Phase4!A$4:C$1000,3,FALSE),"")</f>
        <v/>
      </c>
      <c r="D82" s="10" t="str">
        <f>_xlfn.IFNA(VLOOKUP($A82,CompChecksTrans!$A:$C,3,FALSE), "      ")</f>
        <v xml:space="preserve">      </v>
      </c>
    </row>
    <row r="83" spans="1:4" x14ac:dyDescent="0.25">
      <c r="A83" s="241" t="s">
        <v>7387</v>
      </c>
      <c r="B83" s="10" t="str">
        <f>_xlfn.IFNA(VLOOKUP($A83,CompChecksTrans!$A:$C,2,FALSE),"")</f>
        <v/>
      </c>
      <c r="C83" s="10" t="str">
        <f>_xlfn.IFNA(VLOOKUP(B83,Phase4!A$4:C$1000,3,FALSE),"")</f>
        <v/>
      </c>
      <c r="D83" s="10" t="str">
        <f>_xlfn.IFNA(VLOOKUP($A83,CompChecksTrans!$A:$C,3,FALSE), "      ")</f>
        <v xml:space="preserve">      </v>
      </c>
    </row>
    <row r="84" spans="1:4" x14ac:dyDescent="0.25">
      <c r="A84" s="241" t="s">
        <v>7388</v>
      </c>
      <c r="B84" s="10" t="str">
        <f>_xlfn.IFNA(VLOOKUP($A84,CompChecksTrans!$A:$C,2,FALSE),"")</f>
        <v/>
      </c>
      <c r="C84" s="10" t="str">
        <f>_xlfn.IFNA(VLOOKUP(B84,Phase4!A$4:C$1000,3,FALSE),"")</f>
        <v/>
      </c>
      <c r="D84" s="10" t="str">
        <f>_xlfn.IFNA(VLOOKUP($A84,CompChecksTrans!$A:$C,3,FALSE), "      ")</f>
        <v xml:space="preserve">      </v>
      </c>
    </row>
    <row r="85" spans="1:4" x14ac:dyDescent="0.25">
      <c r="A85" s="241" t="s">
        <v>7389</v>
      </c>
      <c r="B85" s="10" t="str">
        <f>_xlfn.IFNA(VLOOKUP($A85,CompChecksTrans!$A:$C,2,FALSE),"")</f>
        <v/>
      </c>
      <c r="C85" s="10" t="str">
        <f>_xlfn.IFNA(VLOOKUP(B85,Phase4!A$4:C$1000,3,FALSE),"")</f>
        <v/>
      </c>
      <c r="D85" s="10" t="str">
        <f>_xlfn.IFNA(VLOOKUP($A85,CompChecksTrans!$A:$C,3,FALSE), "      ")</f>
        <v xml:space="preserve">      </v>
      </c>
    </row>
    <row r="86" spans="1:4" x14ac:dyDescent="0.25">
      <c r="A86" s="241" t="s">
        <v>7390</v>
      </c>
      <c r="B86" s="10" t="str">
        <f>_xlfn.IFNA(VLOOKUP($A86,CompChecksTrans!$A:$C,2,FALSE),"")</f>
        <v/>
      </c>
      <c r="C86" s="10" t="str">
        <f>_xlfn.IFNA(VLOOKUP(B86,Phase4!A$4:C$1000,3,FALSE),"")</f>
        <v/>
      </c>
      <c r="D86" s="10" t="str">
        <f>_xlfn.IFNA(VLOOKUP($A86,CompChecksTrans!$A:$C,3,FALSE), "      ")</f>
        <v xml:space="preserve">      </v>
      </c>
    </row>
    <row r="87" spans="1:4" x14ac:dyDescent="0.25">
      <c r="A87" s="241" t="s">
        <v>7391</v>
      </c>
      <c r="B87" s="10" t="str">
        <f>_xlfn.IFNA(VLOOKUP($A87,CompChecksTrans!$A:$C,2,FALSE),"")</f>
        <v/>
      </c>
      <c r="C87" s="10" t="str">
        <f>_xlfn.IFNA(VLOOKUP(B87,Phase4!A$4:C$1000,3,FALSE),"")</f>
        <v/>
      </c>
      <c r="D87" s="10" t="str">
        <f>_xlfn.IFNA(VLOOKUP($A87,CompChecksTrans!$A:$C,3,FALSE), "      ")</f>
        <v xml:space="preserve">      </v>
      </c>
    </row>
    <row r="88" spans="1:4" x14ac:dyDescent="0.25">
      <c r="A88" s="241" t="s">
        <v>7392</v>
      </c>
      <c r="B88" s="10" t="str">
        <f>_xlfn.IFNA(VLOOKUP($A88,CompChecksTrans!$A:$C,2,FALSE),"")</f>
        <v/>
      </c>
      <c r="C88" s="10" t="str">
        <f>_xlfn.IFNA(VLOOKUP(B88,Phase4!A$4:C$1000,3,FALSE),"")</f>
        <v/>
      </c>
      <c r="D88" s="10" t="str">
        <f>_xlfn.IFNA(VLOOKUP($A88,CompChecksTrans!$A:$C,3,FALSE), "      ")</f>
        <v xml:space="preserve">      </v>
      </c>
    </row>
    <row r="89" spans="1:4" x14ac:dyDescent="0.25">
      <c r="A89" s="241" t="s">
        <v>7393</v>
      </c>
      <c r="B89" s="10" t="str">
        <f>_xlfn.IFNA(VLOOKUP($A89,CompChecksTrans!$A:$C,2,FALSE),"")</f>
        <v/>
      </c>
      <c r="C89" s="10" t="str">
        <f>_xlfn.IFNA(VLOOKUP(B89,Phase4!A$4:C$1000,3,FALSE),"")</f>
        <v/>
      </c>
      <c r="D89" s="10" t="str">
        <f>_xlfn.IFNA(VLOOKUP($A89,CompChecksTrans!$A:$C,3,FALSE), "      ")</f>
        <v xml:space="preserve">      </v>
      </c>
    </row>
    <row r="90" spans="1:4" x14ac:dyDescent="0.25">
      <c r="A90" s="241" t="s">
        <v>7394</v>
      </c>
      <c r="B90" s="10" t="str">
        <f>_xlfn.IFNA(VLOOKUP($A90,CompChecksTrans!$A:$C,2,FALSE),"")</f>
        <v/>
      </c>
      <c r="C90" s="10" t="str">
        <f>_xlfn.IFNA(VLOOKUP(B90,Phase4!A$4:C$1000,3,FALSE),"")</f>
        <v/>
      </c>
      <c r="D90" s="10" t="str">
        <f>_xlfn.IFNA(VLOOKUP($A90,CompChecksTrans!$A:$C,3,FALSE), "      ")</f>
        <v xml:space="preserve">      </v>
      </c>
    </row>
    <row r="91" spans="1:4" x14ac:dyDescent="0.25">
      <c r="A91" s="241" t="s">
        <v>7395</v>
      </c>
      <c r="B91" s="10" t="str">
        <f>_xlfn.IFNA(VLOOKUP($A91,CompChecksTrans!$A:$C,2,FALSE),"")</f>
        <v/>
      </c>
      <c r="C91" s="10" t="str">
        <f>_xlfn.IFNA(VLOOKUP(B91,Phase4!A$4:C$1000,3,FALSE),"")</f>
        <v/>
      </c>
      <c r="D91" s="10" t="str">
        <f>_xlfn.IFNA(VLOOKUP($A91,CompChecksTrans!$A:$C,3,FALSE), "      ")</f>
        <v xml:space="preserve">      </v>
      </c>
    </row>
    <row r="92" spans="1:4" x14ac:dyDescent="0.25">
      <c r="A92" s="241" t="s">
        <v>7396</v>
      </c>
      <c r="B92" s="10" t="str">
        <f>_xlfn.IFNA(VLOOKUP($A92,CompChecksTrans!$A:$C,2,FALSE),"")</f>
        <v/>
      </c>
      <c r="C92" s="10" t="str">
        <f>_xlfn.IFNA(VLOOKUP(B92,Phase4!A$4:C$1000,3,FALSE),"")</f>
        <v/>
      </c>
      <c r="D92" s="10" t="str">
        <f>_xlfn.IFNA(VLOOKUP($A92,CompChecksTrans!$A:$C,3,FALSE), "      ")</f>
        <v xml:space="preserve">      </v>
      </c>
    </row>
    <row r="93" spans="1:4" x14ac:dyDescent="0.25">
      <c r="A93" s="241" t="s">
        <v>7397</v>
      </c>
      <c r="B93" s="10" t="str">
        <f>_xlfn.IFNA(VLOOKUP($A93,CompChecksTrans!$A:$C,2,FALSE),"")</f>
        <v/>
      </c>
      <c r="C93" s="10" t="str">
        <f>_xlfn.IFNA(VLOOKUP(B93,Phase4!A$4:C$1000,3,FALSE),"")</f>
        <v/>
      </c>
      <c r="D93" s="10" t="str">
        <f>_xlfn.IFNA(VLOOKUP($A93,CompChecksTrans!$A:$C,3,FALSE), "      ")</f>
        <v xml:space="preserve">      </v>
      </c>
    </row>
    <row r="94" spans="1:4" x14ac:dyDescent="0.25">
      <c r="A94" s="241" t="s">
        <v>7398</v>
      </c>
      <c r="B94" s="10" t="str">
        <f>_xlfn.IFNA(VLOOKUP($A94,CompChecksTrans!$A:$C,2,FALSE),"")</f>
        <v/>
      </c>
      <c r="C94" s="10" t="str">
        <f>_xlfn.IFNA(VLOOKUP(B94,Phase4!A$4:C$1000,3,FALSE),"")</f>
        <v/>
      </c>
      <c r="D94" s="10" t="str">
        <f>_xlfn.IFNA(VLOOKUP($A94,CompChecksTrans!$A:$C,3,FALSE), "      ")</f>
        <v xml:space="preserve">      </v>
      </c>
    </row>
    <row r="95" spans="1:4" x14ac:dyDescent="0.25">
      <c r="A95" s="241" t="s">
        <v>7399</v>
      </c>
      <c r="B95" s="10" t="str">
        <f>_xlfn.IFNA(VLOOKUP($A95,CompChecksTrans!$A:$C,2,FALSE),"")</f>
        <v/>
      </c>
      <c r="C95" s="10" t="str">
        <f>_xlfn.IFNA(VLOOKUP(B95,Phase4!A$4:C$1000,3,FALSE),"")</f>
        <v/>
      </c>
      <c r="D95" s="10" t="str">
        <f>_xlfn.IFNA(VLOOKUP($A95,CompChecksTrans!$A:$C,3,FALSE), "      ")</f>
        <v xml:space="preserve">      </v>
      </c>
    </row>
    <row r="96" spans="1:4" x14ac:dyDescent="0.25">
      <c r="A96" s="241" t="s">
        <v>7400</v>
      </c>
      <c r="B96" s="10" t="str">
        <f>_xlfn.IFNA(VLOOKUP($A96,CompChecksTrans!$A:$C,2,FALSE),"")</f>
        <v/>
      </c>
      <c r="C96" s="10" t="str">
        <f>_xlfn.IFNA(VLOOKUP(B96,Phase4!A$4:C$1000,3,FALSE),"")</f>
        <v/>
      </c>
      <c r="D96" s="10" t="str">
        <f>_xlfn.IFNA(VLOOKUP($A96,CompChecksTrans!$A:$C,3,FALSE), "      ")</f>
        <v xml:space="preserve">      </v>
      </c>
    </row>
    <row r="97" spans="1:4" x14ac:dyDescent="0.25">
      <c r="A97" s="241" t="s">
        <v>7401</v>
      </c>
      <c r="B97" s="10" t="str">
        <f>_xlfn.IFNA(VLOOKUP($A97,CompChecksTrans!$A:$C,2,FALSE),"")</f>
        <v/>
      </c>
      <c r="C97" s="10" t="str">
        <f>_xlfn.IFNA(VLOOKUP(B97,Phase4!A$4:C$1000,3,FALSE),"")</f>
        <v/>
      </c>
      <c r="D97" s="10" t="str">
        <f>_xlfn.IFNA(VLOOKUP($A97,CompChecksTrans!$A:$C,3,FALSE), "      ")</f>
        <v xml:space="preserve">      </v>
      </c>
    </row>
    <row r="98" spans="1:4" x14ac:dyDescent="0.25">
      <c r="A98" s="241" t="s">
        <v>7402</v>
      </c>
      <c r="B98" s="10" t="str">
        <f>_xlfn.IFNA(VLOOKUP($A98,CompChecksTrans!$A:$C,2,FALSE),"")</f>
        <v/>
      </c>
      <c r="C98" s="10" t="str">
        <f>_xlfn.IFNA(VLOOKUP(B98,Phase4!A$4:C$1000,3,FALSE),"")</f>
        <v/>
      </c>
      <c r="D98" s="10" t="str">
        <f>_xlfn.IFNA(VLOOKUP($A98,CompChecksTrans!$A:$C,3,FALSE), "      ")</f>
        <v xml:space="preserve">      </v>
      </c>
    </row>
    <row r="99" spans="1:4" x14ac:dyDescent="0.25">
      <c r="A99" s="241" t="s">
        <v>7403</v>
      </c>
      <c r="B99" s="10" t="str">
        <f>_xlfn.IFNA(VLOOKUP($A99,CompChecksTrans!$A:$C,2,FALSE),"")</f>
        <v/>
      </c>
      <c r="C99" s="10" t="str">
        <f>_xlfn.IFNA(VLOOKUP(B99,Phase4!A$4:C$1000,3,FALSE),"")</f>
        <v/>
      </c>
      <c r="D99" s="10" t="str">
        <f>_xlfn.IFNA(VLOOKUP($A99,CompChecksTrans!$A:$C,3,FALSE), "      ")</f>
        <v xml:space="preserve">      </v>
      </c>
    </row>
    <row r="100" spans="1:4" x14ac:dyDescent="0.25">
      <c r="A100" s="241" t="s">
        <v>7404</v>
      </c>
      <c r="B100" s="10" t="str">
        <f>_xlfn.IFNA(VLOOKUP($A100,CompChecksTrans!$A:$C,2,FALSE),"")</f>
        <v/>
      </c>
      <c r="C100" s="10" t="str">
        <f>_xlfn.IFNA(VLOOKUP(B100,Phase4!A$4:C$1000,3,FALSE),"")</f>
        <v/>
      </c>
      <c r="D100" s="10" t="str">
        <f>_xlfn.IFNA(VLOOKUP($A100,CompChecksTrans!$A:$C,3,FALSE), "      ")</f>
        <v xml:space="preserve">      </v>
      </c>
    </row>
    <row r="101" spans="1:4" x14ac:dyDescent="0.25">
      <c r="A101" s="241" t="s">
        <v>7405</v>
      </c>
      <c r="B101" s="10" t="str">
        <f>_xlfn.IFNA(VLOOKUP($A101,CompChecksTrans!$A:$C,2,FALSE),"")</f>
        <v/>
      </c>
      <c r="C101" s="10" t="str">
        <f>_xlfn.IFNA(VLOOKUP(B101,Phase4!A$4:C$1000,3,FALSE),"")</f>
        <v/>
      </c>
      <c r="D101" s="10" t="str">
        <f>_xlfn.IFNA(VLOOKUP($A101,CompChecksTrans!$A:$C,3,FALSE), "      ")</f>
        <v xml:space="preserve">      </v>
      </c>
    </row>
    <row r="102" spans="1:4" x14ac:dyDescent="0.25">
      <c r="A102" s="241" t="s">
        <v>7406</v>
      </c>
      <c r="B102" s="10" t="str">
        <f>_xlfn.IFNA(VLOOKUP($A102,CompChecksTrans!$A:$C,2,FALSE),"")</f>
        <v/>
      </c>
      <c r="C102" s="10" t="str">
        <f>_xlfn.IFNA(VLOOKUP(B102,Phase4!A$4:C$1000,3,FALSE),"")</f>
        <v/>
      </c>
      <c r="D102" s="10" t="str">
        <f>_xlfn.IFNA(VLOOKUP($A102,CompChecksTrans!$A:$C,3,FALSE), "      ")</f>
        <v xml:space="preserve">      </v>
      </c>
    </row>
    <row r="103" spans="1:4" x14ac:dyDescent="0.25">
      <c r="A103" s="241" t="s">
        <v>7407</v>
      </c>
      <c r="B103" s="10" t="str">
        <f>_xlfn.IFNA(VLOOKUP($A103,CompChecksTrans!$A:$C,2,FALSE),"")</f>
        <v/>
      </c>
      <c r="C103" s="10" t="str">
        <f>_xlfn.IFNA(VLOOKUP(B103,Phase4!A$4:C$1000,3,FALSE),"")</f>
        <v/>
      </c>
      <c r="D103" s="10" t="str">
        <f>_xlfn.IFNA(VLOOKUP($A103,CompChecksTrans!$A:$C,3,FALSE), "      ")</f>
        <v xml:space="preserve">      </v>
      </c>
    </row>
    <row r="104" spans="1:4" x14ac:dyDescent="0.25">
      <c r="A104" s="241" t="s">
        <v>7408</v>
      </c>
      <c r="B104" s="10" t="str">
        <f>_xlfn.IFNA(VLOOKUP($A104,CompChecksTrans!$A:$C,2,FALSE),"")</f>
        <v/>
      </c>
      <c r="C104" s="10" t="str">
        <f>_xlfn.IFNA(VLOOKUP(B104,Phase4!A$4:C$1000,3,FALSE),"")</f>
        <v/>
      </c>
      <c r="D104" s="10" t="str">
        <f>_xlfn.IFNA(VLOOKUP($A104,CompChecksTrans!$A:$C,3,FALSE), "      ")</f>
        <v xml:space="preserve">      </v>
      </c>
    </row>
    <row r="105" spans="1:4" x14ac:dyDescent="0.25">
      <c r="A105" s="241" t="s">
        <v>7409</v>
      </c>
      <c r="B105" s="10" t="str">
        <f>_xlfn.IFNA(VLOOKUP($A105,CompChecksTrans!$A:$C,2,FALSE),"")</f>
        <v/>
      </c>
      <c r="C105" s="10" t="str">
        <f>_xlfn.IFNA(VLOOKUP(B105,Phase4!A$4:C$1000,3,FALSE),"")</f>
        <v/>
      </c>
      <c r="D105" s="10" t="str">
        <f>_xlfn.IFNA(VLOOKUP($A105,CompChecksTrans!$A:$C,3,FALSE), "      ")</f>
        <v xml:space="preserve">      </v>
      </c>
    </row>
    <row r="106" spans="1:4" x14ac:dyDescent="0.25">
      <c r="A106" s="241" t="s">
        <v>7410</v>
      </c>
      <c r="B106" s="10" t="str">
        <f>_xlfn.IFNA(VLOOKUP($A106,CompChecksTrans!$A:$C,2,FALSE),"")</f>
        <v/>
      </c>
      <c r="C106" s="10" t="str">
        <f>_xlfn.IFNA(VLOOKUP(B106,Phase4!A$4:C$1000,3,FALSE),"")</f>
        <v/>
      </c>
      <c r="D106" s="10" t="str">
        <f>_xlfn.IFNA(VLOOKUP($A106,CompChecksTrans!$A:$C,3,FALSE), "      ")</f>
        <v xml:space="preserve">      </v>
      </c>
    </row>
    <row r="107" spans="1:4" x14ac:dyDescent="0.25">
      <c r="A107" s="241" t="s">
        <v>7411</v>
      </c>
      <c r="B107" s="10" t="str">
        <f>_xlfn.IFNA(VLOOKUP($A107,CompChecksTrans!$A:$C,2,FALSE),"")</f>
        <v/>
      </c>
      <c r="C107" s="10" t="str">
        <f>_xlfn.IFNA(VLOOKUP(B107,Phase4!A$4:C$1000,3,FALSE),"")</f>
        <v/>
      </c>
      <c r="D107" s="10" t="str">
        <f>_xlfn.IFNA(VLOOKUP($A107,CompChecksTrans!$A:$C,3,FALSE), "      ")</f>
        <v xml:space="preserve">      </v>
      </c>
    </row>
    <row r="108" spans="1:4" x14ac:dyDescent="0.25">
      <c r="A108" s="241" t="s">
        <v>7412</v>
      </c>
      <c r="B108" s="10" t="str">
        <f>_xlfn.IFNA(VLOOKUP($A108,CompChecksTrans!$A:$C,2,FALSE),"")</f>
        <v/>
      </c>
      <c r="C108" s="10" t="str">
        <f>_xlfn.IFNA(VLOOKUP(B108,Phase4!A$4:C$1000,3,FALSE),"")</f>
        <v/>
      </c>
      <c r="D108" s="10" t="str">
        <f>_xlfn.IFNA(VLOOKUP($A108,CompChecksTrans!$A:$C,3,FALSE), "      ")</f>
        <v xml:space="preserve">      </v>
      </c>
    </row>
    <row r="109" spans="1:4" x14ac:dyDescent="0.25">
      <c r="A109" s="241" t="s">
        <v>7413</v>
      </c>
      <c r="B109" s="10" t="str">
        <f>_xlfn.IFNA(VLOOKUP($A109,CompChecksTrans!$A:$C,2,FALSE),"")</f>
        <v/>
      </c>
      <c r="C109" s="10" t="str">
        <f>_xlfn.IFNA(VLOOKUP(B109,Phase4!A$4:C$1000,3,FALSE),"")</f>
        <v/>
      </c>
      <c r="D109" s="10" t="str">
        <f>_xlfn.IFNA(VLOOKUP($A109,CompChecksTrans!$A:$C,3,FALSE), "      ")</f>
        <v xml:space="preserve">      </v>
      </c>
    </row>
    <row r="110" spans="1:4" x14ac:dyDescent="0.25">
      <c r="A110" s="241" t="s">
        <v>7414</v>
      </c>
      <c r="B110" s="10" t="str">
        <f>_xlfn.IFNA(VLOOKUP($A110,CompChecksTrans!$A:$C,2,FALSE),"")</f>
        <v/>
      </c>
      <c r="C110" s="10" t="str">
        <f>_xlfn.IFNA(VLOOKUP(B110,Phase4!A$4:C$1000,3,FALSE),"")</f>
        <v/>
      </c>
      <c r="D110" s="10" t="str">
        <f>_xlfn.IFNA(VLOOKUP($A110,CompChecksTrans!$A:$C,3,FALSE), "      ")</f>
        <v xml:space="preserve">      </v>
      </c>
    </row>
    <row r="111" spans="1:4" x14ac:dyDescent="0.25">
      <c r="A111" s="241" t="s">
        <v>7415</v>
      </c>
      <c r="B111" s="10" t="str">
        <f>_xlfn.IFNA(VLOOKUP($A111,CompChecksTrans!$A:$C,2,FALSE),"")</f>
        <v/>
      </c>
      <c r="C111" s="10" t="str">
        <f>_xlfn.IFNA(VLOOKUP(B111,Phase4!A$4:C$1000,3,FALSE),"")</f>
        <v/>
      </c>
      <c r="D111" s="10" t="str">
        <f>_xlfn.IFNA(VLOOKUP($A111,CompChecksTrans!$A:$C,3,FALSE), "      ")</f>
        <v xml:space="preserve">      </v>
      </c>
    </row>
    <row r="112" spans="1:4" x14ac:dyDescent="0.25">
      <c r="A112" s="241" t="s">
        <v>7416</v>
      </c>
      <c r="B112" s="10" t="str">
        <f>_xlfn.IFNA(VLOOKUP($A112,CompChecksTrans!$A:$C,2,FALSE),"")</f>
        <v/>
      </c>
      <c r="C112" s="10" t="str">
        <f>_xlfn.IFNA(VLOOKUP(B112,Phase4!A$4:C$1000,3,FALSE),"")</f>
        <v/>
      </c>
      <c r="D112" s="10" t="str">
        <f>_xlfn.IFNA(VLOOKUP($A112,CompChecksTrans!$A:$C,3,FALSE), "      ")</f>
        <v xml:space="preserve">      </v>
      </c>
    </row>
    <row r="113" spans="1:4" x14ac:dyDescent="0.25">
      <c r="A113" s="241" t="s">
        <v>7417</v>
      </c>
      <c r="B113" s="10" t="str">
        <f>_xlfn.IFNA(VLOOKUP($A113,CompChecksTrans!$A:$C,2,FALSE),"")</f>
        <v/>
      </c>
      <c r="C113" s="10" t="str">
        <f>_xlfn.IFNA(VLOOKUP(B113,Phase4!A$4:C$1000,3,FALSE),"")</f>
        <v/>
      </c>
      <c r="D113" s="10" t="str">
        <f>_xlfn.IFNA(VLOOKUP($A113,CompChecksTrans!$A:$C,3,FALSE), "      ")</f>
        <v xml:space="preserve">      </v>
      </c>
    </row>
    <row r="114" spans="1:4" x14ac:dyDescent="0.25">
      <c r="A114" s="241" t="s">
        <v>7418</v>
      </c>
      <c r="B114" s="10" t="str">
        <f>_xlfn.IFNA(VLOOKUP($A114,CompChecksTrans!$A:$C,2,FALSE),"")</f>
        <v/>
      </c>
      <c r="C114" s="10" t="str">
        <f>_xlfn.IFNA(VLOOKUP(B114,Phase4!A$4:C$1000,3,FALSE),"")</f>
        <v/>
      </c>
      <c r="D114" s="10" t="str">
        <f>_xlfn.IFNA(VLOOKUP($A114,CompChecksTrans!$A:$C,3,FALSE), "      ")</f>
        <v xml:space="preserve">      </v>
      </c>
    </row>
    <row r="115" spans="1:4" x14ac:dyDescent="0.25">
      <c r="A115" s="241" t="s">
        <v>7419</v>
      </c>
      <c r="B115" s="10" t="str">
        <f>_xlfn.IFNA(VLOOKUP($A115,CompChecksTrans!$A:$C,2,FALSE),"")</f>
        <v/>
      </c>
      <c r="C115" s="10" t="str">
        <f>_xlfn.IFNA(VLOOKUP(B115,Phase4!A$4:C$1000,3,FALSE),"")</f>
        <v/>
      </c>
      <c r="D115" s="10" t="str">
        <f>_xlfn.IFNA(VLOOKUP($A115,CompChecksTrans!$A:$C,3,FALSE), "      ")</f>
        <v xml:space="preserve">      </v>
      </c>
    </row>
    <row r="116" spans="1:4" x14ac:dyDescent="0.25">
      <c r="A116" s="241" t="s">
        <v>7420</v>
      </c>
      <c r="B116" s="10" t="str">
        <f>_xlfn.IFNA(VLOOKUP($A116,CompChecksTrans!$A:$C,2,FALSE),"")</f>
        <v/>
      </c>
      <c r="C116" s="10" t="str">
        <f>_xlfn.IFNA(VLOOKUP(B116,Phase4!A$4:C$1000,3,FALSE),"")</f>
        <v/>
      </c>
      <c r="D116" s="10" t="str">
        <f>_xlfn.IFNA(VLOOKUP($A116,CompChecksTrans!$A:$C,3,FALSE), "      ")</f>
        <v xml:space="preserve">      </v>
      </c>
    </row>
    <row r="117" spans="1:4" x14ac:dyDescent="0.25">
      <c r="A117" s="241" t="s">
        <v>7421</v>
      </c>
      <c r="B117" s="10" t="str">
        <f>_xlfn.IFNA(VLOOKUP($A117,CompChecksTrans!$A:$C,2,FALSE),"")</f>
        <v/>
      </c>
      <c r="C117" s="10" t="str">
        <f>_xlfn.IFNA(VLOOKUP(B117,Phase4!A$4:C$1000,3,FALSE),"")</f>
        <v/>
      </c>
      <c r="D117" s="10" t="str">
        <f>_xlfn.IFNA(VLOOKUP($A117,CompChecksTrans!$A:$C,3,FALSE), "      ")</f>
        <v xml:space="preserve">      </v>
      </c>
    </row>
    <row r="118" spans="1:4" x14ac:dyDescent="0.25">
      <c r="A118" s="241" t="s">
        <v>7422</v>
      </c>
      <c r="B118" s="10" t="str">
        <f>_xlfn.IFNA(VLOOKUP($A118,CompChecksTrans!$A:$C,2,FALSE),"")</f>
        <v/>
      </c>
      <c r="C118" s="10" t="str">
        <f>_xlfn.IFNA(VLOOKUP(B118,Phase4!A$4:C$1000,3,FALSE),"")</f>
        <v/>
      </c>
      <c r="D118" s="10" t="str">
        <f>_xlfn.IFNA(VLOOKUP($A118,CompChecksTrans!$A:$C,3,FALSE), "      ")</f>
        <v xml:space="preserve">      </v>
      </c>
    </row>
    <row r="119" spans="1:4" x14ac:dyDescent="0.25">
      <c r="A119" s="241" t="s">
        <v>7423</v>
      </c>
      <c r="B119" s="10" t="str">
        <f>_xlfn.IFNA(VLOOKUP($A119,CompChecksTrans!$A:$C,2,FALSE),"")</f>
        <v/>
      </c>
      <c r="C119" s="10" t="str">
        <f>_xlfn.IFNA(VLOOKUP(B119,Phase4!A$4:C$1000,3,FALSE),"")</f>
        <v/>
      </c>
      <c r="D119" s="10" t="str">
        <f>_xlfn.IFNA(VLOOKUP($A119,CompChecksTrans!$A:$C,3,FALSE), "      ")</f>
        <v xml:space="preserve">      </v>
      </c>
    </row>
    <row r="120" spans="1:4" x14ac:dyDescent="0.25">
      <c r="A120" s="241" t="s">
        <v>7424</v>
      </c>
      <c r="B120" s="10" t="str">
        <f>_xlfn.IFNA(VLOOKUP($A120,CompChecksTrans!$A:$C,2,FALSE),"")</f>
        <v/>
      </c>
      <c r="C120" s="10" t="str">
        <f>_xlfn.IFNA(VLOOKUP(B120,Phase4!A$4:C$1000,3,FALSE),"")</f>
        <v/>
      </c>
      <c r="D120" s="10" t="str">
        <f>_xlfn.IFNA(VLOOKUP($A120,CompChecksTrans!$A:$C,3,FALSE), "      ")</f>
        <v xml:space="preserve">      </v>
      </c>
    </row>
    <row r="121" spans="1:4" x14ac:dyDescent="0.25">
      <c r="A121" s="241" t="s">
        <v>7425</v>
      </c>
      <c r="B121" s="10" t="str">
        <f>_xlfn.IFNA(VLOOKUP($A121,CompChecksTrans!$A:$C,2,FALSE),"")</f>
        <v/>
      </c>
      <c r="C121" s="10" t="str">
        <f>_xlfn.IFNA(VLOOKUP(B121,Phase4!A$4:C$1000,3,FALSE),"")</f>
        <v/>
      </c>
      <c r="D121" s="10" t="str">
        <f>_xlfn.IFNA(VLOOKUP($A121,CompChecksTrans!$A:$C,3,FALSE), "      ")</f>
        <v xml:space="preserve">      </v>
      </c>
    </row>
    <row r="122" spans="1:4" x14ac:dyDescent="0.25">
      <c r="A122" s="241" t="s">
        <v>7426</v>
      </c>
      <c r="B122" s="10" t="str">
        <f>_xlfn.IFNA(VLOOKUP($A122,CompChecksTrans!$A:$C,2,FALSE),"")</f>
        <v/>
      </c>
      <c r="C122" s="10" t="str">
        <f>_xlfn.IFNA(VLOOKUP(B122,Phase4!A$4:C$1000,3,FALSE),"")</f>
        <v/>
      </c>
      <c r="D122" s="10" t="str">
        <f>_xlfn.IFNA(VLOOKUP($A122,CompChecksTrans!$A:$C,3,FALSE), "      ")</f>
        <v xml:space="preserve">      </v>
      </c>
    </row>
    <row r="123" spans="1:4" x14ac:dyDescent="0.25">
      <c r="A123" s="241" t="s">
        <v>7427</v>
      </c>
      <c r="B123" s="10" t="str">
        <f>_xlfn.IFNA(VLOOKUP($A123,CompChecksTrans!$A:$C,2,FALSE),"")</f>
        <v/>
      </c>
      <c r="C123" s="10" t="str">
        <f>_xlfn.IFNA(VLOOKUP(B123,Phase4!A$4:C$1000,3,FALSE),"")</f>
        <v/>
      </c>
      <c r="D123" s="10" t="str">
        <f>_xlfn.IFNA(VLOOKUP($A123,CompChecksTrans!$A:$C,3,FALSE), "      ")</f>
        <v xml:space="preserve">      </v>
      </c>
    </row>
    <row r="124" spans="1:4" x14ac:dyDescent="0.25">
      <c r="A124" s="241" t="s">
        <v>7428</v>
      </c>
      <c r="B124" s="10" t="str">
        <f>_xlfn.IFNA(VLOOKUP($A124,CompChecksTrans!$A:$C,2,FALSE),"")</f>
        <v/>
      </c>
      <c r="C124" s="10" t="str">
        <f>_xlfn.IFNA(VLOOKUP(B124,Phase4!A$4:C$1000,3,FALSE),"")</f>
        <v/>
      </c>
      <c r="D124" s="10" t="str">
        <f>_xlfn.IFNA(VLOOKUP($A124,CompChecksTrans!$A:$C,3,FALSE), "      ")</f>
        <v xml:space="preserve">      </v>
      </c>
    </row>
    <row r="125" spans="1:4" x14ac:dyDescent="0.25">
      <c r="A125" s="241" t="s">
        <v>7429</v>
      </c>
      <c r="B125" s="10" t="str">
        <f>_xlfn.IFNA(VLOOKUP($A125,CompChecksTrans!$A:$C,2,FALSE),"")</f>
        <v/>
      </c>
      <c r="C125" s="10" t="str">
        <f>_xlfn.IFNA(VLOOKUP(B125,Phase4!A$4:C$1000,3,FALSE),"")</f>
        <v/>
      </c>
      <c r="D125" s="10" t="str">
        <f>_xlfn.IFNA(VLOOKUP($A125,CompChecksTrans!$A:$C,3,FALSE), "      ")</f>
        <v xml:space="preserve">      </v>
      </c>
    </row>
    <row r="126" spans="1:4" x14ac:dyDescent="0.25">
      <c r="A126" s="241" t="s">
        <v>7430</v>
      </c>
      <c r="B126" s="10" t="str">
        <f>_xlfn.IFNA(VLOOKUP($A126,CompChecksTrans!$A:$C,2,FALSE),"")</f>
        <v/>
      </c>
      <c r="C126" s="10" t="str">
        <f>_xlfn.IFNA(VLOOKUP(B126,Phase4!A$4:C$1000,3,FALSE),"")</f>
        <v/>
      </c>
      <c r="D126" s="10" t="str">
        <f>_xlfn.IFNA(VLOOKUP($A126,CompChecksTrans!$A:$C,3,FALSE), "      ")</f>
        <v xml:space="preserve">      </v>
      </c>
    </row>
    <row r="127" spans="1:4" x14ac:dyDescent="0.25">
      <c r="A127" s="241" t="s">
        <v>7431</v>
      </c>
      <c r="B127" s="10" t="str">
        <f>_xlfn.IFNA(VLOOKUP($A127,CompChecksTrans!$A:$C,2,FALSE),"")</f>
        <v/>
      </c>
      <c r="C127" s="10" t="str">
        <f>_xlfn.IFNA(VLOOKUP(B127,Phase4!A$4:C$1000,3,FALSE),"")</f>
        <v/>
      </c>
      <c r="D127" s="10" t="str">
        <f>_xlfn.IFNA(VLOOKUP($A127,CompChecksTrans!$A:$C,3,FALSE), "      ")</f>
        <v xml:space="preserve">      </v>
      </c>
    </row>
    <row r="128" spans="1:4" x14ac:dyDescent="0.25">
      <c r="A128" s="241" t="s">
        <v>7432</v>
      </c>
      <c r="B128" s="10" t="str">
        <f>_xlfn.IFNA(VLOOKUP($A128,CompChecksTrans!$A:$C,2,FALSE),"")</f>
        <v/>
      </c>
      <c r="C128" s="10" t="str">
        <f>_xlfn.IFNA(VLOOKUP(B128,Phase4!A$4:C$1000,3,FALSE),"")</f>
        <v/>
      </c>
      <c r="D128" s="10" t="str">
        <f>_xlfn.IFNA(VLOOKUP($A128,CompChecksTrans!$A:$C,3,FALSE), "      ")</f>
        <v xml:space="preserve">      </v>
      </c>
    </row>
    <row r="129" spans="1:4" x14ac:dyDescent="0.25">
      <c r="A129" s="241" t="s">
        <v>7433</v>
      </c>
      <c r="B129" s="10" t="str">
        <f>_xlfn.IFNA(VLOOKUP($A129,CompChecksTrans!$A:$C,2,FALSE),"")</f>
        <v/>
      </c>
      <c r="C129" s="10" t="str">
        <f>_xlfn.IFNA(VLOOKUP(B129,Phase4!A$4:C$1000,3,FALSE),"")</f>
        <v/>
      </c>
      <c r="D129" s="10" t="str">
        <f>_xlfn.IFNA(VLOOKUP($A129,CompChecksTrans!$A:$C,3,FALSE), "      ")</f>
        <v xml:space="preserve">      </v>
      </c>
    </row>
    <row r="130" spans="1:4" x14ac:dyDescent="0.25">
      <c r="A130" s="241" t="s">
        <v>7434</v>
      </c>
      <c r="B130" s="10" t="str">
        <f>_xlfn.IFNA(VLOOKUP($A130,CompChecksTrans!$A:$C,2,FALSE),"")</f>
        <v/>
      </c>
      <c r="C130" s="10" t="str">
        <f>_xlfn.IFNA(VLOOKUP(B130,Phase4!A$4:C$1000,3,FALSE),"")</f>
        <v/>
      </c>
      <c r="D130" s="10" t="str">
        <f>_xlfn.IFNA(VLOOKUP($A130,CompChecksTrans!$A:$C,3,FALSE), "      ")</f>
        <v xml:space="preserve">      </v>
      </c>
    </row>
    <row r="131" spans="1:4" x14ac:dyDescent="0.25">
      <c r="A131" s="241" t="s">
        <v>7435</v>
      </c>
      <c r="B131" s="10" t="str">
        <f>_xlfn.IFNA(VLOOKUP($A131,CompChecksTrans!$A:$C,2,FALSE),"")</f>
        <v/>
      </c>
      <c r="C131" s="10" t="str">
        <f>_xlfn.IFNA(VLOOKUP(B131,Phase4!A$4:C$1000,3,FALSE),"")</f>
        <v/>
      </c>
      <c r="D131" s="10" t="str">
        <f>_xlfn.IFNA(VLOOKUP($A131,CompChecksTrans!$A:$C,3,FALSE), "      ")</f>
        <v xml:space="preserve">      </v>
      </c>
    </row>
    <row r="132" spans="1:4" x14ac:dyDescent="0.25">
      <c r="A132" s="241" t="s">
        <v>7436</v>
      </c>
      <c r="B132" s="10" t="str">
        <f>_xlfn.IFNA(VLOOKUP($A132,CompChecksTrans!$A:$C,2,FALSE),"")</f>
        <v/>
      </c>
      <c r="C132" s="10" t="str">
        <f>_xlfn.IFNA(VLOOKUP(B132,Phase4!A$4:C$1000,3,FALSE),"")</f>
        <v/>
      </c>
      <c r="D132" s="10" t="str">
        <f>_xlfn.IFNA(VLOOKUP($A132,CompChecksTrans!$A:$C,3,FALSE), "      ")</f>
        <v xml:space="preserve">      </v>
      </c>
    </row>
    <row r="133" spans="1:4" x14ac:dyDescent="0.25">
      <c r="A133" s="241" t="s">
        <v>7437</v>
      </c>
      <c r="B133" s="10" t="str">
        <f>_xlfn.IFNA(VLOOKUP($A133,CompChecksTrans!$A:$C,2,FALSE),"")</f>
        <v/>
      </c>
      <c r="C133" s="10" t="str">
        <f>_xlfn.IFNA(VLOOKUP(B133,Phase4!A$4:C$1000,3,FALSE),"")</f>
        <v/>
      </c>
      <c r="D133" s="10" t="str">
        <f>_xlfn.IFNA(VLOOKUP($A133,CompChecksTrans!$A:$C,3,FALSE), "      ")</f>
        <v xml:space="preserve">      </v>
      </c>
    </row>
    <row r="134" spans="1:4" x14ac:dyDescent="0.25">
      <c r="A134" s="241" t="s">
        <v>7438</v>
      </c>
      <c r="B134" s="10" t="str">
        <f>_xlfn.IFNA(VLOOKUP($A134,CompChecksTrans!$A:$C,2,FALSE),"")</f>
        <v/>
      </c>
      <c r="C134" s="10" t="str">
        <f>_xlfn.IFNA(VLOOKUP(B134,Phase4!A$4:C$1000,3,FALSE),"")</f>
        <v/>
      </c>
      <c r="D134" s="10" t="str">
        <f>_xlfn.IFNA(VLOOKUP($A134,CompChecksTrans!$A:$C,3,FALSE), "      ")</f>
        <v xml:space="preserve">      </v>
      </c>
    </row>
    <row r="135" spans="1:4" x14ac:dyDescent="0.25">
      <c r="A135" s="241" t="s">
        <v>7439</v>
      </c>
      <c r="B135" s="10" t="str">
        <f>_xlfn.IFNA(VLOOKUP($A135,CompChecksTrans!$A:$C,2,FALSE),"")</f>
        <v/>
      </c>
      <c r="C135" s="10" t="str">
        <f>_xlfn.IFNA(VLOOKUP(B135,Phase4!A$4:C$1000,3,FALSE),"")</f>
        <v/>
      </c>
      <c r="D135" s="10" t="str">
        <f>_xlfn.IFNA(VLOOKUP($A135,CompChecksTrans!$A:$C,3,FALSE), "      ")</f>
        <v xml:space="preserve">      </v>
      </c>
    </row>
    <row r="136" spans="1:4" x14ac:dyDescent="0.25">
      <c r="A136" s="241" t="s">
        <v>7440</v>
      </c>
      <c r="B136" s="10" t="str">
        <f>_xlfn.IFNA(VLOOKUP($A136,CompChecksTrans!$A:$C,2,FALSE),"")</f>
        <v/>
      </c>
      <c r="C136" s="10" t="str">
        <f>_xlfn.IFNA(VLOOKUP(B136,Phase4!A$4:C$1000,3,FALSE),"")</f>
        <v/>
      </c>
      <c r="D136" s="10" t="str">
        <f>_xlfn.IFNA(VLOOKUP($A136,CompChecksTrans!$A:$C,3,FALSE), "      ")</f>
        <v xml:space="preserve">      </v>
      </c>
    </row>
    <row r="137" spans="1:4" x14ac:dyDescent="0.25">
      <c r="A137" s="241" t="s">
        <v>7441</v>
      </c>
      <c r="B137" s="10" t="str">
        <f>_xlfn.IFNA(VLOOKUP($A137,CompChecksTrans!$A:$C,2,FALSE),"")</f>
        <v/>
      </c>
      <c r="C137" s="10" t="str">
        <f>_xlfn.IFNA(VLOOKUP(B137,Phase4!A$4:C$1000,3,FALSE),"")</f>
        <v/>
      </c>
      <c r="D137" s="10" t="str">
        <f>_xlfn.IFNA(VLOOKUP($A137,CompChecksTrans!$A:$C,3,FALSE), "      ")</f>
        <v xml:space="preserve">      </v>
      </c>
    </row>
    <row r="138" spans="1:4" x14ac:dyDescent="0.25">
      <c r="A138" s="241" t="s">
        <v>7442</v>
      </c>
      <c r="B138" s="10" t="str">
        <f>_xlfn.IFNA(VLOOKUP($A138,CompChecksTrans!$A:$C,2,FALSE),"")</f>
        <v/>
      </c>
      <c r="C138" s="10" t="str">
        <f>_xlfn.IFNA(VLOOKUP(B138,Phase4!A$4:C$1000,3,FALSE),"")</f>
        <v/>
      </c>
      <c r="D138" s="10" t="str">
        <f>_xlfn.IFNA(VLOOKUP($A138,CompChecksTrans!$A:$C,3,FALSE), "      ")</f>
        <v xml:space="preserve">      </v>
      </c>
    </row>
    <row r="139" spans="1:4" x14ac:dyDescent="0.25">
      <c r="A139" s="241" t="s">
        <v>7443</v>
      </c>
      <c r="B139" s="10" t="str">
        <f>_xlfn.IFNA(VLOOKUP($A139,CompChecksTrans!$A:$C,2,FALSE),"")</f>
        <v/>
      </c>
      <c r="C139" s="10" t="str">
        <f>_xlfn.IFNA(VLOOKUP(B139,Phase4!A$4:C$1000,3,FALSE),"")</f>
        <v/>
      </c>
      <c r="D139" s="10" t="str">
        <f>_xlfn.IFNA(VLOOKUP($A139,CompChecksTrans!$A:$C,3,FALSE), "      ")</f>
        <v xml:space="preserve">      </v>
      </c>
    </row>
    <row r="140" spans="1:4" x14ac:dyDescent="0.25">
      <c r="A140" s="241" t="s">
        <v>7444</v>
      </c>
      <c r="B140" s="10" t="str">
        <f>_xlfn.IFNA(VLOOKUP($A140,CompChecksTrans!$A:$C,2,FALSE),"")</f>
        <v/>
      </c>
      <c r="C140" s="10" t="str">
        <f>_xlfn.IFNA(VLOOKUP(B140,Phase4!A$4:C$1000,3,FALSE),"")</f>
        <v/>
      </c>
      <c r="D140" s="10" t="str">
        <f>_xlfn.IFNA(VLOOKUP($A140,CompChecksTrans!$A:$C,3,FALSE), "      ")</f>
        <v xml:space="preserve">      </v>
      </c>
    </row>
    <row r="141" spans="1:4" x14ac:dyDescent="0.25">
      <c r="A141" s="241" t="s">
        <v>7445</v>
      </c>
      <c r="B141" s="10" t="str">
        <f>_xlfn.IFNA(VLOOKUP($A141,CompChecksTrans!$A:$C,2,FALSE),"")</f>
        <v/>
      </c>
      <c r="C141" s="10" t="str">
        <f>_xlfn.IFNA(VLOOKUP(B141,Phase4!A$4:C$1000,3,FALSE),"")</f>
        <v/>
      </c>
      <c r="D141" s="10" t="str">
        <f>_xlfn.IFNA(VLOOKUP($A141,CompChecksTrans!$A:$C,3,FALSE), "      ")</f>
        <v xml:space="preserve">      </v>
      </c>
    </row>
    <row r="142" spans="1:4" x14ac:dyDescent="0.25">
      <c r="A142" s="241" t="s">
        <v>7446</v>
      </c>
      <c r="B142" s="10" t="str">
        <f>_xlfn.IFNA(VLOOKUP($A142,CompChecksTrans!$A:$C,2,FALSE),"")</f>
        <v/>
      </c>
      <c r="C142" s="10" t="str">
        <f>_xlfn.IFNA(VLOOKUP(B142,Phase4!A$4:C$1000,3,FALSE),"")</f>
        <v/>
      </c>
      <c r="D142" s="10" t="str">
        <f>_xlfn.IFNA(VLOOKUP($A142,CompChecksTrans!$A:$C,3,FALSE), "      ")</f>
        <v xml:space="preserve">      </v>
      </c>
    </row>
    <row r="143" spans="1:4" x14ac:dyDescent="0.25">
      <c r="A143" s="241" t="s">
        <v>7447</v>
      </c>
      <c r="B143" s="10" t="str">
        <f>_xlfn.IFNA(VLOOKUP($A143,CompChecksTrans!$A:$C,2,FALSE),"")</f>
        <v/>
      </c>
      <c r="C143" s="10" t="str">
        <f>_xlfn.IFNA(VLOOKUP(B143,Phase4!A$4:C$1000,3,FALSE),"")</f>
        <v/>
      </c>
      <c r="D143" s="10" t="str">
        <f>_xlfn.IFNA(VLOOKUP($A143,CompChecksTrans!$A:$C,3,FALSE), "      ")</f>
        <v xml:space="preserve">      </v>
      </c>
    </row>
    <row r="144" spans="1:4" x14ac:dyDescent="0.25">
      <c r="A144" s="241" t="s">
        <v>7448</v>
      </c>
      <c r="B144" s="10" t="str">
        <f>_xlfn.IFNA(VLOOKUP($A144,CompChecksTrans!$A:$C,2,FALSE),"")</f>
        <v/>
      </c>
      <c r="C144" s="10" t="str">
        <f>_xlfn.IFNA(VLOOKUP(B144,Phase4!A$4:C$1000,3,FALSE),"")</f>
        <v/>
      </c>
      <c r="D144" s="10" t="str">
        <f>_xlfn.IFNA(VLOOKUP($A144,CompChecksTrans!$A:$C,3,FALSE), "      ")</f>
        <v xml:space="preserve">      </v>
      </c>
    </row>
    <row r="145" spans="1:4" x14ac:dyDescent="0.25">
      <c r="A145" s="241" t="s">
        <v>7449</v>
      </c>
      <c r="B145" s="10" t="str">
        <f>_xlfn.IFNA(VLOOKUP($A145,CompChecksTrans!$A:$C,2,FALSE),"")</f>
        <v/>
      </c>
      <c r="C145" s="10" t="str">
        <f>_xlfn.IFNA(VLOOKUP(B145,Phase4!A$4:C$1000,3,FALSE),"")</f>
        <v/>
      </c>
      <c r="D145" s="10" t="str">
        <f>_xlfn.IFNA(VLOOKUP($A145,CompChecksTrans!$A:$C,3,FALSE), "      ")</f>
        <v xml:space="preserve">      </v>
      </c>
    </row>
    <row r="146" spans="1:4" x14ac:dyDescent="0.25">
      <c r="A146" s="241" t="s">
        <v>7450</v>
      </c>
      <c r="B146" s="10" t="str">
        <f>_xlfn.IFNA(VLOOKUP($A146,CompChecksTrans!$A:$C,2,FALSE),"")</f>
        <v/>
      </c>
      <c r="C146" s="10" t="str">
        <f>_xlfn.IFNA(VLOOKUP(B146,Phase4!A$4:C$1000,3,FALSE),"")</f>
        <v/>
      </c>
      <c r="D146" s="10" t="str">
        <f>_xlfn.IFNA(VLOOKUP($A146,CompChecksTrans!$A:$C,3,FALSE), "      ")</f>
        <v xml:space="preserve">      </v>
      </c>
    </row>
    <row r="147" spans="1:4" x14ac:dyDescent="0.25">
      <c r="A147" s="241" t="s">
        <v>7451</v>
      </c>
      <c r="B147" s="10" t="str">
        <f>_xlfn.IFNA(VLOOKUP($A147,CompChecksTrans!$A:$C,2,FALSE),"")</f>
        <v/>
      </c>
      <c r="C147" s="10" t="str">
        <f>_xlfn.IFNA(VLOOKUP(B147,Phase4!A$4:C$1000,3,FALSE),"")</f>
        <v/>
      </c>
      <c r="D147" s="10" t="str">
        <f>_xlfn.IFNA(VLOOKUP($A147,CompChecksTrans!$A:$C,3,FALSE), "      ")</f>
        <v xml:space="preserve">      </v>
      </c>
    </row>
    <row r="148" spans="1:4" x14ac:dyDescent="0.25">
      <c r="A148" s="241" t="s">
        <v>7452</v>
      </c>
      <c r="B148" s="10" t="str">
        <f>_xlfn.IFNA(VLOOKUP($A148,CompChecksTrans!$A:$C,2,FALSE),"")</f>
        <v/>
      </c>
      <c r="C148" s="10" t="str">
        <f>_xlfn.IFNA(VLOOKUP(B148,Phase4!A$4:C$1000,3,FALSE),"")</f>
        <v/>
      </c>
      <c r="D148" s="10" t="str">
        <f>_xlfn.IFNA(VLOOKUP($A148,CompChecksTrans!$A:$C,3,FALSE), "      ")</f>
        <v xml:space="preserve">      </v>
      </c>
    </row>
    <row r="149" spans="1:4" x14ac:dyDescent="0.25">
      <c r="A149" s="241" t="s">
        <v>7453</v>
      </c>
      <c r="B149" s="10" t="str">
        <f>_xlfn.IFNA(VLOOKUP($A149,CompChecksTrans!$A:$C,2,FALSE),"")</f>
        <v/>
      </c>
      <c r="C149" s="10" t="str">
        <f>_xlfn.IFNA(VLOOKUP(B149,Phase4!A$4:C$1000,3,FALSE),"")</f>
        <v/>
      </c>
      <c r="D149" s="10" t="str">
        <f>_xlfn.IFNA(VLOOKUP($A149,CompChecksTrans!$A:$C,3,FALSE), "      ")</f>
        <v xml:space="preserve">      </v>
      </c>
    </row>
    <row r="150" spans="1:4" x14ac:dyDescent="0.25">
      <c r="A150" s="241" t="s">
        <v>7454</v>
      </c>
      <c r="B150" s="10" t="str">
        <f>_xlfn.IFNA(VLOOKUP($A150,CompChecksTrans!$A:$C,2,FALSE),"")</f>
        <v/>
      </c>
      <c r="C150" s="10" t="str">
        <f>_xlfn.IFNA(VLOOKUP(B150,Phase4!A$4:C$1000,3,FALSE),"")</f>
        <v/>
      </c>
      <c r="D150" s="10" t="str">
        <f>_xlfn.IFNA(VLOOKUP($A150,CompChecksTrans!$A:$C,3,FALSE), "      ")</f>
        <v xml:space="preserve">      </v>
      </c>
    </row>
    <row r="151" spans="1:4" x14ac:dyDescent="0.25">
      <c r="A151" s="241" t="s">
        <v>7455</v>
      </c>
      <c r="B151" s="10" t="str">
        <f>_xlfn.IFNA(VLOOKUP($A151,CompChecksTrans!$A:$C,2,FALSE),"")</f>
        <v/>
      </c>
      <c r="C151" s="10" t="str">
        <f>_xlfn.IFNA(VLOOKUP(B151,Phase4!A$4:C$1000,3,FALSE),"")</f>
        <v/>
      </c>
      <c r="D151" s="10" t="str">
        <f>_xlfn.IFNA(VLOOKUP($A151,CompChecksTrans!$A:$C,3,FALSE), "      ")</f>
        <v xml:space="preserve">      </v>
      </c>
    </row>
    <row r="152" spans="1:4" x14ac:dyDescent="0.25">
      <c r="A152" s="241" t="s">
        <v>7456</v>
      </c>
      <c r="B152" s="10" t="str">
        <f>_xlfn.IFNA(VLOOKUP($A152,CompChecksTrans!$A:$C,2,FALSE),"")</f>
        <v/>
      </c>
      <c r="C152" s="10" t="str">
        <f>_xlfn.IFNA(VLOOKUP(B152,Phase4!A$4:C$1000,3,FALSE),"")</f>
        <v/>
      </c>
      <c r="D152" s="10" t="str">
        <f>_xlfn.IFNA(VLOOKUP($A152,CompChecksTrans!$A:$C,3,FALSE), "      ")</f>
        <v xml:space="preserve">      </v>
      </c>
    </row>
    <row r="153" spans="1:4" x14ac:dyDescent="0.25">
      <c r="A153" s="241" t="s">
        <v>7457</v>
      </c>
      <c r="B153" s="10" t="str">
        <f>_xlfn.IFNA(VLOOKUP($A153,CompChecksTrans!$A:$C,2,FALSE),"")</f>
        <v/>
      </c>
      <c r="C153" s="10" t="str">
        <f>_xlfn.IFNA(VLOOKUP(B153,Phase4!A$4:C$1000,3,FALSE),"")</f>
        <v/>
      </c>
      <c r="D153" s="10" t="str">
        <f>_xlfn.IFNA(VLOOKUP($A153,CompChecksTrans!$A:$C,3,FALSE), "      ")</f>
        <v xml:space="preserve">      </v>
      </c>
    </row>
    <row r="154" spans="1:4" x14ac:dyDescent="0.25">
      <c r="A154" s="241" t="s">
        <v>7458</v>
      </c>
      <c r="B154" s="10" t="str">
        <f>_xlfn.IFNA(VLOOKUP($A154,CompChecksTrans!$A:$C,2,FALSE),"")</f>
        <v/>
      </c>
      <c r="C154" s="10" t="str">
        <f>_xlfn.IFNA(VLOOKUP(B154,Phase4!A$4:C$1000,3,FALSE),"")</f>
        <v/>
      </c>
      <c r="D154" s="10" t="str">
        <f>_xlfn.IFNA(VLOOKUP($A154,CompChecksTrans!$A:$C,3,FALSE), "      ")</f>
        <v xml:space="preserve">      </v>
      </c>
    </row>
    <row r="155" spans="1:4" x14ac:dyDescent="0.25">
      <c r="A155" s="241" t="s">
        <v>7459</v>
      </c>
      <c r="B155" s="10" t="str">
        <f>_xlfn.IFNA(VLOOKUP($A155,CompChecksTrans!$A:$C,2,FALSE),"")</f>
        <v/>
      </c>
      <c r="C155" s="10" t="str">
        <f>_xlfn.IFNA(VLOOKUP(B155,Phase4!A$4:C$1000,3,FALSE),"")</f>
        <v/>
      </c>
      <c r="D155" s="10" t="str">
        <f>_xlfn.IFNA(VLOOKUP($A155,CompChecksTrans!$A:$C,3,FALSE), "      ")</f>
        <v xml:space="preserve">      </v>
      </c>
    </row>
    <row r="156" spans="1:4" x14ac:dyDescent="0.25">
      <c r="A156" s="241" t="s">
        <v>7460</v>
      </c>
      <c r="B156" s="10" t="str">
        <f>_xlfn.IFNA(VLOOKUP($A156,CompChecksTrans!$A:$C,2,FALSE),"")</f>
        <v/>
      </c>
      <c r="C156" s="10" t="str">
        <f>_xlfn.IFNA(VLOOKUP(B156,Phase4!A$4:C$1000,3,FALSE),"")</f>
        <v/>
      </c>
      <c r="D156" s="10" t="str">
        <f>_xlfn.IFNA(VLOOKUP($A156,CompChecksTrans!$A:$C,3,FALSE), "      ")</f>
        <v xml:space="preserve">      </v>
      </c>
    </row>
    <row r="157" spans="1:4" x14ac:dyDescent="0.25">
      <c r="A157" s="241" t="s">
        <v>7461</v>
      </c>
      <c r="B157" s="10" t="str">
        <f>_xlfn.IFNA(VLOOKUP($A157,CompChecksTrans!$A:$C,2,FALSE),"")</f>
        <v/>
      </c>
      <c r="C157" s="10" t="str">
        <f>_xlfn.IFNA(VLOOKUP(B157,Phase4!A$4:C$1000,3,FALSE),"")</f>
        <v/>
      </c>
      <c r="D157" s="10" t="str">
        <f>_xlfn.IFNA(VLOOKUP($A157,CompChecksTrans!$A:$C,3,FALSE), "      ")</f>
        <v xml:space="preserve">      </v>
      </c>
    </row>
    <row r="158" spans="1:4" x14ac:dyDescent="0.25">
      <c r="A158" s="241" t="s">
        <v>7462</v>
      </c>
      <c r="B158" s="10" t="str">
        <f>_xlfn.IFNA(VLOOKUP($A158,CompChecksTrans!$A:$C,2,FALSE),"")</f>
        <v/>
      </c>
      <c r="C158" s="10" t="str">
        <f>_xlfn.IFNA(VLOOKUP(B158,Phase4!A$4:C$1000,3,FALSE),"")</f>
        <v/>
      </c>
      <c r="D158" s="10" t="str">
        <f>_xlfn.IFNA(VLOOKUP($A158,CompChecksTrans!$A:$C,3,FALSE), "      ")</f>
        <v xml:space="preserve">      </v>
      </c>
    </row>
    <row r="159" spans="1:4" x14ac:dyDescent="0.25">
      <c r="A159" s="241" t="s">
        <v>7463</v>
      </c>
      <c r="B159" s="10" t="str">
        <f>_xlfn.IFNA(VLOOKUP($A159,CompChecksTrans!$A:$C,2,FALSE),"")</f>
        <v/>
      </c>
      <c r="C159" s="10" t="str">
        <f>_xlfn.IFNA(VLOOKUP(B159,Phase4!A$4:C$1000,3,FALSE),"")</f>
        <v/>
      </c>
      <c r="D159" s="10" t="str">
        <f>_xlfn.IFNA(VLOOKUP($A159,CompChecksTrans!$A:$C,3,FALSE), "      ")</f>
        <v xml:space="preserve">      </v>
      </c>
    </row>
    <row r="160" spans="1:4" x14ac:dyDescent="0.25">
      <c r="A160" s="241" t="s">
        <v>7464</v>
      </c>
      <c r="B160" s="10" t="str">
        <f>_xlfn.IFNA(VLOOKUP($A160,CompChecksTrans!$A:$C,2,FALSE),"")</f>
        <v/>
      </c>
      <c r="C160" s="10" t="str">
        <f>_xlfn.IFNA(VLOOKUP(B160,Phase4!A$4:C$1000,3,FALSE),"")</f>
        <v/>
      </c>
      <c r="D160" s="10" t="str">
        <f>_xlfn.IFNA(VLOOKUP($A160,CompChecksTrans!$A:$C,3,FALSE), "      ")</f>
        <v xml:space="preserve">      </v>
      </c>
    </row>
    <row r="161" spans="1:4" x14ac:dyDescent="0.25">
      <c r="A161" s="241" t="s">
        <v>7465</v>
      </c>
      <c r="B161" s="10" t="str">
        <f>_xlfn.IFNA(VLOOKUP($A161,CompChecksTrans!$A:$C,2,FALSE),"")</f>
        <v/>
      </c>
      <c r="C161" s="10" t="str">
        <f>_xlfn.IFNA(VLOOKUP(B161,Phase4!A$4:C$1000,3,FALSE),"")</f>
        <v/>
      </c>
      <c r="D161" s="10" t="str">
        <f>_xlfn.IFNA(VLOOKUP($A161,CompChecksTrans!$A:$C,3,FALSE), "      ")</f>
        <v xml:space="preserve">      </v>
      </c>
    </row>
    <row r="162" spans="1:4" x14ac:dyDescent="0.25">
      <c r="A162" s="241" t="s">
        <v>7466</v>
      </c>
      <c r="B162" s="10" t="str">
        <f>_xlfn.IFNA(VLOOKUP($A162,CompChecksTrans!$A:$C,2,FALSE),"")</f>
        <v/>
      </c>
      <c r="C162" s="10" t="str">
        <f>_xlfn.IFNA(VLOOKUP(B162,Phase4!A$4:C$1000,3,FALSE),"")</f>
        <v/>
      </c>
      <c r="D162" s="10" t="str">
        <f>_xlfn.IFNA(VLOOKUP($A162,CompChecksTrans!$A:$C,3,FALSE), "      ")</f>
        <v xml:space="preserve">      </v>
      </c>
    </row>
    <row r="163" spans="1:4" x14ac:dyDescent="0.25">
      <c r="A163" s="241" t="s">
        <v>7467</v>
      </c>
      <c r="B163" s="10" t="str">
        <f>_xlfn.IFNA(VLOOKUP($A163,CompChecksTrans!$A:$C,2,FALSE),"")</f>
        <v/>
      </c>
      <c r="C163" s="10" t="str">
        <f>_xlfn.IFNA(VLOOKUP(B163,Phase4!A$4:C$1000,3,FALSE),"")</f>
        <v/>
      </c>
      <c r="D163" s="10" t="str">
        <f>_xlfn.IFNA(VLOOKUP($A163,CompChecksTrans!$A:$C,3,FALSE), "      ")</f>
        <v xml:space="preserve">      </v>
      </c>
    </row>
    <row r="164" spans="1:4" x14ac:dyDescent="0.25">
      <c r="A164" s="241" t="s">
        <v>7468</v>
      </c>
      <c r="B164" s="10" t="str">
        <f>_xlfn.IFNA(VLOOKUP($A164,CompChecksTrans!$A:$C,2,FALSE),"")</f>
        <v/>
      </c>
      <c r="C164" s="10" t="str">
        <f>_xlfn.IFNA(VLOOKUP(B164,Phase4!A$4:C$1000,3,FALSE),"")</f>
        <v/>
      </c>
      <c r="D164" s="10" t="str">
        <f>_xlfn.IFNA(VLOOKUP($A164,CompChecksTrans!$A:$C,3,FALSE), "      ")</f>
        <v xml:space="preserve">      </v>
      </c>
    </row>
    <row r="165" spans="1:4" x14ac:dyDescent="0.25">
      <c r="A165" s="241" t="s">
        <v>7469</v>
      </c>
      <c r="B165" s="10" t="str">
        <f>_xlfn.IFNA(VLOOKUP($A165,CompChecksTrans!$A:$C,2,FALSE),"")</f>
        <v/>
      </c>
      <c r="C165" s="10" t="str">
        <f>_xlfn.IFNA(VLOOKUP(B165,Phase4!A$4:C$1000,3,FALSE),"")</f>
        <v/>
      </c>
      <c r="D165" s="10" t="str">
        <f>_xlfn.IFNA(VLOOKUP($A165,CompChecksTrans!$A:$C,3,FALSE), "      ")</f>
        <v xml:space="preserve">      </v>
      </c>
    </row>
    <row r="166" spans="1:4" x14ac:dyDescent="0.25">
      <c r="A166" s="241" t="s">
        <v>7470</v>
      </c>
      <c r="B166" s="10" t="str">
        <f>_xlfn.IFNA(VLOOKUP($A166,CompChecksTrans!$A:$C,2,FALSE),"")</f>
        <v/>
      </c>
      <c r="C166" s="10" t="str">
        <f>_xlfn.IFNA(VLOOKUP(B166,Phase4!A$4:C$1000,3,FALSE),"")</f>
        <v/>
      </c>
      <c r="D166" s="10" t="str">
        <f>_xlfn.IFNA(VLOOKUP($A166,CompChecksTrans!$A:$C,3,FALSE), "      ")</f>
        <v xml:space="preserve">      </v>
      </c>
    </row>
    <row r="167" spans="1:4" x14ac:dyDescent="0.25">
      <c r="A167" s="241" t="s">
        <v>7471</v>
      </c>
      <c r="B167" s="10" t="str">
        <f>_xlfn.IFNA(VLOOKUP($A167,CompChecksTrans!$A:$C,2,FALSE),"")</f>
        <v/>
      </c>
      <c r="C167" s="10" t="str">
        <f>_xlfn.IFNA(VLOOKUP(B167,Phase4!A$4:C$1000,3,FALSE),"")</f>
        <v/>
      </c>
      <c r="D167" s="10" t="str">
        <f>_xlfn.IFNA(VLOOKUP($A167,CompChecksTrans!$A:$C,3,FALSE), "      ")</f>
        <v xml:space="preserve">      </v>
      </c>
    </row>
    <row r="168" spans="1:4" x14ac:dyDescent="0.25">
      <c r="A168" s="241" t="s">
        <v>7472</v>
      </c>
      <c r="B168" s="10" t="str">
        <f>_xlfn.IFNA(VLOOKUP($A168,CompChecksTrans!$A:$C,2,FALSE),"")</f>
        <v/>
      </c>
      <c r="C168" s="10" t="str">
        <f>_xlfn.IFNA(VLOOKUP(B168,Phase4!A$4:C$1000,3,FALSE),"")</f>
        <v/>
      </c>
      <c r="D168" s="10" t="str">
        <f>_xlfn.IFNA(VLOOKUP($A168,CompChecksTrans!$A:$C,3,FALSE), "      ")</f>
        <v xml:space="preserve">      </v>
      </c>
    </row>
    <row r="169" spans="1:4" x14ac:dyDescent="0.25">
      <c r="A169" s="241" t="s">
        <v>7473</v>
      </c>
      <c r="B169" s="10" t="str">
        <f>_xlfn.IFNA(VLOOKUP($A169,CompChecksTrans!$A:$C,2,FALSE),"")</f>
        <v/>
      </c>
      <c r="C169" s="10" t="str">
        <f>_xlfn.IFNA(VLOOKUP(B169,Phase4!A$4:C$1000,3,FALSE),"")</f>
        <v/>
      </c>
      <c r="D169" s="10" t="str">
        <f>_xlfn.IFNA(VLOOKUP($A169,CompChecksTrans!$A:$C,3,FALSE), "      ")</f>
        <v xml:space="preserve">      </v>
      </c>
    </row>
    <row r="170" spans="1:4" x14ac:dyDescent="0.25">
      <c r="A170" s="241" t="s">
        <v>7474</v>
      </c>
      <c r="B170" s="10" t="str">
        <f>_xlfn.IFNA(VLOOKUP($A170,CompChecksTrans!$A:$C,2,FALSE),"")</f>
        <v/>
      </c>
      <c r="C170" s="10" t="str">
        <f>_xlfn.IFNA(VLOOKUP(B170,Phase4!A$4:C$1000,3,FALSE),"")</f>
        <v/>
      </c>
      <c r="D170" s="10" t="str">
        <f>_xlfn.IFNA(VLOOKUP($A170,CompChecksTrans!$A:$C,3,FALSE), "      ")</f>
        <v xml:space="preserve">      </v>
      </c>
    </row>
    <row r="171" spans="1:4" x14ac:dyDescent="0.25">
      <c r="A171" s="241" t="s">
        <v>7475</v>
      </c>
      <c r="B171" s="10" t="str">
        <f>_xlfn.IFNA(VLOOKUP($A171,CompChecksTrans!$A:$C,2,FALSE),"")</f>
        <v/>
      </c>
      <c r="C171" s="10" t="str">
        <f>_xlfn.IFNA(VLOOKUP(B171,Phase4!A$4:C$1000,3,FALSE),"")</f>
        <v/>
      </c>
      <c r="D171" s="10" t="str">
        <f>_xlfn.IFNA(VLOOKUP($A171,CompChecksTrans!$A:$C,3,FALSE), "      ")</f>
        <v xml:space="preserve">      </v>
      </c>
    </row>
    <row r="172" spans="1:4" x14ac:dyDescent="0.25">
      <c r="A172" s="241" t="s">
        <v>7476</v>
      </c>
      <c r="B172" s="10" t="str">
        <f>_xlfn.IFNA(VLOOKUP($A172,CompChecksTrans!$A:$C,2,FALSE),"")</f>
        <v/>
      </c>
      <c r="C172" s="10" t="str">
        <f>_xlfn.IFNA(VLOOKUP(B172,Phase4!A$4:C$1000,3,FALSE),"")</f>
        <v/>
      </c>
      <c r="D172" s="10" t="str">
        <f>_xlfn.IFNA(VLOOKUP($A172,CompChecksTrans!$A:$C,3,FALSE), "      ")</f>
        <v xml:space="preserve">      </v>
      </c>
    </row>
    <row r="173" spans="1:4" x14ac:dyDescent="0.25">
      <c r="A173" s="241" t="s">
        <v>7477</v>
      </c>
      <c r="B173" s="10" t="str">
        <f>_xlfn.IFNA(VLOOKUP($A173,CompChecksTrans!$A:$C,2,FALSE),"")</f>
        <v/>
      </c>
      <c r="C173" s="10" t="str">
        <f>_xlfn.IFNA(VLOOKUP(B173,Phase4!A$4:C$1000,3,FALSE),"")</f>
        <v/>
      </c>
      <c r="D173" s="10" t="str">
        <f>_xlfn.IFNA(VLOOKUP($A173,CompChecksTrans!$A:$C,3,FALSE), "      ")</f>
        <v xml:space="preserve">      </v>
      </c>
    </row>
    <row r="174" spans="1:4" x14ac:dyDescent="0.25">
      <c r="A174" s="241" t="s">
        <v>7478</v>
      </c>
      <c r="B174" s="10" t="str">
        <f>_xlfn.IFNA(VLOOKUP($A174,CompChecksTrans!$A:$C,2,FALSE),"")</f>
        <v/>
      </c>
      <c r="C174" s="10" t="str">
        <f>_xlfn.IFNA(VLOOKUP(B174,Phase4!A$4:C$1000,3,FALSE),"")</f>
        <v/>
      </c>
      <c r="D174" s="10" t="str">
        <f>_xlfn.IFNA(VLOOKUP($A174,CompChecksTrans!$A:$C,3,FALSE), "      ")</f>
        <v xml:space="preserve">      </v>
      </c>
    </row>
    <row r="175" spans="1:4" x14ac:dyDescent="0.25">
      <c r="A175" s="241" t="s">
        <v>7479</v>
      </c>
      <c r="B175" s="10" t="str">
        <f>_xlfn.IFNA(VLOOKUP($A175,CompChecksTrans!$A:$C,2,FALSE),"")</f>
        <v/>
      </c>
      <c r="C175" s="10" t="str">
        <f>_xlfn.IFNA(VLOOKUP(B175,Phase4!A$4:C$1000,3,FALSE),"")</f>
        <v/>
      </c>
      <c r="D175" s="10" t="str">
        <f>_xlfn.IFNA(VLOOKUP($A175,CompChecksTrans!$A:$C,3,FALSE), "      ")</f>
        <v xml:space="preserve">      </v>
      </c>
    </row>
    <row r="176" spans="1:4" x14ac:dyDescent="0.25">
      <c r="A176" s="241" t="s">
        <v>7480</v>
      </c>
      <c r="B176" s="10" t="str">
        <f>_xlfn.IFNA(VLOOKUP($A176,CompChecksTrans!$A:$C,2,FALSE),"")</f>
        <v/>
      </c>
      <c r="C176" s="10" t="str">
        <f>_xlfn.IFNA(VLOOKUP(B176,Phase4!A$4:C$1000,3,FALSE),"")</f>
        <v/>
      </c>
      <c r="D176" s="10" t="str">
        <f>_xlfn.IFNA(VLOOKUP($A176,CompChecksTrans!$A:$C,3,FALSE), "      ")</f>
        <v xml:space="preserve">      </v>
      </c>
    </row>
    <row r="177" spans="1:4" x14ac:dyDescent="0.25">
      <c r="A177" s="241" t="s">
        <v>7481</v>
      </c>
      <c r="B177" s="10" t="str">
        <f>_xlfn.IFNA(VLOOKUP($A177,CompChecksTrans!$A:$C,2,FALSE),"")</f>
        <v/>
      </c>
      <c r="C177" s="10" t="str">
        <f>_xlfn.IFNA(VLOOKUP(B177,Phase4!A$4:C$1000,3,FALSE),"")</f>
        <v/>
      </c>
      <c r="D177" s="10" t="str">
        <f>_xlfn.IFNA(VLOOKUP($A177,CompChecksTrans!$A:$C,3,FALSE), "      ")</f>
        <v xml:space="preserve">      </v>
      </c>
    </row>
    <row r="178" spans="1:4" x14ac:dyDescent="0.25">
      <c r="A178" s="241" t="s">
        <v>7482</v>
      </c>
      <c r="B178" s="10" t="str">
        <f>_xlfn.IFNA(VLOOKUP($A178,CompChecksTrans!$A:$C,2,FALSE),"")</f>
        <v/>
      </c>
      <c r="C178" s="10" t="str">
        <f>_xlfn.IFNA(VLOOKUP(B178,Phase4!A$4:C$1000,3,FALSE),"")</f>
        <v/>
      </c>
      <c r="D178" s="10" t="str">
        <f>_xlfn.IFNA(VLOOKUP($A178,CompChecksTrans!$A:$C,3,FALSE), "      ")</f>
        <v xml:space="preserve">      </v>
      </c>
    </row>
    <row r="179" spans="1:4" x14ac:dyDescent="0.25">
      <c r="A179" s="241" t="s">
        <v>7483</v>
      </c>
      <c r="B179" s="10" t="str">
        <f>_xlfn.IFNA(VLOOKUP($A179,CompChecksTrans!$A:$C,2,FALSE),"")</f>
        <v/>
      </c>
      <c r="C179" s="10" t="str">
        <f>_xlfn.IFNA(VLOOKUP(B179,Phase4!A$4:C$1000,3,FALSE),"")</f>
        <v/>
      </c>
      <c r="D179" s="10" t="str">
        <f>_xlfn.IFNA(VLOOKUP($A179,CompChecksTrans!$A:$C,3,FALSE), "      ")</f>
        <v xml:space="preserve">      </v>
      </c>
    </row>
    <row r="180" spans="1:4" x14ac:dyDescent="0.25">
      <c r="A180" s="241" t="s">
        <v>7484</v>
      </c>
      <c r="B180" s="10" t="str">
        <f>_xlfn.IFNA(VLOOKUP($A180,CompChecksTrans!$A:$C,2,FALSE),"")</f>
        <v/>
      </c>
      <c r="C180" s="10" t="str">
        <f>_xlfn.IFNA(VLOOKUP(B180,Phase4!A$4:C$1000,3,FALSE),"")</f>
        <v/>
      </c>
      <c r="D180" s="10" t="str">
        <f>_xlfn.IFNA(VLOOKUP($A180,CompChecksTrans!$A:$C,3,FALSE), "      ")</f>
        <v xml:space="preserve">      </v>
      </c>
    </row>
    <row r="181" spans="1:4" x14ac:dyDescent="0.25">
      <c r="A181" s="241" t="s">
        <v>7485</v>
      </c>
      <c r="B181" s="10" t="str">
        <f>_xlfn.IFNA(VLOOKUP($A181,CompChecksTrans!$A:$C,2,FALSE),"")</f>
        <v/>
      </c>
      <c r="C181" s="10" t="str">
        <f>_xlfn.IFNA(VLOOKUP(B181,Phase4!A$4:C$1000,3,FALSE),"")</f>
        <v/>
      </c>
      <c r="D181" s="10" t="str">
        <f>_xlfn.IFNA(VLOOKUP($A181,CompChecksTrans!$A:$C,3,FALSE), "      ")</f>
        <v xml:space="preserve">      </v>
      </c>
    </row>
    <row r="182" spans="1:4" x14ac:dyDescent="0.25">
      <c r="A182" s="241" t="s">
        <v>7486</v>
      </c>
      <c r="B182" s="10" t="str">
        <f>_xlfn.IFNA(VLOOKUP($A182,CompChecksTrans!$A:$C,2,FALSE),"")</f>
        <v/>
      </c>
      <c r="C182" s="10" t="str">
        <f>_xlfn.IFNA(VLOOKUP(B182,Phase4!A$4:C$1000,3,FALSE),"")</f>
        <v/>
      </c>
      <c r="D182" s="10" t="str">
        <f>_xlfn.IFNA(VLOOKUP($A182,CompChecksTrans!$A:$C,3,FALSE), "      ")</f>
        <v xml:space="preserve">      </v>
      </c>
    </row>
    <row r="183" spans="1:4" x14ac:dyDescent="0.25">
      <c r="A183" s="241" t="s">
        <v>7487</v>
      </c>
      <c r="B183" s="10" t="str">
        <f>_xlfn.IFNA(VLOOKUP($A183,CompChecksTrans!$A:$C,2,FALSE),"")</f>
        <v/>
      </c>
      <c r="C183" s="10" t="str">
        <f>_xlfn.IFNA(VLOOKUP(B183,Phase4!A$4:C$1000,3,FALSE),"")</f>
        <v/>
      </c>
      <c r="D183" s="10" t="str">
        <f>_xlfn.IFNA(VLOOKUP($A183,CompChecksTrans!$A:$C,3,FALSE), "      ")</f>
        <v xml:space="preserve">      </v>
      </c>
    </row>
    <row r="184" spans="1:4" x14ac:dyDescent="0.25">
      <c r="A184" s="241" t="s">
        <v>7488</v>
      </c>
      <c r="B184" s="10" t="str">
        <f>_xlfn.IFNA(VLOOKUP($A184,CompChecksTrans!$A:$C,2,FALSE),"")</f>
        <v/>
      </c>
      <c r="C184" s="10" t="str">
        <f>_xlfn.IFNA(VLOOKUP(B184,Phase4!A$4:C$1000,3,FALSE),"")</f>
        <v/>
      </c>
      <c r="D184" s="10" t="str">
        <f>_xlfn.IFNA(VLOOKUP($A184,CompChecksTrans!$A:$C,3,FALSE), "      ")</f>
        <v xml:space="preserve">      </v>
      </c>
    </row>
    <row r="185" spans="1:4" x14ac:dyDescent="0.25">
      <c r="A185" s="241" t="s">
        <v>7489</v>
      </c>
      <c r="B185" s="10" t="str">
        <f>_xlfn.IFNA(VLOOKUP($A185,CompChecksTrans!$A:$C,2,FALSE),"")</f>
        <v/>
      </c>
      <c r="C185" s="10" t="str">
        <f>_xlfn.IFNA(VLOOKUP(B185,Phase4!A$4:C$1000,3,FALSE),"")</f>
        <v/>
      </c>
      <c r="D185" s="10" t="str">
        <f>_xlfn.IFNA(VLOOKUP($A185,CompChecksTrans!$A:$C,3,FALSE), "      ")</f>
        <v xml:space="preserve">      </v>
      </c>
    </row>
    <row r="186" spans="1:4" x14ac:dyDescent="0.25">
      <c r="A186" s="241" t="s">
        <v>7490</v>
      </c>
      <c r="B186" s="10" t="str">
        <f>_xlfn.IFNA(VLOOKUP($A186,CompChecksTrans!$A:$C,2,FALSE),"")</f>
        <v/>
      </c>
      <c r="C186" s="10" t="str">
        <f>_xlfn.IFNA(VLOOKUP(B186,Phase4!A$4:C$1000,3,FALSE),"")</f>
        <v/>
      </c>
      <c r="D186" s="10" t="str">
        <f>_xlfn.IFNA(VLOOKUP($A186,CompChecksTrans!$A:$C,3,FALSE), "      ")</f>
        <v xml:space="preserve">      </v>
      </c>
    </row>
    <row r="187" spans="1:4" x14ac:dyDescent="0.25">
      <c r="A187" s="241" t="s">
        <v>7491</v>
      </c>
      <c r="B187" s="10" t="str">
        <f>_xlfn.IFNA(VLOOKUP($A187,CompChecksTrans!$A:$C,2,FALSE),"")</f>
        <v/>
      </c>
      <c r="C187" s="10" t="str">
        <f>_xlfn.IFNA(VLOOKUP(B187,Phase4!A$4:C$1000,3,FALSE),"")</f>
        <v/>
      </c>
      <c r="D187" s="10" t="str">
        <f>_xlfn.IFNA(VLOOKUP($A187,CompChecksTrans!$A:$C,3,FALSE), "      ")</f>
        <v xml:space="preserve">      </v>
      </c>
    </row>
    <row r="188" spans="1:4" x14ac:dyDescent="0.25">
      <c r="A188" s="241" t="s">
        <v>7492</v>
      </c>
      <c r="B188" s="10" t="str">
        <f>_xlfn.IFNA(VLOOKUP($A188,CompChecksTrans!$A:$C,2,FALSE),"")</f>
        <v/>
      </c>
      <c r="C188" s="10" t="str">
        <f>_xlfn.IFNA(VLOOKUP(B188,Phase4!A$4:C$1000,3,FALSE),"")</f>
        <v/>
      </c>
      <c r="D188" s="10" t="str">
        <f>_xlfn.IFNA(VLOOKUP($A188,CompChecksTrans!$A:$C,3,FALSE), "      ")</f>
        <v xml:space="preserve">      </v>
      </c>
    </row>
    <row r="189" spans="1:4" x14ac:dyDescent="0.25">
      <c r="A189" s="241" t="s">
        <v>7493</v>
      </c>
      <c r="B189" s="10" t="str">
        <f>_xlfn.IFNA(VLOOKUP($A189,CompChecksTrans!$A:$C,2,FALSE),"")</f>
        <v/>
      </c>
      <c r="C189" s="10" t="str">
        <f>_xlfn.IFNA(VLOOKUP(B189,Phase4!A$4:C$1000,3,FALSE),"")</f>
        <v/>
      </c>
      <c r="D189" s="10" t="str">
        <f>_xlfn.IFNA(VLOOKUP($A189,CompChecksTrans!$A:$C,3,FALSE), "      ")</f>
        <v xml:space="preserve">      </v>
      </c>
    </row>
    <row r="190" spans="1:4" x14ac:dyDescent="0.25">
      <c r="A190" s="241" t="s">
        <v>7494</v>
      </c>
      <c r="B190" s="10" t="str">
        <f>_xlfn.IFNA(VLOOKUP($A190,CompChecksTrans!$A:$C,2,FALSE),"")</f>
        <v/>
      </c>
      <c r="C190" s="10" t="str">
        <f>_xlfn.IFNA(VLOOKUP(B190,Phase4!A$4:C$1000,3,FALSE),"")</f>
        <v/>
      </c>
      <c r="D190" s="10" t="str">
        <f>_xlfn.IFNA(VLOOKUP($A190,CompChecksTrans!$A:$C,3,FALSE), "      ")</f>
        <v xml:space="preserve">      </v>
      </c>
    </row>
    <row r="191" spans="1:4" x14ac:dyDescent="0.25">
      <c r="A191" s="241" t="s">
        <v>7495</v>
      </c>
      <c r="B191" s="10" t="str">
        <f>_xlfn.IFNA(VLOOKUP($A191,CompChecksTrans!$A:$C,2,FALSE),"")</f>
        <v/>
      </c>
      <c r="C191" s="10" t="str">
        <f>_xlfn.IFNA(VLOOKUP(B191,Phase4!A$4:C$1000,3,FALSE),"")</f>
        <v/>
      </c>
      <c r="D191" s="10" t="str">
        <f>_xlfn.IFNA(VLOOKUP($A191,CompChecksTrans!$A:$C,3,FALSE), "      ")</f>
        <v xml:space="preserve">      </v>
      </c>
    </row>
    <row r="192" spans="1:4" x14ac:dyDescent="0.25">
      <c r="A192" s="241" t="s">
        <v>7496</v>
      </c>
      <c r="B192" s="10" t="str">
        <f>_xlfn.IFNA(VLOOKUP($A192,CompChecksTrans!$A:$C,2,FALSE),"")</f>
        <v/>
      </c>
      <c r="C192" s="10" t="str">
        <f>_xlfn.IFNA(VLOOKUP(B192,Phase4!A$4:C$1000,3,FALSE),"")</f>
        <v/>
      </c>
      <c r="D192" s="10" t="str">
        <f>_xlfn.IFNA(VLOOKUP($A192,CompChecksTrans!$A:$C,3,FALSE), "      ")</f>
        <v xml:space="preserve">      </v>
      </c>
    </row>
    <row r="193" spans="1:4" x14ac:dyDescent="0.25">
      <c r="A193" s="241" t="s">
        <v>7497</v>
      </c>
      <c r="B193" s="10" t="str">
        <f>_xlfn.IFNA(VLOOKUP($A193,CompChecksTrans!$A:$C,2,FALSE),"")</f>
        <v/>
      </c>
      <c r="C193" s="10" t="str">
        <f>_xlfn.IFNA(VLOOKUP(B193,Phase4!A$4:C$1000,3,FALSE),"")</f>
        <v/>
      </c>
      <c r="D193" s="10" t="str">
        <f>_xlfn.IFNA(VLOOKUP($A193,CompChecksTrans!$A:$C,3,FALSE), "      ")</f>
        <v xml:space="preserve">      </v>
      </c>
    </row>
    <row r="194" spans="1:4" x14ac:dyDescent="0.25">
      <c r="A194" s="241" t="s">
        <v>7498</v>
      </c>
      <c r="B194" s="10" t="str">
        <f>_xlfn.IFNA(VLOOKUP($A194,CompChecksTrans!$A:$C,2,FALSE),"")</f>
        <v/>
      </c>
      <c r="C194" s="10" t="str">
        <f>_xlfn.IFNA(VLOOKUP(B194,Phase4!A$4:C$1000,3,FALSE),"")</f>
        <v/>
      </c>
      <c r="D194" s="10" t="str">
        <f>_xlfn.IFNA(VLOOKUP($A194,CompChecksTrans!$A:$C,3,FALSE), "      ")</f>
        <v xml:space="preserve">      </v>
      </c>
    </row>
    <row r="195" spans="1:4" x14ac:dyDescent="0.25">
      <c r="A195" s="241" t="s">
        <v>7499</v>
      </c>
      <c r="B195" s="10" t="str">
        <f>_xlfn.IFNA(VLOOKUP($A195,CompChecksTrans!$A:$C,2,FALSE),"")</f>
        <v/>
      </c>
      <c r="C195" s="10" t="str">
        <f>_xlfn.IFNA(VLOOKUP(B195,Phase4!A$4:C$1000,3,FALSE),"")</f>
        <v/>
      </c>
      <c r="D195" s="10" t="str">
        <f>_xlfn.IFNA(VLOOKUP($A195,CompChecksTrans!$A:$C,3,FALSE), "      ")</f>
        <v xml:space="preserve">      </v>
      </c>
    </row>
    <row r="196" spans="1:4" x14ac:dyDescent="0.25">
      <c r="A196" s="241" t="s">
        <v>7500</v>
      </c>
      <c r="B196" s="10" t="str">
        <f>_xlfn.IFNA(VLOOKUP($A196,CompChecksTrans!$A:$C,2,FALSE),"")</f>
        <v/>
      </c>
      <c r="C196" s="10" t="str">
        <f>_xlfn.IFNA(VLOOKUP(B196,Phase4!A$4:C$1000,3,FALSE),"")</f>
        <v/>
      </c>
      <c r="D196" s="10" t="str">
        <f>_xlfn.IFNA(VLOOKUP($A196,CompChecksTrans!$A:$C,3,FALSE), "      ")</f>
        <v xml:space="preserve">      </v>
      </c>
    </row>
    <row r="197" spans="1:4" x14ac:dyDescent="0.25">
      <c r="A197" s="241" t="s">
        <v>7501</v>
      </c>
      <c r="B197" s="10" t="str">
        <f>_xlfn.IFNA(VLOOKUP($A197,CompChecksTrans!$A:$C,2,FALSE),"")</f>
        <v/>
      </c>
      <c r="C197" s="10" t="str">
        <f>_xlfn.IFNA(VLOOKUP(B197,Phase4!A$4:C$1000,3,FALSE),"")</f>
        <v/>
      </c>
      <c r="D197" s="10" t="str">
        <f>_xlfn.IFNA(VLOOKUP($A197,CompChecksTrans!$A:$C,3,FALSE), "      ")</f>
        <v xml:space="preserve">      </v>
      </c>
    </row>
    <row r="198" spans="1:4" x14ac:dyDescent="0.25">
      <c r="A198" s="241" t="s">
        <v>7502</v>
      </c>
      <c r="B198" s="10" t="str">
        <f>_xlfn.IFNA(VLOOKUP($A198,CompChecksTrans!$A:$C,2,FALSE),"")</f>
        <v/>
      </c>
      <c r="C198" s="10" t="str">
        <f>_xlfn.IFNA(VLOOKUP(B198,Phase4!A$4:C$1000,3,FALSE),"")</f>
        <v/>
      </c>
      <c r="D198" s="10" t="str">
        <f>_xlfn.IFNA(VLOOKUP($A198,CompChecksTrans!$A:$C,3,FALSE), "      ")</f>
        <v xml:space="preserve">      </v>
      </c>
    </row>
    <row r="199" spans="1:4" x14ac:dyDescent="0.25">
      <c r="A199" s="241" t="s">
        <v>7503</v>
      </c>
      <c r="B199" s="10" t="str">
        <f>_xlfn.IFNA(VLOOKUP($A199,CompChecksTrans!$A:$C,2,FALSE),"")</f>
        <v/>
      </c>
      <c r="C199" s="10" t="str">
        <f>_xlfn.IFNA(VLOOKUP(B199,Phase4!A$4:C$1000,3,FALSE),"")</f>
        <v/>
      </c>
      <c r="D199" s="10" t="str">
        <f>_xlfn.IFNA(VLOOKUP($A199,CompChecksTrans!$A:$C,3,FALSE), "      ")</f>
        <v xml:space="preserve">      </v>
      </c>
    </row>
    <row r="200" spans="1:4" x14ac:dyDescent="0.25">
      <c r="A200" s="241" t="s">
        <v>7504</v>
      </c>
      <c r="B200" s="10" t="str">
        <f>_xlfn.IFNA(VLOOKUP($A200,CompChecksTrans!$A:$C,2,FALSE),"")</f>
        <v/>
      </c>
      <c r="C200" s="10" t="str">
        <f>_xlfn.IFNA(VLOOKUP(B200,Phase4!A$4:C$1000,3,FALSE),"")</f>
        <v/>
      </c>
      <c r="D200" s="10" t="str">
        <f>_xlfn.IFNA(VLOOKUP($A200,CompChecksTrans!$A:$C,3,FALSE), "      ")</f>
        <v xml:space="preserve">      </v>
      </c>
    </row>
    <row r="201" spans="1:4" x14ac:dyDescent="0.25">
      <c r="A201" s="241" t="s">
        <v>7505</v>
      </c>
      <c r="B201" s="10" t="str">
        <f>_xlfn.IFNA(VLOOKUP($A201,CompChecksTrans!$A:$C,2,FALSE),"")</f>
        <v/>
      </c>
      <c r="C201" s="10" t="str">
        <f>_xlfn.IFNA(VLOOKUP(B201,Phase4!A$4:C$1000,3,FALSE),"")</f>
        <v/>
      </c>
      <c r="D201" s="10" t="str">
        <f>_xlfn.IFNA(VLOOKUP($A201,CompChecksTrans!$A:$C,3,FALSE), "      ")</f>
        <v xml:space="preserve">      </v>
      </c>
    </row>
    <row r="202" spans="1:4" x14ac:dyDescent="0.25">
      <c r="A202" s="241" t="s">
        <v>7506</v>
      </c>
      <c r="B202" s="10" t="str">
        <f>_xlfn.IFNA(VLOOKUP($A202,CompChecksTrans!$A:$C,2,FALSE),"")</f>
        <v/>
      </c>
      <c r="C202" s="10" t="str">
        <f>_xlfn.IFNA(VLOOKUP(B202,Phase4!A$4:C$1000,3,FALSE),"")</f>
        <v/>
      </c>
      <c r="D202" s="10" t="str">
        <f>_xlfn.IFNA(VLOOKUP($A202,CompChecksTrans!$A:$C,3,FALSE), "      ")</f>
        <v xml:space="preserve">      </v>
      </c>
    </row>
    <row r="203" spans="1:4" x14ac:dyDescent="0.25">
      <c r="A203" s="241" t="s">
        <v>7507</v>
      </c>
      <c r="B203" s="10" t="str">
        <f>_xlfn.IFNA(VLOOKUP($A203,CompChecksTrans!$A:$C,2,FALSE),"")</f>
        <v/>
      </c>
      <c r="C203" s="10" t="str">
        <f>_xlfn.IFNA(VLOOKUP(B203,Phase4!A$4:C$1000,3,FALSE),"")</f>
        <v/>
      </c>
      <c r="D203" s="10" t="str">
        <f>_xlfn.IFNA(VLOOKUP($A203,CompChecksTrans!$A:$C,3,FALSE), "      ")</f>
        <v xml:space="preserve">      </v>
      </c>
    </row>
    <row r="204" spans="1:4" x14ac:dyDescent="0.25">
      <c r="A204" s="241" t="s">
        <v>7508</v>
      </c>
      <c r="B204" s="10" t="str">
        <f>_xlfn.IFNA(VLOOKUP($A204,CompChecksTrans!$A:$C,2,FALSE),"")</f>
        <v/>
      </c>
      <c r="C204" s="10" t="str">
        <f>_xlfn.IFNA(VLOOKUP(B204,Phase4!A$4:C$1000,3,FALSE),"")</f>
        <v/>
      </c>
      <c r="D204" s="10" t="str">
        <f>_xlfn.IFNA(VLOOKUP($A204,CompChecksTrans!$A:$C,3,FALSE), "      ")</f>
        <v xml:space="preserve">      </v>
      </c>
    </row>
    <row r="205" spans="1:4" x14ac:dyDescent="0.25">
      <c r="A205" s="241" t="s">
        <v>7509</v>
      </c>
      <c r="B205" s="10" t="str">
        <f>_xlfn.IFNA(VLOOKUP($A205,CompChecksTrans!$A:$C,2,FALSE),"")</f>
        <v/>
      </c>
      <c r="C205" s="10" t="str">
        <f>_xlfn.IFNA(VLOOKUP(B205,Phase4!A$4:C$1000,3,FALSE),"")</f>
        <v/>
      </c>
      <c r="D205" s="10" t="str">
        <f>_xlfn.IFNA(VLOOKUP($A205,CompChecksTrans!$A:$C,3,FALSE), "      ")</f>
        <v xml:space="preserve">      </v>
      </c>
    </row>
    <row r="206" spans="1:4" x14ac:dyDescent="0.25">
      <c r="A206" s="241" t="s">
        <v>7510</v>
      </c>
      <c r="B206" s="10" t="str">
        <f>_xlfn.IFNA(VLOOKUP($A206,CompChecksTrans!$A:$C,2,FALSE),"")</f>
        <v/>
      </c>
      <c r="C206" s="10" t="str">
        <f>_xlfn.IFNA(VLOOKUP(B206,Phase4!A$4:C$1000,3,FALSE),"")</f>
        <v/>
      </c>
      <c r="D206" s="10" t="str">
        <f>_xlfn.IFNA(VLOOKUP($A206,CompChecksTrans!$A:$C,3,FALSE), "      ")</f>
        <v xml:space="preserve">      </v>
      </c>
    </row>
    <row r="207" spans="1:4" x14ac:dyDescent="0.25">
      <c r="A207" s="241" t="s">
        <v>7511</v>
      </c>
      <c r="B207" s="10" t="str">
        <f>_xlfn.IFNA(VLOOKUP($A207,CompChecksTrans!$A:$C,2,FALSE),"")</f>
        <v/>
      </c>
      <c r="C207" s="10" t="str">
        <f>_xlfn.IFNA(VLOOKUP(B207,Phase4!A$4:C$1000,3,FALSE),"")</f>
        <v/>
      </c>
      <c r="D207" s="10" t="str">
        <f>_xlfn.IFNA(VLOOKUP($A207,CompChecksTrans!$A:$C,3,FALSE), "      ")</f>
        <v xml:space="preserve">      </v>
      </c>
    </row>
    <row r="208" spans="1:4" x14ac:dyDescent="0.25">
      <c r="A208" s="241" t="s">
        <v>7512</v>
      </c>
      <c r="B208" s="10" t="str">
        <f>_xlfn.IFNA(VLOOKUP($A208,CompChecksTrans!$A:$C,2,FALSE),"")</f>
        <v/>
      </c>
      <c r="C208" s="10" t="str">
        <f>_xlfn.IFNA(VLOOKUP(B208,Phase4!A$4:C$1000,3,FALSE),"")</f>
        <v/>
      </c>
      <c r="D208" s="10" t="str">
        <f>_xlfn.IFNA(VLOOKUP($A208,CompChecksTrans!$A:$C,3,FALSE), "      ")</f>
        <v xml:space="preserve">      </v>
      </c>
    </row>
    <row r="209" spans="1:4" x14ac:dyDescent="0.25">
      <c r="A209" s="241" t="s">
        <v>7513</v>
      </c>
      <c r="B209" s="10" t="str">
        <f>_xlfn.IFNA(VLOOKUP($A209,CompChecksTrans!$A:$C,2,FALSE),"")</f>
        <v/>
      </c>
      <c r="C209" s="10" t="str">
        <f>_xlfn.IFNA(VLOOKUP(B209,Phase4!A$4:C$1000,3,FALSE),"")</f>
        <v/>
      </c>
      <c r="D209" s="10" t="str">
        <f>_xlfn.IFNA(VLOOKUP($A209,CompChecksTrans!$A:$C,3,FALSE), "      ")</f>
        <v xml:space="preserve">      </v>
      </c>
    </row>
    <row r="210" spans="1:4" x14ac:dyDescent="0.25">
      <c r="A210" s="241" t="s">
        <v>7514</v>
      </c>
      <c r="B210" s="10" t="str">
        <f>_xlfn.IFNA(VLOOKUP($A210,CompChecksTrans!$A:$C,2,FALSE),"")</f>
        <v/>
      </c>
      <c r="C210" s="10" t="str">
        <f>_xlfn.IFNA(VLOOKUP(B210,Phase4!A$4:C$1000,3,FALSE),"")</f>
        <v/>
      </c>
      <c r="D210" s="10" t="str">
        <f>_xlfn.IFNA(VLOOKUP($A210,CompChecksTrans!$A:$C,3,FALSE), "      ")</f>
        <v xml:space="preserve">      </v>
      </c>
    </row>
    <row r="211" spans="1:4" x14ac:dyDescent="0.25">
      <c r="A211" s="241" t="s">
        <v>7515</v>
      </c>
      <c r="B211" s="10" t="str">
        <f>_xlfn.IFNA(VLOOKUP($A211,CompChecksTrans!$A:$C,2,FALSE),"")</f>
        <v/>
      </c>
      <c r="C211" s="10" t="str">
        <f>_xlfn.IFNA(VLOOKUP(B211,Phase4!A$4:C$1000,3,FALSE),"")</f>
        <v/>
      </c>
      <c r="D211" s="10" t="str">
        <f>_xlfn.IFNA(VLOOKUP($A211,CompChecksTrans!$A:$C,3,FALSE), "      ")</f>
        <v xml:space="preserve">      </v>
      </c>
    </row>
    <row r="212" spans="1:4" x14ac:dyDescent="0.25">
      <c r="A212" s="241" t="s">
        <v>7516</v>
      </c>
      <c r="B212" s="10" t="str">
        <f>_xlfn.IFNA(VLOOKUP($A212,CompChecksTrans!$A:$C,2,FALSE),"")</f>
        <v/>
      </c>
      <c r="C212" s="10" t="str">
        <f>_xlfn.IFNA(VLOOKUP(B212,Phase4!A$4:C$1000,3,FALSE),"")</f>
        <v/>
      </c>
      <c r="D212" s="10" t="str">
        <f>_xlfn.IFNA(VLOOKUP($A212,CompChecksTrans!$A:$C,3,FALSE), "      ")</f>
        <v xml:space="preserve">      </v>
      </c>
    </row>
    <row r="213" spans="1:4" x14ac:dyDescent="0.25">
      <c r="A213" s="241" t="s">
        <v>7517</v>
      </c>
      <c r="B213" s="10" t="str">
        <f>_xlfn.IFNA(VLOOKUP($A213,CompChecksTrans!$A:$C,2,FALSE),"")</f>
        <v/>
      </c>
      <c r="C213" s="10" t="str">
        <f>_xlfn.IFNA(VLOOKUP(B213,Phase4!A$4:C$1000,3,FALSE),"")</f>
        <v/>
      </c>
      <c r="D213" s="10" t="str">
        <f>_xlfn.IFNA(VLOOKUP($A213,CompChecksTrans!$A:$C,3,FALSE), "      ")</f>
        <v xml:space="preserve">      </v>
      </c>
    </row>
    <row r="214" spans="1:4" x14ac:dyDescent="0.25">
      <c r="A214" s="241" t="s">
        <v>7518</v>
      </c>
      <c r="B214" s="10" t="str">
        <f>_xlfn.IFNA(VLOOKUP($A214,CompChecksTrans!$A:$C,2,FALSE),"")</f>
        <v/>
      </c>
      <c r="C214" s="10" t="str">
        <f>_xlfn.IFNA(VLOOKUP(B214,Phase4!A$4:C$1000,3,FALSE),"")</f>
        <v/>
      </c>
      <c r="D214" s="10" t="str">
        <f>_xlfn.IFNA(VLOOKUP($A214,CompChecksTrans!$A:$C,3,FALSE), "      ")</f>
        <v xml:space="preserve">      </v>
      </c>
    </row>
    <row r="215" spans="1:4" x14ac:dyDescent="0.25">
      <c r="A215" s="241" t="s">
        <v>7519</v>
      </c>
      <c r="B215" s="10" t="str">
        <f>_xlfn.IFNA(VLOOKUP($A215,CompChecksTrans!$A:$C,2,FALSE),"")</f>
        <v/>
      </c>
      <c r="C215" s="10" t="str">
        <f>_xlfn.IFNA(VLOOKUP(B215,Phase4!A$4:C$1000,3,FALSE),"")</f>
        <v/>
      </c>
      <c r="D215" s="10" t="str">
        <f>_xlfn.IFNA(VLOOKUP($A215,CompChecksTrans!$A:$C,3,FALSE), "      ")</f>
        <v xml:space="preserve">      </v>
      </c>
    </row>
    <row r="216" spans="1:4" x14ac:dyDescent="0.25">
      <c r="A216" s="241" t="s">
        <v>7520</v>
      </c>
      <c r="B216" s="10" t="str">
        <f>_xlfn.IFNA(VLOOKUP($A216,CompChecksTrans!$A:$C,2,FALSE),"")</f>
        <v/>
      </c>
      <c r="C216" s="10" t="str">
        <f>_xlfn.IFNA(VLOOKUP(B216,Phase4!A$4:C$1000,3,FALSE),"")</f>
        <v/>
      </c>
      <c r="D216" s="10" t="str">
        <f>_xlfn.IFNA(VLOOKUP($A216,CompChecksTrans!$A:$C,3,FALSE), "      ")</f>
        <v xml:space="preserve">      </v>
      </c>
    </row>
    <row r="217" spans="1:4" x14ac:dyDescent="0.25">
      <c r="A217" s="241" t="s">
        <v>7521</v>
      </c>
      <c r="B217" s="10" t="str">
        <f>_xlfn.IFNA(VLOOKUP($A217,CompChecksTrans!$A:$C,2,FALSE),"")</f>
        <v/>
      </c>
      <c r="C217" s="10" t="str">
        <f>_xlfn.IFNA(VLOOKUP(B217,Phase4!A$4:C$1000,3,FALSE),"")</f>
        <v/>
      </c>
      <c r="D217" s="10" t="str">
        <f>_xlfn.IFNA(VLOOKUP($A217,CompChecksTrans!$A:$C,3,FALSE), "      ")</f>
        <v xml:space="preserve">      </v>
      </c>
    </row>
    <row r="218" spans="1:4" x14ac:dyDescent="0.25">
      <c r="A218" s="241" t="s">
        <v>7522</v>
      </c>
      <c r="B218" s="10" t="str">
        <f>_xlfn.IFNA(VLOOKUP($A218,CompChecksTrans!$A:$C,2,FALSE),"")</f>
        <v/>
      </c>
      <c r="C218" s="10" t="str">
        <f>_xlfn.IFNA(VLOOKUP(B218,Phase4!A$4:C$1000,3,FALSE),"")</f>
        <v/>
      </c>
      <c r="D218" s="10" t="str">
        <f>_xlfn.IFNA(VLOOKUP($A218,CompChecksTrans!$A:$C,3,FALSE), "      ")</f>
        <v xml:space="preserve">      </v>
      </c>
    </row>
    <row r="219" spans="1:4" x14ac:dyDescent="0.25">
      <c r="A219" s="241" t="s">
        <v>7523</v>
      </c>
      <c r="B219" s="10" t="str">
        <f>_xlfn.IFNA(VLOOKUP($A219,CompChecksTrans!$A:$C,2,FALSE),"")</f>
        <v/>
      </c>
      <c r="C219" s="10" t="str">
        <f>_xlfn.IFNA(VLOOKUP(B219,Phase4!A$4:C$1000,3,FALSE),"")</f>
        <v/>
      </c>
      <c r="D219" s="10" t="str">
        <f>_xlfn.IFNA(VLOOKUP($A219,CompChecksTrans!$A:$C,3,FALSE), "      ")</f>
        <v xml:space="preserve">      </v>
      </c>
    </row>
    <row r="220" spans="1:4" x14ac:dyDescent="0.25">
      <c r="A220" s="241" t="s">
        <v>7524</v>
      </c>
      <c r="B220" s="10" t="str">
        <f>_xlfn.IFNA(VLOOKUP($A220,CompChecksTrans!$A:$C,2,FALSE),"")</f>
        <v/>
      </c>
      <c r="C220" s="10" t="str">
        <f>_xlfn.IFNA(VLOOKUP(B220,Phase4!A$4:C$1000,3,FALSE),"")</f>
        <v/>
      </c>
      <c r="D220" s="10" t="str">
        <f>_xlfn.IFNA(VLOOKUP($A220,CompChecksTrans!$A:$C,3,FALSE), "      ")</f>
        <v xml:space="preserve">      </v>
      </c>
    </row>
    <row r="221" spans="1:4" x14ac:dyDescent="0.25">
      <c r="A221" s="241" t="s">
        <v>7525</v>
      </c>
      <c r="B221" s="10" t="str">
        <f>_xlfn.IFNA(VLOOKUP($A221,CompChecksTrans!$A:$C,2,FALSE),"")</f>
        <v/>
      </c>
      <c r="C221" s="10" t="str">
        <f>_xlfn.IFNA(VLOOKUP(B221,Phase4!A$4:C$1000,3,FALSE),"")</f>
        <v/>
      </c>
      <c r="D221" s="10" t="str">
        <f>_xlfn.IFNA(VLOOKUP($A221,CompChecksTrans!$A:$C,3,FALSE), "      ")</f>
        <v xml:space="preserve">      </v>
      </c>
    </row>
    <row r="222" spans="1:4" x14ac:dyDescent="0.25">
      <c r="A222" s="241" t="s">
        <v>7526</v>
      </c>
      <c r="B222" s="10" t="str">
        <f>_xlfn.IFNA(VLOOKUP($A222,CompChecksTrans!$A:$C,2,FALSE),"")</f>
        <v/>
      </c>
      <c r="C222" s="10" t="str">
        <f>_xlfn.IFNA(VLOOKUP(B222,Phase4!A$4:C$1000,3,FALSE),"")</f>
        <v/>
      </c>
      <c r="D222" s="10" t="str">
        <f>_xlfn.IFNA(VLOOKUP($A222,CompChecksTrans!$A:$C,3,FALSE), "      ")</f>
        <v xml:space="preserve">      </v>
      </c>
    </row>
    <row r="223" spans="1:4" x14ac:dyDescent="0.25">
      <c r="A223" s="241" t="s">
        <v>7527</v>
      </c>
      <c r="B223" s="10" t="str">
        <f>_xlfn.IFNA(VLOOKUP($A223,CompChecksTrans!$A:$C,2,FALSE),"")</f>
        <v/>
      </c>
      <c r="C223" s="10" t="str">
        <f>_xlfn.IFNA(VLOOKUP(B223,Phase4!A$4:C$1000,3,FALSE),"")</f>
        <v/>
      </c>
      <c r="D223" s="10" t="str">
        <f>_xlfn.IFNA(VLOOKUP($A223,CompChecksTrans!$A:$C,3,FALSE), "      ")</f>
        <v xml:space="preserve">      </v>
      </c>
    </row>
    <row r="224" spans="1:4" x14ac:dyDescent="0.25">
      <c r="A224" s="241" t="s">
        <v>7528</v>
      </c>
      <c r="B224" s="10" t="str">
        <f>_xlfn.IFNA(VLOOKUP($A224,CompChecksTrans!$A:$C,2,FALSE),"")</f>
        <v/>
      </c>
      <c r="C224" s="10" t="str">
        <f>_xlfn.IFNA(VLOOKUP(B224,Phase4!A$4:C$1000,3,FALSE),"")</f>
        <v/>
      </c>
      <c r="D224" s="10" t="str">
        <f>_xlfn.IFNA(VLOOKUP($A224,CompChecksTrans!$A:$C,3,FALSE), "      ")</f>
        <v xml:space="preserve">      </v>
      </c>
    </row>
    <row r="225" spans="1:4" x14ac:dyDescent="0.25">
      <c r="A225" s="241" t="s">
        <v>7529</v>
      </c>
      <c r="B225" s="10" t="str">
        <f>_xlfn.IFNA(VLOOKUP($A225,CompChecksTrans!$A:$C,2,FALSE),"")</f>
        <v/>
      </c>
      <c r="C225" s="10" t="str">
        <f>_xlfn.IFNA(VLOOKUP(B225,Phase4!A$4:C$1000,3,FALSE),"")</f>
        <v/>
      </c>
      <c r="D225" s="10" t="str">
        <f>_xlfn.IFNA(VLOOKUP($A225,CompChecksTrans!$A:$C,3,FALSE), "      ")</f>
        <v xml:space="preserve">      </v>
      </c>
    </row>
    <row r="226" spans="1:4" x14ac:dyDescent="0.25">
      <c r="A226" s="241" t="s">
        <v>7530</v>
      </c>
      <c r="B226" s="10" t="str">
        <f>_xlfn.IFNA(VLOOKUP($A226,CompChecksTrans!$A:$C,2,FALSE),"")</f>
        <v/>
      </c>
      <c r="C226" s="10" t="str">
        <f>_xlfn.IFNA(VLOOKUP(B226,Phase4!A$4:C$1000,3,FALSE),"")</f>
        <v/>
      </c>
      <c r="D226" s="10" t="str">
        <f>_xlfn.IFNA(VLOOKUP($A226,CompChecksTrans!$A:$C,3,FALSE), "      ")</f>
        <v xml:space="preserve">      </v>
      </c>
    </row>
    <row r="227" spans="1:4" x14ac:dyDescent="0.25">
      <c r="A227" s="241" t="s">
        <v>7531</v>
      </c>
      <c r="B227" s="10" t="str">
        <f>_xlfn.IFNA(VLOOKUP($A227,CompChecksTrans!$A:$C,2,FALSE),"")</f>
        <v/>
      </c>
      <c r="C227" s="10" t="str">
        <f>_xlfn.IFNA(VLOOKUP(B227,Phase4!A$4:C$1000,3,FALSE),"")</f>
        <v/>
      </c>
      <c r="D227" s="10" t="str">
        <f>_xlfn.IFNA(VLOOKUP($A227,CompChecksTrans!$A:$C,3,FALSE), "      ")</f>
        <v xml:space="preserve">      </v>
      </c>
    </row>
    <row r="228" spans="1:4" x14ac:dyDescent="0.25">
      <c r="A228" s="241" t="s">
        <v>7532</v>
      </c>
      <c r="B228" s="10" t="str">
        <f>_xlfn.IFNA(VLOOKUP($A228,CompChecksTrans!$A:$C,2,FALSE),"")</f>
        <v/>
      </c>
      <c r="C228" s="10" t="str">
        <f>_xlfn.IFNA(VLOOKUP(B228,Phase4!A$4:C$1000,3,FALSE),"")</f>
        <v/>
      </c>
      <c r="D228" s="10" t="str">
        <f>_xlfn.IFNA(VLOOKUP($A228,CompChecksTrans!$A:$C,3,FALSE), "      ")</f>
        <v xml:space="preserve">      </v>
      </c>
    </row>
    <row r="229" spans="1:4" x14ac:dyDescent="0.25">
      <c r="A229" s="241" t="s">
        <v>7533</v>
      </c>
      <c r="B229" s="10" t="str">
        <f>_xlfn.IFNA(VLOOKUP($A229,CompChecksTrans!$A:$C,2,FALSE),"")</f>
        <v/>
      </c>
      <c r="C229" s="10" t="str">
        <f>_xlfn.IFNA(VLOOKUP(B229,Phase4!A$4:C$1000,3,FALSE),"")</f>
        <v/>
      </c>
      <c r="D229" s="10" t="str">
        <f>_xlfn.IFNA(VLOOKUP($A229,CompChecksTrans!$A:$C,3,FALSE), "      ")</f>
        <v xml:space="preserve">      </v>
      </c>
    </row>
    <row r="230" spans="1:4" x14ac:dyDescent="0.25">
      <c r="A230" s="241" t="s">
        <v>7534</v>
      </c>
      <c r="B230" s="10" t="str">
        <f>_xlfn.IFNA(VLOOKUP($A230,CompChecksTrans!$A:$C,2,FALSE),"")</f>
        <v/>
      </c>
      <c r="C230" s="10" t="str">
        <f>_xlfn.IFNA(VLOOKUP(B230,Phase4!A$4:C$1000,3,FALSE),"")</f>
        <v/>
      </c>
      <c r="D230" s="10" t="str">
        <f>_xlfn.IFNA(VLOOKUP($A230,CompChecksTrans!$A:$C,3,FALSE), "      ")</f>
        <v xml:space="preserve">      </v>
      </c>
    </row>
    <row r="231" spans="1:4" x14ac:dyDescent="0.25">
      <c r="A231" s="241" t="s">
        <v>7535</v>
      </c>
      <c r="B231" s="10" t="str">
        <f>_xlfn.IFNA(VLOOKUP($A231,CompChecksTrans!$A:$C,2,FALSE),"")</f>
        <v/>
      </c>
      <c r="C231" s="10" t="str">
        <f>_xlfn.IFNA(VLOOKUP(B231,Phase4!A$4:C$1000,3,FALSE),"")</f>
        <v/>
      </c>
      <c r="D231" s="10" t="str">
        <f>_xlfn.IFNA(VLOOKUP($A231,CompChecksTrans!$A:$C,3,FALSE), "      ")</f>
        <v xml:space="preserve">      </v>
      </c>
    </row>
    <row r="232" spans="1:4" x14ac:dyDescent="0.25">
      <c r="A232" s="241" t="s">
        <v>7536</v>
      </c>
      <c r="B232" s="10" t="str">
        <f>_xlfn.IFNA(VLOOKUP($A232,CompChecksTrans!$A:$C,2,FALSE),"")</f>
        <v/>
      </c>
      <c r="C232" s="10" t="str">
        <f>_xlfn.IFNA(VLOOKUP(B232,Phase4!A$4:C$1000,3,FALSE),"")</f>
        <v/>
      </c>
      <c r="D232" s="10" t="str">
        <f>_xlfn.IFNA(VLOOKUP($A232,CompChecksTrans!$A:$C,3,FALSE), "      ")</f>
        <v xml:space="preserve">      </v>
      </c>
    </row>
    <row r="233" spans="1:4" x14ac:dyDescent="0.25">
      <c r="A233" s="241" t="s">
        <v>7537</v>
      </c>
      <c r="B233" s="10" t="str">
        <f>_xlfn.IFNA(VLOOKUP($A233,CompChecksTrans!$A:$C,2,FALSE),"")</f>
        <v/>
      </c>
      <c r="C233" s="10" t="str">
        <f>_xlfn.IFNA(VLOOKUP(B233,Phase4!A$4:C$1000,3,FALSE),"")</f>
        <v/>
      </c>
      <c r="D233" s="10" t="str">
        <f>_xlfn.IFNA(VLOOKUP($A233,CompChecksTrans!$A:$C,3,FALSE), "      ")</f>
        <v xml:space="preserve">      </v>
      </c>
    </row>
    <row r="234" spans="1:4" x14ac:dyDescent="0.25">
      <c r="A234" s="241" t="s">
        <v>7538</v>
      </c>
      <c r="B234" s="10" t="str">
        <f>_xlfn.IFNA(VLOOKUP($A234,CompChecksTrans!$A:$C,2,FALSE),"")</f>
        <v/>
      </c>
      <c r="C234" s="10" t="str">
        <f>_xlfn.IFNA(VLOOKUP(B234,Phase4!A$4:C$1000,3,FALSE),"")</f>
        <v/>
      </c>
      <c r="D234" s="10" t="str">
        <f>_xlfn.IFNA(VLOOKUP($A234,CompChecksTrans!$A:$C,3,FALSE), "      ")</f>
        <v xml:space="preserve">      </v>
      </c>
    </row>
    <row r="235" spans="1:4" x14ac:dyDescent="0.25">
      <c r="A235" s="241" t="s">
        <v>7539</v>
      </c>
      <c r="B235" s="10" t="str">
        <f>_xlfn.IFNA(VLOOKUP($A235,CompChecksTrans!$A:$C,2,FALSE),"")</f>
        <v/>
      </c>
      <c r="C235" s="10" t="str">
        <f>_xlfn.IFNA(VLOOKUP(B235,Phase4!A$4:C$1000,3,FALSE),"")</f>
        <v/>
      </c>
      <c r="D235" s="10" t="str">
        <f>_xlfn.IFNA(VLOOKUP($A235,CompChecksTrans!$A:$C,3,FALSE), "      ")</f>
        <v xml:space="preserve">      </v>
      </c>
    </row>
    <row r="236" spans="1:4" x14ac:dyDescent="0.25">
      <c r="A236" s="241" t="s">
        <v>7540</v>
      </c>
      <c r="B236" s="10" t="str">
        <f>_xlfn.IFNA(VLOOKUP($A236,CompChecksTrans!$A:$C,2,FALSE),"")</f>
        <v/>
      </c>
      <c r="C236" s="10" t="str">
        <f>_xlfn.IFNA(VLOOKUP(B236,Phase4!A$4:C$1000,3,FALSE),"")</f>
        <v/>
      </c>
      <c r="D236" s="10" t="str">
        <f>_xlfn.IFNA(VLOOKUP($A236,CompChecksTrans!$A:$C,3,FALSE), "      ")</f>
        <v xml:space="preserve">      </v>
      </c>
    </row>
    <row r="237" spans="1:4" x14ac:dyDescent="0.25">
      <c r="A237" s="241" t="s">
        <v>7541</v>
      </c>
      <c r="B237" s="10" t="str">
        <f>_xlfn.IFNA(VLOOKUP($A237,CompChecksTrans!$A:$C,2,FALSE),"")</f>
        <v/>
      </c>
      <c r="C237" s="10" t="str">
        <f>_xlfn.IFNA(VLOOKUP(B237,Phase4!A$4:C$1000,3,FALSE),"")</f>
        <v/>
      </c>
      <c r="D237" s="10" t="str">
        <f>_xlfn.IFNA(VLOOKUP($A237,CompChecksTrans!$A:$C,3,FALSE), "      ")</f>
        <v xml:space="preserve">      </v>
      </c>
    </row>
    <row r="238" spans="1:4" x14ac:dyDescent="0.25">
      <c r="A238" s="241" t="s">
        <v>7542</v>
      </c>
      <c r="B238" s="10" t="str">
        <f>_xlfn.IFNA(VLOOKUP($A238,CompChecksTrans!$A:$C,2,FALSE),"")</f>
        <v/>
      </c>
      <c r="C238" s="10" t="str">
        <f>_xlfn.IFNA(VLOOKUP(B238,Phase4!A$4:C$1000,3,FALSE),"")</f>
        <v/>
      </c>
      <c r="D238" s="10" t="str">
        <f>_xlfn.IFNA(VLOOKUP($A238,CompChecksTrans!$A:$C,3,FALSE), "      ")</f>
        <v xml:space="preserve">      </v>
      </c>
    </row>
    <row r="239" spans="1:4" x14ac:dyDescent="0.25">
      <c r="A239" s="241" t="s">
        <v>7543</v>
      </c>
      <c r="B239" s="10" t="str">
        <f>_xlfn.IFNA(VLOOKUP($A239,CompChecksTrans!$A:$C,2,FALSE),"")</f>
        <v/>
      </c>
      <c r="C239" s="10" t="str">
        <f>_xlfn.IFNA(VLOOKUP(B239,Phase4!A$4:C$1000,3,FALSE),"")</f>
        <v/>
      </c>
      <c r="D239" s="10" t="str">
        <f>_xlfn.IFNA(VLOOKUP($A239,CompChecksTrans!$A:$C,3,FALSE), "      ")</f>
        <v xml:space="preserve">      </v>
      </c>
    </row>
    <row r="240" spans="1:4" x14ac:dyDescent="0.25">
      <c r="A240" s="241" t="s">
        <v>7544</v>
      </c>
      <c r="B240" s="10" t="str">
        <f>_xlfn.IFNA(VLOOKUP($A240,CompChecksTrans!$A:$C,2,FALSE),"")</f>
        <v/>
      </c>
      <c r="C240" s="10" t="str">
        <f>_xlfn.IFNA(VLOOKUP(B240,Phase4!A$4:C$1000,3,FALSE),"")</f>
        <v/>
      </c>
      <c r="D240" s="10" t="str">
        <f>_xlfn.IFNA(VLOOKUP($A240,CompChecksTrans!$A:$C,3,FALSE), "      ")</f>
        <v xml:space="preserve">      </v>
      </c>
    </row>
    <row r="241" spans="1:4" x14ac:dyDescent="0.25">
      <c r="A241" s="241" t="s">
        <v>7545</v>
      </c>
      <c r="B241" s="10" t="str">
        <f>_xlfn.IFNA(VLOOKUP($A241,CompChecksTrans!$A:$C,2,FALSE),"")</f>
        <v/>
      </c>
      <c r="C241" s="10" t="str">
        <f>_xlfn.IFNA(VLOOKUP(B241,Phase4!A$4:C$1000,3,FALSE),"")</f>
        <v/>
      </c>
      <c r="D241" s="10" t="str">
        <f>_xlfn.IFNA(VLOOKUP($A241,CompChecksTrans!$A:$C,3,FALSE), "      ")</f>
        <v xml:space="preserve">      </v>
      </c>
    </row>
    <row r="242" spans="1:4" x14ac:dyDescent="0.25">
      <c r="A242" s="241" t="s">
        <v>7546</v>
      </c>
      <c r="B242" s="10" t="str">
        <f>_xlfn.IFNA(VLOOKUP($A242,CompChecksTrans!$A:$C,2,FALSE),"")</f>
        <v/>
      </c>
      <c r="C242" s="10" t="str">
        <f>_xlfn.IFNA(VLOOKUP(B242,Phase4!A$4:C$1000,3,FALSE),"")</f>
        <v/>
      </c>
      <c r="D242" s="10" t="str">
        <f>_xlfn.IFNA(VLOOKUP($A242,CompChecksTrans!$A:$C,3,FALSE), "      ")</f>
        <v xml:space="preserve">      </v>
      </c>
    </row>
    <row r="243" spans="1:4" x14ac:dyDescent="0.25">
      <c r="A243" s="241" t="s">
        <v>7547</v>
      </c>
      <c r="B243" s="10" t="str">
        <f>_xlfn.IFNA(VLOOKUP($A243,CompChecksTrans!$A:$C,2,FALSE),"")</f>
        <v/>
      </c>
      <c r="C243" s="10" t="str">
        <f>_xlfn.IFNA(VLOOKUP(B243,Phase4!A$4:C$1000,3,FALSE),"")</f>
        <v/>
      </c>
      <c r="D243" s="10" t="str">
        <f>_xlfn.IFNA(VLOOKUP($A243,CompChecksTrans!$A:$C,3,FALSE), "      ")</f>
        <v xml:space="preserve">      </v>
      </c>
    </row>
    <row r="244" spans="1:4" x14ac:dyDescent="0.25">
      <c r="A244" s="241" t="s">
        <v>7548</v>
      </c>
      <c r="B244" s="10" t="str">
        <f>_xlfn.IFNA(VLOOKUP($A244,CompChecksTrans!$A:$C,2,FALSE),"")</f>
        <v/>
      </c>
      <c r="C244" s="10" t="str">
        <f>_xlfn.IFNA(VLOOKUP(B244,Phase4!A$4:C$1000,3,FALSE),"")</f>
        <v/>
      </c>
      <c r="D244" s="10" t="str">
        <f>_xlfn.IFNA(VLOOKUP($A244,CompChecksTrans!$A:$C,3,FALSE), "      ")</f>
        <v xml:space="preserve">      </v>
      </c>
    </row>
    <row r="245" spans="1:4" x14ac:dyDescent="0.25">
      <c r="A245" s="241" t="s">
        <v>7549</v>
      </c>
      <c r="B245" s="10" t="str">
        <f>_xlfn.IFNA(VLOOKUP($A245,CompChecksTrans!$A:$C,2,FALSE),"")</f>
        <v/>
      </c>
      <c r="C245" s="10" t="str">
        <f>_xlfn.IFNA(VLOOKUP(B245,Phase4!A$4:C$1000,3,FALSE),"")</f>
        <v/>
      </c>
      <c r="D245" s="10" t="str">
        <f>_xlfn.IFNA(VLOOKUP($A245,CompChecksTrans!$A:$C,3,FALSE), "      ")</f>
        <v xml:space="preserve">      </v>
      </c>
    </row>
    <row r="246" spans="1:4" x14ac:dyDescent="0.25">
      <c r="A246" s="241" t="s">
        <v>7550</v>
      </c>
      <c r="B246" s="10" t="str">
        <f>_xlfn.IFNA(VLOOKUP($A246,CompChecksTrans!$A:$C,2,FALSE),"")</f>
        <v/>
      </c>
      <c r="C246" s="10" t="str">
        <f>_xlfn.IFNA(VLOOKUP(B246,Phase4!A$4:C$1000,3,FALSE),"")</f>
        <v/>
      </c>
      <c r="D246" s="10" t="str">
        <f>_xlfn.IFNA(VLOOKUP($A246,CompChecksTrans!$A:$C,3,FALSE), "      ")</f>
        <v xml:space="preserve">      </v>
      </c>
    </row>
    <row r="247" spans="1:4" x14ac:dyDescent="0.25">
      <c r="A247" s="241" t="s">
        <v>7551</v>
      </c>
      <c r="B247" s="10" t="str">
        <f>_xlfn.IFNA(VLOOKUP($A247,CompChecksTrans!$A:$C,2,FALSE),"")</f>
        <v/>
      </c>
      <c r="C247" s="10" t="str">
        <f>_xlfn.IFNA(VLOOKUP(B247,Phase4!A$4:C$1000,3,FALSE),"")</f>
        <v/>
      </c>
      <c r="D247" s="10" t="str">
        <f>_xlfn.IFNA(VLOOKUP($A247,CompChecksTrans!$A:$C,3,FALSE), "      ")</f>
        <v xml:space="preserve">      </v>
      </c>
    </row>
    <row r="248" spans="1:4" x14ac:dyDescent="0.25">
      <c r="A248" s="241" t="s">
        <v>7552</v>
      </c>
      <c r="B248" s="10" t="str">
        <f>_xlfn.IFNA(VLOOKUP($A248,CompChecksTrans!$A:$C,2,FALSE),"")</f>
        <v/>
      </c>
      <c r="C248" s="10" t="str">
        <f>_xlfn.IFNA(VLOOKUP(B248,Phase4!A$4:C$1000,3,FALSE),"")</f>
        <v/>
      </c>
      <c r="D248" s="10" t="str">
        <f>_xlfn.IFNA(VLOOKUP($A248,CompChecksTrans!$A:$C,3,FALSE), "      ")</f>
        <v xml:space="preserve">      </v>
      </c>
    </row>
    <row r="249" spans="1:4" x14ac:dyDescent="0.25">
      <c r="A249" s="241" t="s">
        <v>7553</v>
      </c>
      <c r="B249" s="10" t="str">
        <f>_xlfn.IFNA(VLOOKUP($A249,CompChecksTrans!$A:$C,2,FALSE),"")</f>
        <v/>
      </c>
      <c r="C249" s="10" t="str">
        <f>_xlfn.IFNA(VLOOKUP(B249,Phase4!A$4:C$1000,3,FALSE),"")</f>
        <v/>
      </c>
      <c r="D249" s="10" t="str">
        <f>_xlfn.IFNA(VLOOKUP($A249,CompChecksTrans!$A:$C,3,FALSE), "      ")</f>
        <v xml:space="preserve">      </v>
      </c>
    </row>
    <row r="250" spans="1:4" x14ac:dyDescent="0.25">
      <c r="A250" s="241" t="s">
        <v>7554</v>
      </c>
      <c r="B250" s="10" t="str">
        <f>_xlfn.IFNA(VLOOKUP($A250,CompChecksTrans!$A:$C,2,FALSE),"")</f>
        <v/>
      </c>
      <c r="C250" s="10" t="str">
        <f>_xlfn.IFNA(VLOOKUP(B250,Phase4!A$4:C$1000,3,FALSE),"")</f>
        <v/>
      </c>
      <c r="D250" s="10" t="str">
        <f>_xlfn.IFNA(VLOOKUP($A250,CompChecksTrans!$A:$C,3,FALSE), "      ")</f>
        <v xml:space="preserve">      </v>
      </c>
    </row>
    <row r="251" spans="1:4" x14ac:dyDescent="0.25">
      <c r="A251" s="241" t="s">
        <v>7555</v>
      </c>
      <c r="B251" s="10" t="str">
        <f>_xlfn.IFNA(VLOOKUP($A251,CompChecksTrans!$A:$C,2,FALSE),"")</f>
        <v/>
      </c>
      <c r="C251" s="10" t="str">
        <f>_xlfn.IFNA(VLOOKUP(B251,Phase4!A$4:C$1000,3,FALSE),"")</f>
        <v/>
      </c>
      <c r="D251" s="10" t="str">
        <f>_xlfn.IFNA(VLOOKUP($A251,CompChecksTrans!$A:$C,3,FALSE), "      ")</f>
        <v xml:space="preserve">      </v>
      </c>
    </row>
    <row r="252" spans="1:4" x14ac:dyDescent="0.25">
      <c r="A252" s="241" t="s">
        <v>7556</v>
      </c>
      <c r="B252" s="10" t="str">
        <f>_xlfn.IFNA(VLOOKUP($A252,CompChecksTrans!$A:$C,2,FALSE),"")</f>
        <v/>
      </c>
      <c r="C252" s="10" t="str">
        <f>_xlfn.IFNA(VLOOKUP(B252,Phase4!A$4:C$1000,3,FALSE),"")</f>
        <v/>
      </c>
      <c r="D252" s="10" t="str">
        <f>_xlfn.IFNA(VLOOKUP($A252,CompChecksTrans!$A:$C,3,FALSE), "      ")</f>
        <v xml:space="preserve">      </v>
      </c>
    </row>
    <row r="253" spans="1:4" x14ac:dyDescent="0.25">
      <c r="A253" s="241" t="s">
        <v>7557</v>
      </c>
      <c r="B253" s="10" t="str">
        <f>_xlfn.IFNA(VLOOKUP($A253,CompChecksTrans!$A:$C,2,FALSE),"")</f>
        <v/>
      </c>
      <c r="C253" s="10" t="str">
        <f>_xlfn.IFNA(VLOOKUP(B253,Phase4!A$4:C$1000,3,FALSE),"")</f>
        <v/>
      </c>
      <c r="D253" s="10" t="str">
        <f>_xlfn.IFNA(VLOOKUP($A253,CompChecksTrans!$A:$C,3,FALSE), "      ")</f>
        <v xml:space="preserve">      </v>
      </c>
    </row>
    <row r="254" spans="1:4" x14ac:dyDescent="0.25">
      <c r="A254" s="241" t="s">
        <v>7558</v>
      </c>
      <c r="B254" s="10" t="str">
        <f>_xlfn.IFNA(VLOOKUP($A254,CompChecksTrans!$A:$C,2,FALSE),"")</f>
        <v/>
      </c>
      <c r="C254" s="10" t="str">
        <f>_xlfn.IFNA(VLOOKUP(B254,Phase4!A$4:C$1000,3,FALSE),"")</f>
        <v/>
      </c>
      <c r="D254" s="10" t="str">
        <f>_xlfn.IFNA(VLOOKUP($A254,CompChecksTrans!$A:$C,3,FALSE), "      ")</f>
        <v xml:space="preserve">      </v>
      </c>
    </row>
    <row r="255" spans="1:4" x14ac:dyDescent="0.25">
      <c r="A255" s="241" t="s">
        <v>7559</v>
      </c>
      <c r="B255" s="10" t="str">
        <f>_xlfn.IFNA(VLOOKUP($A255,CompChecksTrans!$A:$C,2,FALSE),"")</f>
        <v/>
      </c>
      <c r="C255" s="10" t="str">
        <f>_xlfn.IFNA(VLOOKUP(B255,Phase4!A$4:C$1000,3,FALSE),"")</f>
        <v/>
      </c>
      <c r="D255" s="10" t="str">
        <f>_xlfn.IFNA(VLOOKUP($A255,CompChecksTrans!$A:$C,3,FALSE), "      ")</f>
        <v xml:space="preserve">      </v>
      </c>
    </row>
    <row r="256" spans="1:4" x14ac:dyDescent="0.25">
      <c r="A256" s="241" t="s">
        <v>7560</v>
      </c>
      <c r="B256" s="10" t="str">
        <f>_xlfn.IFNA(VLOOKUP($A256,CompChecksTrans!$A:$C,2,FALSE),"")</f>
        <v/>
      </c>
      <c r="C256" s="10" t="str">
        <f>_xlfn.IFNA(VLOOKUP(B256,Phase4!A$4:C$1000,3,FALSE),"")</f>
        <v/>
      </c>
      <c r="D256" s="10" t="str">
        <f>_xlfn.IFNA(VLOOKUP($A256,CompChecksTrans!$A:$C,3,FALSE), "      ")</f>
        <v xml:space="preserve">      </v>
      </c>
    </row>
    <row r="257" spans="1:4" x14ac:dyDescent="0.25">
      <c r="A257" s="241" t="s">
        <v>7561</v>
      </c>
      <c r="B257" s="10" t="str">
        <f>_xlfn.IFNA(VLOOKUP($A257,CompChecksTrans!$A:$C,2,FALSE),"")</f>
        <v/>
      </c>
      <c r="C257" s="10" t="str">
        <f>_xlfn.IFNA(VLOOKUP(B257,Phase4!A$4:C$1000,3,FALSE),"")</f>
        <v/>
      </c>
      <c r="D257" s="10" t="str">
        <f>_xlfn.IFNA(VLOOKUP($A257,CompChecksTrans!$A:$C,3,FALSE), "      ")</f>
        <v xml:space="preserve">      </v>
      </c>
    </row>
    <row r="258" spans="1:4" x14ac:dyDescent="0.25">
      <c r="A258" s="241" t="s">
        <v>7562</v>
      </c>
      <c r="B258" s="10" t="str">
        <f>_xlfn.IFNA(VLOOKUP($A258,CompChecksTrans!$A:$C,2,FALSE),"")</f>
        <v/>
      </c>
      <c r="C258" s="10" t="str">
        <f>_xlfn.IFNA(VLOOKUP(B258,Phase4!A$4:C$1000,3,FALSE),"")</f>
        <v/>
      </c>
      <c r="D258" s="10" t="str">
        <f>_xlfn.IFNA(VLOOKUP($A258,CompChecksTrans!$A:$C,3,FALSE), "      ")</f>
        <v xml:space="preserve">      </v>
      </c>
    </row>
    <row r="259" spans="1:4" x14ac:dyDescent="0.25">
      <c r="A259" s="241" t="s">
        <v>7563</v>
      </c>
      <c r="B259" s="10" t="str">
        <f>_xlfn.IFNA(VLOOKUP($A259,CompChecksTrans!$A:$C,2,FALSE),"")</f>
        <v/>
      </c>
      <c r="C259" s="10" t="str">
        <f>_xlfn.IFNA(VLOOKUP(B259,Phase4!A$4:C$1000,3,FALSE),"")</f>
        <v/>
      </c>
      <c r="D259" s="10" t="str">
        <f>_xlfn.IFNA(VLOOKUP($A259,CompChecksTrans!$A:$C,3,FALSE), "      ")</f>
        <v xml:space="preserve">      </v>
      </c>
    </row>
    <row r="260" spans="1:4" x14ac:dyDescent="0.25">
      <c r="A260" s="241" t="s">
        <v>7564</v>
      </c>
      <c r="B260" s="10" t="str">
        <f>_xlfn.IFNA(VLOOKUP($A260,CompChecksTrans!$A:$C,2,FALSE),"")</f>
        <v/>
      </c>
      <c r="C260" s="10" t="str">
        <f>_xlfn.IFNA(VLOOKUP(B260,Phase4!A$4:C$1000,3,FALSE),"")</f>
        <v/>
      </c>
      <c r="D260" s="10" t="str">
        <f>_xlfn.IFNA(VLOOKUP($A260,CompChecksTrans!$A:$C,3,FALSE), "      ")</f>
        <v xml:space="preserve">      </v>
      </c>
    </row>
    <row r="261" spans="1:4" x14ac:dyDescent="0.25">
      <c r="A261" s="241" t="s">
        <v>7565</v>
      </c>
      <c r="B261" s="10" t="str">
        <f>_xlfn.IFNA(VLOOKUP($A261,CompChecksTrans!$A:$C,2,FALSE),"")</f>
        <v/>
      </c>
      <c r="C261" s="10" t="str">
        <f>_xlfn.IFNA(VLOOKUP(B261,Phase4!A$4:C$1000,3,FALSE),"")</f>
        <v/>
      </c>
      <c r="D261" s="10" t="str">
        <f>_xlfn.IFNA(VLOOKUP($A261,CompChecksTrans!$A:$C,3,FALSE), "      ")</f>
        <v xml:space="preserve">      </v>
      </c>
    </row>
    <row r="262" spans="1:4" x14ac:dyDescent="0.25">
      <c r="A262" s="241" t="s">
        <v>7566</v>
      </c>
      <c r="B262" s="10" t="str">
        <f>_xlfn.IFNA(VLOOKUP($A262,CompChecksTrans!$A:$C,2,FALSE),"")</f>
        <v/>
      </c>
      <c r="C262" s="10" t="str">
        <f>_xlfn.IFNA(VLOOKUP(B262,Phase4!A$4:C$1000,3,FALSE),"")</f>
        <v/>
      </c>
      <c r="D262" s="10" t="str">
        <f>_xlfn.IFNA(VLOOKUP($A262,CompChecksTrans!$A:$C,3,FALSE), "      ")</f>
        <v xml:space="preserve">      </v>
      </c>
    </row>
    <row r="263" spans="1:4" x14ac:dyDescent="0.25">
      <c r="A263" s="241" t="s">
        <v>7567</v>
      </c>
      <c r="B263" s="10" t="str">
        <f>_xlfn.IFNA(VLOOKUP($A263,CompChecksTrans!$A:$C,2,FALSE),"")</f>
        <v/>
      </c>
      <c r="C263" s="10" t="str">
        <f>_xlfn.IFNA(VLOOKUP(B263,Phase4!A$4:C$1000,3,FALSE),"")</f>
        <v/>
      </c>
      <c r="D263" s="10" t="str">
        <f>_xlfn.IFNA(VLOOKUP($A263,CompChecksTrans!$A:$C,3,FALSE), "      ")</f>
        <v xml:space="preserve">      </v>
      </c>
    </row>
    <row r="264" spans="1:4" x14ac:dyDescent="0.25">
      <c r="A264" s="241" t="s">
        <v>7568</v>
      </c>
      <c r="B264" s="10" t="str">
        <f>_xlfn.IFNA(VLOOKUP($A264,CompChecksTrans!$A:$C,2,FALSE),"")</f>
        <v/>
      </c>
      <c r="C264" s="10" t="str">
        <f>_xlfn.IFNA(VLOOKUP(B264,Phase4!A$4:C$1000,3,FALSE),"")</f>
        <v/>
      </c>
      <c r="D264" s="10" t="str">
        <f>_xlfn.IFNA(VLOOKUP($A264,CompChecksTrans!$A:$C,3,FALSE), "      ")</f>
        <v xml:space="preserve">      </v>
      </c>
    </row>
    <row r="265" spans="1:4" x14ac:dyDescent="0.25">
      <c r="A265" s="241" t="s">
        <v>7569</v>
      </c>
      <c r="B265" s="10" t="str">
        <f>_xlfn.IFNA(VLOOKUP($A265,CompChecksTrans!$A:$C,2,FALSE),"")</f>
        <v/>
      </c>
      <c r="C265" s="10" t="str">
        <f>_xlfn.IFNA(VLOOKUP(B265,Phase4!A$4:C$1000,3,FALSE),"")</f>
        <v/>
      </c>
      <c r="D265" s="10" t="str">
        <f>_xlfn.IFNA(VLOOKUP($A265,CompChecksTrans!$A:$C,3,FALSE), "      ")</f>
        <v xml:space="preserve">      </v>
      </c>
    </row>
    <row r="266" spans="1:4" x14ac:dyDescent="0.25">
      <c r="A266" s="241" t="s">
        <v>7570</v>
      </c>
      <c r="B266" s="10" t="str">
        <f>_xlfn.IFNA(VLOOKUP($A266,CompChecksTrans!$A:$C,2,FALSE),"")</f>
        <v/>
      </c>
      <c r="C266" s="10" t="str">
        <f>_xlfn.IFNA(VLOOKUP(B266,Phase4!A$4:C$1000,3,FALSE),"")</f>
        <v/>
      </c>
      <c r="D266" s="10" t="str">
        <f>_xlfn.IFNA(VLOOKUP($A266,CompChecksTrans!$A:$C,3,FALSE), "      ")</f>
        <v xml:space="preserve">      </v>
      </c>
    </row>
    <row r="267" spans="1:4" x14ac:dyDescent="0.25">
      <c r="A267" s="241" t="s">
        <v>7571</v>
      </c>
      <c r="B267" s="10" t="str">
        <f>_xlfn.IFNA(VLOOKUP($A267,CompChecksTrans!$A:$C,2,FALSE),"")</f>
        <v/>
      </c>
      <c r="C267" s="10" t="str">
        <f>_xlfn.IFNA(VLOOKUP(B267,Phase4!A$4:C$1000,3,FALSE),"")</f>
        <v/>
      </c>
      <c r="D267" s="10" t="str">
        <f>_xlfn.IFNA(VLOOKUP($A267,CompChecksTrans!$A:$C,3,FALSE), "      ")</f>
        <v xml:space="preserve">      </v>
      </c>
    </row>
    <row r="268" spans="1:4" x14ac:dyDescent="0.25">
      <c r="A268" s="241" t="s">
        <v>7572</v>
      </c>
      <c r="B268" s="10" t="str">
        <f>_xlfn.IFNA(VLOOKUP($A268,CompChecksTrans!$A:$C,2,FALSE),"")</f>
        <v/>
      </c>
      <c r="C268" s="10" t="str">
        <f>_xlfn.IFNA(VLOOKUP(B268,Phase4!A$4:C$1000,3,FALSE),"")</f>
        <v/>
      </c>
      <c r="D268" s="10" t="str">
        <f>_xlfn.IFNA(VLOOKUP($A268,CompChecksTrans!$A:$C,3,FALSE), "      ")</f>
        <v xml:space="preserve">      </v>
      </c>
    </row>
    <row r="269" spans="1:4" x14ac:dyDescent="0.25">
      <c r="A269" s="241" t="s">
        <v>7573</v>
      </c>
      <c r="B269" s="10" t="str">
        <f>_xlfn.IFNA(VLOOKUP($A269,CompChecksTrans!$A:$C,2,FALSE),"")</f>
        <v/>
      </c>
      <c r="C269" s="10" t="str">
        <f>_xlfn.IFNA(VLOOKUP(B269,Phase4!A$4:C$1000,3,FALSE),"")</f>
        <v/>
      </c>
      <c r="D269" s="10" t="str">
        <f>_xlfn.IFNA(VLOOKUP($A269,CompChecksTrans!$A:$C,3,FALSE), "      ")</f>
        <v xml:space="preserve">      </v>
      </c>
    </row>
    <row r="270" spans="1:4" x14ac:dyDescent="0.25">
      <c r="A270" s="241" t="s">
        <v>7574</v>
      </c>
      <c r="B270" s="10" t="str">
        <f>_xlfn.IFNA(VLOOKUP($A270,CompChecksTrans!$A:$C,2,FALSE),"")</f>
        <v/>
      </c>
      <c r="C270" s="10" t="str">
        <f>_xlfn.IFNA(VLOOKUP(B270,Phase4!A$4:C$1000,3,FALSE),"")</f>
        <v/>
      </c>
      <c r="D270" s="10" t="str">
        <f>_xlfn.IFNA(VLOOKUP($A270,CompChecksTrans!$A:$C,3,FALSE), "      ")</f>
        <v xml:space="preserve">      </v>
      </c>
    </row>
    <row r="271" spans="1:4" x14ac:dyDescent="0.25">
      <c r="A271" s="241" t="s">
        <v>7575</v>
      </c>
      <c r="B271" s="10" t="str">
        <f>_xlfn.IFNA(VLOOKUP($A271,CompChecksTrans!$A:$C,2,FALSE),"")</f>
        <v/>
      </c>
      <c r="C271" s="10" t="str">
        <f>_xlfn.IFNA(VLOOKUP(B271,Phase4!A$4:C$1000,3,FALSE),"")</f>
        <v/>
      </c>
      <c r="D271" s="10" t="str">
        <f>_xlfn.IFNA(VLOOKUP($A271,CompChecksTrans!$A:$C,3,FALSE), "      ")</f>
        <v xml:space="preserve">      </v>
      </c>
    </row>
    <row r="272" spans="1:4" x14ac:dyDescent="0.25">
      <c r="A272" s="241" t="s">
        <v>7576</v>
      </c>
      <c r="B272" s="10" t="str">
        <f>_xlfn.IFNA(VLOOKUP($A272,CompChecksTrans!$A:$C,2,FALSE),"")</f>
        <v/>
      </c>
      <c r="C272" s="10" t="str">
        <f>_xlfn.IFNA(VLOOKUP(B272,Phase4!A$4:C$1000,3,FALSE),"")</f>
        <v/>
      </c>
      <c r="D272" s="10" t="str">
        <f>_xlfn.IFNA(VLOOKUP($A272,CompChecksTrans!$A:$C,3,FALSE), "      ")</f>
        <v xml:space="preserve">      </v>
      </c>
    </row>
    <row r="273" spans="1:4" x14ac:dyDescent="0.25">
      <c r="A273" s="241" t="s">
        <v>7577</v>
      </c>
      <c r="B273" s="10" t="str">
        <f>_xlfn.IFNA(VLOOKUP($A273,CompChecksTrans!$A:$C,2,FALSE),"")</f>
        <v/>
      </c>
      <c r="C273" s="10" t="str">
        <f>_xlfn.IFNA(VLOOKUP(B273,Phase4!A$4:C$1000,3,FALSE),"")</f>
        <v/>
      </c>
      <c r="D273" s="10" t="str">
        <f>_xlfn.IFNA(VLOOKUP($A273,CompChecksTrans!$A:$C,3,FALSE), "      ")</f>
        <v xml:space="preserve">      </v>
      </c>
    </row>
    <row r="274" spans="1:4" x14ac:dyDescent="0.25">
      <c r="A274" s="241" t="s">
        <v>7578</v>
      </c>
      <c r="B274" s="10" t="str">
        <f>_xlfn.IFNA(VLOOKUP($A274,CompChecksTrans!$A:$C,2,FALSE),"")</f>
        <v/>
      </c>
      <c r="C274" s="10" t="str">
        <f>_xlfn.IFNA(VLOOKUP(B274,Phase4!A$4:C$1000,3,FALSE),"")</f>
        <v/>
      </c>
      <c r="D274" s="10" t="str">
        <f>_xlfn.IFNA(VLOOKUP($A274,CompChecksTrans!$A:$C,3,FALSE), "      ")</f>
        <v xml:space="preserve">      </v>
      </c>
    </row>
    <row r="275" spans="1:4" x14ac:dyDescent="0.25">
      <c r="A275" s="241" t="s">
        <v>7579</v>
      </c>
      <c r="B275" s="10" t="str">
        <f>_xlfn.IFNA(VLOOKUP($A275,CompChecksTrans!$A:$C,2,FALSE),"")</f>
        <v/>
      </c>
      <c r="C275" s="10" t="str">
        <f>_xlfn.IFNA(VLOOKUP(B275,Phase4!A$4:C$1000,3,FALSE),"")</f>
        <v/>
      </c>
      <c r="D275" s="10" t="str">
        <f>_xlfn.IFNA(VLOOKUP($A275,CompChecksTrans!$A:$C,3,FALSE), "      ")</f>
        <v xml:space="preserve">      </v>
      </c>
    </row>
    <row r="276" spans="1:4" x14ac:dyDescent="0.25">
      <c r="A276" s="241" t="s">
        <v>7580</v>
      </c>
      <c r="B276" s="10" t="str">
        <f>_xlfn.IFNA(VLOOKUP($A276,CompChecksTrans!$A:$C,2,FALSE),"")</f>
        <v/>
      </c>
      <c r="C276" s="10" t="str">
        <f>_xlfn.IFNA(VLOOKUP(B276,Phase4!A$4:C$1000,3,FALSE),"")</f>
        <v/>
      </c>
      <c r="D276" s="10" t="str">
        <f>_xlfn.IFNA(VLOOKUP($A276,CompChecksTrans!$A:$C,3,FALSE), "      ")</f>
        <v xml:space="preserve">      </v>
      </c>
    </row>
    <row r="277" spans="1:4" x14ac:dyDescent="0.25">
      <c r="A277" s="241" t="s">
        <v>7581</v>
      </c>
      <c r="B277" s="10" t="str">
        <f>_xlfn.IFNA(VLOOKUP($A277,CompChecksTrans!$A:$C,2,FALSE),"")</f>
        <v/>
      </c>
      <c r="C277" s="10" t="str">
        <f>_xlfn.IFNA(VLOOKUP(B277,Phase4!A$4:C$1000,3,FALSE),"")</f>
        <v/>
      </c>
      <c r="D277" s="10" t="str">
        <f>_xlfn.IFNA(VLOOKUP($A277,CompChecksTrans!$A:$C,3,FALSE), "      ")</f>
        <v xml:space="preserve">      </v>
      </c>
    </row>
    <row r="278" spans="1:4" x14ac:dyDescent="0.25">
      <c r="A278" s="241" t="s">
        <v>7582</v>
      </c>
      <c r="B278" s="10" t="str">
        <f>_xlfn.IFNA(VLOOKUP($A278,CompChecksTrans!$A:$C,2,FALSE),"")</f>
        <v/>
      </c>
      <c r="C278" s="10" t="str">
        <f>_xlfn.IFNA(VLOOKUP(B278,Phase4!A$4:C$1000,3,FALSE),"")</f>
        <v/>
      </c>
      <c r="D278" s="10" t="str">
        <f>_xlfn.IFNA(VLOOKUP($A278,CompChecksTrans!$A:$C,3,FALSE), "      ")</f>
        <v xml:space="preserve">      </v>
      </c>
    </row>
    <row r="279" spans="1:4" x14ac:dyDescent="0.25">
      <c r="A279" s="241" t="s">
        <v>7583</v>
      </c>
      <c r="B279" s="10" t="str">
        <f>_xlfn.IFNA(VLOOKUP($A279,CompChecksTrans!$A:$C,2,FALSE),"")</f>
        <v/>
      </c>
      <c r="C279" s="10" t="str">
        <f>_xlfn.IFNA(VLOOKUP(B279,Phase4!A$4:C$1000,3,FALSE),"")</f>
        <v/>
      </c>
      <c r="D279" s="10" t="str">
        <f>_xlfn.IFNA(VLOOKUP($A279,CompChecksTrans!$A:$C,3,FALSE), "      ")</f>
        <v xml:space="preserve">      </v>
      </c>
    </row>
    <row r="280" spans="1:4" x14ac:dyDescent="0.25">
      <c r="A280" s="241" t="s">
        <v>7584</v>
      </c>
      <c r="B280" s="10" t="str">
        <f>_xlfn.IFNA(VLOOKUP($A280,CompChecksTrans!$A:$C,2,FALSE),"")</f>
        <v/>
      </c>
      <c r="C280" s="10" t="str">
        <f>_xlfn.IFNA(VLOOKUP(B280,Phase4!A$4:C$1000,3,FALSE),"")</f>
        <v/>
      </c>
      <c r="D280" s="10" t="str">
        <f>_xlfn.IFNA(VLOOKUP($A280,CompChecksTrans!$A:$C,3,FALSE), "      ")</f>
        <v xml:space="preserve">      </v>
      </c>
    </row>
    <row r="281" spans="1:4" x14ac:dyDescent="0.25">
      <c r="A281" s="241" t="s">
        <v>7585</v>
      </c>
      <c r="B281" s="10" t="str">
        <f>_xlfn.IFNA(VLOOKUP($A281,CompChecksTrans!$A:$C,2,FALSE),"")</f>
        <v/>
      </c>
      <c r="C281" s="10" t="str">
        <f>_xlfn.IFNA(VLOOKUP(B281,Phase4!A$4:C$1000,3,FALSE),"")</f>
        <v/>
      </c>
      <c r="D281" s="10" t="str">
        <f>_xlfn.IFNA(VLOOKUP($A281,CompChecksTrans!$A:$C,3,FALSE), "      ")</f>
        <v xml:space="preserve">      </v>
      </c>
    </row>
    <row r="282" spans="1:4" x14ac:dyDescent="0.25">
      <c r="A282" s="241" t="s">
        <v>7586</v>
      </c>
      <c r="B282" s="10" t="str">
        <f>_xlfn.IFNA(VLOOKUP($A282,CompChecksTrans!$A:$C,2,FALSE),"")</f>
        <v/>
      </c>
      <c r="C282" s="10" t="str">
        <f>_xlfn.IFNA(VLOOKUP(B282,Phase4!A$4:C$1000,3,FALSE),"")</f>
        <v/>
      </c>
      <c r="D282" s="10" t="str">
        <f>_xlfn.IFNA(VLOOKUP($A282,CompChecksTrans!$A:$C,3,FALSE), "      ")</f>
        <v xml:space="preserve">      </v>
      </c>
    </row>
    <row r="283" spans="1:4" x14ac:dyDescent="0.25">
      <c r="A283" s="241" t="s">
        <v>7587</v>
      </c>
      <c r="B283" s="10" t="str">
        <f>_xlfn.IFNA(VLOOKUP($A283,CompChecksTrans!$A:$C,2,FALSE),"")</f>
        <v/>
      </c>
      <c r="C283" s="10" t="str">
        <f>_xlfn.IFNA(VLOOKUP(B283,Phase4!A$4:C$1000,3,FALSE),"")</f>
        <v/>
      </c>
      <c r="D283" s="10" t="str">
        <f>_xlfn.IFNA(VLOOKUP($A283,CompChecksTrans!$A:$C,3,FALSE), "      ")</f>
        <v xml:space="preserve">      </v>
      </c>
    </row>
    <row r="284" spans="1:4" x14ac:dyDescent="0.25">
      <c r="A284" s="241" t="s">
        <v>7588</v>
      </c>
      <c r="B284" s="10" t="str">
        <f>_xlfn.IFNA(VLOOKUP($A284,CompChecksTrans!$A:$C,2,FALSE),"")</f>
        <v/>
      </c>
      <c r="C284" s="10" t="str">
        <f>_xlfn.IFNA(VLOOKUP(B284,Phase4!A$4:C$1000,3,FALSE),"")</f>
        <v/>
      </c>
      <c r="D284" s="10" t="str">
        <f>_xlfn.IFNA(VLOOKUP($A284,CompChecksTrans!$A:$C,3,FALSE), "      ")</f>
        <v xml:space="preserve">      </v>
      </c>
    </row>
    <row r="285" spans="1:4" x14ac:dyDescent="0.25">
      <c r="A285" s="241" t="s">
        <v>7589</v>
      </c>
      <c r="B285" s="10" t="str">
        <f>_xlfn.IFNA(VLOOKUP($A285,CompChecksTrans!$A:$C,2,FALSE),"")</f>
        <v/>
      </c>
      <c r="C285" s="10" t="str">
        <f>_xlfn.IFNA(VLOOKUP(B285,Phase4!A$4:C$1000,3,FALSE),"")</f>
        <v/>
      </c>
      <c r="D285" s="10" t="str">
        <f>_xlfn.IFNA(VLOOKUP($A285,CompChecksTrans!$A:$C,3,FALSE), "      ")</f>
        <v xml:space="preserve">      </v>
      </c>
    </row>
    <row r="286" spans="1:4" x14ac:dyDescent="0.25">
      <c r="A286" s="241" t="s">
        <v>7590</v>
      </c>
      <c r="B286" s="10" t="str">
        <f>_xlfn.IFNA(VLOOKUP($A286,CompChecksTrans!$A:$C,2,FALSE),"")</f>
        <v/>
      </c>
      <c r="C286" s="10" t="str">
        <f>_xlfn.IFNA(VLOOKUP(B286,Phase4!A$4:C$1000,3,FALSE),"")</f>
        <v/>
      </c>
      <c r="D286" s="10" t="str">
        <f>_xlfn.IFNA(VLOOKUP($A286,CompChecksTrans!$A:$C,3,FALSE), "      ")</f>
        <v xml:space="preserve">      </v>
      </c>
    </row>
    <row r="287" spans="1:4" x14ac:dyDescent="0.25">
      <c r="A287" s="241" t="s">
        <v>7591</v>
      </c>
      <c r="B287" s="10" t="str">
        <f>_xlfn.IFNA(VLOOKUP($A287,CompChecksTrans!$A:$C,2,FALSE),"")</f>
        <v/>
      </c>
      <c r="C287" s="10" t="str">
        <f>_xlfn.IFNA(VLOOKUP(B287,Phase4!A$4:C$1000,3,FALSE),"")</f>
        <v/>
      </c>
      <c r="D287" s="10" t="str">
        <f>_xlfn.IFNA(VLOOKUP($A287,CompChecksTrans!$A:$C,3,FALSE), "      ")</f>
        <v xml:space="preserve">      </v>
      </c>
    </row>
    <row r="288" spans="1:4" x14ac:dyDescent="0.25">
      <c r="A288" s="241" t="s">
        <v>7592</v>
      </c>
      <c r="B288" s="10" t="str">
        <f>_xlfn.IFNA(VLOOKUP($A288,CompChecksTrans!$A:$C,2,FALSE),"")</f>
        <v/>
      </c>
      <c r="C288" s="10" t="str">
        <f>_xlfn.IFNA(VLOOKUP(B288,Phase4!A$4:C$1000,3,FALSE),"")</f>
        <v/>
      </c>
      <c r="D288" s="10" t="str">
        <f>_xlfn.IFNA(VLOOKUP($A288,CompChecksTrans!$A:$C,3,FALSE), "      ")</f>
        <v xml:space="preserve">      </v>
      </c>
    </row>
    <row r="289" spans="1:4" x14ac:dyDescent="0.25">
      <c r="A289" s="241" t="s">
        <v>7593</v>
      </c>
      <c r="B289" s="10" t="str">
        <f>_xlfn.IFNA(VLOOKUP($A289,CompChecksTrans!$A:$C,2,FALSE),"")</f>
        <v/>
      </c>
      <c r="C289" s="10" t="str">
        <f>_xlfn.IFNA(VLOOKUP(B289,Phase4!A$4:C$1000,3,FALSE),"")</f>
        <v/>
      </c>
      <c r="D289" s="10" t="str">
        <f>_xlfn.IFNA(VLOOKUP($A289,CompChecksTrans!$A:$C,3,FALSE), "      ")</f>
        <v xml:space="preserve">      </v>
      </c>
    </row>
    <row r="290" spans="1:4" x14ac:dyDescent="0.25">
      <c r="A290" s="241" t="s">
        <v>7594</v>
      </c>
      <c r="B290" s="10" t="str">
        <f>_xlfn.IFNA(VLOOKUP($A290,CompChecksTrans!$A:$C,2,FALSE),"")</f>
        <v/>
      </c>
      <c r="C290" s="10" t="str">
        <f>_xlfn.IFNA(VLOOKUP(B290,Phase4!A$4:C$1000,3,FALSE),"")</f>
        <v/>
      </c>
      <c r="D290" s="10" t="str">
        <f>_xlfn.IFNA(VLOOKUP($A290,CompChecksTrans!$A:$C,3,FALSE), "      ")</f>
        <v xml:space="preserve">      </v>
      </c>
    </row>
    <row r="291" spans="1:4" x14ac:dyDescent="0.25">
      <c r="A291" s="241" t="s">
        <v>7595</v>
      </c>
      <c r="B291" s="10" t="str">
        <f>_xlfn.IFNA(VLOOKUP($A291,CompChecksTrans!$A:$C,2,FALSE),"")</f>
        <v/>
      </c>
      <c r="C291" s="10" t="str">
        <f>_xlfn.IFNA(VLOOKUP(B291,Phase4!A$4:C$1000,3,FALSE),"")</f>
        <v/>
      </c>
      <c r="D291" s="10" t="str">
        <f>_xlfn.IFNA(VLOOKUP($A291,CompChecksTrans!$A:$C,3,FALSE), "      ")</f>
        <v xml:space="preserve">      </v>
      </c>
    </row>
    <row r="292" spans="1:4" x14ac:dyDescent="0.25">
      <c r="A292" s="241" t="s">
        <v>7596</v>
      </c>
      <c r="B292" s="10" t="str">
        <f>_xlfn.IFNA(VLOOKUP($A292,CompChecksTrans!$A:$C,2,FALSE),"")</f>
        <v/>
      </c>
      <c r="C292" s="10" t="str">
        <f>_xlfn.IFNA(VLOOKUP(B292,Phase4!A$4:C$1000,3,FALSE),"")</f>
        <v/>
      </c>
      <c r="D292" s="10" t="str">
        <f>_xlfn.IFNA(VLOOKUP($A292,CompChecksTrans!$A:$C,3,FALSE), "      ")</f>
        <v xml:space="preserve">      </v>
      </c>
    </row>
    <row r="293" spans="1:4" x14ac:dyDescent="0.25">
      <c r="A293" s="241" t="s">
        <v>7597</v>
      </c>
      <c r="B293" s="10" t="str">
        <f>_xlfn.IFNA(VLOOKUP($A293,CompChecksTrans!$A:$C,2,FALSE),"")</f>
        <v/>
      </c>
      <c r="C293" s="10" t="str">
        <f>_xlfn.IFNA(VLOOKUP(B293,Phase4!A$4:C$1000,3,FALSE),"")</f>
        <v/>
      </c>
      <c r="D293" s="10" t="str">
        <f>_xlfn.IFNA(VLOOKUP($A293,CompChecksTrans!$A:$C,3,FALSE), "      ")</f>
        <v xml:space="preserve">      </v>
      </c>
    </row>
    <row r="294" spans="1:4" x14ac:dyDescent="0.25">
      <c r="A294" s="241" t="s">
        <v>7598</v>
      </c>
      <c r="B294" s="10" t="str">
        <f>_xlfn.IFNA(VLOOKUP($A294,CompChecksTrans!$A:$C,2,FALSE),"")</f>
        <v/>
      </c>
      <c r="C294" s="10" t="str">
        <f>_xlfn.IFNA(VLOOKUP(B294,Phase4!A$4:C$1000,3,FALSE),"")</f>
        <v/>
      </c>
      <c r="D294" s="10" t="str">
        <f>_xlfn.IFNA(VLOOKUP($A294,CompChecksTrans!$A:$C,3,FALSE), "      ")</f>
        <v xml:space="preserve">      </v>
      </c>
    </row>
    <row r="295" spans="1:4" x14ac:dyDescent="0.25">
      <c r="A295" s="241" t="s">
        <v>7599</v>
      </c>
      <c r="B295" s="10" t="str">
        <f>_xlfn.IFNA(VLOOKUP($A295,CompChecksTrans!$A:$C,2,FALSE),"")</f>
        <v/>
      </c>
      <c r="C295" s="10" t="str">
        <f>_xlfn.IFNA(VLOOKUP(B295,Phase4!A$4:C$1000,3,FALSE),"")</f>
        <v/>
      </c>
      <c r="D295" s="10" t="str">
        <f>_xlfn.IFNA(VLOOKUP($A295,CompChecksTrans!$A:$C,3,FALSE), "      ")</f>
        <v xml:space="preserve">      </v>
      </c>
    </row>
    <row r="296" spans="1:4" x14ac:dyDescent="0.25">
      <c r="A296" s="241" t="s">
        <v>7600</v>
      </c>
      <c r="B296" s="10" t="str">
        <f>_xlfn.IFNA(VLOOKUP($A296,CompChecksTrans!$A:$C,2,FALSE),"")</f>
        <v/>
      </c>
      <c r="C296" s="10" t="str">
        <f>_xlfn.IFNA(VLOOKUP(B296,Phase4!A$4:C$1000,3,FALSE),"")</f>
        <v/>
      </c>
      <c r="D296" s="10" t="str">
        <f>_xlfn.IFNA(VLOOKUP($A296,CompChecksTrans!$A:$C,3,FALSE), "      ")</f>
        <v xml:space="preserve">      </v>
      </c>
    </row>
    <row r="297" spans="1:4" x14ac:dyDescent="0.25">
      <c r="A297" s="241" t="s">
        <v>7601</v>
      </c>
      <c r="B297" s="10" t="str">
        <f>_xlfn.IFNA(VLOOKUP($A297,CompChecksTrans!$A:$C,2,FALSE),"")</f>
        <v/>
      </c>
      <c r="C297" s="10" t="str">
        <f>_xlfn.IFNA(VLOOKUP(B297,Phase4!A$4:C$1000,3,FALSE),"")</f>
        <v/>
      </c>
      <c r="D297" s="10" t="str">
        <f>_xlfn.IFNA(VLOOKUP($A297,CompChecksTrans!$A:$C,3,FALSE), "      ")</f>
        <v xml:space="preserve">      </v>
      </c>
    </row>
    <row r="298" spans="1:4" x14ac:dyDescent="0.25">
      <c r="A298" s="241" t="s">
        <v>7602</v>
      </c>
      <c r="B298" s="10" t="str">
        <f>_xlfn.IFNA(VLOOKUP($A298,CompChecksTrans!$A:$C,2,FALSE),"")</f>
        <v/>
      </c>
      <c r="C298" s="10" t="str">
        <f>_xlfn.IFNA(VLOOKUP(B298,Phase4!A$4:C$1000,3,FALSE),"")</f>
        <v/>
      </c>
      <c r="D298" s="10" t="str">
        <f>_xlfn.IFNA(VLOOKUP($A298,CompChecksTrans!$A:$C,3,FALSE), "      ")</f>
        <v xml:space="preserve">      </v>
      </c>
    </row>
    <row r="299" spans="1:4" x14ac:dyDescent="0.25">
      <c r="A299" s="241" t="s">
        <v>7603</v>
      </c>
      <c r="B299" s="10" t="str">
        <f>_xlfn.IFNA(VLOOKUP($A299,CompChecksTrans!$A:$C,2,FALSE),"")</f>
        <v/>
      </c>
      <c r="C299" s="10" t="str">
        <f>_xlfn.IFNA(VLOOKUP(B299,Phase4!A$4:C$1000,3,FALSE),"")</f>
        <v/>
      </c>
      <c r="D299" s="10" t="str">
        <f>_xlfn.IFNA(VLOOKUP($A299,CompChecksTrans!$A:$C,3,FALSE), "      ")</f>
        <v xml:space="preserve">      </v>
      </c>
    </row>
    <row r="300" spans="1:4" x14ac:dyDescent="0.25">
      <c r="A300" s="241" t="s">
        <v>7604</v>
      </c>
      <c r="B300" s="10" t="str">
        <f>_xlfn.IFNA(VLOOKUP($A300,CompChecksTrans!$A:$C,2,FALSE),"")</f>
        <v/>
      </c>
      <c r="C300" s="10" t="str">
        <f>_xlfn.IFNA(VLOOKUP(B300,Phase4!A$4:C$1000,3,FALSE),"")</f>
        <v/>
      </c>
      <c r="D300" s="10" t="str">
        <f>_xlfn.IFNA(VLOOKUP($A300,CompChecksTrans!$A:$C,3,FALSE), "      ")</f>
        <v xml:space="preserve">      </v>
      </c>
    </row>
    <row r="301" spans="1:4" x14ac:dyDescent="0.25">
      <c r="A301" s="241" t="s">
        <v>7605</v>
      </c>
      <c r="B301" s="10" t="str">
        <f>_xlfn.IFNA(VLOOKUP($A301,CompChecksTrans!$A:$C,2,FALSE),"")</f>
        <v/>
      </c>
      <c r="C301" s="10" t="str">
        <f>_xlfn.IFNA(VLOOKUP(B301,Phase4!A$4:C$1000,3,FALSE),"")</f>
        <v/>
      </c>
      <c r="D301" s="10" t="str">
        <f>_xlfn.IFNA(VLOOKUP($A301,CompChecksTrans!$A:$C,3,FALSE), "      ")</f>
        <v xml:space="preserve">      </v>
      </c>
    </row>
    <row r="302" spans="1:4" x14ac:dyDescent="0.25">
      <c r="A302" s="241" t="s">
        <v>7606</v>
      </c>
      <c r="B302" s="10" t="str">
        <f>_xlfn.IFNA(VLOOKUP($A302,CompChecksTrans!$A:$C,2,FALSE),"")</f>
        <v/>
      </c>
      <c r="C302" s="10" t="str">
        <f>_xlfn.IFNA(VLOOKUP(B302,Phase4!A$4:C$1000,3,FALSE),"")</f>
        <v/>
      </c>
      <c r="D302" s="10" t="str">
        <f>_xlfn.IFNA(VLOOKUP($A302,CompChecksTrans!$A:$C,3,FALSE), "      ")</f>
        <v xml:space="preserve">      </v>
      </c>
    </row>
    <row r="303" spans="1:4" x14ac:dyDescent="0.25">
      <c r="A303" s="241" t="s">
        <v>7607</v>
      </c>
      <c r="B303" s="10" t="str">
        <f>_xlfn.IFNA(VLOOKUP($A303,CompChecksTrans!$A:$C,2,FALSE),"")</f>
        <v/>
      </c>
      <c r="C303" s="10" t="str">
        <f>_xlfn.IFNA(VLOOKUP(B303,Phase4!A$4:C$1000,3,FALSE),"")</f>
        <v/>
      </c>
      <c r="D303" s="10" t="str">
        <f>_xlfn.IFNA(VLOOKUP($A303,CompChecksTrans!$A:$C,3,FALSE), "      ")</f>
        <v xml:space="preserve">      </v>
      </c>
    </row>
    <row r="304" spans="1:4" x14ac:dyDescent="0.25">
      <c r="A304" s="241" t="s">
        <v>7608</v>
      </c>
      <c r="B304" s="10" t="str">
        <f>_xlfn.IFNA(VLOOKUP($A304,CompChecksTrans!$A:$C,2,FALSE),"")</f>
        <v/>
      </c>
      <c r="C304" s="10" t="str">
        <f>_xlfn.IFNA(VLOOKUP(B304,Phase4!A$4:C$1000,3,FALSE),"")</f>
        <v/>
      </c>
      <c r="D304" s="10" t="str">
        <f>_xlfn.IFNA(VLOOKUP($A304,CompChecksTrans!$A:$C,3,FALSE), "      ")</f>
        <v xml:space="preserve">      </v>
      </c>
    </row>
    <row r="305" spans="1:4" x14ac:dyDescent="0.25">
      <c r="A305" s="241" t="s">
        <v>7609</v>
      </c>
      <c r="B305" s="10" t="str">
        <f>_xlfn.IFNA(VLOOKUP($A305,CompChecksTrans!$A:$C,2,FALSE),"")</f>
        <v/>
      </c>
      <c r="C305" s="10" t="str">
        <f>_xlfn.IFNA(VLOOKUP(B305,Phase4!A$4:C$1000,3,FALSE),"")</f>
        <v/>
      </c>
      <c r="D305" s="10" t="str">
        <f>_xlfn.IFNA(VLOOKUP($A305,CompChecksTrans!$A:$C,3,FALSE), "      ")</f>
        <v xml:space="preserve">      </v>
      </c>
    </row>
    <row r="306" spans="1:4" x14ac:dyDescent="0.25">
      <c r="A306" s="241" t="s">
        <v>7610</v>
      </c>
      <c r="B306" s="10" t="str">
        <f>_xlfn.IFNA(VLOOKUP($A306,CompChecksTrans!$A:$C,2,FALSE),"")</f>
        <v/>
      </c>
      <c r="C306" s="10" t="str">
        <f>_xlfn.IFNA(VLOOKUP(B306,Phase4!A$4:C$1000,3,FALSE),"")</f>
        <v/>
      </c>
      <c r="D306" s="10" t="str">
        <f>_xlfn.IFNA(VLOOKUP($A306,CompChecksTrans!$A:$C,3,FALSE), "      ")</f>
        <v xml:space="preserve">      </v>
      </c>
    </row>
    <row r="307" spans="1:4" x14ac:dyDescent="0.25">
      <c r="A307" s="241" t="s">
        <v>7611</v>
      </c>
      <c r="B307" s="10" t="str">
        <f>_xlfn.IFNA(VLOOKUP($A307,CompChecksTrans!$A:$C,2,FALSE),"")</f>
        <v/>
      </c>
      <c r="C307" s="10" t="str">
        <f>_xlfn.IFNA(VLOOKUP(B307,Phase4!A$4:C$1000,3,FALSE),"")</f>
        <v/>
      </c>
      <c r="D307" s="10" t="str">
        <f>_xlfn.IFNA(VLOOKUP($A307,CompChecksTrans!$A:$C,3,FALSE), "      ")</f>
        <v xml:space="preserve">      </v>
      </c>
    </row>
    <row r="308" spans="1:4" x14ac:dyDescent="0.25">
      <c r="A308" s="241" t="s">
        <v>7612</v>
      </c>
      <c r="B308" s="10" t="str">
        <f>_xlfn.IFNA(VLOOKUP($A308,CompChecksTrans!$A:$C,2,FALSE),"")</f>
        <v/>
      </c>
      <c r="C308" s="10" t="str">
        <f>_xlfn.IFNA(VLOOKUP(B308,Phase4!A$4:C$1000,3,FALSE),"")</f>
        <v/>
      </c>
      <c r="D308" s="10" t="str">
        <f>_xlfn.IFNA(VLOOKUP($A308,CompChecksTrans!$A:$C,3,FALSE), "      ")</f>
        <v xml:space="preserve">      </v>
      </c>
    </row>
    <row r="309" spans="1:4" x14ac:dyDescent="0.25">
      <c r="A309" s="241" t="s">
        <v>7613</v>
      </c>
      <c r="B309" s="10" t="str">
        <f>_xlfn.IFNA(VLOOKUP($A309,CompChecksTrans!$A:$C,2,FALSE),"")</f>
        <v/>
      </c>
      <c r="C309" s="10" t="str">
        <f>_xlfn.IFNA(VLOOKUP(B309,Phase4!A$4:C$1000,3,FALSE),"")</f>
        <v/>
      </c>
      <c r="D309" s="10" t="str">
        <f>_xlfn.IFNA(VLOOKUP($A309,CompChecksTrans!$A:$C,3,FALSE), "      ")</f>
        <v xml:space="preserve">      </v>
      </c>
    </row>
    <row r="310" spans="1:4" x14ac:dyDescent="0.25">
      <c r="A310" s="241" t="s">
        <v>7614</v>
      </c>
      <c r="B310" s="10" t="str">
        <f>_xlfn.IFNA(VLOOKUP($A310,CompChecksTrans!$A:$C,2,FALSE),"")</f>
        <v/>
      </c>
      <c r="C310" s="10" t="str">
        <f>_xlfn.IFNA(VLOOKUP(B310,Phase4!A$4:C$1000,3,FALSE),"")</f>
        <v/>
      </c>
      <c r="D310" s="10" t="str">
        <f>_xlfn.IFNA(VLOOKUP($A310,CompChecksTrans!$A:$C,3,FALSE), "      ")</f>
        <v xml:space="preserve">      </v>
      </c>
    </row>
    <row r="311" spans="1:4" x14ac:dyDescent="0.25">
      <c r="A311" s="241" t="s">
        <v>7615</v>
      </c>
      <c r="B311" s="10" t="str">
        <f>_xlfn.IFNA(VLOOKUP($A311,CompChecksTrans!$A:$C,2,FALSE),"")</f>
        <v/>
      </c>
      <c r="C311" s="10" t="str">
        <f>_xlfn.IFNA(VLOOKUP(B311,Phase4!A$4:C$1000,3,FALSE),"")</f>
        <v/>
      </c>
      <c r="D311" s="10" t="str">
        <f>_xlfn.IFNA(VLOOKUP($A311,CompChecksTrans!$A:$C,3,FALSE), "      ")</f>
        <v xml:space="preserve">      </v>
      </c>
    </row>
    <row r="312" spans="1:4" x14ac:dyDescent="0.25">
      <c r="A312" s="241" t="s">
        <v>7616</v>
      </c>
      <c r="B312" s="10" t="str">
        <f>_xlfn.IFNA(VLOOKUP($A312,CompChecksTrans!$A:$C,2,FALSE),"")</f>
        <v/>
      </c>
      <c r="C312" s="10" t="str">
        <f>_xlfn.IFNA(VLOOKUP(B312,Phase4!A$4:C$1000,3,FALSE),"")</f>
        <v/>
      </c>
      <c r="D312" s="10" t="str">
        <f>_xlfn.IFNA(VLOOKUP($A312,CompChecksTrans!$A:$C,3,FALSE), "      ")</f>
        <v xml:space="preserve">      </v>
      </c>
    </row>
    <row r="313" spans="1:4" x14ac:dyDescent="0.25">
      <c r="A313" s="241" t="s">
        <v>7617</v>
      </c>
      <c r="B313" s="10" t="str">
        <f>_xlfn.IFNA(VLOOKUP($A313,CompChecksTrans!$A:$C,2,FALSE),"")</f>
        <v/>
      </c>
      <c r="C313" s="10" t="str">
        <f>_xlfn.IFNA(VLOOKUP(B313,Phase4!A$4:C$1000,3,FALSE),"")</f>
        <v/>
      </c>
      <c r="D313" s="10" t="str">
        <f>_xlfn.IFNA(VLOOKUP($A313,CompChecksTrans!$A:$C,3,FALSE), "      ")</f>
        <v xml:space="preserve">      </v>
      </c>
    </row>
    <row r="314" spans="1:4" x14ac:dyDescent="0.25">
      <c r="A314" s="241" t="s">
        <v>7618</v>
      </c>
      <c r="B314" s="10" t="str">
        <f>_xlfn.IFNA(VLOOKUP($A314,CompChecksTrans!$A:$C,2,FALSE),"")</f>
        <v/>
      </c>
      <c r="C314" s="10" t="str">
        <f>_xlfn.IFNA(VLOOKUP(B314,Phase4!A$4:C$1000,3,FALSE),"")</f>
        <v/>
      </c>
      <c r="D314" s="10" t="str">
        <f>_xlfn.IFNA(VLOOKUP($A314,CompChecksTrans!$A:$C,3,FALSE), "      ")</f>
        <v xml:space="preserve">      </v>
      </c>
    </row>
    <row r="315" spans="1:4" x14ac:dyDescent="0.25">
      <c r="A315" s="241" t="s">
        <v>7619</v>
      </c>
      <c r="B315" s="10" t="str">
        <f>_xlfn.IFNA(VLOOKUP($A315,CompChecksTrans!$A:$C,2,FALSE),"")</f>
        <v/>
      </c>
      <c r="C315" s="10" t="str">
        <f>_xlfn.IFNA(VLOOKUP(B315,Phase4!A$4:C$1000,3,FALSE),"")</f>
        <v/>
      </c>
      <c r="D315" s="10" t="str">
        <f>_xlfn.IFNA(VLOOKUP($A315,CompChecksTrans!$A:$C,3,FALSE), "      ")</f>
        <v xml:space="preserve">      </v>
      </c>
    </row>
    <row r="316" spans="1:4" x14ac:dyDescent="0.25">
      <c r="A316" s="241" t="s">
        <v>7620</v>
      </c>
      <c r="B316" s="10" t="str">
        <f>_xlfn.IFNA(VLOOKUP($A316,CompChecksTrans!$A:$C,2,FALSE),"")</f>
        <v/>
      </c>
      <c r="C316" s="10" t="str">
        <f>_xlfn.IFNA(VLOOKUP(B316,Phase4!A$4:C$1000,3,FALSE),"")</f>
        <v/>
      </c>
      <c r="D316" s="10" t="str">
        <f>_xlfn.IFNA(VLOOKUP($A316,CompChecksTrans!$A:$C,3,FALSE), "      ")</f>
        <v xml:space="preserve">      </v>
      </c>
    </row>
    <row r="317" spans="1:4" x14ac:dyDescent="0.25">
      <c r="A317" s="241" t="s">
        <v>7621</v>
      </c>
      <c r="B317" s="10" t="str">
        <f>_xlfn.IFNA(VLOOKUP($A317,CompChecksTrans!$A:$C,2,FALSE),"")</f>
        <v/>
      </c>
      <c r="C317" s="10" t="str">
        <f>_xlfn.IFNA(VLOOKUP(B317,Phase4!A$4:C$1000,3,FALSE),"")</f>
        <v/>
      </c>
      <c r="D317" s="10" t="str">
        <f>_xlfn.IFNA(VLOOKUP($A317,CompChecksTrans!$A:$C,3,FALSE), "      ")</f>
        <v xml:space="preserve">      </v>
      </c>
    </row>
    <row r="318" spans="1:4" x14ac:dyDescent="0.25">
      <c r="A318" s="241" t="s">
        <v>7622</v>
      </c>
      <c r="B318" s="10" t="str">
        <f>_xlfn.IFNA(VLOOKUP($A318,CompChecksTrans!$A:$C,2,FALSE),"")</f>
        <v/>
      </c>
      <c r="C318" s="10" t="str">
        <f>_xlfn.IFNA(VLOOKUP(B318,Phase4!A$4:C$1000,3,FALSE),"")</f>
        <v/>
      </c>
      <c r="D318" s="10" t="str">
        <f>_xlfn.IFNA(VLOOKUP($A318,CompChecksTrans!$A:$C,3,FALSE), "      ")</f>
        <v xml:space="preserve">      </v>
      </c>
    </row>
    <row r="319" spans="1:4" x14ac:dyDescent="0.25">
      <c r="A319" s="241" t="s">
        <v>7623</v>
      </c>
      <c r="B319" s="10" t="str">
        <f>_xlfn.IFNA(VLOOKUP($A319,CompChecksTrans!$A:$C,2,FALSE),"")</f>
        <v/>
      </c>
      <c r="C319" s="10" t="str">
        <f>_xlfn.IFNA(VLOOKUP(B319,Phase4!A$4:C$1000,3,FALSE),"")</f>
        <v/>
      </c>
      <c r="D319" s="10" t="str">
        <f>_xlfn.IFNA(VLOOKUP($A319,CompChecksTrans!$A:$C,3,FALSE), "      ")</f>
        <v xml:space="preserve">      </v>
      </c>
    </row>
    <row r="320" spans="1:4" x14ac:dyDescent="0.25">
      <c r="A320" s="241" t="s">
        <v>7624</v>
      </c>
      <c r="B320" s="10" t="str">
        <f>_xlfn.IFNA(VLOOKUP($A320,CompChecksTrans!$A:$C,2,FALSE),"")</f>
        <v/>
      </c>
      <c r="C320" s="10" t="str">
        <f>_xlfn.IFNA(VLOOKUP(B320,Phase4!A$4:C$1000,3,FALSE),"")</f>
        <v/>
      </c>
      <c r="D320" s="10" t="str">
        <f>_xlfn.IFNA(VLOOKUP($A320,CompChecksTrans!$A:$C,3,FALSE), "      ")</f>
        <v xml:space="preserve">      </v>
      </c>
    </row>
    <row r="321" spans="1:4" x14ac:dyDescent="0.25">
      <c r="A321" s="241" t="s">
        <v>7625</v>
      </c>
      <c r="B321" s="10" t="str">
        <f>_xlfn.IFNA(VLOOKUP($A321,CompChecksTrans!$A:$C,2,FALSE),"")</f>
        <v/>
      </c>
      <c r="C321" s="10" t="str">
        <f>_xlfn.IFNA(VLOOKUP(B321,Phase4!A$4:C$1000,3,FALSE),"")</f>
        <v/>
      </c>
      <c r="D321" s="10" t="str">
        <f>_xlfn.IFNA(VLOOKUP($A321,CompChecksTrans!$A:$C,3,FALSE), "      ")</f>
        <v xml:space="preserve">      </v>
      </c>
    </row>
    <row r="322" spans="1:4" x14ac:dyDescent="0.25">
      <c r="A322" s="241" t="s">
        <v>7626</v>
      </c>
      <c r="B322" s="10" t="str">
        <f>_xlfn.IFNA(VLOOKUP($A322,CompChecksTrans!$A:$C,2,FALSE),"")</f>
        <v/>
      </c>
      <c r="C322" s="10" t="str">
        <f>_xlfn.IFNA(VLOOKUP(B322,Phase4!A$4:C$1000,3,FALSE),"")</f>
        <v/>
      </c>
      <c r="D322" s="10" t="str">
        <f>_xlfn.IFNA(VLOOKUP($A322,CompChecksTrans!$A:$C,3,FALSE), "      ")</f>
        <v xml:space="preserve">      </v>
      </c>
    </row>
    <row r="323" spans="1:4" x14ac:dyDescent="0.25">
      <c r="A323" s="241" t="s">
        <v>7627</v>
      </c>
      <c r="B323" s="10" t="str">
        <f>_xlfn.IFNA(VLOOKUP($A323,CompChecksTrans!$A:$C,2,FALSE),"")</f>
        <v/>
      </c>
      <c r="C323" s="10" t="str">
        <f>_xlfn.IFNA(VLOOKUP(B323,Phase4!A$4:C$1000,3,FALSE),"")</f>
        <v/>
      </c>
      <c r="D323" s="10" t="str">
        <f>_xlfn.IFNA(VLOOKUP($A323,CompChecksTrans!$A:$C,3,FALSE), "      ")</f>
        <v xml:space="preserve">      </v>
      </c>
    </row>
    <row r="324" spans="1:4" x14ac:dyDescent="0.25">
      <c r="A324" s="241" t="s">
        <v>7628</v>
      </c>
      <c r="B324" s="10" t="str">
        <f>_xlfn.IFNA(VLOOKUP($A324,CompChecksTrans!$A:$C,2,FALSE),"")</f>
        <v/>
      </c>
      <c r="C324" s="10" t="str">
        <f>_xlfn.IFNA(VLOOKUP(B324,Phase4!A$4:C$1000,3,FALSE),"")</f>
        <v/>
      </c>
      <c r="D324" s="10" t="str">
        <f>_xlfn.IFNA(VLOOKUP($A324,CompChecksTrans!$A:$C,3,FALSE), "      ")</f>
        <v xml:space="preserve">      </v>
      </c>
    </row>
    <row r="325" spans="1:4" x14ac:dyDescent="0.25">
      <c r="A325" s="241" t="s">
        <v>7629</v>
      </c>
      <c r="B325" s="10" t="str">
        <f>_xlfn.IFNA(VLOOKUP($A325,CompChecksTrans!$A:$C,2,FALSE),"")</f>
        <v/>
      </c>
      <c r="C325" s="10" t="str">
        <f>_xlfn.IFNA(VLOOKUP(B325,Phase4!A$4:C$1000,3,FALSE),"")</f>
        <v/>
      </c>
      <c r="D325" s="10" t="str">
        <f>_xlfn.IFNA(VLOOKUP($A325,CompChecksTrans!$A:$C,3,FALSE), "      ")</f>
        <v xml:space="preserve">      </v>
      </c>
    </row>
    <row r="326" spans="1:4" x14ac:dyDescent="0.25">
      <c r="A326" s="241" t="s">
        <v>7630</v>
      </c>
      <c r="B326" s="10" t="str">
        <f>_xlfn.IFNA(VLOOKUP($A326,CompChecksTrans!$A:$C,2,FALSE),"")</f>
        <v/>
      </c>
      <c r="C326" s="10" t="str">
        <f>_xlfn.IFNA(VLOOKUP(B326,Phase4!A$4:C$1000,3,FALSE),"")</f>
        <v/>
      </c>
      <c r="D326" s="10" t="str">
        <f>_xlfn.IFNA(VLOOKUP($A326,CompChecksTrans!$A:$C,3,FALSE), "      ")</f>
        <v xml:space="preserve">      </v>
      </c>
    </row>
    <row r="327" spans="1:4" x14ac:dyDescent="0.25">
      <c r="A327" s="241" t="s">
        <v>7631</v>
      </c>
      <c r="B327" s="10" t="str">
        <f>_xlfn.IFNA(VLOOKUP($A327,CompChecksTrans!$A:$C,2,FALSE),"")</f>
        <v/>
      </c>
      <c r="C327" s="10" t="str">
        <f>_xlfn.IFNA(VLOOKUP(B327,Phase4!A$4:C$1000,3,FALSE),"")</f>
        <v/>
      </c>
      <c r="D327" s="10" t="str">
        <f>_xlfn.IFNA(VLOOKUP($A327,CompChecksTrans!$A:$C,3,FALSE), "      ")</f>
        <v xml:space="preserve">      </v>
      </c>
    </row>
    <row r="328" spans="1:4" x14ac:dyDescent="0.25">
      <c r="A328" s="241" t="s">
        <v>7632</v>
      </c>
      <c r="B328" s="10" t="str">
        <f>_xlfn.IFNA(VLOOKUP($A328,CompChecksTrans!$A:$C,2,FALSE),"")</f>
        <v/>
      </c>
      <c r="C328" s="10" t="str">
        <f>_xlfn.IFNA(VLOOKUP(B328,Phase4!A$4:C$1000,3,FALSE),"")</f>
        <v/>
      </c>
      <c r="D328" s="10" t="str">
        <f>_xlfn.IFNA(VLOOKUP($A328,CompChecksTrans!$A:$C,3,FALSE), "      ")</f>
        <v xml:space="preserve">      </v>
      </c>
    </row>
    <row r="329" spans="1:4" x14ac:dyDescent="0.25">
      <c r="A329" s="241" t="s">
        <v>7633</v>
      </c>
      <c r="B329" s="10" t="str">
        <f>_xlfn.IFNA(VLOOKUP($A329,CompChecksTrans!$A:$C,2,FALSE),"")</f>
        <v/>
      </c>
      <c r="C329" s="10" t="str">
        <f>_xlfn.IFNA(VLOOKUP(B329,Phase4!A$4:C$1000,3,FALSE),"")</f>
        <v/>
      </c>
      <c r="D329" s="10" t="str">
        <f>_xlfn.IFNA(VLOOKUP($A329,CompChecksTrans!$A:$C,3,FALSE), "      ")</f>
        <v xml:space="preserve">      </v>
      </c>
    </row>
    <row r="330" spans="1:4" x14ac:dyDescent="0.25">
      <c r="A330" s="241" t="s">
        <v>7634</v>
      </c>
      <c r="B330" s="10" t="str">
        <f>_xlfn.IFNA(VLOOKUP($A330,CompChecksTrans!$A:$C,2,FALSE),"")</f>
        <v/>
      </c>
      <c r="C330" s="10" t="str">
        <f>_xlfn.IFNA(VLOOKUP(B330,Phase4!A$4:C$1000,3,FALSE),"")</f>
        <v/>
      </c>
      <c r="D330" s="10" t="str">
        <f>_xlfn.IFNA(VLOOKUP($A330,CompChecksTrans!$A:$C,3,FALSE), "      ")</f>
        <v xml:space="preserve">      </v>
      </c>
    </row>
    <row r="331" spans="1:4" x14ac:dyDescent="0.25">
      <c r="A331" s="241" t="s">
        <v>7635</v>
      </c>
      <c r="B331" s="10" t="str">
        <f>_xlfn.IFNA(VLOOKUP($A331,CompChecksTrans!$A:$C,2,FALSE),"")</f>
        <v/>
      </c>
      <c r="C331" s="10" t="str">
        <f>_xlfn.IFNA(VLOOKUP(B331,Phase4!A$4:C$1000,3,FALSE),"")</f>
        <v/>
      </c>
      <c r="D331" s="10" t="str">
        <f>_xlfn.IFNA(VLOOKUP($A331,CompChecksTrans!$A:$C,3,FALSE), "      ")</f>
        <v xml:space="preserve">      </v>
      </c>
    </row>
    <row r="332" spans="1:4" x14ac:dyDescent="0.25">
      <c r="A332" s="241" t="s">
        <v>7636</v>
      </c>
      <c r="B332" s="10" t="str">
        <f>_xlfn.IFNA(VLOOKUP($A332,CompChecksTrans!$A:$C,2,FALSE),"")</f>
        <v/>
      </c>
      <c r="C332" s="10" t="str">
        <f>_xlfn.IFNA(VLOOKUP(B332,Phase4!A$4:C$1000,3,FALSE),"")</f>
        <v/>
      </c>
      <c r="D332" s="10" t="str">
        <f>_xlfn.IFNA(VLOOKUP($A332,CompChecksTrans!$A:$C,3,FALSE), "      ")</f>
        <v xml:space="preserve">      </v>
      </c>
    </row>
    <row r="333" spans="1:4" x14ac:dyDescent="0.25">
      <c r="A333" s="241" t="s">
        <v>7637</v>
      </c>
      <c r="B333" s="10" t="str">
        <f>_xlfn.IFNA(VLOOKUP($A333,CompChecksTrans!$A:$C,2,FALSE),"")</f>
        <v/>
      </c>
      <c r="C333" s="10" t="str">
        <f>_xlfn.IFNA(VLOOKUP(B333,Phase4!A$4:C$1000,3,FALSE),"")</f>
        <v/>
      </c>
      <c r="D333" s="10" t="str">
        <f>_xlfn.IFNA(VLOOKUP($A333,CompChecksTrans!$A:$C,3,FALSE), "      ")</f>
        <v xml:space="preserve">      </v>
      </c>
    </row>
    <row r="334" spans="1:4" x14ac:dyDescent="0.25">
      <c r="A334" s="241" t="s">
        <v>7638</v>
      </c>
      <c r="B334" s="10" t="str">
        <f>_xlfn.IFNA(VLOOKUP($A334,CompChecksTrans!$A:$C,2,FALSE),"")</f>
        <v/>
      </c>
      <c r="C334" s="10" t="str">
        <f>_xlfn.IFNA(VLOOKUP(B334,Phase4!A$4:C$1000,3,FALSE),"")</f>
        <v/>
      </c>
      <c r="D334" s="10" t="str">
        <f>_xlfn.IFNA(VLOOKUP($A334,CompChecksTrans!$A:$C,3,FALSE), "      ")</f>
        <v xml:space="preserve">      </v>
      </c>
    </row>
    <row r="335" spans="1:4" x14ac:dyDescent="0.25">
      <c r="A335" s="241" t="s">
        <v>7639</v>
      </c>
      <c r="B335" s="10" t="str">
        <f>_xlfn.IFNA(VLOOKUP($A335,CompChecksTrans!$A:$C,2,FALSE),"")</f>
        <v/>
      </c>
      <c r="C335" s="10" t="str">
        <f>_xlfn.IFNA(VLOOKUP(B335,Phase4!A$4:C$1000,3,FALSE),"")</f>
        <v/>
      </c>
      <c r="D335" s="10" t="str">
        <f>_xlfn.IFNA(VLOOKUP($A335,CompChecksTrans!$A:$C,3,FALSE), "      ")</f>
        <v xml:space="preserve">      </v>
      </c>
    </row>
    <row r="336" spans="1:4" x14ac:dyDescent="0.25">
      <c r="A336" s="241" t="s">
        <v>7640</v>
      </c>
      <c r="B336" s="10" t="str">
        <f>_xlfn.IFNA(VLOOKUP($A336,CompChecksTrans!$A:$C,2,FALSE),"")</f>
        <v/>
      </c>
      <c r="C336" s="10" t="str">
        <f>_xlfn.IFNA(VLOOKUP(B336,Phase4!A$4:C$1000,3,FALSE),"")</f>
        <v/>
      </c>
      <c r="D336" s="10" t="str">
        <f>_xlfn.IFNA(VLOOKUP($A336,CompChecksTrans!$A:$C,3,FALSE), "      ")</f>
        <v xml:space="preserve">      </v>
      </c>
    </row>
    <row r="337" spans="1:4" x14ac:dyDescent="0.25">
      <c r="A337" s="241" t="s">
        <v>7641</v>
      </c>
      <c r="B337" s="10" t="str">
        <f>_xlfn.IFNA(VLOOKUP($A337,CompChecksTrans!$A:$C,2,FALSE),"")</f>
        <v/>
      </c>
      <c r="C337" s="10" t="str">
        <f>_xlfn.IFNA(VLOOKUP(B337,Phase4!A$4:C$1000,3,FALSE),"")</f>
        <v/>
      </c>
      <c r="D337" s="10" t="str">
        <f>_xlfn.IFNA(VLOOKUP($A337,CompChecksTrans!$A:$C,3,FALSE), "      ")</f>
        <v xml:space="preserve">      </v>
      </c>
    </row>
    <row r="338" spans="1:4" x14ac:dyDescent="0.25">
      <c r="A338" s="241" t="s">
        <v>7642</v>
      </c>
      <c r="B338" s="10" t="str">
        <f>_xlfn.IFNA(VLOOKUP($A338,CompChecksTrans!$A:$C,2,FALSE),"")</f>
        <v/>
      </c>
      <c r="C338" s="10" t="str">
        <f>_xlfn.IFNA(VLOOKUP(B338,Phase4!A$4:C$1000,3,FALSE),"")</f>
        <v/>
      </c>
      <c r="D338" s="10" t="str">
        <f>_xlfn.IFNA(VLOOKUP($A338,CompChecksTrans!$A:$C,3,FALSE), "      ")</f>
        <v xml:space="preserve">      </v>
      </c>
    </row>
    <row r="339" spans="1:4" x14ac:dyDescent="0.25">
      <c r="A339" s="241" t="s">
        <v>7643</v>
      </c>
      <c r="B339" s="10" t="str">
        <f>_xlfn.IFNA(VLOOKUP($A339,CompChecksTrans!$A:$C,2,FALSE),"")</f>
        <v/>
      </c>
      <c r="C339" s="10" t="str">
        <f>_xlfn.IFNA(VLOOKUP(B339,Phase4!A$4:C$1000,3,FALSE),"")</f>
        <v/>
      </c>
      <c r="D339" s="10" t="str">
        <f>_xlfn.IFNA(VLOOKUP($A339,CompChecksTrans!$A:$C,3,FALSE), "      ")</f>
        <v xml:space="preserve">      </v>
      </c>
    </row>
    <row r="340" spans="1:4" x14ac:dyDescent="0.25">
      <c r="A340" s="241" t="s">
        <v>7644</v>
      </c>
      <c r="B340" s="10" t="str">
        <f>_xlfn.IFNA(VLOOKUP($A340,CompChecksTrans!$A:$C,2,FALSE),"")</f>
        <v/>
      </c>
      <c r="C340" s="10" t="str">
        <f>_xlfn.IFNA(VLOOKUP(B340,Phase4!A$4:C$1000,3,FALSE),"")</f>
        <v/>
      </c>
      <c r="D340" s="10" t="str">
        <f>_xlfn.IFNA(VLOOKUP($A340,CompChecksTrans!$A:$C,3,FALSE), "      ")</f>
        <v xml:space="preserve">      </v>
      </c>
    </row>
    <row r="341" spans="1:4" x14ac:dyDescent="0.25">
      <c r="A341" s="241" t="s">
        <v>7645</v>
      </c>
      <c r="B341" s="10" t="str">
        <f>_xlfn.IFNA(VLOOKUP($A341,CompChecksTrans!$A:$C,2,FALSE),"")</f>
        <v/>
      </c>
      <c r="C341" s="10" t="str">
        <f>_xlfn.IFNA(VLOOKUP(B341,Phase4!A$4:C$1000,3,FALSE),"")</f>
        <v/>
      </c>
      <c r="D341" s="10" t="str">
        <f>_xlfn.IFNA(VLOOKUP($A341,CompChecksTrans!$A:$C,3,FALSE), "      ")</f>
        <v xml:space="preserve">      </v>
      </c>
    </row>
    <row r="342" spans="1:4" x14ac:dyDescent="0.25">
      <c r="A342" s="241" t="s">
        <v>7646</v>
      </c>
      <c r="B342" s="10" t="str">
        <f>_xlfn.IFNA(VLOOKUP($A342,CompChecksTrans!$A:$C,2,FALSE),"")</f>
        <v/>
      </c>
      <c r="C342" s="10" t="str">
        <f>_xlfn.IFNA(VLOOKUP(B342,Phase4!A$4:C$1000,3,FALSE),"")</f>
        <v/>
      </c>
      <c r="D342" s="10" t="str">
        <f>_xlfn.IFNA(VLOOKUP($A342,CompChecksTrans!$A:$C,3,FALSE), "      ")</f>
        <v xml:space="preserve">      </v>
      </c>
    </row>
    <row r="343" spans="1:4" x14ac:dyDescent="0.25">
      <c r="A343" s="241" t="s">
        <v>7647</v>
      </c>
      <c r="B343" s="10" t="str">
        <f>_xlfn.IFNA(VLOOKUP($A343,CompChecksTrans!$A:$C,2,FALSE),"")</f>
        <v/>
      </c>
      <c r="C343" s="10" t="str">
        <f>_xlfn.IFNA(VLOOKUP(B343,Phase4!A$4:C$1000,3,FALSE),"")</f>
        <v/>
      </c>
      <c r="D343" s="10" t="str">
        <f>_xlfn.IFNA(VLOOKUP($A343,CompChecksTrans!$A:$C,3,FALSE), "      ")</f>
        <v xml:space="preserve">      </v>
      </c>
    </row>
    <row r="344" spans="1:4" x14ac:dyDescent="0.25">
      <c r="A344" s="241" t="s">
        <v>7648</v>
      </c>
      <c r="B344" s="10" t="str">
        <f>_xlfn.IFNA(VLOOKUP($A344,CompChecksTrans!$A:$C,2,FALSE),"")</f>
        <v/>
      </c>
      <c r="C344" s="10" t="str">
        <f>_xlfn.IFNA(VLOOKUP(B344,Phase4!A$4:C$1000,3,FALSE),"")</f>
        <v/>
      </c>
      <c r="D344" s="10" t="str">
        <f>_xlfn.IFNA(VLOOKUP($A344,CompChecksTrans!$A:$C,3,FALSE), "      ")</f>
        <v xml:space="preserve">      </v>
      </c>
    </row>
    <row r="345" spans="1:4" x14ac:dyDescent="0.25">
      <c r="A345" s="241" t="s">
        <v>7649</v>
      </c>
      <c r="B345" s="10" t="str">
        <f>_xlfn.IFNA(VLOOKUP($A345,CompChecksTrans!$A:$C,2,FALSE),"")</f>
        <v/>
      </c>
      <c r="C345" s="10" t="str">
        <f>_xlfn.IFNA(VLOOKUP(B345,Phase4!A$4:C$1000,3,FALSE),"")</f>
        <v/>
      </c>
      <c r="D345" s="10" t="str">
        <f>_xlfn.IFNA(VLOOKUP($A345,CompChecksTrans!$A:$C,3,FALSE), "      ")</f>
        <v xml:space="preserve">      </v>
      </c>
    </row>
    <row r="346" spans="1:4" x14ac:dyDescent="0.25">
      <c r="A346" s="241" t="s">
        <v>7650</v>
      </c>
      <c r="B346" s="10" t="str">
        <f>_xlfn.IFNA(VLOOKUP($A346,CompChecksTrans!$A:$C,2,FALSE),"")</f>
        <v/>
      </c>
      <c r="C346" s="10" t="str">
        <f>_xlfn.IFNA(VLOOKUP(B346,Phase4!A$4:C$1000,3,FALSE),"")</f>
        <v/>
      </c>
      <c r="D346" s="10" t="str">
        <f>_xlfn.IFNA(VLOOKUP($A346,CompChecksTrans!$A:$C,3,FALSE), "      ")</f>
        <v xml:space="preserve">      </v>
      </c>
    </row>
    <row r="347" spans="1:4" x14ac:dyDescent="0.25">
      <c r="A347" s="241" t="s">
        <v>7651</v>
      </c>
      <c r="B347" s="10" t="str">
        <f>_xlfn.IFNA(VLOOKUP($A347,CompChecksTrans!$A:$C,2,FALSE),"")</f>
        <v/>
      </c>
      <c r="C347" s="10" t="str">
        <f>_xlfn.IFNA(VLOOKUP(B347,Phase4!A$4:C$1000,3,FALSE),"")</f>
        <v/>
      </c>
      <c r="D347" s="10" t="str">
        <f>_xlfn.IFNA(VLOOKUP($A347,CompChecksTrans!$A:$C,3,FALSE), "      ")</f>
        <v xml:space="preserve">      </v>
      </c>
    </row>
    <row r="348" spans="1:4" x14ac:dyDescent="0.25">
      <c r="A348" s="241" t="s">
        <v>7652</v>
      </c>
      <c r="B348" s="10" t="str">
        <f>_xlfn.IFNA(VLOOKUP($A348,CompChecksTrans!$A:$C,2,FALSE),"")</f>
        <v/>
      </c>
      <c r="C348" s="10" t="str">
        <f>_xlfn.IFNA(VLOOKUP(B348,Phase4!A$4:C$1000,3,FALSE),"")</f>
        <v/>
      </c>
      <c r="D348" s="10" t="str">
        <f>_xlfn.IFNA(VLOOKUP($A348,CompChecksTrans!$A:$C,3,FALSE), "      ")</f>
        <v xml:space="preserve">      </v>
      </c>
    </row>
    <row r="349" spans="1:4" x14ac:dyDescent="0.25">
      <c r="A349" s="241" t="s">
        <v>7653</v>
      </c>
      <c r="B349" s="10" t="str">
        <f>_xlfn.IFNA(VLOOKUP($A349,CompChecksTrans!$A:$C,2,FALSE),"")</f>
        <v/>
      </c>
      <c r="C349" s="10" t="str">
        <f>_xlfn.IFNA(VLOOKUP(B349,Phase4!A$4:C$1000,3,FALSE),"")</f>
        <v/>
      </c>
      <c r="D349" s="10" t="str">
        <f>_xlfn.IFNA(VLOOKUP($A349,CompChecksTrans!$A:$C,3,FALSE), "      ")</f>
        <v xml:space="preserve">      </v>
      </c>
    </row>
    <row r="350" spans="1:4" x14ac:dyDescent="0.25">
      <c r="A350" s="241" t="s">
        <v>7654</v>
      </c>
      <c r="B350" s="10" t="str">
        <f>_xlfn.IFNA(VLOOKUP($A350,CompChecksTrans!$A:$C,2,FALSE),"")</f>
        <v/>
      </c>
      <c r="C350" s="10" t="str">
        <f>_xlfn.IFNA(VLOOKUP(B350,Phase4!A$4:C$1000,3,FALSE),"")</f>
        <v/>
      </c>
      <c r="D350" s="10" t="str">
        <f>_xlfn.IFNA(VLOOKUP($A350,CompChecksTrans!$A:$C,3,FALSE), "      ")</f>
        <v xml:space="preserve">      </v>
      </c>
    </row>
    <row r="351" spans="1:4" x14ac:dyDescent="0.25">
      <c r="A351" s="241" t="s">
        <v>7655</v>
      </c>
      <c r="B351" s="10" t="str">
        <f>_xlfn.IFNA(VLOOKUP($A351,CompChecksTrans!$A:$C,2,FALSE),"")</f>
        <v/>
      </c>
      <c r="C351" s="10" t="str">
        <f>_xlfn.IFNA(VLOOKUP(B351,Phase4!A$4:C$1000,3,FALSE),"")</f>
        <v/>
      </c>
      <c r="D351" s="10" t="str">
        <f>_xlfn.IFNA(VLOOKUP($A351,CompChecksTrans!$A:$C,3,FALSE), "      ")</f>
        <v xml:space="preserve">      </v>
      </c>
    </row>
    <row r="352" spans="1:4" x14ac:dyDescent="0.25">
      <c r="A352" s="241" t="s">
        <v>7656</v>
      </c>
      <c r="B352" s="10" t="str">
        <f>_xlfn.IFNA(VLOOKUP($A352,CompChecksTrans!$A:$C,2,FALSE),"")</f>
        <v/>
      </c>
      <c r="C352" s="10" t="str">
        <f>_xlfn.IFNA(VLOOKUP(B352,Phase4!A$4:C$1000,3,FALSE),"")</f>
        <v/>
      </c>
      <c r="D352" s="10" t="str">
        <f>_xlfn.IFNA(VLOOKUP($A352,CompChecksTrans!$A:$C,3,FALSE), "      ")</f>
        <v xml:space="preserve">      </v>
      </c>
    </row>
    <row r="353" spans="1:4" x14ac:dyDescent="0.25">
      <c r="A353" s="241" t="s">
        <v>7657</v>
      </c>
      <c r="B353" s="10" t="str">
        <f>_xlfn.IFNA(VLOOKUP($A353,CompChecksTrans!$A:$C,2,FALSE),"")</f>
        <v/>
      </c>
      <c r="C353" s="10" t="str">
        <f>_xlfn.IFNA(VLOOKUP(B353,Phase4!A$4:C$1000,3,FALSE),"")</f>
        <v/>
      </c>
      <c r="D353" s="10" t="str">
        <f>_xlfn.IFNA(VLOOKUP($A353,CompChecksTrans!$A:$C,3,FALSE), "      ")</f>
        <v xml:space="preserve">      </v>
      </c>
    </row>
    <row r="354" spans="1:4" x14ac:dyDescent="0.25">
      <c r="A354" s="241" t="s">
        <v>7658</v>
      </c>
      <c r="B354" s="10" t="str">
        <f>_xlfn.IFNA(VLOOKUP($A354,CompChecksTrans!$A:$C,2,FALSE),"")</f>
        <v/>
      </c>
      <c r="C354" s="10" t="str">
        <f>_xlfn.IFNA(VLOOKUP(B354,Phase4!A$4:C$1000,3,FALSE),"")</f>
        <v/>
      </c>
      <c r="D354" s="10" t="str">
        <f>_xlfn.IFNA(VLOOKUP($A354,CompChecksTrans!$A:$C,3,FALSE), "      ")</f>
        <v xml:space="preserve">      </v>
      </c>
    </row>
    <row r="355" spans="1:4" x14ac:dyDescent="0.25">
      <c r="A355" s="241" t="s">
        <v>7659</v>
      </c>
      <c r="B355" s="10" t="str">
        <f>_xlfn.IFNA(VLOOKUP($A355,CompChecksTrans!$A:$C,2,FALSE),"")</f>
        <v/>
      </c>
      <c r="C355" s="10" t="str">
        <f>_xlfn.IFNA(VLOOKUP(B355,Phase4!A$4:C$1000,3,FALSE),"")</f>
        <v/>
      </c>
      <c r="D355" s="10" t="str">
        <f>_xlfn.IFNA(VLOOKUP($A355,CompChecksTrans!$A:$C,3,FALSE), "      ")</f>
        <v xml:space="preserve">      </v>
      </c>
    </row>
    <row r="356" spans="1:4" x14ac:dyDescent="0.25">
      <c r="A356" s="241" t="s">
        <v>7660</v>
      </c>
      <c r="B356" s="10" t="str">
        <f>_xlfn.IFNA(VLOOKUP($A356,CompChecksTrans!$A:$C,2,FALSE),"")</f>
        <v/>
      </c>
      <c r="C356" s="10" t="str">
        <f>_xlfn.IFNA(VLOOKUP(B356,Phase4!A$4:C$1000,3,FALSE),"")</f>
        <v/>
      </c>
      <c r="D356" s="10" t="str">
        <f>_xlfn.IFNA(VLOOKUP($A356,CompChecksTrans!$A:$C,3,FALSE), "      ")</f>
        <v xml:space="preserve">      </v>
      </c>
    </row>
    <row r="357" spans="1:4" x14ac:dyDescent="0.25">
      <c r="A357" s="241" t="s">
        <v>7661</v>
      </c>
      <c r="B357" s="10" t="str">
        <f>_xlfn.IFNA(VLOOKUP($A357,CompChecksTrans!$A:$C,2,FALSE),"")</f>
        <v/>
      </c>
      <c r="C357" s="10" t="str">
        <f>_xlfn.IFNA(VLOOKUP(B357,Phase4!A$4:C$1000,3,FALSE),"")</f>
        <v/>
      </c>
      <c r="D357" s="10" t="str">
        <f>_xlfn.IFNA(VLOOKUP($A357,CompChecksTrans!$A:$C,3,FALSE), "      ")</f>
        <v xml:space="preserve">      </v>
      </c>
    </row>
    <row r="358" spans="1:4" x14ac:dyDescent="0.25">
      <c r="A358" s="241" t="s">
        <v>7662</v>
      </c>
      <c r="B358" s="10" t="str">
        <f>_xlfn.IFNA(VLOOKUP($A358,CompChecksTrans!$A:$C,2,FALSE),"")</f>
        <v/>
      </c>
      <c r="C358" s="10" t="str">
        <f>_xlfn.IFNA(VLOOKUP(B358,Phase4!A$4:C$1000,3,FALSE),"")</f>
        <v/>
      </c>
      <c r="D358" s="10" t="str">
        <f>_xlfn.IFNA(VLOOKUP($A358,CompChecksTrans!$A:$C,3,FALSE), "      ")</f>
        <v xml:space="preserve">      </v>
      </c>
    </row>
    <row r="359" spans="1:4" x14ac:dyDescent="0.25">
      <c r="A359" s="241" t="s">
        <v>7663</v>
      </c>
      <c r="B359" s="10" t="str">
        <f>_xlfn.IFNA(VLOOKUP($A359,CompChecksTrans!$A:$C,2,FALSE),"")</f>
        <v/>
      </c>
      <c r="C359" s="10" t="str">
        <f>_xlfn.IFNA(VLOOKUP(B359,Phase4!A$4:C$1000,3,FALSE),"")</f>
        <v/>
      </c>
      <c r="D359" s="10" t="str">
        <f>_xlfn.IFNA(VLOOKUP($A359,CompChecksTrans!$A:$C,3,FALSE), "      ")</f>
        <v xml:space="preserve">      </v>
      </c>
    </row>
    <row r="360" spans="1:4" x14ac:dyDescent="0.25">
      <c r="A360" s="241" t="s">
        <v>7664</v>
      </c>
      <c r="B360" s="10" t="str">
        <f>_xlfn.IFNA(VLOOKUP($A360,CompChecksTrans!$A:$C,2,FALSE),"")</f>
        <v/>
      </c>
      <c r="C360" s="10" t="str">
        <f>_xlfn.IFNA(VLOOKUP(B360,Phase4!A$4:C$1000,3,FALSE),"")</f>
        <v/>
      </c>
      <c r="D360" s="10" t="str">
        <f>_xlfn.IFNA(VLOOKUP($A360,CompChecksTrans!$A:$C,3,FALSE), "      ")</f>
        <v xml:space="preserve">      </v>
      </c>
    </row>
    <row r="361" spans="1:4" x14ac:dyDescent="0.25">
      <c r="A361" s="241" t="s">
        <v>7665</v>
      </c>
      <c r="B361" s="10" t="str">
        <f>_xlfn.IFNA(VLOOKUP($A361,CompChecksTrans!$A:$C,2,FALSE),"")</f>
        <v/>
      </c>
      <c r="C361" s="10" t="str">
        <f>_xlfn.IFNA(VLOOKUP(B361,Phase4!A$4:C$1000,3,FALSE),"")</f>
        <v/>
      </c>
      <c r="D361" s="10" t="str">
        <f>_xlfn.IFNA(VLOOKUP($A361,CompChecksTrans!$A:$C,3,FALSE), "      ")</f>
        <v xml:space="preserve">      </v>
      </c>
    </row>
    <row r="362" spans="1:4" x14ac:dyDescent="0.25">
      <c r="A362" s="241" t="s">
        <v>7666</v>
      </c>
      <c r="B362" s="10" t="str">
        <f>_xlfn.IFNA(VLOOKUP($A362,CompChecksTrans!$A:$C,2,FALSE),"")</f>
        <v/>
      </c>
      <c r="C362" s="10" t="str">
        <f>_xlfn.IFNA(VLOOKUP(B362,Phase4!A$4:C$1000,3,FALSE),"")</f>
        <v/>
      </c>
      <c r="D362" s="10" t="str">
        <f>_xlfn.IFNA(VLOOKUP($A362,CompChecksTrans!$A:$C,3,FALSE), "      ")</f>
        <v xml:space="preserve">      </v>
      </c>
    </row>
    <row r="363" spans="1:4" x14ac:dyDescent="0.25">
      <c r="A363" s="241" t="s">
        <v>7667</v>
      </c>
      <c r="B363" s="10" t="str">
        <f>_xlfn.IFNA(VLOOKUP($A363,CompChecksTrans!$A:$C,2,FALSE),"")</f>
        <v/>
      </c>
      <c r="C363" s="10" t="str">
        <f>_xlfn.IFNA(VLOOKUP(B363,Phase4!A$4:C$1000,3,FALSE),"")</f>
        <v/>
      </c>
      <c r="D363" s="10" t="str">
        <f>_xlfn.IFNA(VLOOKUP($A363,CompChecksTrans!$A:$C,3,FALSE), "      ")</f>
        <v xml:space="preserve">      </v>
      </c>
    </row>
    <row r="364" spans="1:4" x14ac:dyDescent="0.25">
      <c r="A364" s="241" t="s">
        <v>7668</v>
      </c>
      <c r="B364" s="10" t="str">
        <f>_xlfn.IFNA(VLOOKUP($A364,CompChecksTrans!$A:$C,2,FALSE),"")</f>
        <v/>
      </c>
      <c r="C364" s="10" t="str">
        <f>_xlfn.IFNA(VLOOKUP(B364,Phase4!A$4:C$1000,3,FALSE),"")</f>
        <v/>
      </c>
      <c r="D364" s="10" t="str">
        <f>_xlfn.IFNA(VLOOKUP($A364,CompChecksTrans!$A:$C,3,FALSE), "      ")</f>
        <v xml:space="preserve">      </v>
      </c>
    </row>
    <row r="365" spans="1:4" x14ac:dyDescent="0.25">
      <c r="A365" s="241" t="s">
        <v>7669</v>
      </c>
      <c r="B365" s="10" t="str">
        <f>_xlfn.IFNA(VLOOKUP($A365,CompChecksTrans!$A:$C,2,FALSE),"")</f>
        <v/>
      </c>
      <c r="C365" s="10" t="str">
        <f>_xlfn.IFNA(VLOOKUP(B365,Phase4!A$4:C$1000,3,FALSE),"")</f>
        <v/>
      </c>
      <c r="D365" s="10" t="str">
        <f>_xlfn.IFNA(VLOOKUP($A365,CompChecksTrans!$A:$C,3,FALSE), "      ")</f>
        <v xml:space="preserve">      </v>
      </c>
    </row>
    <row r="366" spans="1:4" x14ac:dyDescent="0.25">
      <c r="A366" s="241" t="s">
        <v>7670</v>
      </c>
      <c r="B366" s="10" t="str">
        <f>_xlfn.IFNA(VLOOKUP($A366,CompChecksTrans!$A:$C,2,FALSE),"")</f>
        <v/>
      </c>
      <c r="C366" s="10" t="str">
        <f>_xlfn.IFNA(VLOOKUP(B366,Phase4!A$4:C$1000,3,FALSE),"")</f>
        <v/>
      </c>
      <c r="D366" s="10" t="str">
        <f>_xlfn.IFNA(VLOOKUP($A366,CompChecksTrans!$A:$C,3,FALSE), "      ")</f>
        <v xml:space="preserve">      </v>
      </c>
    </row>
    <row r="367" spans="1:4" x14ac:dyDescent="0.25">
      <c r="A367" s="241" t="s">
        <v>7671</v>
      </c>
      <c r="B367" s="10" t="str">
        <f>_xlfn.IFNA(VLOOKUP($A367,CompChecksTrans!$A:$C,2,FALSE),"")</f>
        <v/>
      </c>
      <c r="C367" s="10" t="str">
        <f>_xlfn.IFNA(VLOOKUP(B367,Phase4!A$4:C$1000,3,FALSE),"")</f>
        <v/>
      </c>
      <c r="D367" s="10" t="str">
        <f>_xlfn.IFNA(VLOOKUP($A367,CompChecksTrans!$A:$C,3,FALSE), "      ")</f>
        <v xml:space="preserve">      </v>
      </c>
    </row>
    <row r="368" spans="1:4" x14ac:dyDescent="0.25">
      <c r="A368" s="241" t="s">
        <v>7672</v>
      </c>
      <c r="B368" s="10" t="str">
        <f>_xlfn.IFNA(VLOOKUP($A368,CompChecksTrans!$A:$C,2,FALSE),"")</f>
        <v/>
      </c>
      <c r="C368" s="10" t="str">
        <f>_xlfn.IFNA(VLOOKUP(B368,Phase4!A$4:C$1000,3,FALSE),"")</f>
        <v/>
      </c>
      <c r="D368" s="10" t="str">
        <f>_xlfn.IFNA(VLOOKUP($A368,CompChecksTrans!$A:$C,3,FALSE), "      ")</f>
        <v xml:space="preserve">      </v>
      </c>
    </row>
    <row r="369" spans="1:4" x14ac:dyDescent="0.25">
      <c r="A369" s="241" t="s">
        <v>7673</v>
      </c>
      <c r="B369" s="10" t="str">
        <f>_xlfn.IFNA(VLOOKUP($A369,CompChecksTrans!$A:$C,2,FALSE),"")</f>
        <v/>
      </c>
      <c r="C369" s="10" t="str">
        <f>_xlfn.IFNA(VLOOKUP(B369,Phase4!A$4:C$1000,3,FALSE),"")</f>
        <v/>
      </c>
      <c r="D369" s="10" t="str">
        <f>_xlfn.IFNA(VLOOKUP($A369,CompChecksTrans!$A:$C,3,FALSE), "      ")</f>
        <v xml:space="preserve">      </v>
      </c>
    </row>
    <row r="370" spans="1:4" x14ac:dyDescent="0.25">
      <c r="A370" s="241" t="s">
        <v>7674</v>
      </c>
      <c r="B370" s="10" t="str">
        <f>_xlfn.IFNA(VLOOKUP($A370,CompChecksTrans!$A:$C,2,FALSE),"")</f>
        <v/>
      </c>
      <c r="C370" s="10" t="str">
        <f>_xlfn.IFNA(VLOOKUP(B370,Phase4!A$4:C$1000,3,FALSE),"")</f>
        <v/>
      </c>
      <c r="D370" s="10" t="str">
        <f>_xlfn.IFNA(VLOOKUP($A370,CompChecksTrans!$A:$C,3,FALSE), "      ")</f>
        <v xml:space="preserve">      </v>
      </c>
    </row>
    <row r="371" spans="1:4" x14ac:dyDescent="0.25">
      <c r="A371" s="241" t="s">
        <v>7675</v>
      </c>
      <c r="B371" s="10" t="str">
        <f>_xlfn.IFNA(VLOOKUP($A371,CompChecksTrans!$A:$C,2,FALSE),"")</f>
        <v/>
      </c>
      <c r="C371" s="10" t="str">
        <f>_xlfn.IFNA(VLOOKUP(B371,Phase4!A$4:C$1000,3,FALSE),"")</f>
        <v/>
      </c>
      <c r="D371" s="10" t="str">
        <f>_xlfn.IFNA(VLOOKUP($A371,CompChecksTrans!$A:$C,3,FALSE), "      ")</f>
        <v xml:space="preserve">      </v>
      </c>
    </row>
    <row r="372" spans="1:4" x14ac:dyDescent="0.25">
      <c r="A372" s="241" t="s">
        <v>7676</v>
      </c>
      <c r="B372" s="10" t="str">
        <f>_xlfn.IFNA(VLOOKUP($A372,CompChecksTrans!$A:$C,2,FALSE),"")</f>
        <v/>
      </c>
      <c r="C372" s="10" t="str">
        <f>_xlfn.IFNA(VLOOKUP(B372,Phase4!A$4:C$1000,3,FALSE),"")</f>
        <v/>
      </c>
      <c r="D372" s="10" t="str">
        <f>_xlfn.IFNA(VLOOKUP($A372,CompChecksTrans!$A:$C,3,FALSE), "      ")</f>
        <v xml:space="preserve">      </v>
      </c>
    </row>
    <row r="373" spans="1:4" x14ac:dyDescent="0.25">
      <c r="A373" s="241" t="s">
        <v>7677</v>
      </c>
      <c r="B373" s="10" t="str">
        <f>_xlfn.IFNA(VLOOKUP($A373,CompChecksTrans!$A:$C,2,FALSE),"")</f>
        <v/>
      </c>
      <c r="C373" s="10" t="str">
        <f>_xlfn.IFNA(VLOOKUP(B373,Phase4!A$4:C$1000,3,FALSE),"")</f>
        <v/>
      </c>
      <c r="D373" s="10" t="str">
        <f>_xlfn.IFNA(VLOOKUP($A373,CompChecksTrans!$A:$C,3,FALSE), "      ")</f>
        <v xml:space="preserve">      </v>
      </c>
    </row>
    <row r="374" spans="1:4" x14ac:dyDescent="0.25">
      <c r="A374" s="241" t="s">
        <v>7678</v>
      </c>
      <c r="B374" s="10" t="str">
        <f>_xlfn.IFNA(VLOOKUP($A374,CompChecksTrans!$A:$C,2,FALSE),"")</f>
        <v/>
      </c>
      <c r="C374" s="10" t="str">
        <f>_xlfn.IFNA(VLOOKUP(B374,Phase4!A$4:C$1000,3,FALSE),"")</f>
        <v/>
      </c>
      <c r="D374" s="10" t="str">
        <f>_xlfn.IFNA(VLOOKUP($A374,CompChecksTrans!$A:$C,3,FALSE), "      ")</f>
        <v xml:space="preserve">      </v>
      </c>
    </row>
    <row r="375" spans="1:4" x14ac:dyDescent="0.25">
      <c r="A375" s="241" t="s">
        <v>7679</v>
      </c>
      <c r="B375" s="10" t="str">
        <f>_xlfn.IFNA(VLOOKUP($A375,CompChecksTrans!$A:$C,2,FALSE),"")</f>
        <v/>
      </c>
      <c r="C375" s="10" t="str">
        <f>_xlfn.IFNA(VLOOKUP(B375,Phase4!A$4:C$1000,3,FALSE),"")</f>
        <v/>
      </c>
      <c r="D375" s="10" t="str">
        <f>_xlfn.IFNA(VLOOKUP($A375,CompChecksTrans!$A:$C,3,FALSE), "      ")</f>
        <v xml:space="preserve">      </v>
      </c>
    </row>
    <row r="376" spans="1:4" x14ac:dyDescent="0.25">
      <c r="A376" s="241" t="s">
        <v>7680</v>
      </c>
      <c r="B376" s="10" t="str">
        <f>_xlfn.IFNA(VLOOKUP($A376,CompChecksTrans!$A:$C,2,FALSE),"")</f>
        <v/>
      </c>
      <c r="C376" s="10" t="str">
        <f>_xlfn.IFNA(VLOOKUP(B376,Phase4!A$4:C$1000,3,FALSE),"")</f>
        <v/>
      </c>
      <c r="D376" s="10" t="str">
        <f>_xlfn.IFNA(VLOOKUP($A376,CompChecksTrans!$A:$C,3,FALSE), "      ")</f>
        <v xml:space="preserve">      </v>
      </c>
    </row>
    <row r="377" spans="1:4" x14ac:dyDescent="0.25">
      <c r="A377" s="241" t="s">
        <v>7681</v>
      </c>
      <c r="B377" s="10" t="str">
        <f>_xlfn.IFNA(VLOOKUP($A377,CompChecksTrans!$A:$C,2,FALSE),"")</f>
        <v/>
      </c>
      <c r="C377" s="10" t="str">
        <f>_xlfn.IFNA(VLOOKUP(B377,Phase4!A$4:C$1000,3,FALSE),"")</f>
        <v/>
      </c>
      <c r="D377" s="10" t="str">
        <f>_xlfn.IFNA(VLOOKUP($A377,CompChecksTrans!$A:$C,3,FALSE), "      ")</f>
        <v xml:space="preserve">      </v>
      </c>
    </row>
    <row r="378" spans="1:4" x14ac:dyDescent="0.25">
      <c r="A378" s="241" t="s">
        <v>7682</v>
      </c>
      <c r="B378" s="10" t="str">
        <f>_xlfn.IFNA(VLOOKUP($A378,CompChecksTrans!$A:$C,2,FALSE),"")</f>
        <v/>
      </c>
      <c r="C378" s="10" t="str">
        <f>_xlfn.IFNA(VLOOKUP(B378,Phase4!A$4:C$1000,3,FALSE),"")</f>
        <v/>
      </c>
      <c r="D378" s="10" t="str">
        <f>_xlfn.IFNA(VLOOKUP($A378,CompChecksTrans!$A:$C,3,FALSE), "      ")</f>
        <v xml:space="preserve">      </v>
      </c>
    </row>
    <row r="379" spans="1:4" x14ac:dyDescent="0.25">
      <c r="A379" s="241" t="s">
        <v>7683</v>
      </c>
      <c r="B379" s="10" t="str">
        <f>_xlfn.IFNA(VLOOKUP($A379,CompChecksTrans!$A:$C,2,FALSE),"")</f>
        <v/>
      </c>
      <c r="C379" s="10" t="str">
        <f>_xlfn.IFNA(VLOOKUP(B379,Phase4!A$4:C$1000,3,FALSE),"")</f>
        <v/>
      </c>
      <c r="D379" s="10" t="str">
        <f>_xlfn.IFNA(VLOOKUP($A379,CompChecksTrans!$A:$C,3,FALSE), "      ")</f>
        <v xml:space="preserve">      </v>
      </c>
    </row>
    <row r="380" spans="1:4" x14ac:dyDescent="0.25">
      <c r="A380" s="241" t="s">
        <v>7684</v>
      </c>
      <c r="B380" s="10" t="str">
        <f>_xlfn.IFNA(VLOOKUP($A380,CompChecksTrans!$A:$C,2,FALSE),"")</f>
        <v/>
      </c>
      <c r="C380" s="10" t="str">
        <f>_xlfn.IFNA(VLOOKUP(B380,Phase4!A$4:C$1000,3,FALSE),"")</f>
        <v/>
      </c>
      <c r="D380" s="10" t="str">
        <f>_xlfn.IFNA(VLOOKUP($A380,CompChecksTrans!$A:$C,3,FALSE), "      ")</f>
        <v xml:space="preserve">      </v>
      </c>
    </row>
    <row r="381" spans="1:4" x14ac:dyDescent="0.25">
      <c r="A381" s="241" t="s">
        <v>7685</v>
      </c>
      <c r="B381" s="10" t="str">
        <f>_xlfn.IFNA(VLOOKUP($A381,CompChecksTrans!$A:$C,2,FALSE),"")</f>
        <v/>
      </c>
      <c r="C381" s="10" t="str">
        <f>_xlfn.IFNA(VLOOKUP(B381,Phase4!A$4:C$1000,3,FALSE),"")</f>
        <v/>
      </c>
      <c r="D381" s="10" t="str">
        <f>_xlfn.IFNA(VLOOKUP($A381,CompChecksTrans!$A:$C,3,FALSE), "      ")</f>
        <v xml:space="preserve">      </v>
      </c>
    </row>
    <row r="382" spans="1:4" x14ac:dyDescent="0.25">
      <c r="A382" s="241" t="s">
        <v>7686</v>
      </c>
      <c r="B382" s="10" t="str">
        <f>_xlfn.IFNA(VLOOKUP($A382,CompChecksTrans!$A:$C,2,FALSE),"")</f>
        <v/>
      </c>
      <c r="C382" s="10" t="str">
        <f>_xlfn.IFNA(VLOOKUP(B382,Phase4!A$4:C$1000,3,FALSE),"")</f>
        <v/>
      </c>
      <c r="D382" s="10" t="str">
        <f>_xlfn.IFNA(VLOOKUP($A382,CompChecksTrans!$A:$C,3,FALSE), "      ")</f>
        <v xml:space="preserve">      </v>
      </c>
    </row>
    <row r="383" spans="1:4" x14ac:dyDescent="0.25">
      <c r="A383" s="241" t="s">
        <v>7687</v>
      </c>
      <c r="B383" s="10" t="str">
        <f>_xlfn.IFNA(VLOOKUP($A383,CompChecksTrans!$A:$C,2,FALSE),"")</f>
        <v/>
      </c>
      <c r="C383" s="10" t="str">
        <f>_xlfn.IFNA(VLOOKUP(B383,Phase4!A$4:C$1000,3,FALSE),"")</f>
        <v/>
      </c>
      <c r="D383" s="10" t="str">
        <f>_xlfn.IFNA(VLOOKUP($A383,CompChecksTrans!$A:$C,3,FALSE), "      ")</f>
        <v xml:space="preserve">      </v>
      </c>
    </row>
    <row r="384" spans="1:4" x14ac:dyDescent="0.25">
      <c r="A384" s="241" t="s">
        <v>7688</v>
      </c>
      <c r="B384" s="10" t="str">
        <f>_xlfn.IFNA(VLOOKUP($A384,CompChecksTrans!$A:$C,2,FALSE),"")</f>
        <v/>
      </c>
      <c r="C384" s="10" t="str">
        <f>_xlfn.IFNA(VLOOKUP(B384,Phase4!A$4:C$1000,3,FALSE),"")</f>
        <v/>
      </c>
      <c r="D384" s="10" t="str">
        <f>_xlfn.IFNA(VLOOKUP($A384,CompChecksTrans!$A:$C,3,FALSE), "      ")</f>
        <v xml:space="preserve">      </v>
      </c>
    </row>
    <row r="385" spans="1:4" x14ac:dyDescent="0.25">
      <c r="A385" s="241" t="s">
        <v>7689</v>
      </c>
      <c r="B385" s="10" t="str">
        <f>_xlfn.IFNA(VLOOKUP($A385,CompChecksTrans!$A:$C,2,FALSE),"")</f>
        <v/>
      </c>
      <c r="C385" s="10" t="str">
        <f>_xlfn.IFNA(VLOOKUP(B385,Phase4!A$4:C$1000,3,FALSE),"")</f>
        <v/>
      </c>
      <c r="D385" s="10" t="str">
        <f>_xlfn.IFNA(VLOOKUP($A385,CompChecksTrans!$A:$C,3,FALSE), "      ")</f>
        <v xml:space="preserve">      </v>
      </c>
    </row>
    <row r="386" spans="1:4" x14ac:dyDescent="0.25">
      <c r="A386" s="241" t="s">
        <v>7690</v>
      </c>
      <c r="B386" s="10" t="str">
        <f>_xlfn.IFNA(VLOOKUP($A386,CompChecksTrans!$A:$C,2,FALSE),"")</f>
        <v/>
      </c>
      <c r="C386" s="10" t="str">
        <f>_xlfn.IFNA(VLOOKUP(B386,Phase4!A$4:C$1000,3,FALSE),"")</f>
        <v/>
      </c>
      <c r="D386" s="10" t="str">
        <f>_xlfn.IFNA(VLOOKUP($A386,CompChecksTrans!$A:$C,3,FALSE), "      ")</f>
        <v xml:space="preserve">      </v>
      </c>
    </row>
    <row r="387" spans="1:4" x14ac:dyDescent="0.25">
      <c r="A387" s="241" t="s">
        <v>7691</v>
      </c>
      <c r="B387" s="10" t="str">
        <f>_xlfn.IFNA(VLOOKUP($A387,CompChecksTrans!$A:$C,2,FALSE),"")</f>
        <v/>
      </c>
      <c r="C387" s="10" t="str">
        <f>_xlfn.IFNA(VLOOKUP(B387,Phase4!A$4:C$1000,3,FALSE),"")</f>
        <v/>
      </c>
      <c r="D387" s="10" t="str">
        <f>_xlfn.IFNA(VLOOKUP($A387,CompChecksTrans!$A:$C,3,FALSE), "      ")</f>
        <v xml:space="preserve">      </v>
      </c>
    </row>
    <row r="388" spans="1:4" x14ac:dyDescent="0.25">
      <c r="A388" s="241" t="s">
        <v>7692</v>
      </c>
      <c r="B388" s="10" t="str">
        <f>_xlfn.IFNA(VLOOKUP($A388,CompChecksTrans!$A:$C,2,FALSE),"")</f>
        <v/>
      </c>
      <c r="C388" s="10" t="str">
        <f>_xlfn.IFNA(VLOOKUP(B388,Phase4!A$4:C$1000,3,FALSE),"")</f>
        <v/>
      </c>
      <c r="D388" s="10" t="str">
        <f>_xlfn.IFNA(VLOOKUP($A388,CompChecksTrans!$A:$C,3,FALSE), "      ")</f>
        <v xml:space="preserve">      </v>
      </c>
    </row>
    <row r="389" spans="1:4" x14ac:dyDescent="0.25">
      <c r="A389" s="241" t="s">
        <v>7693</v>
      </c>
      <c r="B389" s="10" t="str">
        <f>_xlfn.IFNA(VLOOKUP($A389,CompChecksTrans!$A:$C,2,FALSE),"")</f>
        <v/>
      </c>
      <c r="C389" s="10" t="str">
        <f>_xlfn.IFNA(VLOOKUP(B389,Phase4!A$4:C$1000,3,FALSE),"")</f>
        <v/>
      </c>
      <c r="D389" s="10" t="str">
        <f>_xlfn.IFNA(VLOOKUP($A389,CompChecksTrans!$A:$C,3,FALSE), "      ")</f>
        <v xml:space="preserve">      </v>
      </c>
    </row>
    <row r="390" spans="1:4" x14ac:dyDescent="0.25">
      <c r="A390" s="241" t="s">
        <v>7694</v>
      </c>
      <c r="B390" s="10" t="str">
        <f>_xlfn.IFNA(VLOOKUP($A390,CompChecksTrans!$A:$C,2,FALSE),"")</f>
        <v/>
      </c>
      <c r="C390" s="10" t="str">
        <f>_xlfn.IFNA(VLOOKUP(B390,Phase4!A$4:C$1000,3,FALSE),"")</f>
        <v/>
      </c>
      <c r="D390" s="10" t="str">
        <f>_xlfn.IFNA(VLOOKUP($A390,CompChecksTrans!$A:$C,3,FALSE), "      ")</f>
        <v xml:space="preserve">      </v>
      </c>
    </row>
    <row r="391" spans="1:4" x14ac:dyDescent="0.25">
      <c r="A391" s="241" t="s">
        <v>7695</v>
      </c>
      <c r="B391" s="10" t="str">
        <f>_xlfn.IFNA(VLOOKUP($A391,CompChecksTrans!$A:$C,2,FALSE),"")</f>
        <v/>
      </c>
      <c r="C391" s="10" t="str">
        <f>_xlfn.IFNA(VLOOKUP(B391,Phase4!A$4:C$1000,3,FALSE),"")</f>
        <v/>
      </c>
      <c r="D391" s="10" t="str">
        <f>_xlfn.IFNA(VLOOKUP($A391,CompChecksTrans!$A:$C,3,FALSE), "      ")</f>
        <v xml:space="preserve">      </v>
      </c>
    </row>
    <row r="392" spans="1:4" x14ac:dyDescent="0.25">
      <c r="A392" s="241" t="s">
        <v>7696</v>
      </c>
      <c r="B392" s="10" t="str">
        <f>_xlfn.IFNA(VLOOKUP($A392,CompChecksTrans!$A:$C,2,FALSE),"")</f>
        <v/>
      </c>
      <c r="C392" s="10" t="str">
        <f>_xlfn.IFNA(VLOOKUP(B392,Phase4!A$4:C$1000,3,FALSE),"")</f>
        <v/>
      </c>
      <c r="D392" s="10" t="str">
        <f>_xlfn.IFNA(VLOOKUP($A392,CompChecksTrans!$A:$C,3,FALSE), "      ")</f>
        <v xml:space="preserve">      </v>
      </c>
    </row>
    <row r="393" spans="1:4" x14ac:dyDescent="0.25">
      <c r="A393" s="241" t="s">
        <v>7697</v>
      </c>
      <c r="B393" s="10" t="str">
        <f>_xlfn.IFNA(VLOOKUP($A393,CompChecksTrans!$A:$C,2,FALSE),"")</f>
        <v/>
      </c>
      <c r="C393" s="10" t="str">
        <f>_xlfn.IFNA(VLOOKUP(B393,Phase4!A$4:C$1000,3,FALSE),"")</f>
        <v/>
      </c>
      <c r="D393" s="10" t="str">
        <f>_xlfn.IFNA(VLOOKUP($A393,CompChecksTrans!$A:$C,3,FALSE), "      ")</f>
        <v xml:space="preserve">      </v>
      </c>
    </row>
    <row r="394" spans="1:4" x14ac:dyDescent="0.25">
      <c r="A394" s="241" t="s">
        <v>7698</v>
      </c>
      <c r="B394" s="10" t="str">
        <f>_xlfn.IFNA(VLOOKUP($A394,CompChecksTrans!$A:$C,2,FALSE),"")</f>
        <v/>
      </c>
      <c r="C394" s="10" t="str">
        <f>_xlfn.IFNA(VLOOKUP(B394,Phase4!A$4:C$1000,3,FALSE),"")</f>
        <v/>
      </c>
      <c r="D394" s="10" t="str">
        <f>_xlfn.IFNA(VLOOKUP($A394,CompChecksTrans!$A:$C,3,FALSE), "      ")</f>
        <v xml:space="preserve">      </v>
      </c>
    </row>
    <row r="395" spans="1:4" x14ac:dyDescent="0.25">
      <c r="A395" s="241" t="s">
        <v>7699</v>
      </c>
      <c r="B395" s="10" t="str">
        <f>_xlfn.IFNA(VLOOKUP($A395,CompChecksTrans!$A:$C,2,FALSE),"")</f>
        <v/>
      </c>
      <c r="C395" s="10" t="str">
        <f>_xlfn.IFNA(VLOOKUP(B395,Phase4!A$4:C$1000,3,FALSE),"")</f>
        <v/>
      </c>
      <c r="D395" s="10" t="str">
        <f>_xlfn.IFNA(VLOOKUP($A395,CompChecksTrans!$A:$C,3,FALSE), "      ")</f>
        <v xml:space="preserve">      </v>
      </c>
    </row>
    <row r="396" spans="1:4" x14ac:dyDescent="0.25">
      <c r="A396" s="241" t="s">
        <v>7700</v>
      </c>
      <c r="B396" s="10" t="str">
        <f>_xlfn.IFNA(VLOOKUP($A396,CompChecksTrans!$A:$C,2,FALSE),"")</f>
        <v/>
      </c>
      <c r="C396" s="10" t="str">
        <f>_xlfn.IFNA(VLOOKUP(B396,Phase4!A$4:C$1000,3,FALSE),"")</f>
        <v/>
      </c>
      <c r="D396" s="10" t="str">
        <f>_xlfn.IFNA(VLOOKUP($A396,CompChecksTrans!$A:$C,3,FALSE), "      ")</f>
        <v xml:space="preserve">      </v>
      </c>
    </row>
    <row r="397" spans="1:4" x14ac:dyDescent="0.25">
      <c r="A397" s="241" t="s">
        <v>7701</v>
      </c>
      <c r="B397" s="10" t="str">
        <f>_xlfn.IFNA(VLOOKUP($A397,CompChecksTrans!$A:$C,2,FALSE),"")</f>
        <v/>
      </c>
      <c r="C397" s="10" t="str">
        <f>_xlfn.IFNA(VLOOKUP(B397,Phase4!A$4:C$1000,3,FALSE),"")</f>
        <v/>
      </c>
      <c r="D397" s="10" t="str">
        <f>_xlfn.IFNA(VLOOKUP($A397,CompChecksTrans!$A:$C,3,FALSE), "      ")</f>
        <v xml:space="preserve">      </v>
      </c>
    </row>
    <row r="398" spans="1:4" x14ac:dyDescent="0.25">
      <c r="A398" s="241" t="s">
        <v>7702</v>
      </c>
      <c r="B398" s="10" t="str">
        <f>_xlfn.IFNA(VLOOKUP($A398,CompChecksTrans!$A:$C,2,FALSE),"")</f>
        <v/>
      </c>
      <c r="C398" s="10" t="str">
        <f>_xlfn.IFNA(VLOOKUP(B398,Phase4!A$4:C$1000,3,FALSE),"")</f>
        <v/>
      </c>
      <c r="D398" s="10" t="str">
        <f>_xlfn.IFNA(VLOOKUP($A398,CompChecksTrans!$A:$C,3,FALSE), "      ")</f>
        <v xml:space="preserve">      </v>
      </c>
    </row>
    <row r="399" spans="1:4" x14ac:dyDescent="0.25">
      <c r="A399" s="241" t="s">
        <v>7703</v>
      </c>
      <c r="B399" s="10" t="str">
        <f>_xlfn.IFNA(VLOOKUP($A399,CompChecksTrans!$A:$C,2,FALSE),"")</f>
        <v/>
      </c>
      <c r="C399" s="10" t="str">
        <f>_xlfn.IFNA(VLOOKUP(B399,Phase4!A$4:C$1000,3,FALSE),"")</f>
        <v/>
      </c>
      <c r="D399" s="10" t="str">
        <f>_xlfn.IFNA(VLOOKUP($A399,CompChecksTrans!$A:$C,3,FALSE), "      ")</f>
        <v xml:space="preserve">      </v>
      </c>
    </row>
    <row r="400" spans="1:4" x14ac:dyDescent="0.25">
      <c r="A400" s="241" t="s">
        <v>7704</v>
      </c>
      <c r="B400" s="10" t="str">
        <f>_xlfn.IFNA(VLOOKUP($A400,CompChecksTrans!$A:$C,2,FALSE),"")</f>
        <v/>
      </c>
      <c r="C400" s="10" t="str">
        <f>_xlfn.IFNA(VLOOKUP(B400,Phase4!A$4:C$1000,3,FALSE),"")</f>
        <v/>
      </c>
      <c r="D400" s="10" t="str">
        <f>_xlfn.IFNA(VLOOKUP($A400,CompChecksTrans!$A:$C,3,FALSE), "      ")</f>
        <v xml:space="preserve">      </v>
      </c>
    </row>
    <row r="401" spans="1:4" x14ac:dyDescent="0.25">
      <c r="A401" s="241" t="s">
        <v>7705</v>
      </c>
      <c r="B401" s="10" t="str">
        <f>_xlfn.IFNA(VLOOKUP($A401,CompChecksTrans!$A:$C,2,FALSE),"")</f>
        <v/>
      </c>
      <c r="C401" s="10" t="str">
        <f>_xlfn.IFNA(VLOOKUP(B401,Phase4!A$4:C$1000,3,FALSE),"")</f>
        <v/>
      </c>
      <c r="D401" s="10" t="str">
        <f>_xlfn.IFNA(VLOOKUP($A401,CompChecksTrans!$A:$C,3,FALSE), "      ")</f>
        <v xml:space="preserve">      </v>
      </c>
    </row>
    <row r="402" spans="1:4" x14ac:dyDescent="0.25">
      <c r="A402" s="241" t="s">
        <v>7706</v>
      </c>
      <c r="B402" s="10" t="str">
        <f>_xlfn.IFNA(VLOOKUP($A402,CompChecksTrans!$A:$C,2,FALSE),"")</f>
        <v/>
      </c>
      <c r="C402" s="10" t="str">
        <f>_xlfn.IFNA(VLOOKUP(B402,Phase4!A$4:C$1000,3,FALSE),"")</f>
        <v/>
      </c>
      <c r="D402" s="10" t="str">
        <f>_xlfn.IFNA(VLOOKUP($A402,CompChecksTrans!$A:$C,3,FALSE), "      ")</f>
        <v xml:space="preserve">      </v>
      </c>
    </row>
    <row r="403" spans="1:4" x14ac:dyDescent="0.25">
      <c r="A403" s="241" t="s">
        <v>7707</v>
      </c>
      <c r="B403" s="10" t="str">
        <f>_xlfn.IFNA(VLOOKUP($A403,CompChecksTrans!$A:$C,2,FALSE),"")</f>
        <v/>
      </c>
      <c r="C403" s="10" t="str">
        <f>_xlfn.IFNA(VLOOKUP(B403,Phase4!A$4:C$1000,3,FALSE),"")</f>
        <v/>
      </c>
      <c r="D403" s="10" t="str">
        <f>_xlfn.IFNA(VLOOKUP($A403,CompChecksTrans!$A:$C,3,FALSE), "      ")</f>
        <v xml:space="preserve">      </v>
      </c>
    </row>
    <row r="404" spans="1:4" x14ac:dyDescent="0.25">
      <c r="A404" s="241" t="s">
        <v>7708</v>
      </c>
      <c r="B404" s="10" t="str">
        <f>_xlfn.IFNA(VLOOKUP($A404,CompChecksTrans!$A:$C,2,FALSE),"")</f>
        <v/>
      </c>
      <c r="C404" s="10" t="str">
        <f>_xlfn.IFNA(VLOOKUP(B404,Phase4!A$4:C$1000,3,FALSE),"")</f>
        <v/>
      </c>
      <c r="D404" s="10" t="str">
        <f>_xlfn.IFNA(VLOOKUP($A404,CompChecksTrans!$A:$C,3,FALSE), "      ")</f>
        <v xml:space="preserve">      </v>
      </c>
    </row>
    <row r="405" spans="1:4" x14ac:dyDescent="0.25">
      <c r="A405" s="241" t="s">
        <v>7709</v>
      </c>
      <c r="B405" s="10" t="str">
        <f>_xlfn.IFNA(VLOOKUP($A405,CompChecksTrans!$A:$C,2,FALSE),"")</f>
        <v/>
      </c>
      <c r="C405" s="10" t="str">
        <f>_xlfn.IFNA(VLOOKUP(B405,Phase4!A$4:C$1000,3,FALSE),"")</f>
        <v/>
      </c>
      <c r="D405" s="10" t="str">
        <f>_xlfn.IFNA(VLOOKUP($A405,CompChecksTrans!$A:$C,3,FALSE), "      ")</f>
        <v xml:space="preserve">      </v>
      </c>
    </row>
    <row r="406" spans="1:4" x14ac:dyDescent="0.25">
      <c r="A406" s="241" t="s">
        <v>7710</v>
      </c>
      <c r="B406" s="10" t="str">
        <f>_xlfn.IFNA(VLOOKUP($A406,CompChecksTrans!$A:$C,2,FALSE),"")</f>
        <v/>
      </c>
      <c r="C406" s="10" t="str">
        <f>_xlfn.IFNA(VLOOKUP(B406,Phase4!A$4:C$1000,3,FALSE),"")</f>
        <v/>
      </c>
      <c r="D406" s="10" t="str">
        <f>_xlfn.IFNA(VLOOKUP($A406,CompChecksTrans!$A:$C,3,FALSE), "      ")</f>
        <v xml:space="preserve">      </v>
      </c>
    </row>
    <row r="407" spans="1:4" x14ac:dyDescent="0.25">
      <c r="A407" s="241" t="s">
        <v>7711</v>
      </c>
      <c r="B407" s="10" t="str">
        <f>_xlfn.IFNA(VLOOKUP($A407,CompChecksTrans!$A:$C,2,FALSE),"")</f>
        <v/>
      </c>
      <c r="C407" s="10" t="str">
        <f>_xlfn.IFNA(VLOOKUP(B407,Phase4!A$4:C$1000,3,FALSE),"")</f>
        <v/>
      </c>
      <c r="D407" s="10" t="str">
        <f>_xlfn.IFNA(VLOOKUP($A407,CompChecksTrans!$A:$C,3,FALSE), "      ")</f>
        <v xml:space="preserve">      </v>
      </c>
    </row>
    <row r="408" spans="1:4" x14ac:dyDescent="0.25">
      <c r="A408" s="241" t="s">
        <v>7712</v>
      </c>
      <c r="B408" s="10" t="str">
        <f>_xlfn.IFNA(VLOOKUP($A408,CompChecksTrans!$A:$C,2,FALSE),"")</f>
        <v/>
      </c>
      <c r="C408" s="10" t="str">
        <f>_xlfn.IFNA(VLOOKUP(B408,Phase4!A$4:C$1000,3,FALSE),"")</f>
        <v/>
      </c>
      <c r="D408" s="10" t="str">
        <f>_xlfn.IFNA(VLOOKUP($A408,CompChecksTrans!$A:$C,3,FALSE), "      ")</f>
        <v xml:space="preserve">      </v>
      </c>
    </row>
    <row r="409" spans="1:4" x14ac:dyDescent="0.25">
      <c r="A409" s="241" t="s">
        <v>7713</v>
      </c>
      <c r="B409" s="10" t="str">
        <f>_xlfn.IFNA(VLOOKUP($A409,CompChecksTrans!$A:$C,2,FALSE),"")</f>
        <v/>
      </c>
      <c r="C409" s="10" t="str">
        <f>_xlfn.IFNA(VLOOKUP(B409,Phase4!A$4:C$1000,3,FALSE),"")</f>
        <v/>
      </c>
      <c r="D409" s="10" t="str">
        <f>_xlfn.IFNA(VLOOKUP($A409,CompChecksTrans!$A:$C,3,FALSE), "      ")</f>
        <v xml:space="preserve">      </v>
      </c>
    </row>
    <row r="410" spans="1:4" x14ac:dyDescent="0.25">
      <c r="A410" s="241" t="s">
        <v>7714</v>
      </c>
      <c r="B410" s="10" t="str">
        <f>_xlfn.IFNA(VLOOKUP($A410,CompChecksTrans!$A:$C,2,FALSE),"")</f>
        <v/>
      </c>
      <c r="C410" s="10" t="str">
        <f>_xlfn.IFNA(VLOOKUP(B410,Phase4!A$4:C$1000,3,FALSE),"")</f>
        <v/>
      </c>
      <c r="D410" s="10" t="str">
        <f>_xlfn.IFNA(VLOOKUP($A410,CompChecksTrans!$A:$C,3,FALSE), "      ")</f>
        <v xml:space="preserve">      </v>
      </c>
    </row>
    <row r="411" spans="1:4" x14ac:dyDescent="0.25">
      <c r="A411" s="241" t="s">
        <v>7715</v>
      </c>
      <c r="B411" s="10" t="str">
        <f>_xlfn.IFNA(VLOOKUP($A411,CompChecksTrans!$A:$C,2,FALSE),"")</f>
        <v/>
      </c>
      <c r="C411" s="10" t="str">
        <f>_xlfn.IFNA(VLOOKUP(B411,Phase4!A$4:C$1000,3,FALSE),"")</f>
        <v/>
      </c>
      <c r="D411" s="10" t="str">
        <f>_xlfn.IFNA(VLOOKUP($A411,CompChecksTrans!$A:$C,3,FALSE), "      ")</f>
        <v xml:space="preserve">      </v>
      </c>
    </row>
    <row r="412" spans="1:4" x14ac:dyDescent="0.25">
      <c r="A412" s="241" t="s">
        <v>7716</v>
      </c>
      <c r="B412" s="10" t="str">
        <f>_xlfn.IFNA(VLOOKUP($A412,CompChecksTrans!$A:$C,2,FALSE),"")</f>
        <v/>
      </c>
      <c r="C412" s="10" t="str">
        <f>_xlfn.IFNA(VLOOKUP(B412,Phase4!A$4:C$1000,3,FALSE),"")</f>
        <v/>
      </c>
      <c r="D412" s="10" t="str">
        <f>_xlfn.IFNA(VLOOKUP($A412,CompChecksTrans!$A:$C,3,FALSE), "      ")</f>
        <v xml:space="preserve">      </v>
      </c>
    </row>
    <row r="413" spans="1:4" x14ac:dyDescent="0.25">
      <c r="A413" s="241" t="s">
        <v>7717</v>
      </c>
      <c r="B413" s="10" t="str">
        <f>_xlfn.IFNA(VLOOKUP($A413,CompChecksTrans!$A:$C,2,FALSE),"")</f>
        <v/>
      </c>
      <c r="C413" s="10" t="str">
        <f>_xlfn.IFNA(VLOOKUP(B413,Phase4!A$4:C$1000,3,FALSE),"")</f>
        <v/>
      </c>
      <c r="D413" s="10" t="str">
        <f>_xlfn.IFNA(VLOOKUP($A413,CompChecksTrans!$A:$C,3,FALSE), "      ")</f>
        <v xml:space="preserve">      </v>
      </c>
    </row>
    <row r="414" spans="1:4" x14ac:dyDescent="0.25">
      <c r="A414" s="241" t="s">
        <v>7718</v>
      </c>
      <c r="B414" s="10" t="str">
        <f>_xlfn.IFNA(VLOOKUP($A414,CompChecksTrans!$A:$C,2,FALSE),"")</f>
        <v/>
      </c>
      <c r="C414" s="10" t="str">
        <f>_xlfn.IFNA(VLOOKUP(B414,Phase4!A$4:C$1000,3,FALSE),"")</f>
        <v/>
      </c>
      <c r="D414" s="10" t="str">
        <f>_xlfn.IFNA(VLOOKUP($A414,CompChecksTrans!$A:$C,3,FALSE), "      ")</f>
        <v xml:space="preserve">      </v>
      </c>
    </row>
    <row r="415" spans="1:4" x14ac:dyDescent="0.25">
      <c r="A415" s="241" t="s">
        <v>7719</v>
      </c>
      <c r="B415" s="10" t="str">
        <f>_xlfn.IFNA(VLOOKUP($A415,CompChecksTrans!$A:$C,2,FALSE),"")</f>
        <v/>
      </c>
      <c r="C415" s="10" t="str">
        <f>_xlfn.IFNA(VLOOKUP(B415,Phase4!A$4:C$1000,3,FALSE),"")</f>
        <v/>
      </c>
      <c r="D415" s="10" t="str">
        <f>_xlfn.IFNA(VLOOKUP($A415,CompChecksTrans!$A:$C,3,FALSE), "      ")</f>
        <v xml:space="preserve">      </v>
      </c>
    </row>
    <row r="416" spans="1:4" x14ac:dyDescent="0.25">
      <c r="A416" s="241" t="s">
        <v>7720</v>
      </c>
      <c r="B416" s="10" t="str">
        <f>_xlfn.IFNA(VLOOKUP($A416,CompChecksTrans!$A:$C,2,FALSE),"")</f>
        <v/>
      </c>
      <c r="C416" s="10" t="str">
        <f>_xlfn.IFNA(VLOOKUP(B416,Phase4!A$4:C$1000,3,FALSE),"")</f>
        <v/>
      </c>
      <c r="D416" s="10" t="str">
        <f>_xlfn.IFNA(VLOOKUP($A416,CompChecksTrans!$A:$C,3,FALSE), "      ")</f>
        <v xml:space="preserve">      </v>
      </c>
    </row>
    <row r="417" spans="1:4" x14ac:dyDescent="0.25">
      <c r="A417" s="241" t="s">
        <v>7721</v>
      </c>
      <c r="B417" s="10" t="str">
        <f>_xlfn.IFNA(VLOOKUP($A417,CompChecksTrans!$A:$C,2,FALSE),"")</f>
        <v/>
      </c>
      <c r="C417" s="10" t="str">
        <f>_xlfn.IFNA(VLOOKUP(B417,Phase4!A$4:C$1000,3,FALSE),"")</f>
        <v/>
      </c>
      <c r="D417" s="10" t="str">
        <f>_xlfn.IFNA(VLOOKUP($A417,CompChecksTrans!$A:$C,3,FALSE), "      ")</f>
        <v xml:space="preserve">      </v>
      </c>
    </row>
    <row r="418" spans="1:4" x14ac:dyDescent="0.25">
      <c r="A418" s="241" t="s">
        <v>7722</v>
      </c>
      <c r="B418" s="10" t="str">
        <f>_xlfn.IFNA(VLOOKUP($A418,CompChecksTrans!$A:$C,2,FALSE),"")</f>
        <v/>
      </c>
      <c r="C418" s="10" t="str">
        <f>_xlfn.IFNA(VLOOKUP(B418,Phase4!A$4:C$1000,3,FALSE),"")</f>
        <v/>
      </c>
      <c r="D418" s="10" t="str">
        <f>_xlfn.IFNA(VLOOKUP($A418,CompChecksTrans!$A:$C,3,FALSE), "      ")</f>
        <v xml:space="preserve">      </v>
      </c>
    </row>
    <row r="419" spans="1:4" x14ac:dyDescent="0.25">
      <c r="A419" s="241" t="s">
        <v>7723</v>
      </c>
      <c r="B419" s="10" t="str">
        <f>_xlfn.IFNA(VLOOKUP($A419,CompChecksTrans!$A:$C,2,FALSE),"")</f>
        <v/>
      </c>
      <c r="C419" s="10" t="str">
        <f>_xlfn.IFNA(VLOOKUP(B419,Phase4!A$4:C$1000,3,FALSE),"")</f>
        <v/>
      </c>
      <c r="D419" s="10" t="str">
        <f>_xlfn.IFNA(VLOOKUP($A419,CompChecksTrans!$A:$C,3,FALSE), "      ")</f>
        <v xml:space="preserve">      </v>
      </c>
    </row>
    <row r="420" spans="1:4" x14ac:dyDescent="0.25">
      <c r="A420" s="241" t="s">
        <v>7724</v>
      </c>
      <c r="B420" s="10" t="str">
        <f>_xlfn.IFNA(VLOOKUP($A420,CompChecksTrans!$A:$C,2,FALSE),"")</f>
        <v/>
      </c>
      <c r="C420" s="10" t="str">
        <f>_xlfn.IFNA(VLOOKUP(B420,Phase4!A$4:C$1000,3,FALSE),"")</f>
        <v/>
      </c>
      <c r="D420" s="10" t="str">
        <f>_xlfn.IFNA(VLOOKUP($A420,CompChecksTrans!$A:$C,3,FALSE), "      ")</f>
        <v xml:space="preserve">      </v>
      </c>
    </row>
    <row r="421" spans="1:4" x14ac:dyDescent="0.25">
      <c r="A421" s="241" t="s">
        <v>7725</v>
      </c>
      <c r="B421" s="10" t="str">
        <f>_xlfn.IFNA(VLOOKUP($A421,CompChecksTrans!$A:$C,2,FALSE),"")</f>
        <v/>
      </c>
      <c r="C421" s="10" t="str">
        <f>_xlfn.IFNA(VLOOKUP(B421,Phase4!A$4:C$1000,3,FALSE),"")</f>
        <v/>
      </c>
      <c r="D421" s="10" t="str">
        <f>_xlfn.IFNA(VLOOKUP($A421,CompChecksTrans!$A:$C,3,FALSE), "      ")</f>
        <v xml:space="preserve">      </v>
      </c>
    </row>
    <row r="422" spans="1:4" x14ac:dyDescent="0.25">
      <c r="A422" s="241" t="s">
        <v>7726</v>
      </c>
      <c r="B422" s="10" t="str">
        <f>_xlfn.IFNA(VLOOKUP($A422,CompChecksTrans!$A:$C,2,FALSE),"")</f>
        <v/>
      </c>
      <c r="C422" s="10" t="str">
        <f>_xlfn.IFNA(VLOOKUP(B422,Phase4!A$4:C$1000,3,FALSE),"")</f>
        <v/>
      </c>
      <c r="D422" s="10" t="str">
        <f>_xlfn.IFNA(VLOOKUP($A422,CompChecksTrans!$A:$C,3,FALSE), "      ")</f>
        <v xml:space="preserve">      </v>
      </c>
    </row>
    <row r="423" spans="1:4" x14ac:dyDescent="0.25">
      <c r="A423" s="241" t="s">
        <v>7727</v>
      </c>
      <c r="B423" s="10" t="str">
        <f>_xlfn.IFNA(VLOOKUP($A423,CompChecksTrans!$A:$C,2,FALSE),"")</f>
        <v/>
      </c>
      <c r="C423" s="10" t="str">
        <f>_xlfn.IFNA(VLOOKUP(B423,Phase4!A$4:C$1000,3,FALSE),"")</f>
        <v/>
      </c>
      <c r="D423" s="10" t="str">
        <f>_xlfn.IFNA(VLOOKUP($A423,CompChecksTrans!$A:$C,3,FALSE), "      ")</f>
        <v xml:space="preserve">      </v>
      </c>
    </row>
    <row r="424" spans="1:4" x14ac:dyDescent="0.25">
      <c r="A424" s="241" t="s">
        <v>7728</v>
      </c>
      <c r="B424" s="10" t="str">
        <f>_xlfn.IFNA(VLOOKUP($A424,CompChecksTrans!$A:$C,2,FALSE),"")</f>
        <v/>
      </c>
      <c r="C424" s="10" t="str">
        <f>_xlfn.IFNA(VLOOKUP(B424,Phase4!A$4:C$1000,3,FALSE),"")</f>
        <v/>
      </c>
      <c r="D424" s="10" t="str">
        <f>_xlfn.IFNA(VLOOKUP($A424,CompChecksTrans!$A:$C,3,FALSE), "      ")</f>
        <v xml:space="preserve">      </v>
      </c>
    </row>
    <row r="425" spans="1:4" x14ac:dyDescent="0.25">
      <c r="A425" s="241" t="s">
        <v>7729</v>
      </c>
      <c r="B425" s="10" t="str">
        <f>_xlfn.IFNA(VLOOKUP($A425,CompChecksTrans!$A:$C,2,FALSE),"")</f>
        <v/>
      </c>
      <c r="C425" s="10" t="str">
        <f>_xlfn.IFNA(VLOOKUP(B425,Phase4!A$4:C$1000,3,FALSE),"")</f>
        <v/>
      </c>
      <c r="D425" s="10" t="str">
        <f>_xlfn.IFNA(VLOOKUP($A425,CompChecksTrans!$A:$C,3,FALSE), "      ")</f>
        <v xml:space="preserve">      </v>
      </c>
    </row>
    <row r="426" spans="1:4" x14ac:dyDescent="0.25">
      <c r="A426" s="241" t="s">
        <v>7730</v>
      </c>
      <c r="B426" s="10" t="str">
        <f>_xlfn.IFNA(VLOOKUP($A426,CompChecksTrans!$A:$C,2,FALSE),"")</f>
        <v/>
      </c>
      <c r="C426" s="10" t="str">
        <f>_xlfn.IFNA(VLOOKUP(B426,Phase4!A$4:C$1000,3,FALSE),"")</f>
        <v/>
      </c>
      <c r="D426" s="10" t="str">
        <f>_xlfn.IFNA(VLOOKUP($A426,CompChecksTrans!$A:$C,3,FALSE), "      ")</f>
        <v xml:space="preserve">      </v>
      </c>
    </row>
    <row r="427" spans="1:4" x14ac:dyDescent="0.25">
      <c r="A427" s="241" t="s">
        <v>7731</v>
      </c>
      <c r="B427" s="10" t="str">
        <f>_xlfn.IFNA(VLOOKUP($A427,CompChecksTrans!$A:$C,2,FALSE),"")</f>
        <v/>
      </c>
      <c r="C427" s="10" t="str">
        <f>_xlfn.IFNA(VLOOKUP(B427,Phase4!A$4:C$1000,3,FALSE),"")</f>
        <v/>
      </c>
      <c r="D427" s="10" t="str">
        <f>_xlfn.IFNA(VLOOKUP($A427,CompChecksTrans!$A:$C,3,FALSE), "      ")</f>
        <v xml:space="preserve">      </v>
      </c>
    </row>
    <row r="428" spans="1:4" x14ac:dyDescent="0.25">
      <c r="A428" s="241" t="s">
        <v>7732</v>
      </c>
      <c r="B428" s="10" t="str">
        <f>_xlfn.IFNA(VLOOKUP($A428,CompChecksTrans!$A:$C,2,FALSE),"")</f>
        <v/>
      </c>
      <c r="C428" s="10" t="str">
        <f>_xlfn.IFNA(VLOOKUP(B428,Phase4!A$4:C$1000,3,FALSE),"")</f>
        <v/>
      </c>
      <c r="D428" s="10" t="str">
        <f>_xlfn.IFNA(VLOOKUP($A428,CompChecksTrans!$A:$C,3,FALSE), "      ")</f>
        <v xml:space="preserve">      </v>
      </c>
    </row>
    <row r="429" spans="1:4" x14ac:dyDescent="0.25">
      <c r="A429" s="241" t="s">
        <v>7733</v>
      </c>
      <c r="B429" s="10" t="str">
        <f>_xlfn.IFNA(VLOOKUP($A429,CompChecksTrans!$A:$C,2,FALSE),"")</f>
        <v/>
      </c>
      <c r="C429" s="10" t="str">
        <f>_xlfn.IFNA(VLOOKUP(B429,Phase4!A$4:C$1000,3,FALSE),"")</f>
        <v/>
      </c>
      <c r="D429" s="10" t="str">
        <f>_xlfn.IFNA(VLOOKUP($A429,CompChecksTrans!$A:$C,3,FALSE), "      ")</f>
        <v xml:space="preserve">      </v>
      </c>
    </row>
    <row r="430" spans="1:4" x14ac:dyDescent="0.25">
      <c r="A430" s="241" t="s">
        <v>7734</v>
      </c>
      <c r="B430" s="10" t="str">
        <f>_xlfn.IFNA(VLOOKUP($A430,CompChecksTrans!$A:$C,2,FALSE),"")</f>
        <v/>
      </c>
      <c r="C430" s="10" t="str">
        <f>_xlfn.IFNA(VLOOKUP(B430,Phase4!A$4:C$1000,3,FALSE),"")</f>
        <v/>
      </c>
      <c r="D430" s="10" t="str">
        <f>_xlfn.IFNA(VLOOKUP($A430,CompChecksTrans!$A:$C,3,FALSE), "      ")</f>
        <v xml:space="preserve">      </v>
      </c>
    </row>
    <row r="431" spans="1:4" x14ac:dyDescent="0.25">
      <c r="A431" s="241" t="s">
        <v>7735</v>
      </c>
      <c r="B431" s="10" t="str">
        <f>_xlfn.IFNA(VLOOKUP($A431,CompChecksTrans!$A:$C,2,FALSE),"")</f>
        <v/>
      </c>
      <c r="C431" s="10" t="str">
        <f>_xlfn.IFNA(VLOOKUP(B431,Phase4!A$4:C$1000,3,FALSE),"")</f>
        <v/>
      </c>
      <c r="D431" s="10" t="str">
        <f>_xlfn.IFNA(VLOOKUP($A431,CompChecksTrans!$A:$C,3,FALSE), "      ")</f>
        <v xml:space="preserve">      </v>
      </c>
    </row>
    <row r="432" spans="1:4" x14ac:dyDescent="0.25">
      <c r="A432" s="241" t="s">
        <v>7736</v>
      </c>
      <c r="B432" s="10" t="str">
        <f>_xlfn.IFNA(VLOOKUP($A432,CompChecksTrans!$A:$C,2,FALSE),"")</f>
        <v/>
      </c>
      <c r="C432" s="10" t="str">
        <f>_xlfn.IFNA(VLOOKUP(B432,Phase4!A$4:C$1000,3,FALSE),"")</f>
        <v/>
      </c>
      <c r="D432" s="10" t="str">
        <f>_xlfn.IFNA(VLOOKUP($A432,CompChecksTrans!$A:$C,3,FALSE), "      ")</f>
        <v xml:space="preserve">      </v>
      </c>
    </row>
    <row r="433" spans="1:4" x14ac:dyDescent="0.25">
      <c r="A433" s="241" t="s">
        <v>7737</v>
      </c>
      <c r="B433" s="10" t="str">
        <f>_xlfn.IFNA(VLOOKUP($A433,CompChecksTrans!$A:$C,2,FALSE),"")</f>
        <v/>
      </c>
      <c r="C433" s="10" t="str">
        <f>_xlfn.IFNA(VLOOKUP(B433,Phase4!A$4:C$1000,3,FALSE),"")</f>
        <v/>
      </c>
      <c r="D433" s="10" t="str">
        <f>_xlfn.IFNA(VLOOKUP($A433,CompChecksTrans!$A:$C,3,FALSE), "      ")</f>
        <v xml:space="preserve">      </v>
      </c>
    </row>
    <row r="434" spans="1:4" x14ac:dyDescent="0.25">
      <c r="A434" s="241" t="s">
        <v>7738</v>
      </c>
      <c r="B434" s="10" t="str">
        <f>_xlfn.IFNA(VLOOKUP($A434,CompChecksTrans!$A:$C,2,FALSE),"")</f>
        <v/>
      </c>
      <c r="C434" s="10" t="str">
        <f>_xlfn.IFNA(VLOOKUP(B434,Phase4!A$4:C$1000,3,FALSE),"")</f>
        <v/>
      </c>
      <c r="D434" s="10" t="str">
        <f>_xlfn.IFNA(VLOOKUP($A434,CompChecksTrans!$A:$C,3,FALSE), "      ")</f>
        <v xml:space="preserve">      </v>
      </c>
    </row>
    <row r="435" spans="1:4" x14ac:dyDescent="0.25">
      <c r="A435" s="241" t="s">
        <v>7739</v>
      </c>
      <c r="B435" s="10" t="str">
        <f>_xlfn.IFNA(VLOOKUP($A435,CompChecksTrans!$A:$C,2,FALSE),"")</f>
        <v/>
      </c>
      <c r="C435" s="10" t="str">
        <f>_xlfn.IFNA(VLOOKUP(B435,Phase4!A$4:C$1000,3,FALSE),"")</f>
        <v/>
      </c>
      <c r="D435" s="10" t="str">
        <f>_xlfn.IFNA(VLOOKUP($A435,CompChecksTrans!$A:$C,3,FALSE), "      ")</f>
        <v xml:space="preserve">      </v>
      </c>
    </row>
    <row r="436" spans="1:4" x14ac:dyDescent="0.25">
      <c r="A436" s="241" t="s">
        <v>7740</v>
      </c>
      <c r="B436" s="10" t="str">
        <f>_xlfn.IFNA(VLOOKUP($A436,CompChecksTrans!$A:$C,2,FALSE),"")</f>
        <v/>
      </c>
      <c r="C436" s="10" t="str">
        <f>_xlfn.IFNA(VLOOKUP(B436,Phase4!A$4:C$1000,3,FALSE),"")</f>
        <v/>
      </c>
      <c r="D436" s="10" t="str">
        <f>_xlfn.IFNA(VLOOKUP($A436,CompChecksTrans!$A:$C,3,FALSE), "      ")</f>
        <v xml:space="preserve">      </v>
      </c>
    </row>
    <row r="437" spans="1:4" x14ac:dyDescent="0.25">
      <c r="A437" s="241" t="s">
        <v>7741</v>
      </c>
      <c r="B437" s="10" t="str">
        <f>_xlfn.IFNA(VLOOKUP($A437,CompChecksTrans!$A:$C,2,FALSE),"")</f>
        <v/>
      </c>
      <c r="C437" s="10" t="str">
        <f>_xlfn.IFNA(VLOOKUP(B437,Phase4!A$4:C$1000,3,FALSE),"")</f>
        <v/>
      </c>
      <c r="D437" s="10" t="str">
        <f>_xlfn.IFNA(VLOOKUP($A437,CompChecksTrans!$A:$C,3,FALSE), "      ")</f>
        <v xml:space="preserve">      </v>
      </c>
    </row>
    <row r="438" spans="1:4" x14ac:dyDescent="0.25">
      <c r="A438" s="241" t="s">
        <v>7742</v>
      </c>
      <c r="B438" s="10" t="str">
        <f>_xlfn.IFNA(VLOOKUP($A438,CompChecksTrans!$A:$C,2,FALSE),"")</f>
        <v/>
      </c>
      <c r="C438" s="10" t="str">
        <f>_xlfn.IFNA(VLOOKUP(B438,Phase4!A$4:C$1000,3,FALSE),"")</f>
        <v/>
      </c>
      <c r="D438" s="10" t="str">
        <f>_xlfn.IFNA(VLOOKUP($A438,CompChecksTrans!$A:$C,3,FALSE), "      ")</f>
        <v xml:space="preserve">      </v>
      </c>
    </row>
    <row r="439" spans="1:4" x14ac:dyDescent="0.25">
      <c r="A439" s="241" t="s">
        <v>7743</v>
      </c>
      <c r="B439" s="10" t="str">
        <f>_xlfn.IFNA(VLOOKUP($A439,CompChecksTrans!$A:$C,2,FALSE),"")</f>
        <v/>
      </c>
      <c r="C439" s="10" t="str">
        <f>_xlfn.IFNA(VLOOKUP(B439,Phase4!A$4:C$1000,3,FALSE),"")</f>
        <v/>
      </c>
      <c r="D439" s="10" t="str">
        <f>_xlfn.IFNA(VLOOKUP($A439,CompChecksTrans!$A:$C,3,FALSE), "      ")</f>
        <v xml:space="preserve">      </v>
      </c>
    </row>
    <row r="440" spans="1:4" x14ac:dyDescent="0.25">
      <c r="A440" s="241" t="s">
        <v>7744</v>
      </c>
      <c r="B440" s="10" t="str">
        <f>_xlfn.IFNA(VLOOKUP($A440,CompChecksTrans!$A:$C,2,FALSE),"")</f>
        <v/>
      </c>
      <c r="C440" s="10" t="str">
        <f>_xlfn.IFNA(VLOOKUP(B440,Phase4!A$4:C$1000,3,FALSE),"")</f>
        <v/>
      </c>
      <c r="D440" s="10" t="str">
        <f>_xlfn.IFNA(VLOOKUP($A440,CompChecksTrans!$A:$C,3,FALSE), "      ")</f>
        <v xml:space="preserve">      </v>
      </c>
    </row>
    <row r="441" spans="1:4" x14ac:dyDescent="0.25">
      <c r="A441" s="241" t="s">
        <v>7745</v>
      </c>
      <c r="B441" s="10" t="str">
        <f>_xlfn.IFNA(VLOOKUP($A441,CompChecksTrans!$A:$C,2,FALSE),"")</f>
        <v/>
      </c>
      <c r="C441" s="10" t="str">
        <f>_xlfn.IFNA(VLOOKUP(B441,Phase4!A$4:C$1000,3,FALSE),"")</f>
        <v/>
      </c>
      <c r="D441" s="10" t="str">
        <f>_xlfn.IFNA(VLOOKUP($A441,CompChecksTrans!$A:$C,3,FALSE), "      ")</f>
        <v xml:space="preserve">      </v>
      </c>
    </row>
    <row r="442" spans="1:4" x14ac:dyDescent="0.25">
      <c r="A442" s="241" t="s">
        <v>7746</v>
      </c>
      <c r="B442" s="10" t="str">
        <f>_xlfn.IFNA(VLOOKUP($A442,CompChecksTrans!$A:$C,2,FALSE),"")</f>
        <v/>
      </c>
      <c r="C442" s="10" t="str">
        <f>_xlfn.IFNA(VLOOKUP(B442,Phase4!A$4:C$1000,3,FALSE),"")</f>
        <v/>
      </c>
      <c r="D442" s="10" t="str">
        <f>_xlfn.IFNA(VLOOKUP($A442,CompChecksTrans!$A:$C,3,FALSE), "      ")</f>
        <v xml:space="preserve">      </v>
      </c>
    </row>
    <row r="443" spans="1:4" x14ac:dyDescent="0.25">
      <c r="A443" s="241" t="s">
        <v>7747</v>
      </c>
      <c r="B443" s="10" t="str">
        <f>_xlfn.IFNA(VLOOKUP($A443,CompChecksTrans!$A:$C,2,FALSE),"")</f>
        <v/>
      </c>
      <c r="C443" s="10" t="str">
        <f>_xlfn.IFNA(VLOOKUP(B443,Phase4!A$4:C$1000,3,FALSE),"")</f>
        <v/>
      </c>
      <c r="D443" s="10" t="str">
        <f>_xlfn.IFNA(VLOOKUP($A443,CompChecksTrans!$A:$C,3,FALSE), "      ")</f>
        <v xml:space="preserve">      </v>
      </c>
    </row>
    <row r="444" spans="1:4" x14ac:dyDescent="0.25">
      <c r="A444" s="241" t="s">
        <v>7748</v>
      </c>
      <c r="B444" s="10" t="str">
        <f>_xlfn.IFNA(VLOOKUP($A444,CompChecksTrans!$A:$C,2,FALSE),"")</f>
        <v/>
      </c>
      <c r="C444" s="10" t="str">
        <f>_xlfn.IFNA(VLOOKUP(B444,Phase4!A$4:C$1000,3,FALSE),"")</f>
        <v/>
      </c>
      <c r="D444" s="10" t="str">
        <f>_xlfn.IFNA(VLOOKUP($A444,CompChecksTrans!$A:$C,3,FALSE), "      ")</f>
        <v xml:space="preserve">      </v>
      </c>
    </row>
    <row r="445" spans="1:4" x14ac:dyDescent="0.25">
      <c r="A445" s="241" t="s">
        <v>7749</v>
      </c>
      <c r="B445" s="10" t="str">
        <f>_xlfn.IFNA(VLOOKUP($A445,CompChecksTrans!$A:$C,2,FALSE),"")</f>
        <v/>
      </c>
      <c r="C445" s="10" t="str">
        <f>_xlfn.IFNA(VLOOKUP(B445,Phase4!A$4:C$1000,3,FALSE),"")</f>
        <v/>
      </c>
      <c r="D445" s="10" t="str">
        <f>_xlfn.IFNA(VLOOKUP($A445,CompChecksTrans!$A:$C,3,FALSE), "      ")</f>
        <v xml:space="preserve">      </v>
      </c>
    </row>
    <row r="446" spans="1:4" x14ac:dyDescent="0.25">
      <c r="A446" s="241" t="s">
        <v>7750</v>
      </c>
      <c r="B446" s="10" t="str">
        <f>_xlfn.IFNA(VLOOKUP($A446,CompChecksTrans!$A:$C,2,FALSE),"")</f>
        <v/>
      </c>
      <c r="C446" s="10" t="str">
        <f>_xlfn.IFNA(VLOOKUP(B446,Phase4!A$4:C$1000,3,FALSE),"")</f>
        <v/>
      </c>
      <c r="D446" s="10" t="str">
        <f>_xlfn.IFNA(VLOOKUP($A446,CompChecksTrans!$A:$C,3,FALSE), "      ")</f>
        <v xml:space="preserve">      </v>
      </c>
    </row>
    <row r="447" spans="1:4" x14ac:dyDescent="0.25">
      <c r="A447" s="241" t="s">
        <v>7751</v>
      </c>
      <c r="B447" s="10" t="str">
        <f>_xlfn.IFNA(VLOOKUP($A447,CompChecksTrans!$A:$C,2,FALSE),"")</f>
        <v/>
      </c>
      <c r="C447" s="10" t="str">
        <f>_xlfn.IFNA(VLOOKUP(B447,Phase4!A$4:C$1000,3,FALSE),"")</f>
        <v/>
      </c>
      <c r="D447" s="10" t="str">
        <f>_xlfn.IFNA(VLOOKUP($A447,CompChecksTrans!$A:$C,3,FALSE), "      ")</f>
        <v xml:space="preserve">      </v>
      </c>
    </row>
    <row r="448" spans="1:4" x14ac:dyDescent="0.25">
      <c r="A448" s="241" t="s">
        <v>7752</v>
      </c>
      <c r="B448" s="10" t="str">
        <f>_xlfn.IFNA(VLOOKUP($A448,CompChecksTrans!$A:$C,2,FALSE),"")</f>
        <v/>
      </c>
      <c r="C448" s="10" t="str">
        <f>_xlfn.IFNA(VLOOKUP(B448,Phase4!A$4:C$1000,3,FALSE),"")</f>
        <v/>
      </c>
      <c r="D448" s="10" t="str">
        <f>_xlfn.IFNA(VLOOKUP($A448,CompChecksTrans!$A:$C,3,FALSE), "      ")</f>
        <v xml:space="preserve">      </v>
      </c>
    </row>
    <row r="449" spans="1:4" x14ac:dyDescent="0.25">
      <c r="A449" s="241" t="s">
        <v>7753</v>
      </c>
      <c r="B449" s="10" t="str">
        <f>_xlfn.IFNA(VLOOKUP($A449,CompChecksTrans!$A:$C,2,FALSE),"")</f>
        <v/>
      </c>
      <c r="C449" s="10" t="str">
        <f>_xlfn.IFNA(VLOOKUP(B449,Phase4!A$4:C$1000,3,FALSE),"")</f>
        <v/>
      </c>
      <c r="D449" s="10" t="str">
        <f>_xlfn.IFNA(VLOOKUP($A449,CompChecksTrans!$A:$C,3,FALSE), "      ")</f>
        <v xml:space="preserve">      </v>
      </c>
    </row>
    <row r="450" spans="1:4" x14ac:dyDescent="0.25">
      <c r="A450" s="241" t="s">
        <v>7754</v>
      </c>
      <c r="B450" s="10" t="str">
        <f>_xlfn.IFNA(VLOOKUP($A450,CompChecksTrans!$A:$C,2,FALSE),"")</f>
        <v/>
      </c>
      <c r="C450" s="10" t="str">
        <f>_xlfn.IFNA(VLOOKUP(B450,Phase4!A$4:C$1000,3,FALSE),"")</f>
        <v/>
      </c>
      <c r="D450" s="10" t="str">
        <f>_xlfn.IFNA(VLOOKUP($A450,CompChecksTrans!$A:$C,3,FALSE), "      ")</f>
        <v xml:space="preserve">      </v>
      </c>
    </row>
    <row r="451" spans="1:4" x14ac:dyDescent="0.25">
      <c r="A451" s="241" t="s">
        <v>7755</v>
      </c>
      <c r="B451" s="10" t="str">
        <f>_xlfn.IFNA(VLOOKUP($A451,CompChecksTrans!$A:$C,2,FALSE),"")</f>
        <v/>
      </c>
      <c r="C451" s="10" t="str">
        <f>_xlfn.IFNA(VLOOKUP(B451,Phase4!A$4:C$1000,3,FALSE),"")</f>
        <v/>
      </c>
      <c r="D451" s="10" t="str">
        <f>_xlfn.IFNA(VLOOKUP($A451,CompChecksTrans!$A:$C,3,FALSE), "      ")</f>
        <v xml:space="preserve">      </v>
      </c>
    </row>
    <row r="452" spans="1:4" x14ac:dyDescent="0.25">
      <c r="A452" s="241" t="s">
        <v>7756</v>
      </c>
      <c r="B452" s="10" t="str">
        <f>_xlfn.IFNA(VLOOKUP($A452,CompChecksTrans!$A:$C,2,FALSE),"")</f>
        <v/>
      </c>
      <c r="C452" s="10" t="str">
        <f>_xlfn.IFNA(VLOOKUP(B452,Phase4!A$4:C$1000,3,FALSE),"")</f>
        <v/>
      </c>
      <c r="D452" s="10" t="str">
        <f>_xlfn.IFNA(VLOOKUP($A452,CompChecksTrans!$A:$C,3,FALSE), "      ")</f>
        <v xml:space="preserve">      </v>
      </c>
    </row>
    <row r="453" spans="1:4" x14ac:dyDescent="0.25">
      <c r="A453" s="241" t="s">
        <v>7757</v>
      </c>
      <c r="B453" s="10" t="str">
        <f>_xlfn.IFNA(VLOOKUP($A453,CompChecksTrans!$A:$C,2,FALSE),"")</f>
        <v/>
      </c>
      <c r="C453" s="10" t="str">
        <f>_xlfn.IFNA(VLOOKUP(B453,Phase4!A$4:C$1000,3,FALSE),"")</f>
        <v/>
      </c>
      <c r="D453" s="10" t="str">
        <f>_xlfn.IFNA(VLOOKUP($A453,CompChecksTrans!$A:$C,3,FALSE), "      ")</f>
        <v xml:space="preserve">      </v>
      </c>
    </row>
    <row r="454" spans="1:4" x14ac:dyDescent="0.25">
      <c r="A454" s="241" t="s">
        <v>7758</v>
      </c>
      <c r="B454" s="10" t="str">
        <f>_xlfn.IFNA(VLOOKUP($A454,CompChecksTrans!$A:$C,2,FALSE),"")</f>
        <v/>
      </c>
      <c r="C454" s="10" t="str">
        <f>_xlfn.IFNA(VLOOKUP(B454,Phase4!A$4:C$1000,3,FALSE),"")</f>
        <v/>
      </c>
      <c r="D454" s="10" t="str">
        <f>_xlfn.IFNA(VLOOKUP($A454,CompChecksTrans!$A:$C,3,FALSE), "      ")</f>
        <v xml:space="preserve">      </v>
      </c>
    </row>
    <row r="455" spans="1:4" x14ac:dyDescent="0.25">
      <c r="A455" s="241" t="s">
        <v>7759</v>
      </c>
      <c r="B455" s="10" t="str">
        <f>_xlfn.IFNA(VLOOKUP($A455,CompChecksTrans!$A:$C,2,FALSE),"")</f>
        <v/>
      </c>
      <c r="C455" s="10" t="str">
        <f>_xlfn.IFNA(VLOOKUP(B455,Phase4!A$4:C$1000,3,FALSE),"")</f>
        <v/>
      </c>
      <c r="D455" s="10" t="str">
        <f>_xlfn.IFNA(VLOOKUP($A455,CompChecksTrans!$A:$C,3,FALSE), "      ")</f>
        <v xml:space="preserve">      </v>
      </c>
    </row>
    <row r="456" spans="1:4" x14ac:dyDescent="0.25">
      <c r="A456" s="241" t="s">
        <v>7760</v>
      </c>
      <c r="B456" s="10" t="str">
        <f>_xlfn.IFNA(VLOOKUP($A456,CompChecksTrans!$A:$C,2,FALSE),"")</f>
        <v/>
      </c>
      <c r="C456" s="10" t="str">
        <f>_xlfn.IFNA(VLOOKUP(B456,Phase4!A$4:C$1000,3,FALSE),"")</f>
        <v/>
      </c>
      <c r="D456" s="10" t="str">
        <f>_xlfn.IFNA(VLOOKUP($A456,CompChecksTrans!$A:$C,3,FALSE), "      ")</f>
        <v xml:space="preserve">      </v>
      </c>
    </row>
    <row r="457" spans="1:4" x14ac:dyDescent="0.25">
      <c r="A457" s="241" t="s">
        <v>7761</v>
      </c>
      <c r="B457" s="10" t="str">
        <f>_xlfn.IFNA(VLOOKUP($A457,CompChecksTrans!$A:$C,2,FALSE),"")</f>
        <v/>
      </c>
      <c r="C457" s="10" t="str">
        <f>_xlfn.IFNA(VLOOKUP(B457,Phase4!A$4:C$1000,3,FALSE),"")</f>
        <v/>
      </c>
      <c r="D457" s="10" t="str">
        <f>_xlfn.IFNA(VLOOKUP($A457,CompChecksTrans!$A:$C,3,FALSE), "      ")</f>
        <v xml:space="preserve">      </v>
      </c>
    </row>
    <row r="458" spans="1:4" x14ac:dyDescent="0.25">
      <c r="A458" s="241" t="s">
        <v>7762</v>
      </c>
      <c r="B458" s="10" t="str">
        <f>_xlfn.IFNA(VLOOKUP($A458,CompChecksTrans!$A:$C,2,FALSE),"")</f>
        <v/>
      </c>
      <c r="C458" s="10" t="str">
        <f>_xlfn.IFNA(VLOOKUP(B458,Phase4!A$4:C$1000,3,FALSE),"")</f>
        <v/>
      </c>
      <c r="D458" s="10" t="str">
        <f>_xlfn.IFNA(VLOOKUP($A458,CompChecksTrans!$A:$C,3,FALSE), "      ")</f>
        <v xml:space="preserve">      </v>
      </c>
    </row>
    <row r="459" spans="1:4" x14ac:dyDescent="0.25">
      <c r="A459" s="241" t="s">
        <v>7763</v>
      </c>
      <c r="B459" s="10" t="str">
        <f>_xlfn.IFNA(VLOOKUP($A459,CompChecksTrans!$A:$C,2,FALSE),"")</f>
        <v/>
      </c>
      <c r="C459" s="10" t="str">
        <f>_xlfn.IFNA(VLOOKUP(B459,Phase4!A$4:C$1000,3,FALSE),"")</f>
        <v/>
      </c>
      <c r="D459" s="10" t="str">
        <f>_xlfn.IFNA(VLOOKUP($A459,CompChecksTrans!$A:$C,3,FALSE), "      ")</f>
        <v xml:space="preserve">      </v>
      </c>
    </row>
    <row r="460" spans="1:4" x14ac:dyDescent="0.25">
      <c r="A460" s="241" t="s">
        <v>7764</v>
      </c>
      <c r="B460" s="10" t="str">
        <f>_xlfn.IFNA(VLOOKUP($A460,CompChecksTrans!$A:$C,2,FALSE),"")</f>
        <v/>
      </c>
      <c r="C460" s="10" t="str">
        <f>_xlfn.IFNA(VLOOKUP(B460,Phase4!A$4:C$1000,3,FALSE),"")</f>
        <v/>
      </c>
      <c r="D460" s="10" t="str">
        <f>_xlfn.IFNA(VLOOKUP($A460,CompChecksTrans!$A:$C,3,FALSE), "      ")</f>
        <v xml:space="preserve">      </v>
      </c>
    </row>
    <row r="461" spans="1:4" x14ac:dyDescent="0.25">
      <c r="A461" s="241" t="s">
        <v>7765</v>
      </c>
      <c r="B461" s="10" t="str">
        <f>_xlfn.IFNA(VLOOKUP($A461,CompChecksTrans!$A:$C,2,FALSE),"")</f>
        <v/>
      </c>
      <c r="C461" s="10" t="str">
        <f>_xlfn.IFNA(VLOOKUP(B461,Phase4!A$4:C$1000,3,FALSE),"")</f>
        <v/>
      </c>
      <c r="D461" s="10" t="str">
        <f>_xlfn.IFNA(VLOOKUP($A461,CompChecksTrans!$A:$C,3,FALSE), "      ")</f>
        <v xml:space="preserve">      </v>
      </c>
    </row>
    <row r="462" spans="1:4" x14ac:dyDescent="0.25">
      <c r="A462" s="241" t="s">
        <v>7766</v>
      </c>
      <c r="B462" s="10" t="str">
        <f>_xlfn.IFNA(VLOOKUP($A462,CompChecksTrans!$A:$C,2,FALSE),"")</f>
        <v/>
      </c>
      <c r="C462" s="10" t="str">
        <f>_xlfn.IFNA(VLOOKUP(B462,Phase4!A$4:C$1000,3,FALSE),"")</f>
        <v/>
      </c>
      <c r="D462" s="10" t="str">
        <f>_xlfn.IFNA(VLOOKUP($A462,CompChecksTrans!$A:$C,3,FALSE), "      ")</f>
        <v xml:space="preserve">      </v>
      </c>
    </row>
    <row r="463" spans="1:4" x14ac:dyDescent="0.25">
      <c r="A463" s="241" t="s">
        <v>7767</v>
      </c>
      <c r="B463" s="10" t="str">
        <f>_xlfn.IFNA(VLOOKUP($A463,CompChecksTrans!$A:$C,2,FALSE),"")</f>
        <v/>
      </c>
      <c r="C463" s="10" t="str">
        <f>_xlfn.IFNA(VLOOKUP(B463,Phase4!A$4:C$1000,3,FALSE),"")</f>
        <v/>
      </c>
      <c r="D463" s="10" t="str">
        <f>_xlfn.IFNA(VLOOKUP($A463,CompChecksTrans!$A:$C,3,FALSE), "      ")</f>
        <v xml:space="preserve">      </v>
      </c>
    </row>
    <row r="464" spans="1:4" x14ac:dyDescent="0.25">
      <c r="A464" s="241" t="s">
        <v>7768</v>
      </c>
      <c r="B464" s="10" t="str">
        <f>_xlfn.IFNA(VLOOKUP($A464,CompChecksTrans!$A:$C,2,FALSE),"")</f>
        <v/>
      </c>
      <c r="C464" s="10" t="str">
        <f>_xlfn.IFNA(VLOOKUP(B464,Phase4!A$4:C$1000,3,FALSE),"")</f>
        <v/>
      </c>
      <c r="D464" s="10" t="str">
        <f>_xlfn.IFNA(VLOOKUP($A464,CompChecksTrans!$A:$C,3,FALSE), "      ")</f>
        <v xml:space="preserve">      </v>
      </c>
    </row>
    <row r="465" spans="1:4" x14ac:dyDescent="0.25">
      <c r="A465" s="241" t="s">
        <v>7769</v>
      </c>
      <c r="B465" s="10" t="str">
        <f>_xlfn.IFNA(VLOOKUP($A465,CompChecksTrans!$A:$C,2,FALSE),"")</f>
        <v/>
      </c>
      <c r="C465" s="10" t="str">
        <f>_xlfn.IFNA(VLOOKUP(B465,Phase4!A$4:C$1000,3,FALSE),"")</f>
        <v/>
      </c>
      <c r="D465" s="10" t="str">
        <f>_xlfn.IFNA(VLOOKUP($A465,CompChecksTrans!$A:$C,3,FALSE), "      ")</f>
        <v xml:space="preserve">      </v>
      </c>
    </row>
    <row r="466" spans="1:4" x14ac:dyDescent="0.25">
      <c r="A466" s="241" t="s">
        <v>7770</v>
      </c>
      <c r="B466" s="10" t="str">
        <f>_xlfn.IFNA(VLOOKUP($A466,CompChecksTrans!$A:$C,2,FALSE),"")</f>
        <v/>
      </c>
      <c r="C466" s="10" t="str">
        <f>_xlfn.IFNA(VLOOKUP(B466,Phase4!A$4:C$1000,3,FALSE),"")</f>
        <v/>
      </c>
      <c r="D466" s="10" t="str">
        <f>_xlfn.IFNA(VLOOKUP($A466,CompChecksTrans!$A:$C,3,FALSE), "      ")</f>
        <v xml:space="preserve">      </v>
      </c>
    </row>
    <row r="467" spans="1:4" x14ac:dyDescent="0.25">
      <c r="A467" s="241" t="s">
        <v>7771</v>
      </c>
      <c r="B467" s="10" t="str">
        <f>_xlfn.IFNA(VLOOKUP($A467,CompChecksTrans!$A:$C,2,FALSE),"")</f>
        <v/>
      </c>
      <c r="C467" s="10" t="str">
        <f>_xlfn.IFNA(VLOOKUP(B467,Phase4!A$4:C$1000,3,FALSE),"")</f>
        <v/>
      </c>
      <c r="D467" s="10" t="str">
        <f>_xlfn.IFNA(VLOOKUP($A467,CompChecksTrans!$A:$C,3,FALSE), "      ")</f>
        <v xml:space="preserve">      </v>
      </c>
    </row>
    <row r="468" spans="1:4" x14ac:dyDescent="0.25">
      <c r="A468" s="241" t="s">
        <v>7772</v>
      </c>
      <c r="B468" s="10" t="str">
        <f>_xlfn.IFNA(VLOOKUP($A468,CompChecksTrans!$A:$C,2,FALSE),"")</f>
        <v/>
      </c>
      <c r="C468" s="10" t="str">
        <f>_xlfn.IFNA(VLOOKUP(B468,Phase4!A$4:C$1000,3,FALSE),"")</f>
        <v/>
      </c>
      <c r="D468" s="10" t="str">
        <f>_xlfn.IFNA(VLOOKUP($A468,CompChecksTrans!$A:$C,3,FALSE), "      ")</f>
        <v xml:space="preserve">      </v>
      </c>
    </row>
    <row r="469" spans="1:4" x14ac:dyDescent="0.25">
      <c r="A469" s="241" t="s">
        <v>7773</v>
      </c>
      <c r="B469" s="10" t="str">
        <f>_xlfn.IFNA(VLOOKUP($A469,CompChecksTrans!$A:$C,2,FALSE),"")</f>
        <v/>
      </c>
      <c r="C469" s="10" t="str">
        <f>_xlfn.IFNA(VLOOKUP(B469,Phase4!A$4:C$1000,3,FALSE),"")</f>
        <v/>
      </c>
      <c r="D469" s="10" t="str">
        <f>_xlfn.IFNA(VLOOKUP($A469,CompChecksTrans!$A:$C,3,FALSE), "      ")</f>
        <v xml:space="preserve">      </v>
      </c>
    </row>
    <row r="470" spans="1:4" x14ac:dyDescent="0.25">
      <c r="A470" s="241" t="s">
        <v>7774</v>
      </c>
      <c r="B470" s="10" t="str">
        <f>_xlfn.IFNA(VLOOKUP($A470,CompChecksTrans!$A:$C,2,FALSE),"")</f>
        <v/>
      </c>
      <c r="C470" s="10" t="str">
        <f>_xlfn.IFNA(VLOOKUP(B470,Phase4!A$4:C$1000,3,FALSE),"")</f>
        <v/>
      </c>
      <c r="D470" s="10" t="str">
        <f>_xlfn.IFNA(VLOOKUP($A470,CompChecksTrans!$A:$C,3,FALSE), "      ")</f>
        <v xml:space="preserve">      </v>
      </c>
    </row>
    <row r="471" spans="1:4" x14ac:dyDescent="0.25">
      <c r="A471" s="241" t="s">
        <v>7775</v>
      </c>
      <c r="B471" s="10" t="str">
        <f>_xlfn.IFNA(VLOOKUP($A471,CompChecksTrans!$A:$C,2,FALSE),"")</f>
        <v/>
      </c>
      <c r="C471" s="10" t="str">
        <f>_xlfn.IFNA(VLOOKUP(B471,Phase4!A$4:C$1000,3,FALSE),"")</f>
        <v/>
      </c>
      <c r="D471" s="10" t="str">
        <f>_xlfn.IFNA(VLOOKUP($A471,CompChecksTrans!$A:$C,3,FALSE), "      ")</f>
        <v xml:space="preserve">      </v>
      </c>
    </row>
    <row r="472" spans="1:4" x14ac:dyDescent="0.25">
      <c r="A472" s="241" t="s">
        <v>7776</v>
      </c>
      <c r="B472" s="10" t="str">
        <f>_xlfn.IFNA(VLOOKUP($A472,CompChecksTrans!$A:$C,2,FALSE),"")</f>
        <v/>
      </c>
      <c r="C472" s="10" t="str">
        <f>_xlfn.IFNA(VLOOKUP(B472,Phase4!A$4:C$1000,3,FALSE),"")</f>
        <v/>
      </c>
      <c r="D472" s="10" t="str">
        <f>_xlfn.IFNA(VLOOKUP($A472,CompChecksTrans!$A:$C,3,FALSE), "      ")</f>
        <v xml:space="preserve">      </v>
      </c>
    </row>
    <row r="473" spans="1:4" x14ac:dyDescent="0.25">
      <c r="A473" s="241" t="s">
        <v>7777</v>
      </c>
      <c r="B473" s="10" t="str">
        <f>_xlfn.IFNA(VLOOKUP($A473,CompChecksTrans!$A:$C,2,FALSE),"")</f>
        <v/>
      </c>
      <c r="C473" s="10" t="str">
        <f>_xlfn.IFNA(VLOOKUP(B473,Phase4!A$4:C$1000,3,FALSE),"")</f>
        <v/>
      </c>
      <c r="D473" s="10" t="str">
        <f>_xlfn.IFNA(VLOOKUP($A473,CompChecksTrans!$A:$C,3,FALSE), "      ")</f>
        <v xml:space="preserve">      </v>
      </c>
    </row>
    <row r="474" spans="1:4" x14ac:dyDescent="0.25">
      <c r="A474" s="241" t="s">
        <v>7778</v>
      </c>
      <c r="B474" s="10" t="str">
        <f>_xlfn.IFNA(VLOOKUP($A474,CompChecksTrans!$A:$C,2,FALSE),"")</f>
        <v/>
      </c>
      <c r="C474" s="10" t="str">
        <f>_xlfn.IFNA(VLOOKUP(B474,Phase4!A$4:C$1000,3,FALSE),"")</f>
        <v/>
      </c>
      <c r="D474" s="10" t="str">
        <f>_xlfn.IFNA(VLOOKUP($A474,CompChecksTrans!$A:$C,3,FALSE), "      ")</f>
        <v xml:space="preserve">      </v>
      </c>
    </row>
    <row r="475" spans="1:4" x14ac:dyDescent="0.25">
      <c r="A475" s="241" t="s">
        <v>7779</v>
      </c>
      <c r="B475" s="10" t="str">
        <f>_xlfn.IFNA(VLOOKUP($A475,CompChecksTrans!$A:$C,2,FALSE),"")</f>
        <v/>
      </c>
      <c r="C475" s="10" t="str">
        <f>_xlfn.IFNA(VLOOKUP(B475,Phase4!A$4:C$1000,3,FALSE),"")</f>
        <v/>
      </c>
      <c r="D475" s="10" t="str">
        <f>_xlfn.IFNA(VLOOKUP($A475,CompChecksTrans!$A:$C,3,FALSE), "      ")</f>
        <v xml:space="preserve">      </v>
      </c>
    </row>
    <row r="476" spans="1:4" x14ac:dyDescent="0.25">
      <c r="A476" s="241" t="s">
        <v>7780</v>
      </c>
      <c r="B476" s="10" t="str">
        <f>_xlfn.IFNA(VLOOKUP($A476,CompChecksTrans!$A:$C,2,FALSE),"")</f>
        <v/>
      </c>
      <c r="C476" s="10" t="str">
        <f>_xlfn.IFNA(VLOOKUP(B476,Phase4!A$4:C$1000,3,FALSE),"")</f>
        <v/>
      </c>
      <c r="D476" s="10" t="str">
        <f>_xlfn.IFNA(VLOOKUP($A476,CompChecksTrans!$A:$C,3,FALSE), "      ")</f>
        <v xml:space="preserve">      </v>
      </c>
    </row>
    <row r="477" spans="1:4" x14ac:dyDescent="0.25">
      <c r="A477" s="241" t="s">
        <v>7781</v>
      </c>
      <c r="B477" s="10" t="str">
        <f>_xlfn.IFNA(VLOOKUP($A477,CompChecksTrans!$A:$C,2,FALSE),"")</f>
        <v/>
      </c>
      <c r="C477" s="10" t="str">
        <f>_xlfn.IFNA(VLOOKUP(B477,Phase4!A$4:C$1000,3,FALSE),"")</f>
        <v/>
      </c>
      <c r="D477" s="10" t="str">
        <f>_xlfn.IFNA(VLOOKUP($A477,CompChecksTrans!$A:$C,3,FALSE), "      ")</f>
        <v xml:space="preserve">      </v>
      </c>
    </row>
    <row r="478" spans="1:4" x14ac:dyDescent="0.25">
      <c r="A478" s="241" t="s">
        <v>7782</v>
      </c>
      <c r="B478" s="10" t="str">
        <f>_xlfn.IFNA(VLOOKUP($A478,CompChecksTrans!$A:$C,2,FALSE),"")</f>
        <v/>
      </c>
      <c r="C478" s="10" t="str">
        <f>_xlfn.IFNA(VLOOKUP(B478,Phase4!A$4:C$1000,3,FALSE),"")</f>
        <v/>
      </c>
      <c r="D478" s="10" t="str">
        <f>_xlfn.IFNA(VLOOKUP($A478,CompChecksTrans!$A:$C,3,FALSE), "      ")</f>
        <v xml:space="preserve">      </v>
      </c>
    </row>
    <row r="479" spans="1:4" x14ac:dyDescent="0.25">
      <c r="A479" s="241" t="s">
        <v>7783</v>
      </c>
      <c r="B479" s="10" t="str">
        <f>_xlfn.IFNA(VLOOKUP($A479,CompChecksTrans!$A:$C,2,FALSE),"")</f>
        <v/>
      </c>
      <c r="C479" s="10" t="str">
        <f>_xlfn.IFNA(VLOOKUP(B479,Phase4!A$4:C$1000,3,FALSE),"")</f>
        <v/>
      </c>
      <c r="D479" s="10" t="str">
        <f>_xlfn.IFNA(VLOOKUP($A479,CompChecksTrans!$A:$C,3,FALSE), "      ")</f>
        <v xml:space="preserve">      </v>
      </c>
    </row>
    <row r="480" spans="1:4" x14ac:dyDescent="0.25">
      <c r="A480" s="241" t="s">
        <v>7784</v>
      </c>
      <c r="B480" s="10" t="str">
        <f>_xlfn.IFNA(VLOOKUP($A480,CompChecksTrans!$A:$C,2,FALSE),"")</f>
        <v/>
      </c>
      <c r="C480" s="10" t="str">
        <f>_xlfn.IFNA(VLOOKUP(B480,Phase4!A$4:C$1000,3,FALSE),"")</f>
        <v/>
      </c>
      <c r="D480" s="10" t="str">
        <f>_xlfn.IFNA(VLOOKUP($A480,CompChecksTrans!$A:$C,3,FALSE), "      ")</f>
        <v xml:space="preserve">      </v>
      </c>
    </row>
    <row r="481" spans="1:4" x14ac:dyDescent="0.25">
      <c r="A481" s="241" t="s">
        <v>7785</v>
      </c>
      <c r="B481" s="10" t="str">
        <f>_xlfn.IFNA(VLOOKUP($A481,CompChecksTrans!$A:$C,2,FALSE),"")</f>
        <v/>
      </c>
      <c r="C481" s="10" t="str">
        <f>_xlfn.IFNA(VLOOKUP(B481,Phase4!A$4:C$1000,3,FALSE),"")</f>
        <v/>
      </c>
      <c r="D481" s="10" t="str">
        <f>_xlfn.IFNA(VLOOKUP($A481,CompChecksTrans!$A:$C,3,FALSE), "      ")</f>
        <v xml:space="preserve">      </v>
      </c>
    </row>
    <row r="482" spans="1:4" x14ac:dyDescent="0.25">
      <c r="A482" s="241" t="s">
        <v>7786</v>
      </c>
      <c r="B482" s="10" t="str">
        <f>_xlfn.IFNA(VLOOKUP($A482,CompChecksTrans!$A:$C,2,FALSE),"")</f>
        <v/>
      </c>
      <c r="C482" s="10" t="str">
        <f>_xlfn.IFNA(VLOOKUP(B482,Phase4!A$4:C$1000,3,FALSE),"")</f>
        <v/>
      </c>
      <c r="D482" s="10" t="str">
        <f>_xlfn.IFNA(VLOOKUP($A482,CompChecksTrans!$A:$C,3,FALSE), "      ")</f>
        <v xml:space="preserve">      </v>
      </c>
    </row>
    <row r="483" spans="1:4" x14ac:dyDescent="0.25">
      <c r="A483" s="241" t="s">
        <v>7787</v>
      </c>
      <c r="B483" s="10" t="str">
        <f>_xlfn.IFNA(VLOOKUP($A483,CompChecksTrans!$A:$C,2,FALSE),"")</f>
        <v/>
      </c>
      <c r="C483" s="10" t="str">
        <f>_xlfn.IFNA(VLOOKUP(B483,Phase4!A$4:C$1000,3,FALSE),"")</f>
        <v/>
      </c>
      <c r="D483" s="10" t="str">
        <f>_xlfn.IFNA(VLOOKUP($A483,CompChecksTrans!$A:$C,3,FALSE), "      ")</f>
        <v xml:space="preserve">      </v>
      </c>
    </row>
    <row r="484" spans="1:4" x14ac:dyDescent="0.25">
      <c r="A484" s="241" t="s">
        <v>7788</v>
      </c>
      <c r="B484" s="10" t="str">
        <f>_xlfn.IFNA(VLOOKUP($A484,CompChecksTrans!$A:$C,2,FALSE),"")</f>
        <v/>
      </c>
      <c r="C484" s="10" t="str">
        <f>_xlfn.IFNA(VLOOKUP(B484,Phase4!A$4:C$1000,3,FALSE),"")</f>
        <v/>
      </c>
      <c r="D484" s="10" t="str">
        <f>_xlfn.IFNA(VLOOKUP($A484,CompChecksTrans!$A:$C,3,FALSE), "      ")</f>
        <v xml:space="preserve">      </v>
      </c>
    </row>
    <row r="485" spans="1:4" x14ac:dyDescent="0.25">
      <c r="A485" s="241" t="s">
        <v>7789</v>
      </c>
      <c r="B485" s="10" t="str">
        <f>_xlfn.IFNA(VLOOKUP($A485,CompChecksTrans!$A:$C,2,FALSE),"")</f>
        <v/>
      </c>
      <c r="C485" s="10" t="str">
        <f>_xlfn.IFNA(VLOOKUP(B485,Phase4!A$4:C$1000,3,FALSE),"")</f>
        <v/>
      </c>
      <c r="D485" s="10" t="str">
        <f>_xlfn.IFNA(VLOOKUP($A485,CompChecksTrans!$A:$C,3,FALSE), "      ")</f>
        <v xml:space="preserve">      </v>
      </c>
    </row>
    <row r="486" spans="1:4" x14ac:dyDescent="0.25">
      <c r="A486" s="241" t="s">
        <v>7790</v>
      </c>
      <c r="B486" s="10" t="str">
        <f>_xlfn.IFNA(VLOOKUP($A486,CompChecksTrans!$A:$C,2,FALSE),"")</f>
        <v/>
      </c>
      <c r="C486" s="10" t="str">
        <f>_xlfn.IFNA(VLOOKUP(B486,Phase4!A$4:C$1000,3,FALSE),"")</f>
        <v/>
      </c>
      <c r="D486" s="10" t="str">
        <f>_xlfn.IFNA(VLOOKUP($A486,CompChecksTrans!$A:$C,3,FALSE), "      ")</f>
        <v xml:space="preserve">      </v>
      </c>
    </row>
    <row r="487" spans="1:4" x14ac:dyDescent="0.25">
      <c r="A487" s="241" t="s">
        <v>7791</v>
      </c>
      <c r="B487" s="10" t="str">
        <f>_xlfn.IFNA(VLOOKUP($A487,CompChecksTrans!$A:$C,2,FALSE),"")</f>
        <v/>
      </c>
      <c r="C487" s="10" t="str">
        <f>_xlfn.IFNA(VLOOKUP(B487,Phase4!A$4:C$1000,3,FALSE),"")</f>
        <v/>
      </c>
      <c r="D487" s="10" t="str">
        <f>_xlfn.IFNA(VLOOKUP($A487,CompChecksTrans!$A:$C,3,FALSE), "      ")</f>
        <v xml:space="preserve">      </v>
      </c>
    </row>
    <row r="488" spans="1:4" x14ac:dyDescent="0.25">
      <c r="A488" s="241" t="s">
        <v>7792</v>
      </c>
      <c r="B488" s="10" t="str">
        <f>_xlfn.IFNA(VLOOKUP($A488,CompChecksTrans!$A:$C,2,FALSE),"")</f>
        <v/>
      </c>
      <c r="C488" s="10" t="str">
        <f>_xlfn.IFNA(VLOOKUP(B488,Phase4!A$4:C$1000,3,FALSE),"")</f>
        <v/>
      </c>
      <c r="D488" s="10" t="str">
        <f>_xlfn.IFNA(VLOOKUP($A488,CompChecksTrans!$A:$C,3,FALSE), "      ")</f>
        <v xml:space="preserve">      </v>
      </c>
    </row>
    <row r="489" spans="1:4" x14ac:dyDescent="0.25">
      <c r="A489" s="241" t="s">
        <v>7793</v>
      </c>
      <c r="B489" s="10" t="str">
        <f>_xlfn.IFNA(VLOOKUP($A489,CompChecksTrans!$A:$C,2,FALSE),"")</f>
        <v/>
      </c>
      <c r="C489" s="10" t="str">
        <f>_xlfn.IFNA(VLOOKUP(B489,Phase4!A$4:C$1000,3,FALSE),"")</f>
        <v/>
      </c>
      <c r="D489" s="10" t="str">
        <f>_xlfn.IFNA(VLOOKUP($A489,CompChecksTrans!$A:$C,3,FALSE), "      ")</f>
        <v xml:space="preserve">      </v>
      </c>
    </row>
    <row r="490" spans="1:4" x14ac:dyDescent="0.25">
      <c r="A490" s="241" t="s">
        <v>7794</v>
      </c>
      <c r="B490" s="10" t="str">
        <f>_xlfn.IFNA(VLOOKUP($A490,CompChecksTrans!$A:$C,2,FALSE),"")</f>
        <v/>
      </c>
      <c r="C490" s="10" t="str">
        <f>_xlfn.IFNA(VLOOKUP(B490,Phase4!A$4:C$1000,3,FALSE),"")</f>
        <v/>
      </c>
      <c r="D490" s="10" t="str">
        <f>_xlfn.IFNA(VLOOKUP($A490,CompChecksTrans!$A:$C,3,FALSE), "      ")</f>
        <v xml:space="preserve">      </v>
      </c>
    </row>
    <row r="491" spans="1:4" x14ac:dyDescent="0.25">
      <c r="A491" s="241" t="s">
        <v>7795</v>
      </c>
      <c r="B491" s="10" t="str">
        <f>_xlfn.IFNA(VLOOKUP($A491,CompChecksTrans!$A:$C,2,FALSE),"")</f>
        <v/>
      </c>
      <c r="C491" s="10" t="str">
        <f>_xlfn.IFNA(VLOOKUP(B491,Phase4!A$4:C$1000,3,FALSE),"")</f>
        <v/>
      </c>
      <c r="D491" s="10" t="str">
        <f>_xlfn.IFNA(VLOOKUP($A491,CompChecksTrans!$A:$C,3,FALSE), "      ")</f>
        <v xml:space="preserve">      </v>
      </c>
    </row>
    <row r="492" spans="1:4" x14ac:dyDescent="0.25">
      <c r="A492" s="241" t="s">
        <v>7796</v>
      </c>
      <c r="B492" s="10" t="str">
        <f>_xlfn.IFNA(VLOOKUP($A492,CompChecksTrans!$A:$C,2,FALSE),"")</f>
        <v/>
      </c>
      <c r="C492" s="10" t="str">
        <f>_xlfn.IFNA(VLOOKUP(B492,Phase4!A$4:C$1000,3,FALSE),"")</f>
        <v/>
      </c>
      <c r="D492" s="10" t="str">
        <f>_xlfn.IFNA(VLOOKUP($A492,CompChecksTrans!$A:$C,3,FALSE), "      ")</f>
        <v xml:space="preserve">      </v>
      </c>
    </row>
    <row r="493" spans="1:4" x14ac:dyDescent="0.25">
      <c r="A493" s="241" t="s">
        <v>7797</v>
      </c>
      <c r="B493" s="10" t="str">
        <f>_xlfn.IFNA(VLOOKUP($A493,CompChecksTrans!$A:$C,2,FALSE),"")</f>
        <v/>
      </c>
      <c r="C493" s="10" t="str">
        <f>_xlfn.IFNA(VLOOKUP(B493,Phase4!A$4:C$1000,3,FALSE),"")</f>
        <v/>
      </c>
      <c r="D493" s="10" t="str">
        <f>_xlfn.IFNA(VLOOKUP($A493,CompChecksTrans!$A:$C,3,FALSE), "      ")</f>
        <v xml:space="preserve">      </v>
      </c>
    </row>
    <row r="494" spans="1:4" x14ac:dyDescent="0.25">
      <c r="A494" s="241" t="s">
        <v>7798</v>
      </c>
      <c r="B494" s="10" t="str">
        <f>_xlfn.IFNA(VLOOKUP($A494,CompChecksTrans!$A:$C,2,FALSE),"")</f>
        <v/>
      </c>
      <c r="C494" s="10" t="str">
        <f>_xlfn.IFNA(VLOOKUP(B494,Phase4!A$4:C$1000,3,FALSE),"")</f>
        <v/>
      </c>
      <c r="D494" s="10" t="str">
        <f>_xlfn.IFNA(VLOOKUP($A494,CompChecksTrans!$A:$C,3,FALSE), "      ")</f>
        <v xml:space="preserve">      </v>
      </c>
    </row>
    <row r="495" spans="1:4" x14ac:dyDescent="0.25">
      <c r="A495" s="241" t="s">
        <v>7799</v>
      </c>
      <c r="B495" s="10" t="str">
        <f>_xlfn.IFNA(VLOOKUP($A495,CompChecksTrans!$A:$C,2,FALSE),"")</f>
        <v/>
      </c>
      <c r="C495" s="10" t="str">
        <f>_xlfn.IFNA(VLOOKUP(B495,Phase4!A$4:C$1000,3,FALSE),"")</f>
        <v/>
      </c>
      <c r="D495" s="10" t="str">
        <f>_xlfn.IFNA(VLOOKUP($A495,CompChecksTrans!$A:$C,3,FALSE), "      ")</f>
        <v xml:space="preserve">      </v>
      </c>
    </row>
    <row r="496" spans="1:4" x14ac:dyDescent="0.25">
      <c r="A496" s="241" t="s">
        <v>7800</v>
      </c>
      <c r="B496" s="10" t="str">
        <f>_xlfn.IFNA(VLOOKUP($A496,CompChecksTrans!$A:$C,2,FALSE),"")</f>
        <v/>
      </c>
      <c r="C496" s="10" t="str">
        <f>_xlfn.IFNA(VLOOKUP(B496,Phase4!A$4:C$1000,3,FALSE),"")</f>
        <v/>
      </c>
      <c r="D496" s="10" t="str">
        <f>_xlfn.IFNA(VLOOKUP($A496,CompChecksTrans!$A:$C,3,FALSE), "      ")</f>
        <v xml:space="preserve">      </v>
      </c>
    </row>
    <row r="497" spans="1:4" x14ac:dyDescent="0.25">
      <c r="A497" s="241" t="s">
        <v>7801</v>
      </c>
      <c r="B497" s="10" t="str">
        <f>_xlfn.IFNA(VLOOKUP($A497,CompChecksTrans!$A:$C,2,FALSE),"")</f>
        <v/>
      </c>
      <c r="C497" s="10" t="str">
        <f>_xlfn.IFNA(VLOOKUP(B497,Phase4!A$4:C$1000,3,FALSE),"")</f>
        <v/>
      </c>
      <c r="D497" s="10" t="str">
        <f>_xlfn.IFNA(VLOOKUP($A497,CompChecksTrans!$A:$C,3,FALSE), "      ")</f>
        <v xml:space="preserve">      </v>
      </c>
    </row>
    <row r="498" spans="1:4" x14ac:dyDescent="0.25">
      <c r="A498" s="241" t="s">
        <v>7802</v>
      </c>
      <c r="B498" s="10" t="str">
        <f>_xlfn.IFNA(VLOOKUP($A498,CompChecksTrans!$A:$C,2,FALSE),"")</f>
        <v/>
      </c>
      <c r="C498" s="10" t="str">
        <f>_xlfn.IFNA(VLOOKUP(B498,Phase4!A$4:C$1000,3,FALSE),"")</f>
        <v/>
      </c>
      <c r="D498" s="10" t="str">
        <f>_xlfn.IFNA(VLOOKUP($A498,CompChecksTrans!$A:$C,3,FALSE), "      ")</f>
        <v xml:space="preserve">      </v>
      </c>
    </row>
    <row r="499" spans="1:4" x14ac:dyDescent="0.25">
      <c r="A499" s="241" t="s">
        <v>7803</v>
      </c>
      <c r="B499" s="10" t="str">
        <f>_xlfn.IFNA(VLOOKUP($A499,CompChecksTrans!$A:$C,2,FALSE),"")</f>
        <v/>
      </c>
      <c r="C499" s="10" t="str">
        <f>_xlfn.IFNA(VLOOKUP(B499,Phase4!A$4:C$1000,3,FALSE),"")</f>
        <v/>
      </c>
      <c r="D499" s="10" t="str">
        <f>_xlfn.IFNA(VLOOKUP($A499,CompChecksTrans!$A:$C,3,FALSE), "      ")</f>
        <v xml:space="preserve">      </v>
      </c>
    </row>
    <row r="500" spans="1:4" x14ac:dyDescent="0.25">
      <c r="A500" s="241" t="s">
        <v>7804</v>
      </c>
      <c r="B500" s="10" t="str">
        <f>_xlfn.IFNA(VLOOKUP($A500,CompChecksTrans!$A:$C,2,FALSE),"")</f>
        <v/>
      </c>
      <c r="C500" s="10" t="str">
        <f>_xlfn.IFNA(VLOOKUP(B500,Phase4!A$4:C$1000,3,FALSE),"")</f>
        <v/>
      </c>
      <c r="D500" s="10" t="str">
        <f>_xlfn.IFNA(VLOOKUP($A500,CompChecksTrans!$A:$C,3,FALSE), "      ")</f>
        <v xml:space="preserve">      </v>
      </c>
    </row>
    <row r="501" spans="1:4" x14ac:dyDescent="0.25">
      <c r="A501" s="241" t="s">
        <v>7805</v>
      </c>
      <c r="B501" s="10" t="str">
        <f>_xlfn.IFNA(VLOOKUP($A501,CompChecksTrans!$A:$C,2,FALSE),"")</f>
        <v/>
      </c>
      <c r="C501" s="10" t="str">
        <f>_xlfn.IFNA(VLOOKUP(B501,Phase4!A$4:C$1000,3,FALSE),"")</f>
        <v/>
      </c>
      <c r="D501" s="10" t="str">
        <f>_xlfn.IFNA(VLOOKUP($A501,CompChecksTrans!$A:$C,3,FALSE), "      ")</f>
        <v xml:space="preserve">      </v>
      </c>
    </row>
    <row r="502" spans="1:4" x14ac:dyDescent="0.25">
      <c r="A502" s="241" t="s">
        <v>7806</v>
      </c>
      <c r="B502" s="10" t="str">
        <f>_xlfn.IFNA(VLOOKUP($A502,CompChecksTrans!$A:$C,2,FALSE),"")</f>
        <v/>
      </c>
      <c r="C502" s="10" t="str">
        <f>_xlfn.IFNA(VLOOKUP(B502,Phase4!A$4:C$1000,3,FALSE),"")</f>
        <v/>
      </c>
      <c r="D502" s="10" t="str">
        <f>_xlfn.IFNA(VLOOKUP($A502,CompChecksTrans!$A:$C,3,FALSE), "      ")</f>
        <v xml:space="preserve">      </v>
      </c>
    </row>
    <row r="503" spans="1:4" x14ac:dyDescent="0.25">
      <c r="A503" s="241" t="s">
        <v>7807</v>
      </c>
      <c r="B503" s="10" t="str">
        <f>_xlfn.IFNA(VLOOKUP($A503,CompChecksTrans!$A:$C,2,FALSE),"")</f>
        <v/>
      </c>
      <c r="C503" s="10" t="str">
        <f>_xlfn.IFNA(VLOOKUP(B503,Phase4!A$4:C$1000,3,FALSE),"")</f>
        <v/>
      </c>
      <c r="D503" s="10" t="str">
        <f>_xlfn.IFNA(VLOOKUP($A503,CompChecksTrans!$A:$C,3,FALSE), "      ")</f>
        <v xml:space="preserve">      </v>
      </c>
    </row>
    <row r="504" spans="1:4" x14ac:dyDescent="0.25">
      <c r="A504" s="241" t="s">
        <v>7808</v>
      </c>
      <c r="B504" s="10" t="str">
        <f>_xlfn.IFNA(VLOOKUP($A504,CompChecksTrans!$A:$C,2,FALSE),"")</f>
        <v/>
      </c>
      <c r="C504" s="10" t="str">
        <f>_xlfn.IFNA(VLOOKUP(B504,Phase4!A$4:C$1000,3,FALSE),"")</f>
        <v/>
      </c>
      <c r="D504" s="10" t="str">
        <f>_xlfn.IFNA(VLOOKUP($A504,CompChecksTrans!$A:$C,3,FALSE), "      ")</f>
        <v xml:space="preserve">      </v>
      </c>
    </row>
    <row r="505" spans="1:4" x14ac:dyDescent="0.25">
      <c r="A505" s="241" t="s">
        <v>7809</v>
      </c>
      <c r="B505" s="10" t="str">
        <f>_xlfn.IFNA(VLOOKUP($A505,CompChecksTrans!$A:$C,2,FALSE),"")</f>
        <v/>
      </c>
      <c r="C505" s="10" t="str">
        <f>_xlfn.IFNA(VLOOKUP(B505,Phase4!A$4:C$1000,3,FALSE),"")</f>
        <v/>
      </c>
      <c r="D505" s="10" t="str">
        <f>_xlfn.IFNA(VLOOKUP($A505,CompChecksTrans!$A:$C,3,FALSE), "      ")</f>
        <v xml:space="preserve">      </v>
      </c>
    </row>
    <row r="506" spans="1:4" x14ac:dyDescent="0.25">
      <c r="A506" s="241" t="s">
        <v>7810</v>
      </c>
      <c r="B506" s="10" t="str">
        <f>_xlfn.IFNA(VLOOKUP($A506,CompChecksTrans!$A:$C,2,FALSE),"")</f>
        <v/>
      </c>
      <c r="C506" s="10" t="str">
        <f>_xlfn.IFNA(VLOOKUP(B506,Phase4!A$4:C$1000,3,FALSE),"")</f>
        <v/>
      </c>
      <c r="D506" s="10" t="str">
        <f>_xlfn.IFNA(VLOOKUP($A506,CompChecksTrans!$A:$C,3,FALSE), "      ")</f>
        <v xml:space="preserve">      </v>
      </c>
    </row>
    <row r="507" spans="1:4" x14ac:dyDescent="0.25">
      <c r="A507" s="241" t="s">
        <v>7811</v>
      </c>
      <c r="B507" s="10" t="str">
        <f>_xlfn.IFNA(VLOOKUP($A507,CompChecksTrans!$A:$C,2,FALSE),"")</f>
        <v/>
      </c>
      <c r="C507" s="10" t="str">
        <f>_xlfn.IFNA(VLOOKUP(B507,Phase4!A$4:C$1000,3,FALSE),"")</f>
        <v/>
      </c>
      <c r="D507" s="10" t="str">
        <f>_xlfn.IFNA(VLOOKUP($A507,CompChecksTrans!$A:$C,3,FALSE), "      ")</f>
        <v xml:space="preserve">      </v>
      </c>
    </row>
    <row r="508" spans="1:4" x14ac:dyDescent="0.25">
      <c r="A508" s="241" t="s">
        <v>7812</v>
      </c>
      <c r="B508" s="10" t="str">
        <f>_xlfn.IFNA(VLOOKUP($A508,CompChecksTrans!$A:$C,2,FALSE),"")</f>
        <v/>
      </c>
      <c r="C508" s="10" t="str">
        <f>_xlfn.IFNA(VLOOKUP(B508,Phase4!A$4:C$1000,3,FALSE),"")</f>
        <v/>
      </c>
      <c r="D508" s="10" t="str">
        <f>_xlfn.IFNA(VLOOKUP($A508,CompChecksTrans!$A:$C,3,FALSE), "      ")</f>
        <v xml:space="preserve">      </v>
      </c>
    </row>
    <row r="509" spans="1:4" x14ac:dyDescent="0.25">
      <c r="A509" s="241" t="s">
        <v>7813</v>
      </c>
      <c r="B509" s="10" t="str">
        <f>_xlfn.IFNA(VLOOKUP($A509,CompChecksTrans!$A:$C,2,FALSE),"")</f>
        <v/>
      </c>
      <c r="C509" s="10" t="str">
        <f>_xlfn.IFNA(VLOOKUP(B509,Phase4!A$4:C$1000,3,FALSE),"")</f>
        <v/>
      </c>
      <c r="D509" s="10" t="str">
        <f>_xlfn.IFNA(VLOOKUP($A509,CompChecksTrans!$A:$C,3,FALSE), "      ")</f>
        <v xml:space="preserve">      </v>
      </c>
    </row>
    <row r="510" spans="1:4" x14ac:dyDescent="0.25">
      <c r="A510" s="241" t="s">
        <v>7814</v>
      </c>
      <c r="B510" s="10" t="str">
        <f>_xlfn.IFNA(VLOOKUP($A510,CompChecksTrans!$A:$C,2,FALSE),"")</f>
        <v/>
      </c>
      <c r="C510" s="10" t="str">
        <f>_xlfn.IFNA(VLOOKUP(B510,Phase4!A$4:C$1000,3,FALSE),"")</f>
        <v/>
      </c>
      <c r="D510" s="10" t="str">
        <f>_xlfn.IFNA(VLOOKUP($A510,CompChecksTrans!$A:$C,3,FALSE), "      ")</f>
        <v xml:space="preserve">      </v>
      </c>
    </row>
    <row r="511" spans="1:4" x14ac:dyDescent="0.25">
      <c r="A511" s="241" t="s">
        <v>7815</v>
      </c>
      <c r="B511" s="10" t="str">
        <f>_xlfn.IFNA(VLOOKUP($A511,CompChecksTrans!$A:$C,2,FALSE),"")</f>
        <v/>
      </c>
      <c r="C511" s="10" t="str">
        <f>_xlfn.IFNA(VLOOKUP(B511,Phase4!A$4:C$1000,3,FALSE),"")</f>
        <v/>
      </c>
      <c r="D511" s="10" t="str">
        <f>_xlfn.IFNA(VLOOKUP($A511,CompChecksTrans!$A:$C,3,FALSE), "      ")</f>
        <v xml:space="preserve">      </v>
      </c>
    </row>
    <row r="512" spans="1:4" x14ac:dyDescent="0.25">
      <c r="A512" s="241" t="s">
        <v>7816</v>
      </c>
      <c r="B512" s="10" t="str">
        <f>_xlfn.IFNA(VLOOKUP($A512,CompChecksTrans!$A:$C,2,FALSE),"")</f>
        <v/>
      </c>
      <c r="C512" s="10" t="str">
        <f>_xlfn.IFNA(VLOOKUP(B512,Phase4!A$4:C$1000,3,FALSE),"")</f>
        <v/>
      </c>
      <c r="D512" s="10" t="str">
        <f>_xlfn.IFNA(VLOOKUP($A512,CompChecksTrans!$A:$C,3,FALSE), "      ")</f>
        <v xml:space="preserve">      </v>
      </c>
    </row>
    <row r="513" spans="1:4" x14ac:dyDescent="0.25">
      <c r="A513" s="241" t="s">
        <v>7817</v>
      </c>
      <c r="B513" s="10" t="str">
        <f>_xlfn.IFNA(VLOOKUP($A513,CompChecksTrans!$A:$C,2,FALSE),"")</f>
        <v/>
      </c>
      <c r="C513" s="10" t="str">
        <f>_xlfn.IFNA(VLOOKUP(B513,Phase4!A$4:C$1000,3,FALSE),"")</f>
        <v/>
      </c>
      <c r="D513" s="10" t="str">
        <f>_xlfn.IFNA(VLOOKUP($A513,CompChecksTrans!$A:$C,3,FALSE), "      ")</f>
        <v xml:space="preserve">      </v>
      </c>
    </row>
    <row r="514" spans="1:4" x14ac:dyDescent="0.25">
      <c r="A514" s="241" t="s">
        <v>7818</v>
      </c>
      <c r="B514" s="10" t="str">
        <f>_xlfn.IFNA(VLOOKUP($A514,CompChecksTrans!$A:$C,2,FALSE),"")</f>
        <v/>
      </c>
      <c r="C514" s="10" t="str">
        <f>_xlfn.IFNA(VLOOKUP(B514,Phase4!A$4:C$1000,3,FALSE),"")</f>
        <v/>
      </c>
      <c r="D514" s="10" t="str">
        <f>_xlfn.IFNA(VLOOKUP($A514,CompChecksTrans!$A:$C,3,FALSE), "      ")</f>
        <v xml:space="preserve">      </v>
      </c>
    </row>
    <row r="515" spans="1:4" x14ac:dyDescent="0.25">
      <c r="A515" s="241" t="s">
        <v>7819</v>
      </c>
      <c r="B515" s="10" t="str">
        <f>_xlfn.IFNA(VLOOKUP($A515,CompChecksTrans!$A:$C,2,FALSE),"")</f>
        <v/>
      </c>
      <c r="C515" s="10" t="str">
        <f>_xlfn.IFNA(VLOOKUP(B515,Phase4!A$4:C$1000,3,FALSE),"")</f>
        <v/>
      </c>
      <c r="D515" s="10" t="str">
        <f>_xlfn.IFNA(VLOOKUP($A515,CompChecksTrans!$A:$C,3,FALSE), "      ")</f>
        <v xml:space="preserve">      </v>
      </c>
    </row>
    <row r="516" spans="1:4" x14ac:dyDescent="0.25">
      <c r="A516" s="241" t="s">
        <v>7820</v>
      </c>
      <c r="B516" s="10" t="str">
        <f>_xlfn.IFNA(VLOOKUP($A516,CompChecksTrans!$A:$C,2,FALSE),"")</f>
        <v/>
      </c>
      <c r="C516" s="10" t="str">
        <f>_xlfn.IFNA(VLOOKUP(B516,Phase4!A$4:C$1000,3,FALSE),"")</f>
        <v/>
      </c>
      <c r="D516" s="10" t="str">
        <f>_xlfn.IFNA(VLOOKUP($A516,CompChecksTrans!$A:$C,3,FALSE), "      ")</f>
        <v xml:space="preserve">      </v>
      </c>
    </row>
    <row r="517" spans="1:4" x14ac:dyDescent="0.25">
      <c r="A517" s="241" t="s">
        <v>7821</v>
      </c>
      <c r="B517" s="10" t="str">
        <f>_xlfn.IFNA(VLOOKUP($A517,CompChecksTrans!$A:$C,2,FALSE),"")</f>
        <v/>
      </c>
      <c r="C517" s="10" t="str">
        <f>_xlfn.IFNA(VLOOKUP(B517,Phase4!A$4:C$1000,3,FALSE),"")</f>
        <v/>
      </c>
      <c r="D517" s="10" t="str">
        <f>_xlfn.IFNA(VLOOKUP($A517,CompChecksTrans!$A:$C,3,FALSE), "      ")</f>
        <v xml:space="preserve">      </v>
      </c>
    </row>
    <row r="518" spans="1:4" x14ac:dyDescent="0.25">
      <c r="A518" s="241" t="s">
        <v>7822</v>
      </c>
      <c r="B518" s="10" t="str">
        <f>_xlfn.IFNA(VLOOKUP($A518,CompChecksTrans!$A:$C,2,FALSE),"")</f>
        <v/>
      </c>
      <c r="C518" s="10" t="str">
        <f>_xlfn.IFNA(VLOOKUP(B518,Phase4!A$4:C$1000,3,FALSE),"")</f>
        <v/>
      </c>
      <c r="D518" s="10" t="str">
        <f>_xlfn.IFNA(VLOOKUP($A518,CompChecksTrans!$A:$C,3,FALSE), "      ")</f>
        <v xml:space="preserve">      </v>
      </c>
    </row>
    <row r="519" spans="1:4" x14ac:dyDescent="0.25">
      <c r="A519" s="241" t="s">
        <v>7823</v>
      </c>
      <c r="B519" s="10" t="str">
        <f>_xlfn.IFNA(VLOOKUP($A519,CompChecksTrans!$A:$C,2,FALSE),"")</f>
        <v/>
      </c>
      <c r="C519" s="10" t="str">
        <f>_xlfn.IFNA(VLOOKUP(B519,Phase4!A$4:C$1000,3,FALSE),"")</f>
        <v/>
      </c>
      <c r="D519" s="10" t="str">
        <f>_xlfn.IFNA(VLOOKUP($A519,CompChecksTrans!$A:$C,3,FALSE), "      ")</f>
        <v xml:space="preserve">      </v>
      </c>
    </row>
    <row r="520" spans="1:4" x14ac:dyDescent="0.25">
      <c r="A520" s="241" t="s">
        <v>7824</v>
      </c>
      <c r="B520" s="10" t="str">
        <f>_xlfn.IFNA(VLOOKUP($A520,CompChecksTrans!$A:$C,2,FALSE),"")</f>
        <v/>
      </c>
      <c r="C520" s="10" t="str">
        <f>_xlfn.IFNA(VLOOKUP(B520,Phase4!A$4:C$1000,3,FALSE),"")</f>
        <v/>
      </c>
      <c r="D520" s="10" t="str">
        <f>_xlfn.IFNA(VLOOKUP($A520,CompChecksTrans!$A:$C,3,FALSE), "      ")</f>
        <v xml:space="preserve">      </v>
      </c>
    </row>
    <row r="521" spans="1:4" x14ac:dyDescent="0.25">
      <c r="A521" s="241" t="s">
        <v>7825</v>
      </c>
      <c r="B521" s="10" t="str">
        <f>_xlfn.IFNA(VLOOKUP($A521,CompChecksTrans!$A:$C,2,FALSE),"")</f>
        <v/>
      </c>
      <c r="C521" s="10" t="str">
        <f>_xlfn.IFNA(VLOOKUP(B521,Phase4!A$4:C$1000,3,FALSE),"")</f>
        <v/>
      </c>
      <c r="D521" s="10" t="str">
        <f>_xlfn.IFNA(VLOOKUP($A521,CompChecksTrans!$A:$C,3,FALSE), "      ")</f>
        <v xml:space="preserve">      </v>
      </c>
    </row>
    <row r="522" spans="1:4" x14ac:dyDescent="0.25">
      <c r="A522" s="241" t="s">
        <v>7826</v>
      </c>
      <c r="B522" s="10" t="str">
        <f>_xlfn.IFNA(VLOOKUP($A522,CompChecksTrans!$A:$C,2,FALSE),"")</f>
        <v/>
      </c>
      <c r="C522" s="10" t="str">
        <f>_xlfn.IFNA(VLOOKUP(B522,Phase4!A$4:C$1000,3,FALSE),"")</f>
        <v/>
      </c>
      <c r="D522" s="10" t="str">
        <f>_xlfn.IFNA(VLOOKUP($A522,CompChecksTrans!$A:$C,3,FALSE), "      ")</f>
        <v xml:space="preserve">      </v>
      </c>
    </row>
    <row r="523" spans="1:4" x14ac:dyDescent="0.25">
      <c r="A523" s="241" t="s">
        <v>7827</v>
      </c>
      <c r="B523" s="10" t="str">
        <f>_xlfn.IFNA(VLOOKUP($A523,CompChecksTrans!$A:$C,2,FALSE),"")</f>
        <v/>
      </c>
      <c r="C523" s="10" t="str">
        <f>_xlfn.IFNA(VLOOKUP(B523,Phase4!A$4:C$1000,3,FALSE),"")</f>
        <v/>
      </c>
      <c r="D523" s="10" t="str">
        <f>_xlfn.IFNA(VLOOKUP($A523,CompChecksTrans!$A:$C,3,FALSE), "      ")</f>
        <v xml:space="preserve">      </v>
      </c>
    </row>
    <row r="524" spans="1:4" x14ac:dyDescent="0.25">
      <c r="A524" s="241" t="s">
        <v>7828</v>
      </c>
      <c r="B524" s="10" t="str">
        <f>_xlfn.IFNA(VLOOKUP($A524,CompChecksTrans!$A:$C,2,FALSE),"")</f>
        <v/>
      </c>
      <c r="C524" s="10" t="str">
        <f>_xlfn.IFNA(VLOOKUP(B524,Phase4!A$4:C$1000,3,FALSE),"")</f>
        <v/>
      </c>
      <c r="D524" s="10" t="str">
        <f>_xlfn.IFNA(VLOOKUP($A524,CompChecksTrans!$A:$C,3,FALSE), "      ")</f>
        <v xml:space="preserve">      </v>
      </c>
    </row>
    <row r="525" spans="1:4" x14ac:dyDescent="0.25">
      <c r="A525" s="241" t="s">
        <v>7829</v>
      </c>
      <c r="B525" s="10" t="str">
        <f>_xlfn.IFNA(VLOOKUP($A525,CompChecksTrans!$A:$C,2,FALSE),"")</f>
        <v/>
      </c>
      <c r="C525" s="10" t="str">
        <f>_xlfn.IFNA(VLOOKUP(B525,Phase4!A$4:C$1000,3,FALSE),"")</f>
        <v/>
      </c>
      <c r="D525" s="10" t="str">
        <f>_xlfn.IFNA(VLOOKUP($A525,CompChecksTrans!$A:$C,3,FALSE), "      ")</f>
        <v xml:space="preserve">      </v>
      </c>
    </row>
    <row r="526" spans="1:4" x14ac:dyDescent="0.25">
      <c r="A526" s="241" t="s">
        <v>7830</v>
      </c>
      <c r="B526" s="10" t="str">
        <f>_xlfn.IFNA(VLOOKUP($A526,CompChecksTrans!$A:$C,2,FALSE),"")</f>
        <v/>
      </c>
      <c r="C526" s="10" t="str">
        <f>_xlfn.IFNA(VLOOKUP(B526,Phase4!A$4:C$1000,3,FALSE),"")</f>
        <v/>
      </c>
      <c r="D526" s="10" t="str">
        <f>_xlfn.IFNA(VLOOKUP($A526,CompChecksTrans!$A:$C,3,FALSE), "      ")</f>
        <v xml:space="preserve">      </v>
      </c>
    </row>
    <row r="527" spans="1:4" x14ac:dyDescent="0.25">
      <c r="A527" s="241" t="s">
        <v>7831</v>
      </c>
      <c r="B527" s="10" t="str">
        <f>_xlfn.IFNA(VLOOKUP($A527,CompChecksTrans!$A:$C,2,FALSE),"")</f>
        <v/>
      </c>
      <c r="C527" s="10" t="str">
        <f>_xlfn.IFNA(VLOOKUP(B527,Phase4!A$4:C$1000,3,FALSE),"")</f>
        <v/>
      </c>
      <c r="D527" s="10" t="str">
        <f>_xlfn.IFNA(VLOOKUP($A527,CompChecksTrans!$A:$C,3,FALSE), "      ")</f>
        <v xml:space="preserve">      </v>
      </c>
    </row>
    <row r="528" spans="1:4" x14ac:dyDescent="0.25">
      <c r="A528" s="241" t="s">
        <v>7832</v>
      </c>
      <c r="B528" s="10" t="str">
        <f>_xlfn.IFNA(VLOOKUP($A528,CompChecksTrans!$A:$C,2,FALSE),"")</f>
        <v/>
      </c>
      <c r="C528" s="10" t="str">
        <f>_xlfn.IFNA(VLOOKUP(B528,Phase4!A$4:C$1000,3,FALSE),"")</f>
        <v/>
      </c>
      <c r="D528" s="10" t="str">
        <f>_xlfn.IFNA(VLOOKUP($A528,CompChecksTrans!$A:$C,3,FALSE), "      ")</f>
        <v xml:space="preserve">      </v>
      </c>
    </row>
    <row r="529" spans="1:4" x14ac:dyDescent="0.25">
      <c r="A529" s="241" t="s">
        <v>7833</v>
      </c>
      <c r="B529" s="10" t="str">
        <f>_xlfn.IFNA(VLOOKUP($A529,CompChecksTrans!$A:$C,2,FALSE),"")</f>
        <v/>
      </c>
      <c r="C529" s="10" t="str">
        <f>_xlfn.IFNA(VLOOKUP(B529,Phase4!A$4:C$1000,3,FALSE),"")</f>
        <v/>
      </c>
      <c r="D529" s="10" t="str">
        <f>_xlfn.IFNA(VLOOKUP($A529,CompChecksTrans!$A:$C,3,FALSE), "      ")</f>
        <v xml:space="preserve">      </v>
      </c>
    </row>
    <row r="530" spans="1:4" x14ac:dyDescent="0.25">
      <c r="A530" s="241" t="s">
        <v>7834</v>
      </c>
      <c r="B530" s="10" t="str">
        <f>_xlfn.IFNA(VLOOKUP($A530,CompChecksTrans!$A:$C,2,FALSE),"")</f>
        <v/>
      </c>
      <c r="C530" s="10" t="str">
        <f>_xlfn.IFNA(VLOOKUP(B530,Phase4!A$4:C$1000,3,FALSE),"")</f>
        <v/>
      </c>
      <c r="D530" s="10" t="str">
        <f>_xlfn.IFNA(VLOOKUP($A530,CompChecksTrans!$A:$C,3,FALSE), "      ")</f>
        <v xml:space="preserve">      </v>
      </c>
    </row>
    <row r="531" spans="1:4" x14ac:dyDescent="0.25">
      <c r="A531" s="241" t="s">
        <v>7835</v>
      </c>
      <c r="B531" s="10" t="str">
        <f>_xlfn.IFNA(VLOOKUP($A531,CompChecksTrans!$A:$C,2,FALSE),"")</f>
        <v/>
      </c>
      <c r="C531" s="10" t="str">
        <f>_xlfn.IFNA(VLOOKUP(B531,Phase4!A$4:C$1000,3,FALSE),"")</f>
        <v/>
      </c>
      <c r="D531" s="10" t="str">
        <f>_xlfn.IFNA(VLOOKUP($A531,CompChecksTrans!$A:$C,3,FALSE), "      ")</f>
        <v xml:space="preserve">      </v>
      </c>
    </row>
    <row r="532" spans="1:4" x14ac:dyDescent="0.25">
      <c r="A532" s="241" t="s">
        <v>7836</v>
      </c>
      <c r="B532" s="10" t="str">
        <f>_xlfn.IFNA(VLOOKUP($A532,CompChecksTrans!$A:$C,2,FALSE),"")</f>
        <v/>
      </c>
      <c r="C532" s="10" t="str">
        <f>_xlfn.IFNA(VLOOKUP(B532,Phase4!A$4:C$1000,3,FALSE),"")</f>
        <v/>
      </c>
      <c r="D532" s="10" t="str">
        <f>_xlfn.IFNA(VLOOKUP($A532,CompChecksTrans!$A:$C,3,FALSE), "      ")</f>
        <v xml:space="preserve">      </v>
      </c>
    </row>
    <row r="533" spans="1:4" x14ac:dyDescent="0.25">
      <c r="A533" s="241" t="s">
        <v>7837</v>
      </c>
      <c r="B533" s="10" t="str">
        <f>_xlfn.IFNA(VLOOKUP($A533,CompChecksTrans!$A:$C,2,FALSE),"")</f>
        <v/>
      </c>
      <c r="C533" s="10" t="str">
        <f>_xlfn.IFNA(VLOOKUP(B533,Phase4!A$4:C$1000,3,FALSE),"")</f>
        <v/>
      </c>
      <c r="D533" s="10" t="str">
        <f>_xlfn.IFNA(VLOOKUP($A533,CompChecksTrans!$A:$C,3,FALSE), "      ")</f>
        <v xml:space="preserve">      </v>
      </c>
    </row>
    <row r="534" spans="1:4" x14ac:dyDescent="0.25">
      <c r="A534" s="241" t="s">
        <v>7838</v>
      </c>
      <c r="B534" s="10" t="str">
        <f>_xlfn.IFNA(VLOOKUP($A534,CompChecksTrans!$A:$C,2,FALSE),"")</f>
        <v/>
      </c>
      <c r="C534" s="10" t="str">
        <f>_xlfn.IFNA(VLOOKUP(B534,Phase4!A$4:C$1000,3,FALSE),"")</f>
        <v/>
      </c>
      <c r="D534" s="10" t="str">
        <f>_xlfn.IFNA(VLOOKUP($A534,CompChecksTrans!$A:$C,3,FALSE), "      ")</f>
        <v xml:space="preserve">      </v>
      </c>
    </row>
    <row r="535" spans="1:4" x14ac:dyDescent="0.25">
      <c r="A535" s="241" t="s">
        <v>7839</v>
      </c>
      <c r="B535" s="10" t="str">
        <f>_xlfn.IFNA(VLOOKUP($A535,CompChecksTrans!$A:$C,2,FALSE),"")</f>
        <v/>
      </c>
      <c r="C535" s="10" t="str">
        <f>_xlfn.IFNA(VLOOKUP(B535,Phase4!A$4:C$1000,3,FALSE),"")</f>
        <v/>
      </c>
      <c r="D535" s="10" t="str">
        <f>_xlfn.IFNA(VLOOKUP($A535,CompChecksTrans!$A:$C,3,FALSE), "      ")</f>
        <v xml:space="preserve">      </v>
      </c>
    </row>
    <row r="536" spans="1:4" x14ac:dyDescent="0.25">
      <c r="A536" s="241" t="s">
        <v>7840</v>
      </c>
      <c r="B536" s="10" t="str">
        <f>_xlfn.IFNA(VLOOKUP($A536,CompChecksTrans!$A:$C,2,FALSE),"")</f>
        <v/>
      </c>
      <c r="C536" s="10" t="str">
        <f>_xlfn.IFNA(VLOOKUP(B536,Phase4!A$4:C$1000,3,FALSE),"")</f>
        <v/>
      </c>
      <c r="D536" s="10" t="str">
        <f>_xlfn.IFNA(VLOOKUP($A536,CompChecksTrans!$A:$C,3,FALSE), "      ")</f>
        <v xml:space="preserve">      </v>
      </c>
    </row>
    <row r="537" spans="1:4" x14ac:dyDescent="0.25">
      <c r="A537" s="241" t="s">
        <v>7841</v>
      </c>
      <c r="B537" s="10" t="str">
        <f>_xlfn.IFNA(VLOOKUP($A537,CompChecksTrans!$A:$C,2,FALSE),"")</f>
        <v/>
      </c>
      <c r="C537" s="10" t="str">
        <f>_xlfn.IFNA(VLOOKUP(B537,Phase4!A$4:C$1000,3,FALSE),"")</f>
        <v/>
      </c>
      <c r="D537" s="10" t="str">
        <f>_xlfn.IFNA(VLOOKUP($A537,CompChecksTrans!$A:$C,3,FALSE), "      ")</f>
        <v xml:space="preserve">      </v>
      </c>
    </row>
    <row r="538" spans="1:4" x14ac:dyDescent="0.25">
      <c r="A538" s="241" t="s">
        <v>7842</v>
      </c>
      <c r="B538" s="10" t="str">
        <f>_xlfn.IFNA(VLOOKUP($A538,CompChecksTrans!$A:$C,2,FALSE),"")</f>
        <v/>
      </c>
      <c r="C538" s="10" t="str">
        <f>_xlfn.IFNA(VLOOKUP(B538,Phase4!A$4:C$1000,3,FALSE),"")</f>
        <v/>
      </c>
      <c r="D538" s="10" t="str">
        <f>_xlfn.IFNA(VLOOKUP($A538,CompChecksTrans!$A:$C,3,FALSE), "      ")</f>
        <v xml:space="preserve">      </v>
      </c>
    </row>
    <row r="539" spans="1:4" x14ac:dyDescent="0.25">
      <c r="A539" s="241" t="s">
        <v>7843</v>
      </c>
      <c r="B539" s="10" t="str">
        <f>_xlfn.IFNA(VLOOKUP($A539,CompChecksTrans!$A:$C,2,FALSE),"")</f>
        <v/>
      </c>
      <c r="C539" s="10" t="str">
        <f>_xlfn.IFNA(VLOOKUP(B539,Phase4!A$4:C$1000,3,FALSE),"")</f>
        <v/>
      </c>
      <c r="D539" s="10" t="str">
        <f>_xlfn.IFNA(VLOOKUP($A539,CompChecksTrans!$A:$C,3,FALSE), "      ")</f>
        <v xml:space="preserve">      </v>
      </c>
    </row>
    <row r="540" spans="1:4" x14ac:dyDescent="0.25">
      <c r="A540" s="241" t="s">
        <v>7844</v>
      </c>
      <c r="B540" s="10" t="str">
        <f>_xlfn.IFNA(VLOOKUP($A540,CompChecksTrans!$A:$C,2,FALSE),"")</f>
        <v/>
      </c>
      <c r="C540" s="10" t="str">
        <f>_xlfn.IFNA(VLOOKUP(B540,Phase4!A$4:C$1000,3,FALSE),"")</f>
        <v/>
      </c>
      <c r="D540" s="10" t="str">
        <f>_xlfn.IFNA(VLOOKUP($A540,CompChecksTrans!$A:$C,3,FALSE), "      ")</f>
        <v xml:space="preserve">      </v>
      </c>
    </row>
    <row r="541" spans="1:4" x14ac:dyDescent="0.25">
      <c r="A541" s="241" t="s">
        <v>7845</v>
      </c>
      <c r="B541" s="10" t="str">
        <f>_xlfn.IFNA(VLOOKUP($A541,CompChecksTrans!$A:$C,2,FALSE),"")</f>
        <v/>
      </c>
      <c r="C541" s="10" t="str">
        <f>_xlfn.IFNA(VLOOKUP(B541,Phase4!A$4:C$1000,3,FALSE),"")</f>
        <v/>
      </c>
      <c r="D541" s="10" t="str">
        <f>_xlfn.IFNA(VLOOKUP($A541,CompChecksTrans!$A:$C,3,FALSE), "      ")</f>
        <v xml:space="preserve">      </v>
      </c>
    </row>
    <row r="542" spans="1:4" x14ac:dyDescent="0.25">
      <c r="A542" s="241" t="s">
        <v>7846</v>
      </c>
      <c r="B542" s="10" t="str">
        <f>_xlfn.IFNA(VLOOKUP($A542,CompChecksTrans!$A:$C,2,FALSE),"")</f>
        <v/>
      </c>
      <c r="C542" s="10" t="str">
        <f>_xlfn.IFNA(VLOOKUP(B542,Phase4!A$4:C$1000,3,FALSE),"")</f>
        <v/>
      </c>
      <c r="D542" s="10" t="str">
        <f>_xlfn.IFNA(VLOOKUP($A542,CompChecksTrans!$A:$C,3,FALSE), "      ")</f>
        <v xml:space="preserve">      </v>
      </c>
    </row>
    <row r="543" spans="1:4" x14ac:dyDescent="0.25">
      <c r="A543" s="241" t="s">
        <v>7847</v>
      </c>
      <c r="B543" s="10" t="str">
        <f>_xlfn.IFNA(VLOOKUP($A543,CompChecksTrans!$A:$C,2,FALSE),"")</f>
        <v/>
      </c>
      <c r="C543" s="10" t="str">
        <f>_xlfn.IFNA(VLOOKUP(B543,Phase4!A$4:C$1000,3,FALSE),"")</f>
        <v/>
      </c>
      <c r="D543" s="10" t="str">
        <f>_xlfn.IFNA(VLOOKUP($A543,CompChecksTrans!$A:$C,3,FALSE), "      ")</f>
        <v xml:space="preserve">      </v>
      </c>
    </row>
    <row r="544" spans="1:4" x14ac:dyDescent="0.25">
      <c r="A544" s="241" t="s">
        <v>7848</v>
      </c>
      <c r="B544" s="10" t="str">
        <f>_xlfn.IFNA(VLOOKUP($A544,CompChecksTrans!$A:$C,2,FALSE),"")</f>
        <v/>
      </c>
      <c r="C544" s="10" t="str">
        <f>_xlfn.IFNA(VLOOKUP(B544,Phase4!A$4:C$1000,3,FALSE),"")</f>
        <v/>
      </c>
      <c r="D544" s="10" t="str">
        <f>_xlfn.IFNA(VLOOKUP($A544,CompChecksTrans!$A:$C,3,FALSE), "      ")</f>
        <v xml:space="preserve">      </v>
      </c>
    </row>
    <row r="545" spans="1:4" x14ac:dyDescent="0.25">
      <c r="A545" s="241" t="s">
        <v>7849</v>
      </c>
      <c r="B545" s="10" t="str">
        <f>_xlfn.IFNA(VLOOKUP($A545,CompChecksTrans!$A:$C,2,FALSE),"")</f>
        <v/>
      </c>
      <c r="C545" s="10" t="str">
        <f>_xlfn.IFNA(VLOOKUP(B545,Phase4!A$4:C$1000,3,FALSE),"")</f>
        <v/>
      </c>
      <c r="D545" s="10" t="str">
        <f>_xlfn.IFNA(VLOOKUP($A545,CompChecksTrans!$A:$C,3,FALSE), "      ")</f>
        <v xml:space="preserve">      </v>
      </c>
    </row>
    <row r="546" spans="1:4" x14ac:dyDescent="0.25">
      <c r="A546" s="241" t="s">
        <v>7850</v>
      </c>
      <c r="B546" s="10" t="str">
        <f>_xlfn.IFNA(VLOOKUP($A546,CompChecksTrans!$A:$C,2,FALSE),"")</f>
        <v/>
      </c>
      <c r="C546" s="10" t="str">
        <f>_xlfn.IFNA(VLOOKUP(B546,Phase4!A$4:C$1000,3,FALSE),"")</f>
        <v/>
      </c>
      <c r="D546" s="10" t="str">
        <f>_xlfn.IFNA(VLOOKUP($A546,CompChecksTrans!$A:$C,3,FALSE), "      ")</f>
        <v xml:space="preserve">      </v>
      </c>
    </row>
    <row r="547" spans="1:4" x14ac:dyDescent="0.25">
      <c r="A547" s="241" t="s">
        <v>7851</v>
      </c>
      <c r="B547" s="10" t="str">
        <f>_xlfn.IFNA(VLOOKUP($A547,CompChecksTrans!$A:$C,2,FALSE),"")</f>
        <v/>
      </c>
      <c r="C547" s="10" t="str">
        <f>_xlfn.IFNA(VLOOKUP(B547,Phase4!A$4:C$1000,3,FALSE),"")</f>
        <v/>
      </c>
      <c r="D547" s="10" t="str">
        <f>_xlfn.IFNA(VLOOKUP($A547,CompChecksTrans!$A:$C,3,FALSE), "      ")</f>
        <v xml:space="preserve">      </v>
      </c>
    </row>
    <row r="548" spans="1:4" x14ac:dyDescent="0.25">
      <c r="A548" s="241" t="s">
        <v>7852</v>
      </c>
      <c r="B548" s="10" t="str">
        <f>_xlfn.IFNA(VLOOKUP($A548,CompChecksTrans!$A:$C,2,FALSE),"")</f>
        <v/>
      </c>
      <c r="C548" s="10" t="str">
        <f>_xlfn.IFNA(VLOOKUP(B548,Phase4!A$4:C$1000,3,FALSE),"")</f>
        <v/>
      </c>
      <c r="D548" s="10" t="str">
        <f>_xlfn.IFNA(VLOOKUP($A548,CompChecksTrans!$A:$C,3,FALSE), "      ")</f>
        <v xml:space="preserve">      </v>
      </c>
    </row>
    <row r="549" spans="1:4" x14ac:dyDescent="0.25">
      <c r="A549" s="241" t="s">
        <v>7853</v>
      </c>
      <c r="B549" s="10" t="str">
        <f>_xlfn.IFNA(VLOOKUP($A549,CompChecksTrans!$A:$C,2,FALSE),"")</f>
        <v/>
      </c>
      <c r="C549" s="10" t="str">
        <f>_xlfn.IFNA(VLOOKUP(B549,Phase4!A$4:C$1000,3,FALSE),"")</f>
        <v/>
      </c>
      <c r="D549" s="10" t="str">
        <f>_xlfn.IFNA(VLOOKUP($A549,CompChecksTrans!$A:$C,3,FALSE), "      ")</f>
        <v xml:space="preserve">      </v>
      </c>
    </row>
    <row r="550" spans="1:4" x14ac:dyDescent="0.25">
      <c r="A550" s="241" t="s">
        <v>7854</v>
      </c>
      <c r="B550" s="10" t="str">
        <f>_xlfn.IFNA(VLOOKUP($A550,CompChecksTrans!$A:$C,2,FALSE),"")</f>
        <v/>
      </c>
      <c r="C550" s="10" t="str">
        <f>_xlfn.IFNA(VLOOKUP(B550,Phase4!A$4:C$1000,3,FALSE),"")</f>
        <v/>
      </c>
      <c r="D550" s="10" t="str">
        <f>_xlfn.IFNA(VLOOKUP($A550,CompChecksTrans!$A:$C,3,FALSE), "      ")</f>
        <v xml:space="preserve">      </v>
      </c>
    </row>
    <row r="551" spans="1:4" x14ac:dyDescent="0.25">
      <c r="A551" s="241" t="s">
        <v>7855</v>
      </c>
      <c r="B551" s="10" t="str">
        <f>_xlfn.IFNA(VLOOKUP($A551,CompChecksTrans!$A:$C,2,FALSE),"")</f>
        <v/>
      </c>
      <c r="C551" s="10" t="str">
        <f>_xlfn.IFNA(VLOOKUP(B551,Phase4!A$4:C$1000,3,FALSE),"")</f>
        <v/>
      </c>
      <c r="D551" s="10" t="str">
        <f>_xlfn.IFNA(VLOOKUP($A551,CompChecksTrans!$A:$C,3,FALSE), "      ")</f>
        <v xml:space="preserve">      </v>
      </c>
    </row>
    <row r="552" spans="1:4" x14ac:dyDescent="0.25">
      <c r="A552" s="241" t="s">
        <v>7856</v>
      </c>
      <c r="B552" s="10" t="str">
        <f>_xlfn.IFNA(VLOOKUP($A552,CompChecksTrans!$A:$C,2,FALSE),"")</f>
        <v/>
      </c>
      <c r="C552" s="10" t="str">
        <f>_xlfn.IFNA(VLOOKUP(B552,Phase4!A$4:C$1000,3,FALSE),"")</f>
        <v/>
      </c>
      <c r="D552" s="10" t="str">
        <f>_xlfn.IFNA(VLOOKUP($A552,CompChecksTrans!$A:$C,3,FALSE), "      ")</f>
        <v xml:space="preserve">      </v>
      </c>
    </row>
    <row r="553" spans="1:4" x14ac:dyDescent="0.25">
      <c r="A553" s="241" t="s">
        <v>7857</v>
      </c>
      <c r="B553" s="10" t="str">
        <f>_xlfn.IFNA(VLOOKUP($A553,CompChecksTrans!$A:$C,2,FALSE),"")</f>
        <v/>
      </c>
      <c r="C553" s="10" t="str">
        <f>_xlfn.IFNA(VLOOKUP(B553,Phase4!A$4:C$1000,3,FALSE),"")</f>
        <v/>
      </c>
      <c r="D553" s="10" t="str">
        <f>_xlfn.IFNA(VLOOKUP($A553,CompChecksTrans!$A:$C,3,FALSE), "      ")</f>
        <v xml:space="preserve">      </v>
      </c>
    </row>
    <row r="554" spans="1:4" x14ac:dyDescent="0.25">
      <c r="A554" s="241" t="s">
        <v>7858</v>
      </c>
      <c r="B554" s="10" t="str">
        <f>_xlfn.IFNA(VLOOKUP($A554,CompChecksTrans!$A:$C,2,FALSE),"")</f>
        <v/>
      </c>
      <c r="C554" s="10" t="str">
        <f>_xlfn.IFNA(VLOOKUP(B554,Phase4!A$4:C$1000,3,FALSE),"")</f>
        <v/>
      </c>
      <c r="D554" s="10" t="str">
        <f>_xlfn.IFNA(VLOOKUP($A554,CompChecksTrans!$A:$C,3,FALSE), "      ")</f>
        <v xml:space="preserve">      </v>
      </c>
    </row>
    <row r="555" spans="1:4" x14ac:dyDescent="0.25">
      <c r="A555" s="241" t="s">
        <v>7859</v>
      </c>
      <c r="B555" s="10" t="str">
        <f>_xlfn.IFNA(VLOOKUP($A555,CompChecksTrans!$A:$C,2,FALSE),"")</f>
        <v/>
      </c>
      <c r="C555" s="10" t="str">
        <f>_xlfn.IFNA(VLOOKUP(B555,Phase4!A$4:C$1000,3,FALSE),"")</f>
        <v/>
      </c>
      <c r="D555" s="10" t="str">
        <f>_xlfn.IFNA(VLOOKUP($A555,CompChecksTrans!$A:$C,3,FALSE), "      ")</f>
        <v xml:space="preserve">      </v>
      </c>
    </row>
    <row r="556" spans="1:4" x14ac:dyDescent="0.25">
      <c r="A556" s="241" t="s">
        <v>7860</v>
      </c>
      <c r="B556" s="10" t="str">
        <f>_xlfn.IFNA(VLOOKUP($A556,CompChecksTrans!$A:$C,2,FALSE),"")</f>
        <v/>
      </c>
      <c r="C556" s="10" t="str">
        <f>_xlfn.IFNA(VLOOKUP(B556,Phase4!A$4:C$1000,3,FALSE),"")</f>
        <v/>
      </c>
      <c r="D556" s="10" t="str">
        <f>_xlfn.IFNA(VLOOKUP($A556,CompChecksTrans!$A:$C,3,FALSE), "      ")</f>
        <v xml:space="preserve">      </v>
      </c>
    </row>
    <row r="557" spans="1:4" x14ac:dyDescent="0.25">
      <c r="A557" s="241" t="s">
        <v>7861</v>
      </c>
      <c r="B557" s="10" t="str">
        <f>_xlfn.IFNA(VLOOKUP($A557,CompChecksTrans!$A:$C,2,FALSE),"")</f>
        <v/>
      </c>
      <c r="C557" s="10" t="str">
        <f>_xlfn.IFNA(VLOOKUP(B557,Phase4!A$4:C$1000,3,FALSE),"")</f>
        <v/>
      </c>
      <c r="D557" s="10" t="str">
        <f>_xlfn.IFNA(VLOOKUP($A557,CompChecksTrans!$A:$C,3,FALSE), "      ")</f>
        <v xml:space="preserve">      </v>
      </c>
    </row>
    <row r="558" spans="1:4" x14ac:dyDescent="0.25">
      <c r="A558" s="241" t="s">
        <v>7862</v>
      </c>
      <c r="B558" s="10" t="str">
        <f>_xlfn.IFNA(VLOOKUP($A558,CompChecksTrans!$A:$C,2,FALSE),"")</f>
        <v/>
      </c>
      <c r="C558" s="10" t="str">
        <f>_xlfn.IFNA(VLOOKUP(B558,Phase4!A$4:C$1000,3,FALSE),"")</f>
        <v/>
      </c>
      <c r="D558" s="10" t="str">
        <f>_xlfn.IFNA(VLOOKUP($A558,CompChecksTrans!$A:$C,3,FALSE), "      ")</f>
        <v xml:space="preserve">      </v>
      </c>
    </row>
    <row r="559" spans="1:4" x14ac:dyDescent="0.25">
      <c r="A559" s="241" t="s">
        <v>7863</v>
      </c>
      <c r="B559" s="10" t="str">
        <f>_xlfn.IFNA(VLOOKUP($A559,CompChecksTrans!$A:$C,2,FALSE),"")</f>
        <v/>
      </c>
      <c r="C559" s="10" t="str">
        <f>_xlfn.IFNA(VLOOKUP(B559,Phase4!A$4:C$1000,3,FALSE),"")</f>
        <v/>
      </c>
      <c r="D559" s="10" t="str">
        <f>_xlfn.IFNA(VLOOKUP($A559,CompChecksTrans!$A:$C,3,FALSE), "      ")</f>
        <v xml:space="preserve">      </v>
      </c>
    </row>
    <row r="560" spans="1:4" x14ac:dyDescent="0.25">
      <c r="A560" s="241" t="s">
        <v>7864</v>
      </c>
      <c r="B560" s="10" t="str">
        <f>_xlfn.IFNA(VLOOKUP($A560,CompChecksTrans!$A:$C,2,FALSE),"")</f>
        <v/>
      </c>
      <c r="C560" s="10" t="str">
        <f>_xlfn.IFNA(VLOOKUP(B560,Phase4!A$4:C$1000,3,FALSE),"")</f>
        <v/>
      </c>
      <c r="D560" s="10" t="str">
        <f>_xlfn.IFNA(VLOOKUP($A560,CompChecksTrans!$A:$C,3,FALSE), "      ")</f>
        <v xml:space="preserve">      </v>
      </c>
    </row>
    <row r="561" spans="1:4" x14ac:dyDescent="0.25">
      <c r="A561" s="241" t="s">
        <v>7865</v>
      </c>
      <c r="B561" s="10" t="str">
        <f>_xlfn.IFNA(VLOOKUP($A561,CompChecksTrans!$A:$C,2,FALSE),"")</f>
        <v/>
      </c>
      <c r="C561" s="10" t="str">
        <f>_xlfn.IFNA(VLOOKUP(B561,Phase4!A$4:C$1000,3,FALSE),"")</f>
        <v/>
      </c>
      <c r="D561" s="10" t="str">
        <f>_xlfn.IFNA(VLOOKUP($A561,CompChecksTrans!$A:$C,3,FALSE), "      ")</f>
        <v xml:space="preserve">      </v>
      </c>
    </row>
    <row r="562" spans="1:4" x14ac:dyDescent="0.25">
      <c r="A562" s="241" t="s">
        <v>7866</v>
      </c>
      <c r="B562" s="10" t="str">
        <f>_xlfn.IFNA(VLOOKUP($A562,CompChecksTrans!$A:$C,2,FALSE),"")</f>
        <v/>
      </c>
      <c r="C562" s="10" t="str">
        <f>_xlfn.IFNA(VLOOKUP(B562,Phase4!A$4:C$1000,3,FALSE),"")</f>
        <v/>
      </c>
      <c r="D562" s="10" t="str">
        <f>_xlfn.IFNA(VLOOKUP($A562,CompChecksTrans!$A:$C,3,FALSE), "      ")</f>
        <v xml:space="preserve">      </v>
      </c>
    </row>
    <row r="563" spans="1:4" x14ac:dyDescent="0.25">
      <c r="A563" s="241" t="s">
        <v>7867</v>
      </c>
      <c r="B563" s="10" t="str">
        <f>_xlfn.IFNA(VLOOKUP($A563,CompChecksTrans!$A:$C,2,FALSE),"")</f>
        <v/>
      </c>
      <c r="C563" s="10" t="str">
        <f>_xlfn.IFNA(VLOOKUP(B563,Phase4!A$4:C$1000,3,FALSE),"")</f>
        <v/>
      </c>
      <c r="D563" s="10" t="str">
        <f>_xlfn.IFNA(VLOOKUP($A563,CompChecksTrans!$A:$C,3,FALSE), "      ")</f>
        <v xml:space="preserve">      </v>
      </c>
    </row>
    <row r="564" spans="1:4" x14ac:dyDescent="0.25">
      <c r="A564" s="241" t="s">
        <v>7868</v>
      </c>
      <c r="B564" s="10" t="str">
        <f>_xlfn.IFNA(VLOOKUP($A564,CompChecksTrans!$A:$C,2,FALSE),"")</f>
        <v/>
      </c>
      <c r="C564" s="10" t="str">
        <f>_xlfn.IFNA(VLOOKUP(B564,Phase4!A$4:C$1000,3,FALSE),"")</f>
        <v/>
      </c>
      <c r="D564" s="10" t="str">
        <f>_xlfn.IFNA(VLOOKUP($A564,CompChecksTrans!$A:$C,3,FALSE), "      ")</f>
        <v xml:space="preserve">      </v>
      </c>
    </row>
    <row r="565" spans="1:4" x14ac:dyDescent="0.25">
      <c r="A565" s="241" t="s">
        <v>7869</v>
      </c>
      <c r="B565" s="10" t="str">
        <f>_xlfn.IFNA(VLOOKUP($A565,CompChecksTrans!$A:$C,2,FALSE),"")</f>
        <v/>
      </c>
      <c r="C565" s="10" t="str">
        <f>_xlfn.IFNA(VLOOKUP(B565,Phase4!A$4:C$1000,3,FALSE),"")</f>
        <v/>
      </c>
      <c r="D565" s="10" t="str">
        <f>_xlfn.IFNA(VLOOKUP($A565,CompChecksTrans!$A:$C,3,FALSE), "      ")</f>
        <v xml:space="preserve">      </v>
      </c>
    </row>
    <row r="566" spans="1:4" x14ac:dyDescent="0.25">
      <c r="A566" s="241" t="s">
        <v>7870</v>
      </c>
      <c r="B566" s="10" t="str">
        <f>_xlfn.IFNA(VLOOKUP($A566,CompChecksTrans!$A:$C,2,FALSE),"")</f>
        <v/>
      </c>
      <c r="C566" s="10" t="str">
        <f>_xlfn.IFNA(VLOOKUP(B566,Phase4!A$4:C$1000,3,FALSE),"")</f>
        <v/>
      </c>
      <c r="D566" s="10" t="str">
        <f>_xlfn.IFNA(VLOOKUP($A566,CompChecksTrans!$A:$C,3,FALSE), "      ")</f>
        <v xml:space="preserve">      </v>
      </c>
    </row>
    <row r="567" spans="1:4" x14ac:dyDescent="0.25">
      <c r="A567" s="241" t="s">
        <v>7871</v>
      </c>
      <c r="B567" s="10" t="str">
        <f>_xlfn.IFNA(VLOOKUP($A567,CompChecksTrans!$A:$C,2,FALSE),"")</f>
        <v/>
      </c>
      <c r="C567" s="10" t="str">
        <f>_xlfn.IFNA(VLOOKUP(B567,Phase4!A$4:C$1000,3,FALSE),"")</f>
        <v/>
      </c>
      <c r="D567" s="10" t="str">
        <f>_xlfn.IFNA(VLOOKUP($A567,CompChecksTrans!$A:$C,3,FALSE), "      ")</f>
        <v xml:space="preserve">      </v>
      </c>
    </row>
    <row r="568" spans="1:4" x14ac:dyDescent="0.25">
      <c r="A568" s="241" t="s">
        <v>7872</v>
      </c>
      <c r="B568" s="10" t="str">
        <f>_xlfn.IFNA(VLOOKUP($A568,CompChecksTrans!$A:$C,2,FALSE),"")</f>
        <v/>
      </c>
      <c r="C568" s="10" t="str">
        <f>_xlfn.IFNA(VLOOKUP(B568,Phase4!A$4:C$1000,3,FALSE),"")</f>
        <v/>
      </c>
      <c r="D568" s="10" t="str">
        <f>_xlfn.IFNA(VLOOKUP($A568,CompChecksTrans!$A:$C,3,FALSE), "      ")</f>
        <v xml:space="preserve">      </v>
      </c>
    </row>
    <row r="569" spans="1:4" x14ac:dyDescent="0.25">
      <c r="A569" s="241" t="s">
        <v>7873</v>
      </c>
      <c r="B569" s="10" t="str">
        <f>_xlfn.IFNA(VLOOKUP($A569,CompChecksTrans!$A:$C,2,FALSE),"")</f>
        <v/>
      </c>
      <c r="C569" s="10" t="str">
        <f>_xlfn.IFNA(VLOOKUP(B569,Phase4!A$4:C$1000,3,FALSE),"")</f>
        <v/>
      </c>
      <c r="D569" s="10" t="str">
        <f>_xlfn.IFNA(VLOOKUP($A569,CompChecksTrans!$A:$C,3,FALSE), "      ")</f>
        <v xml:space="preserve">      </v>
      </c>
    </row>
    <row r="570" spans="1:4" x14ac:dyDescent="0.25">
      <c r="A570" s="241" t="s">
        <v>7874</v>
      </c>
      <c r="B570" s="10" t="str">
        <f>_xlfn.IFNA(VLOOKUP($A570,CompChecksTrans!$A:$C,2,FALSE),"")</f>
        <v/>
      </c>
      <c r="C570" s="10" t="str">
        <f>_xlfn.IFNA(VLOOKUP(B570,Phase4!A$4:C$1000,3,FALSE),"")</f>
        <v/>
      </c>
      <c r="D570" s="10" t="str">
        <f>_xlfn.IFNA(VLOOKUP($A570,CompChecksTrans!$A:$C,3,FALSE), "      ")</f>
        <v xml:space="preserve">      </v>
      </c>
    </row>
    <row r="571" spans="1:4" x14ac:dyDescent="0.25">
      <c r="A571" s="241" t="s">
        <v>7875</v>
      </c>
      <c r="B571" s="10" t="str">
        <f>_xlfn.IFNA(VLOOKUP($A571,CompChecksTrans!$A:$C,2,FALSE),"")</f>
        <v/>
      </c>
      <c r="C571" s="10" t="str">
        <f>_xlfn.IFNA(VLOOKUP(B571,Phase4!A$4:C$1000,3,FALSE),"")</f>
        <v/>
      </c>
      <c r="D571" s="10" t="str">
        <f>_xlfn.IFNA(VLOOKUP($A571,CompChecksTrans!$A:$C,3,FALSE), "      ")</f>
        <v xml:space="preserve">      </v>
      </c>
    </row>
    <row r="572" spans="1:4" x14ac:dyDescent="0.25">
      <c r="A572" s="241" t="s">
        <v>7876</v>
      </c>
      <c r="B572" s="10" t="str">
        <f>_xlfn.IFNA(VLOOKUP($A572,CompChecksTrans!$A:$C,2,FALSE),"")</f>
        <v/>
      </c>
      <c r="C572" s="10" t="str">
        <f>_xlfn.IFNA(VLOOKUP(B572,Phase4!A$4:C$1000,3,FALSE),"")</f>
        <v/>
      </c>
      <c r="D572" s="10" t="str">
        <f>_xlfn.IFNA(VLOOKUP($A572,CompChecksTrans!$A:$C,3,FALSE), "      ")</f>
        <v xml:space="preserve">      </v>
      </c>
    </row>
    <row r="573" spans="1:4" x14ac:dyDescent="0.25">
      <c r="A573" s="241" t="s">
        <v>7877</v>
      </c>
      <c r="B573" s="10" t="str">
        <f>_xlfn.IFNA(VLOOKUP($A573,CompChecksTrans!$A:$C,2,FALSE),"")</f>
        <v/>
      </c>
      <c r="C573" s="10" t="str">
        <f>_xlfn.IFNA(VLOOKUP(B573,Phase4!A$4:C$1000,3,FALSE),"")</f>
        <v/>
      </c>
      <c r="D573" s="10" t="str">
        <f>_xlfn.IFNA(VLOOKUP($A573,CompChecksTrans!$A:$C,3,FALSE), "      ")</f>
        <v xml:space="preserve">      </v>
      </c>
    </row>
    <row r="574" spans="1:4" x14ac:dyDescent="0.25">
      <c r="A574" s="241" t="s">
        <v>7878</v>
      </c>
      <c r="B574" s="10" t="str">
        <f>_xlfn.IFNA(VLOOKUP($A574,CompChecksTrans!$A:$C,2,FALSE),"")</f>
        <v/>
      </c>
      <c r="C574" s="10" t="str">
        <f>_xlfn.IFNA(VLOOKUP(B574,Phase4!A$4:C$1000,3,FALSE),"")</f>
        <v/>
      </c>
      <c r="D574" s="10" t="str">
        <f>_xlfn.IFNA(VLOOKUP($A574,CompChecksTrans!$A:$C,3,FALSE), "      ")</f>
        <v xml:space="preserve">      </v>
      </c>
    </row>
    <row r="575" spans="1:4" x14ac:dyDescent="0.25">
      <c r="A575" s="241" t="s">
        <v>7879</v>
      </c>
      <c r="B575" s="10" t="str">
        <f>_xlfn.IFNA(VLOOKUP($A575,CompChecksTrans!$A:$C,2,FALSE),"")</f>
        <v/>
      </c>
      <c r="C575" s="10" t="str">
        <f>_xlfn.IFNA(VLOOKUP(B575,Phase4!A$4:C$1000,3,FALSE),"")</f>
        <v/>
      </c>
      <c r="D575" s="10" t="str">
        <f>_xlfn.IFNA(VLOOKUP($A575,CompChecksTrans!$A:$C,3,FALSE), "      ")</f>
        <v xml:space="preserve">      </v>
      </c>
    </row>
    <row r="576" spans="1:4" x14ac:dyDescent="0.25">
      <c r="A576" s="241" t="s">
        <v>7880</v>
      </c>
      <c r="B576" s="10" t="str">
        <f>_xlfn.IFNA(VLOOKUP($A576,CompChecksTrans!$A:$C,2,FALSE),"")</f>
        <v/>
      </c>
      <c r="C576" s="10" t="str">
        <f>_xlfn.IFNA(VLOOKUP(B576,Phase4!A$4:C$1000,3,FALSE),"")</f>
        <v/>
      </c>
      <c r="D576" s="10" t="str">
        <f>_xlfn.IFNA(VLOOKUP($A576,CompChecksTrans!$A:$C,3,FALSE), "      ")</f>
        <v xml:space="preserve">      </v>
      </c>
    </row>
    <row r="577" spans="1:4" x14ac:dyDescent="0.25">
      <c r="A577" s="241" t="s">
        <v>7881</v>
      </c>
      <c r="B577" s="10" t="str">
        <f>_xlfn.IFNA(VLOOKUP($A577,CompChecksTrans!$A:$C,2,FALSE),"")</f>
        <v/>
      </c>
      <c r="C577" s="10" t="str">
        <f>_xlfn.IFNA(VLOOKUP(B577,Phase4!A$4:C$1000,3,FALSE),"")</f>
        <v/>
      </c>
      <c r="D577" s="10" t="str">
        <f>_xlfn.IFNA(VLOOKUP($A577,CompChecksTrans!$A:$C,3,FALSE), "      ")</f>
        <v xml:space="preserve">      </v>
      </c>
    </row>
    <row r="578" spans="1:4" x14ac:dyDescent="0.25">
      <c r="A578" s="241" t="s">
        <v>7882</v>
      </c>
      <c r="B578" s="10" t="str">
        <f>_xlfn.IFNA(VLOOKUP($A578,CompChecksTrans!$A:$C,2,FALSE),"")</f>
        <v/>
      </c>
      <c r="C578" s="10" t="str">
        <f>_xlfn.IFNA(VLOOKUP(B578,Phase4!A$4:C$1000,3,FALSE),"")</f>
        <v/>
      </c>
      <c r="D578" s="10" t="str">
        <f>_xlfn.IFNA(VLOOKUP($A578,CompChecksTrans!$A:$C,3,FALSE), "      ")</f>
        <v xml:space="preserve">      </v>
      </c>
    </row>
    <row r="579" spans="1:4" x14ac:dyDescent="0.25">
      <c r="A579" s="241" t="s">
        <v>7883</v>
      </c>
      <c r="B579" s="10" t="str">
        <f>_xlfn.IFNA(VLOOKUP($A579,CompChecksTrans!$A:$C,2,FALSE),"")</f>
        <v/>
      </c>
      <c r="C579" s="10" t="str">
        <f>_xlfn.IFNA(VLOOKUP(B579,Phase4!A$4:C$1000,3,FALSE),"")</f>
        <v/>
      </c>
      <c r="D579" s="10" t="str">
        <f>_xlfn.IFNA(VLOOKUP($A579,CompChecksTrans!$A:$C,3,FALSE), "      ")</f>
        <v xml:space="preserve">      </v>
      </c>
    </row>
    <row r="580" spans="1:4" x14ac:dyDescent="0.25">
      <c r="A580" s="241" t="s">
        <v>7884</v>
      </c>
      <c r="B580" s="10" t="str">
        <f>_xlfn.IFNA(VLOOKUP($A580,CompChecksTrans!$A:$C,2,FALSE),"")</f>
        <v/>
      </c>
      <c r="C580" s="10" t="str">
        <f>_xlfn.IFNA(VLOOKUP(B580,Phase4!A$4:C$1000,3,FALSE),"")</f>
        <v/>
      </c>
      <c r="D580" s="10" t="str">
        <f>_xlfn.IFNA(VLOOKUP($A580,CompChecksTrans!$A:$C,3,FALSE), "      ")</f>
        <v xml:space="preserve">      </v>
      </c>
    </row>
    <row r="581" spans="1:4" x14ac:dyDescent="0.25">
      <c r="A581" s="241" t="s">
        <v>7885</v>
      </c>
      <c r="B581" s="10" t="str">
        <f>_xlfn.IFNA(VLOOKUP($A581,CompChecksTrans!$A:$C,2,FALSE),"")</f>
        <v/>
      </c>
      <c r="C581" s="10" t="str">
        <f>_xlfn.IFNA(VLOOKUP(B581,Phase4!A$4:C$1000,3,FALSE),"")</f>
        <v/>
      </c>
      <c r="D581" s="10" t="str">
        <f>_xlfn.IFNA(VLOOKUP($A581,CompChecksTrans!$A:$C,3,FALSE), "      ")</f>
        <v xml:space="preserve">      </v>
      </c>
    </row>
    <row r="582" spans="1:4" x14ac:dyDescent="0.25">
      <c r="A582" s="241" t="s">
        <v>7886</v>
      </c>
      <c r="B582" s="10" t="str">
        <f>_xlfn.IFNA(VLOOKUP($A582,CompChecksTrans!$A:$C,2,FALSE),"")</f>
        <v/>
      </c>
      <c r="C582" s="10" t="str">
        <f>_xlfn.IFNA(VLOOKUP(B582,Phase4!A$4:C$1000,3,FALSE),"")</f>
        <v/>
      </c>
      <c r="D582" s="10" t="str">
        <f>_xlfn.IFNA(VLOOKUP($A582,CompChecksTrans!$A:$C,3,FALSE), "      ")</f>
        <v xml:space="preserve">      </v>
      </c>
    </row>
    <row r="583" spans="1:4" x14ac:dyDescent="0.25">
      <c r="A583" s="241" t="s">
        <v>7887</v>
      </c>
      <c r="B583" s="10" t="str">
        <f>_xlfn.IFNA(VLOOKUP($A583,CompChecksTrans!$A:$C,2,FALSE),"")</f>
        <v/>
      </c>
      <c r="C583" s="10" t="str">
        <f>_xlfn.IFNA(VLOOKUP(B583,Phase4!A$4:C$1000,3,FALSE),"")</f>
        <v/>
      </c>
      <c r="D583" s="10" t="str">
        <f>_xlfn.IFNA(VLOOKUP($A583,CompChecksTrans!$A:$C,3,FALSE), "      ")</f>
        <v xml:space="preserve">      </v>
      </c>
    </row>
    <row r="584" spans="1:4" x14ac:dyDescent="0.25">
      <c r="A584" s="241" t="s">
        <v>7888</v>
      </c>
      <c r="B584" s="10" t="str">
        <f>_xlfn.IFNA(VLOOKUP($A584,CompChecksTrans!$A:$C,2,FALSE),"")</f>
        <v/>
      </c>
      <c r="C584" s="10" t="str">
        <f>_xlfn.IFNA(VLOOKUP(B584,Phase4!A$4:C$1000,3,FALSE),"")</f>
        <v/>
      </c>
      <c r="D584" s="10" t="str">
        <f>_xlfn.IFNA(VLOOKUP($A584,CompChecksTrans!$A:$C,3,FALSE), "      ")</f>
        <v xml:space="preserve">      </v>
      </c>
    </row>
    <row r="585" spans="1:4" x14ac:dyDescent="0.25">
      <c r="A585" s="241" t="s">
        <v>7889</v>
      </c>
      <c r="B585" s="10" t="str">
        <f>_xlfn.IFNA(VLOOKUP($A585,CompChecksTrans!$A:$C,2,FALSE),"")</f>
        <v/>
      </c>
      <c r="C585" s="10" t="str">
        <f>_xlfn.IFNA(VLOOKUP(B585,Phase4!A$4:C$1000,3,FALSE),"")</f>
        <v/>
      </c>
      <c r="D585" s="10" t="str">
        <f>_xlfn.IFNA(VLOOKUP($A585,CompChecksTrans!$A:$C,3,FALSE), "      ")</f>
        <v xml:space="preserve">      </v>
      </c>
    </row>
    <row r="586" spans="1:4" x14ac:dyDescent="0.25">
      <c r="A586" s="241" t="s">
        <v>7890</v>
      </c>
      <c r="B586" s="10" t="str">
        <f>_xlfn.IFNA(VLOOKUP($A586,CompChecksTrans!$A:$C,2,FALSE),"")</f>
        <v/>
      </c>
      <c r="C586" s="10" t="str">
        <f>_xlfn.IFNA(VLOOKUP(B586,Phase4!A$4:C$1000,3,FALSE),"")</f>
        <v/>
      </c>
      <c r="D586" s="10" t="str">
        <f>_xlfn.IFNA(VLOOKUP($A586,CompChecksTrans!$A:$C,3,FALSE), "      ")</f>
        <v xml:space="preserve">      </v>
      </c>
    </row>
    <row r="587" spans="1:4" x14ac:dyDescent="0.25">
      <c r="A587" s="241" t="s">
        <v>7891</v>
      </c>
      <c r="B587" s="10" t="str">
        <f>_xlfn.IFNA(VLOOKUP($A587,CompChecksTrans!$A:$C,2,FALSE),"")</f>
        <v/>
      </c>
      <c r="C587" s="10" t="str">
        <f>_xlfn.IFNA(VLOOKUP(B587,Phase4!A$4:C$1000,3,FALSE),"")</f>
        <v/>
      </c>
      <c r="D587" s="10" t="str">
        <f>_xlfn.IFNA(VLOOKUP($A587,CompChecksTrans!$A:$C,3,FALSE), "      ")</f>
        <v xml:space="preserve">      </v>
      </c>
    </row>
    <row r="588" spans="1:4" x14ac:dyDescent="0.25">
      <c r="A588" s="241" t="s">
        <v>7892</v>
      </c>
      <c r="B588" s="10" t="str">
        <f>_xlfn.IFNA(VLOOKUP($A588,CompChecksTrans!$A:$C,2,FALSE),"")</f>
        <v/>
      </c>
      <c r="C588" s="10" t="str">
        <f>_xlfn.IFNA(VLOOKUP(B588,Phase4!A$4:C$1000,3,FALSE),"")</f>
        <v/>
      </c>
      <c r="D588" s="10" t="str">
        <f>_xlfn.IFNA(VLOOKUP($A588,CompChecksTrans!$A:$C,3,FALSE), "      ")</f>
        <v xml:space="preserve">      </v>
      </c>
    </row>
    <row r="589" spans="1:4" x14ac:dyDescent="0.25">
      <c r="A589" s="241" t="s">
        <v>7893</v>
      </c>
      <c r="B589" s="10" t="str">
        <f>_xlfn.IFNA(VLOOKUP($A589,CompChecksTrans!$A:$C,2,FALSE),"")</f>
        <v/>
      </c>
      <c r="C589" s="10" t="str">
        <f>_xlfn.IFNA(VLOOKUP(B589,Phase4!A$4:C$1000,3,FALSE),"")</f>
        <v/>
      </c>
      <c r="D589" s="10" t="str">
        <f>_xlfn.IFNA(VLOOKUP($A589,CompChecksTrans!$A:$C,3,FALSE), "      ")</f>
        <v xml:space="preserve">      </v>
      </c>
    </row>
    <row r="590" spans="1:4" x14ac:dyDescent="0.25">
      <c r="A590" s="241" t="s">
        <v>7894</v>
      </c>
      <c r="B590" s="10" t="str">
        <f>_xlfn.IFNA(VLOOKUP($A590,CompChecksTrans!$A:$C,2,FALSE),"")</f>
        <v/>
      </c>
      <c r="C590" s="10" t="str">
        <f>_xlfn.IFNA(VLOOKUP(B590,Phase4!A$4:C$1000,3,FALSE),"")</f>
        <v/>
      </c>
      <c r="D590" s="10" t="str">
        <f>_xlfn.IFNA(VLOOKUP($A590,CompChecksTrans!$A:$C,3,FALSE), "      ")</f>
        <v xml:space="preserve">      </v>
      </c>
    </row>
    <row r="591" spans="1:4" x14ac:dyDescent="0.25">
      <c r="A591" s="241" t="s">
        <v>7895</v>
      </c>
      <c r="B591" s="10" t="str">
        <f>_xlfn.IFNA(VLOOKUP($A591,CompChecksTrans!$A:$C,2,FALSE),"")</f>
        <v/>
      </c>
      <c r="C591" s="10" t="str">
        <f>_xlfn.IFNA(VLOOKUP(B591,Phase4!A$4:C$1000,3,FALSE),"")</f>
        <v/>
      </c>
      <c r="D591" s="10" t="str">
        <f>_xlfn.IFNA(VLOOKUP($A591,CompChecksTrans!$A:$C,3,FALSE), "      ")</f>
        <v xml:space="preserve">      </v>
      </c>
    </row>
    <row r="592" spans="1:4" x14ac:dyDescent="0.25">
      <c r="A592" s="241" t="s">
        <v>7896</v>
      </c>
      <c r="B592" s="10" t="str">
        <f>_xlfn.IFNA(VLOOKUP($A592,CompChecksTrans!$A:$C,2,FALSE),"")</f>
        <v/>
      </c>
      <c r="C592" s="10" t="str">
        <f>_xlfn.IFNA(VLOOKUP(B592,Phase4!A$4:C$1000,3,FALSE),"")</f>
        <v/>
      </c>
      <c r="D592" s="10" t="str">
        <f>_xlfn.IFNA(VLOOKUP($A592,CompChecksTrans!$A:$C,3,FALSE), "      ")</f>
        <v xml:space="preserve">      </v>
      </c>
    </row>
    <row r="593" spans="1:4" x14ac:dyDescent="0.25">
      <c r="A593" s="241" t="s">
        <v>7897</v>
      </c>
      <c r="B593" s="10" t="str">
        <f>_xlfn.IFNA(VLOOKUP($A593,CompChecksTrans!$A:$C,2,FALSE),"")</f>
        <v/>
      </c>
      <c r="C593" s="10" t="str">
        <f>_xlfn.IFNA(VLOOKUP(B593,Phase4!A$4:C$1000,3,FALSE),"")</f>
        <v/>
      </c>
      <c r="D593" s="10" t="str">
        <f>_xlfn.IFNA(VLOOKUP($A593,CompChecksTrans!$A:$C,3,FALSE), "      ")</f>
        <v xml:space="preserve">      </v>
      </c>
    </row>
    <row r="594" spans="1:4" x14ac:dyDescent="0.25">
      <c r="A594" s="241" t="s">
        <v>7898</v>
      </c>
      <c r="B594" s="10" t="str">
        <f>_xlfn.IFNA(VLOOKUP($A594,CompChecksTrans!$A:$C,2,FALSE),"")</f>
        <v/>
      </c>
      <c r="C594" s="10" t="str">
        <f>_xlfn.IFNA(VLOOKUP(B594,Phase4!A$4:C$1000,3,FALSE),"")</f>
        <v/>
      </c>
      <c r="D594" s="10" t="str">
        <f>_xlfn.IFNA(VLOOKUP($A594,CompChecksTrans!$A:$C,3,FALSE), "      ")</f>
        <v xml:space="preserve">      </v>
      </c>
    </row>
    <row r="595" spans="1:4" x14ac:dyDescent="0.25">
      <c r="A595" s="241" t="s">
        <v>7899</v>
      </c>
      <c r="B595" s="10" t="str">
        <f>_xlfn.IFNA(VLOOKUP($A595,CompChecksTrans!$A:$C,2,FALSE),"")</f>
        <v/>
      </c>
      <c r="C595" s="10" t="str">
        <f>_xlfn.IFNA(VLOOKUP(B595,Phase4!A$4:C$1000,3,FALSE),"")</f>
        <v/>
      </c>
      <c r="D595" s="10" t="str">
        <f>_xlfn.IFNA(VLOOKUP($A595,CompChecksTrans!$A:$C,3,FALSE), "      ")</f>
        <v xml:space="preserve">      </v>
      </c>
    </row>
    <row r="596" spans="1:4" x14ac:dyDescent="0.25">
      <c r="A596" s="241" t="s">
        <v>7900</v>
      </c>
      <c r="B596" s="10" t="str">
        <f>_xlfn.IFNA(VLOOKUP($A596,CompChecksTrans!$A:$C,2,FALSE),"")</f>
        <v/>
      </c>
      <c r="C596" s="10" t="str">
        <f>_xlfn.IFNA(VLOOKUP(B596,Phase4!A$4:C$1000,3,FALSE),"")</f>
        <v/>
      </c>
      <c r="D596" s="10" t="str">
        <f>_xlfn.IFNA(VLOOKUP($A596,CompChecksTrans!$A:$C,3,FALSE), "      ")</f>
        <v xml:space="preserve">      </v>
      </c>
    </row>
    <row r="597" spans="1:4" x14ac:dyDescent="0.25">
      <c r="A597" s="241" t="s">
        <v>7901</v>
      </c>
      <c r="B597" s="10" t="str">
        <f>_xlfn.IFNA(VLOOKUP($A597,CompChecksTrans!$A:$C,2,FALSE),"")</f>
        <v/>
      </c>
      <c r="C597" s="10" t="str">
        <f>_xlfn.IFNA(VLOOKUP(B597,Phase4!A$4:C$1000,3,FALSE),"")</f>
        <v/>
      </c>
      <c r="D597" s="10" t="str">
        <f>_xlfn.IFNA(VLOOKUP($A597,CompChecksTrans!$A:$C,3,FALSE), "      ")</f>
        <v xml:space="preserve">      </v>
      </c>
    </row>
    <row r="598" spans="1:4" x14ac:dyDescent="0.25">
      <c r="A598" s="241" t="s">
        <v>7902</v>
      </c>
      <c r="B598" s="10" t="str">
        <f>_xlfn.IFNA(VLOOKUP($A598,CompChecksTrans!$A:$C,2,FALSE),"")</f>
        <v/>
      </c>
      <c r="C598" s="10" t="str">
        <f>_xlfn.IFNA(VLOOKUP(B598,Phase4!A$4:C$1000,3,FALSE),"")</f>
        <v/>
      </c>
      <c r="D598" s="10" t="str">
        <f>_xlfn.IFNA(VLOOKUP($A598,CompChecksTrans!$A:$C,3,FALSE), "      ")</f>
        <v xml:space="preserve">      </v>
      </c>
    </row>
    <row r="599" spans="1:4" x14ac:dyDescent="0.25">
      <c r="A599" s="241" t="s">
        <v>7903</v>
      </c>
      <c r="B599" s="10" t="str">
        <f>_xlfn.IFNA(VLOOKUP($A599,CompChecksTrans!$A:$C,2,FALSE),"")</f>
        <v/>
      </c>
      <c r="C599" s="10" t="str">
        <f>_xlfn.IFNA(VLOOKUP(B599,Phase4!A$4:C$1000,3,FALSE),"")</f>
        <v/>
      </c>
      <c r="D599" s="10" t="str">
        <f>_xlfn.IFNA(VLOOKUP($A599,CompChecksTrans!$A:$C,3,FALSE), "      ")</f>
        <v xml:space="preserve">      </v>
      </c>
    </row>
    <row r="600" spans="1:4" x14ac:dyDescent="0.25">
      <c r="A600" s="241" t="s">
        <v>7904</v>
      </c>
      <c r="B600" s="10" t="str">
        <f>_xlfn.IFNA(VLOOKUP($A600,CompChecksTrans!$A:$C,2,FALSE),"")</f>
        <v/>
      </c>
      <c r="C600" s="10" t="str">
        <f>_xlfn.IFNA(VLOOKUP(B600,Phase4!A$4:C$1000,3,FALSE),"")</f>
        <v/>
      </c>
      <c r="D600" s="10" t="str">
        <f>_xlfn.IFNA(VLOOKUP($A600,CompChecksTrans!$A:$C,3,FALSE), "      ")</f>
        <v xml:space="preserve">      </v>
      </c>
    </row>
    <row r="601" spans="1:4" x14ac:dyDescent="0.25">
      <c r="A601" s="241" t="s">
        <v>7905</v>
      </c>
      <c r="B601" s="10" t="str">
        <f>_xlfn.IFNA(VLOOKUP($A601,CompChecksTrans!$A:$C,2,FALSE),"")</f>
        <v/>
      </c>
      <c r="C601" s="10" t="str">
        <f>_xlfn.IFNA(VLOOKUP(B601,Phase4!A$4:C$1000,3,FALSE),"")</f>
        <v/>
      </c>
      <c r="D601" s="10" t="str">
        <f>_xlfn.IFNA(VLOOKUP($A601,CompChecksTrans!$A:$C,3,FALSE), "      ")</f>
        <v xml:space="preserve">      </v>
      </c>
    </row>
    <row r="602" spans="1:4" x14ac:dyDescent="0.25">
      <c r="A602" s="241" t="s">
        <v>7906</v>
      </c>
      <c r="B602" s="10" t="str">
        <f>_xlfn.IFNA(VLOOKUP($A602,CompChecksTrans!$A:$C,2,FALSE),"")</f>
        <v/>
      </c>
      <c r="C602" s="10" t="str">
        <f>_xlfn.IFNA(VLOOKUP(B602,Phase4!A$4:C$1000,3,FALSE),"")</f>
        <v/>
      </c>
      <c r="D602" s="10" t="str">
        <f>_xlfn.IFNA(VLOOKUP($A602,CompChecksTrans!$A:$C,3,FALSE), "      ")</f>
        <v xml:space="preserve">      </v>
      </c>
    </row>
    <row r="603" spans="1:4" x14ac:dyDescent="0.25">
      <c r="A603" s="241" t="s">
        <v>7907</v>
      </c>
      <c r="B603" s="10" t="str">
        <f>_xlfn.IFNA(VLOOKUP($A603,CompChecksTrans!$A:$C,2,FALSE),"")</f>
        <v/>
      </c>
      <c r="C603" s="10" t="str">
        <f>_xlfn.IFNA(VLOOKUP(B603,Phase4!A$4:C$1000,3,FALSE),"")</f>
        <v/>
      </c>
      <c r="D603" s="10" t="str">
        <f>_xlfn.IFNA(VLOOKUP($A603,CompChecksTrans!$A:$C,3,FALSE), "      ")</f>
        <v xml:space="preserve">      </v>
      </c>
    </row>
    <row r="604" spans="1:4" x14ac:dyDescent="0.25">
      <c r="A604" s="241" t="s">
        <v>7908</v>
      </c>
      <c r="B604" s="10" t="str">
        <f>_xlfn.IFNA(VLOOKUP($A604,CompChecksTrans!$A:$C,2,FALSE),"")</f>
        <v/>
      </c>
      <c r="C604" s="10" t="str">
        <f>_xlfn.IFNA(VLOOKUP(B604,Phase4!A$4:C$1000,3,FALSE),"")</f>
        <v/>
      </c>
      <c r="D604" s="10" t="str">
        <f>_xlfn.IFNA(VLOOKUP($A604,CompChecksTrans!$A:$C,3,FALSE), "      ")</f>
        <v xml:space="preserve">      </v>
      </c>
    </row>
    <row r="605" spans="1:4" x14ac:dyDescent="0.25">
      <c r="A605" s="241" t="s">
        <v>7909</v>
      </c>
      <c r="B605" s="10" t="str">
        <f>_xlfn.IFNA(VLOOKUP($A605,CompChecksTrans!$A:$C,2,FALSE),"")</f>
        <v/>
      </c>
      <c r="C605" s="10" t="str">
        <f>_xlfn.IFNA(VLOOKUP(B605,Phase4!A$4:C$1000,3,FALSE),"")</f>
        <v/>
      </c>
      <c r="D605" s="10" t="str">
        <f>_xlfn.IFNA(VLOOKUP($A605,CompChecksTrans!$A:$C,3,FALSE), "      ")</f>
        <v xml:space="preserve">      </v>
      </c>
    </row>
    <row r="606" spans="1:4" x14ac:dyDescent="0.25">
      <c r="A606" s="241" t="s">
        <v>7910</v>
      </c>
      <c r="B606" s="10" t="str">
        <f>_xlfn.IFNA(VLOOKUP($A606,CompChecksTrans!$A:$C,2,FALSE),"")</f>
        <v/>
      </c>
      <c r="C606" s="10" t="str">
        <f>_xlfn.IFNA(VLOOKUP(B606,Phase4!A$4:C$1000,3,FALSE),"")</f>
        <v/>
      </c>
      <c r="D606" s="10" t="str">
        <f>_xlfn.IFNA(VLOOKUP($A606,CompChecksTrans!$A:$C,3,FALSE), "      ")</f>
        <v xml:space="preserve">      </v>
      </c>
    </row>
    <row r="607" spans="1:4" x14ac:dyDescent="0.25">
      <c r="A607" s="241" t="s">
        <v>7911</v>
      </c>
      <c r="B607" s="10" t="str">
        <f>_xlfn.IFNA(VLOOKUP($A607,CompChecksTrans!$A:$C,2,FALSE),"")</f>
        <v/>
      </c>
      <c r="C607" s="10" t="str">
        <f>_xlfn.IFNA(VLOOKUP(B607,Phase4!A$4:C$1000,3,FALSE),"")</f>
        <v/>
      </c>
      <c r="D607" s="10" t="str">
        <f>_xlfn.IFNA(VLOOKUP($A607,CompChecksTrans!$A:$C,3,FALSE), "      ")</f>
        <v xml:space="preserve">      </v>
      </c>
    </row>
    <row r="608" spans="1:4" x14ac:dyDescent="0.25">
      <c r="A608" s="241" t="s">
        <v>7912</v>
      </c>
      <c r="B608" s="10" t="str">
        <f>_xlfn.IFNA(VLOOKUP($A608,CompChecksTrans!$A:$C,2,FALSE),"")</f>
        <v/>
      </c>
      <c r="C608" s="10" t="str">
        <f>_xlfn.IFNA(VLOOKUP(B608,Phase4!A$4:C$1000,3,FALSE),"")</f>
        <v/>
      </c>
      <c r="D608" s="10" t="str">
        <f>_xlfn.IFNA(VLOOKUP($A608,CompChecksTrans!$A:$C,3,FALSE), "      ")</f>
        <v xml:space="preserve">      </v>
      </c>
    </row>
    <row r="609" spans="1:4" x14ac:dyDescent="0.25">
      <c r="A609" s="241" t="s">
        <v>7913</v>
      </c>
      <c r="B609" s="10" t="str">
        <f>_xlfn.IFNA(VLOOKUP($A609,CompChecksTrans!$A:$C,2,FALSE),"")</f>
        <v/>
      </c>
      <c r="C609" s="10" t="str">
        <f>_xlfn.IFNA(VLOOKUP(B609,Phase4!A$4:C$1000,3,FALSE),"")</f>
        <v/>
      </c>
      <c r="D609" s="10" t="str">
        <f>_xlfn.IFNA(VLOOKUP($A609,CompChecksTrans!$A:$C,3,FALSE), "      ")</f>
        <v xml:space="preserve">      </v>
      </c>
    </row>
    <row r="610" spans="1:4" x14ac:dyDescent="0.25">
      <c r="A610" s="241" t="s">
        <v>7914</v>
      </c>
      <c r="B610" s="10" t="str">
        <f>_xlfn.IFNA(VLOOKUP($A610,CompChecksTrans!$A:$C,2,FALSE),"")</f>
        <v/>
      </c>
      <c r="C610" s="10" t="str">
        <f>_xlfn.IFNA(VLOOKUP(B610,Phase4!A$4:C$1000,3,FALSE),"")</f>
        <v/>
      </c>
      <c r="D610" s="10" t="str">
        <f>_xlfn.IFNA(VLOOKUP($A610,CompChecksTrans!$A:$C,3,FALSE), "      ")</f>
        <v xml:space="preserve">      </v>
      </c>
    </row>
    <row r="611" spans="1:4" x14ac:dyDescent="0.25">
      <c r="A611" s="241" t="s">
        <v>7915</v>
      </c>
      <c r="B611" s="10" t="str">
        <f>_xlfn.IFNA(VLOOKUP($A611,CompChecksTrans!$A:$C,2,FALSE),"")</f>
        <v/>
      </c>
      <c r="C611" s="10" t="str">
        <f>_xlfn.IFNA(VLOOKUP(B611,Phase4!A$4:C$1000,3,FALSE),"")</f>
        <v/>
      </c>
      <c r="D611" s="10" t="str">
        <f>_xlfn.IFNA(VLOOKUP($A611,CompChecksTrans!$A:$C,3,FALSE), "      ")</f>
        <v xml:space="preserve">      </v>
      </c>
    </row>
    <row r="612" spans="1:4" x14ac:dyDescent="0.25">
      <c r="A612" s="241" t="s">
        <v>7916</v>
      </c>
      <c r="B612" s="10" t="str">
        <f>_xlfn.IFNA(VLOOKUP($A612,CompChecksTrans!$A:$C,2,FALSE),"")</f>
        <v/>
      </c>
      <c r="C612" s="10" t="str">
        <f>_xlfn.IFNA(VLOOKUP(B612,Phase4!A$4:C$1000,3,FALSE),"")</f>
        <v/>
      </c>
      <c r="D612" s="10" t="str">
        <f>_xlfn.IFNA(VLOOKUP($A612,CompChecksTrans!$A:$C,3,FALSE), "      ")</f>
        <v xml:space="preserve">      </v>
      </c>
    </row>
    <row r="613" spans="1:4" x14ac:dyDescent="0.25">
      <c r="A613" s="241" t="s">
        <v>7917</v>
      </c>
      <c r="B613" s="10" t="str">
        <f>_xlfn.IFNA(VLOOKUP($A613,CompChecksTrans!$A:$C,2,FALSE),"")</f>
        <v/>
      </c>
      <c r="C613" s="10" t="str">
        <f>_xlfn.IFNA(VLOOKUP(B613,Phase4!A$4:C$1000,3,FALSE),"")</f>
        <v/>
      </c>
      <c r="D613" s="10" t="str">
        <f>_xlfn.IFNA(VLOOKUP($A613,CompChecksTrans!$A:$C,3,FALSE), "      ")</f>
        <v xml:space="preserve">      </v>
      </c>
    </row>
    <row r="614" spans="1:4" x14ac:dyDescent="0.25">
      <c r="A614" s="241" t="s">
        <v>7918</v>
      </c>
      <c r="B614" s="10" t="str">
        <f>_xlfn.IFNA(VLOOKUP($A614,CompChecksTrans!$A:$C,2,FALSE),"")</f>
        <v/>
      </c>
      <c r="C614" s="10" t="str">
        <f>_xlfn.IFNA(VLOOKUP(B614,Phase4!A$4:C$1000,3,FALSE),"")</f>
        <v/>
      </c>
      <c r="D614" s="10" t="str">
        <f>_xlfn.IFNA(VLOOKUP($A614,CompChecksTrans!$A:$C,3,FALSE), "      ")</f>
        <v xml:space="preserve">      </v>
      </c>
    </row>
    <row r="615" spans="1:4" x14ac:dyDescent="0.25">
      <c r="A615" s="241" t="s">
        <v>7919</v>
      </c>
      <c r="B615" s="10" t="str">
        <f>_xlfn.IFNA(VLOOKUP($A615,CompChecksTrans!$A:$C,2,FALSE),"")</f>
        <v/>
      </c>
      <c r="C615" s="10" t="str">
        <f>_xlfn.IFNA(VLOOKUP(B615,Phase4!A$4:C$1000,3,FALSE),"")</f>
        <v/>
      </c>
      <c r="D615" s="10" t="str">
        <f>_xlfn.IFNA(VLOOKUP($A615,CompChecksTrans!$A:$C,3,FALSE), "      ")</f>
        <v xml:space="preserve">      </v>
      </c>
    </row>
    <row r="616" spans="1:4" x14ac:dyDescent="0.25">
      <c r="A616" s="241" t="s">
        <v>7920</v>
      </c>
      <c r="B616" s="10" t="str">
        <f>_xlfn.IFNA(VLOOKUP($A616,CompChecksTrans!$A:$C,2,FALSE),"")</f>
        <v/>
      </c>
      <c r="C616" s="10" t="str">
        <f>_xlfn.IFNA(VLOOKUP(B616,Phase4!A$4:C$1000,3,FALSE),"")</f>
        <v/>
      </c>
      <c r="D616" s="10" t="str">
        <f>_xlfn.IFNA(VLOOKUP($A616,CompChecksTrans!$A:$C,3,FALSE), "      ")</f>
        <v xml:space="preserve">      </v>
      </c>
    </row>
    <row r="617" spans="1:4" x14ac:dyDescent="0.25">
      <c r="A617" s="241" t="s">
        <v>7921</v>
      </c>
      <c r="B617" s="10" t="str">
        <f>_xlfn.IFNA(VLOOKUP($A617,CompChecksTrans!$A:$C,2,FALSE),"")</f>
        <v/>
      </c>
      <c r="C617" s="10" t="str">
        <f>_xlfn.IFNA(VLOOKUP(B617,Phase4!A$4:C$1000,3,FALSE),"")</f>
        <v/>
      </c>
      <c r="D617" s="10" t="str">
        <f>_xlfn.IFNA(VLOOKUP($A617,CompChecksTrans!$A:$C,3,FALSE), "      ")</f>
        <v xml:space="preserve">      </v>
      </c>
    </row>
    <row r="618" spans="1:4" x14ac:dyDescent="0.25">
      <c r="A618" s="241" t="s">
        <v>7922</v>
      </c>
      <c r="B618" s="10" t="str">
        <f>_xlfn.IFNA(VLOOKUP($A618,CompChecksTrans!$A:$C,2,FALSE),"")</f>
        <v/>
      </c>
      <c r="C618" s="10" t="str">
        <f>_xlfn.IFNA(VLOOKUP(B618,Phase4!A$4:C$1000,3,FALSE),"")</f>
        <v/>
      </c>
      <c r="D618" s="10" t="str">
        <f>_xlfn.IFNA(VLOOKUP($A618,CompChecksTrans!$A:$C,3,FALSE), "      ")</f>
        <v xml:space="preserve">      </v>
      </c>
    </row>
    <row r="619" spans="1:4" x14ac:dyDescent="0.25">
      <c r="A619" s="241" t="s">
        <v>7923</v>
      </c>
      <c r="B619" s="10" t="str">
        <f>_xlfn.IFNA(VLOOKUP($A619,CompChecksTrans!$A:$C,2,FALSE),"")</f>
        <v/>
      </c>
      <c r="C619" s="10" t="str">
        <f>_xlfn.IFNA(VLOOKUP(B619,Phase4!A$4:C$1000,3,FALSE),"")</f>
        <v/>
      </c>
      <c r="D619" s="10" t="str">
        <f>_xlfn.IFNA(VLOOKUP($A619,CompChecksTrans!$A:$C,3,FALSE), "      ")</f>
        <v xml:space="preserve">      </v>
      </c>
    </row>
    <row r="620" spans="1:4" x14ac:dyDescent="0.25">
      <c r="A620" s="241" t="s">
        <v>7924</v>
      </c>
      <c r="B620" s="10" t="str">
        <f>_xlfn.IFNA(VLOOKUP($A620,CompChecksTrans!$A:$C,2,FALSE),"")</f>
        <v/>
      </c>
      <c r="C620" s="10" t="str">
        <f>_xlfn.IFNA(VLOOKUP(B620,Phase4!A$4:C$1000,3,FALSE),"")</f>
        <v/>
      </c>
      <c r="D620" s="10" t="str">
        <f>_xlfn.IFNA(VLOOKUP($A620,CompChecksTrans!$A:$C,3,FALSE), "      ")</f>
        <v xml:space="preserve">      </v>
      </c>
    </row>
    <row r="621" spans="1:4" x14ac:dyDescent="0.25">
      <c r="A621" s="241" t="s">
        <v>7925</v>
      </c>
      <c r="B621" s="10" t="str">
        <f>_xlfn.IFNA(VLOOKUP($A621,CompChecksTrans!$A:$C,2,FALSE),"")</f>
        <v/>
      </c>
      <c r="C621" s="10" t="str">
        <f>_xlfn.IFNA(VLOOKUP(B621,Phase4!A$4:C$1000,3,FALSE),"")</f>
        <v/>
      </c>
      <c r="D621" s="10" t="str">
        <f>_xlfn.IFNA(VLOOKUP($A621,CompChecksTrans!$A:$C,3,FALSE), "      ")</f>
        <v xml:space="preserve">      </v>
      </c>
    </row>
    <row r="622" spans="1:4" x14ac:dyDescent="0.25">
      <c r="A622" s="241" t="s">
        <v>7926</v>
      </c>
      <c r="B622" s="10" t="str">
        <f>_xlfn.IFNA(VLOOKUP($A622,CompChecksTrans!$A:$C,2,FALSE),"")</f>
        <v/>
      </c>
      <c r="C622" s="10" t="str">
        <f>_xlfn.IFNA(VLOOKUP(B622,Phase4!A$4:C$1000,3,FALSE),"")</f>
        <v/>
      </c>
      <c r="D622" s="10" t="str">
        <f>_xlfn.IFNA(VLOOKUP($A622,CompChecksTrans!$A:$C,3,FALSE), "      ")</f>
        <v xml:space="preserve">      </v>
      </c>
    </row>
    <row r="623" spans="1:4" x14ac:dyDescent="0.25">
      <c r="A623" s="241" t="s">
        <v>7927</v>
      </c>
      <c r="B623" s="10" t="str">
        <f>_xlfn.IFNA(VLOOKUP($A623,CompChecksTrans!$A:$C,2,FALSE),"")</f>
        <v/>
      </c>
      <c r="C623" s="10" t="str">
        <f>_xlfn.IFNA(VLOOKUP(B623,Phase4!A$4:C$1000,3,FALSE),"")</f>
        <v/>
      </c>
      <c r="D623" s="10" t="str">
        <f>_xlfn.IFNA(VLOOKUP($A623,CompChecksTrans!$A:$C,3,FALSE), "      ")</f>
        <v xml:space="preserve">      </v>
      </c>
    </row>
    <row r="624" spans="1:4" x14ac:dyDescent="0.25">
      <c r="A624" s="241" t="s">
        <v>7928</v>
      </c>
      <c r="B624" s="10" t="str">
        <f>_xlfn.IFNA(VLOOKUP($A624,CompChecksTrans!$A:$C,2,FALSE),"")</f>
        <v/>
      </c>
      <c r="C624" s="10" t="str">
        <f>_xlfn.IFNA(VLOOKUP(B624,Phase4!A$4:C$1000,3,FALSE),"")</f>
        <v/>
      </c>
      <c r="D624" s="10" t="str">
        <f>_xlfn.IFNA(VLOOKUP($A624,CompChecksTrans!$A:$C,3,FALSE), "      ")</f>
        <v xml:space="preserve">      </v>
      </c>
    </row>
    <row r="625" spans="1:4" x14ac:dyDescent="0.25">
      <c r="A625" s="241" t="s">
        <v>7929</v>
      </c>
      <c r="B625" s="10" t="str">
        <f>_xlfn.IFNA(VLOOKUP($A625,CompChecksTrans!$A:$C,2,FALSE),"")</f>
        <v/>
      </c>
      <c r="C625" s="10" t="str">
        <f>_xlfn.IFNA(VLOOKUP(B625,Phase4!A$4:C$1000,3,FALSE),"")</f>
        <v/>
      </c>
      <c r="D625" s="10" t="str">
        <f>_xlfn.IFNA(VLOOKUP($A625,CompChecksTrans!$A:$C,3,FALSE), "      ")</f>
        <v xml:space="preserve">      </v>
      </c>
    </row>
    <row r="626" spans="1:4" x14ac:dyDescent="0.25">
      <c r="A626" s="241" t="s">
        <v>7930</v>
      </c>
      <c r="B626" s="10" t="str">
        <f>_xlfn.IFNA(VLOOKUP($A626,CompChecksTrans!$A:$C,2,FALSE),"")</f>
        <v/>
      </c>
      <c r="C626" s="10" t="str">
        <f>_xlfn.IFNA(VLOOKUP(B626,Phase4!A$4:C$1000,3,FALSE),"")</f>
        <v/>
      </c>
      <c r="D626" s="10" t="str">
        <f>_xlfn.IFNA(VLOOKUP($A626,CompChecksTrans!$A:$C,3,FALSE), "      ")</f>
        <v xml:space="preserve">      </v>
      </c>
    </row>
    <row r="627" spans="1:4" x14ac:dyDescent="0.25">
      <c r="A627" s="241" t="s">
        <v>7931</v>
      </c>
      <c r="B627" s="10" t="str">
        <f>_xlfn.IFNA(VLOOKUP($A627,CompChecksTrans!$A:$C,2,FALSE),"")</f>
        <v/>
      </c>
      <c r="C627" s="10" t="str">
        <f>_xlfn.IFNA(VLOOKUP(B627,Phase4!A$4:C$1000,3,FALSE),"")</f>
        <v/>
      </c>
      <c r="D627" s="10" t="str">
        <f>_xlfn.IFNA(VLOOKUP($A627,CompChecksTrans!$A:$C,3,FALSE), "      ")</f>
        <v xml:space="preserve">      </v>
      </c>
    </row>
    <row r="628" spans="1:4" x14ac:dyDescent="0.25">
      <c r="A628" s="241" t="s">
        <v>7932</v>
      </c>
      <c r="B628" s="10" t="str">
        <f>_xlfn.IFNA(VLOOKUP($A628,CompChecksTrans!$A:$C,2,FALSE),"")</f>
        <v/>
      </c>
      <c r="C628" s="10" t="str">
        <f>_xlfn.IFNA(VLOOKUP(B628,Phase4!A$4:C$1000,3,FALSE),"")</f>
        <v/>
      </c>
      <c r="D628" s="10" t="str">
        <f>_xlfn.IFNA(VLOOKUP($A628,CompChecksTrans!$A:$C,3,FALSE), "      ")</f>
        <v xml:space="preserve">      </v>
      </c>
    </row>
    <row r="629" spans="1:4" x14ac:dyDescent="0.25">
      <c r="A629" s="241" t="s">
        <v>7933</v>
      </c>
      <c r="B629" s="10" t="str">
        <f>_xlfn.IFNA(VLOOKUP($A629,CompChecksTrans!$A:$C,2,FALSE),"")</f>
        <v/>
      </c>
      <c r="C629" s="10" t="str">
        <f>_xlfn.IFNA(VLOOKUP(B629,Phase4!A$4:C$1000,3,FALSE),"")</f>
        <v/>
      </c>
      <c r="D629" s="10" t="str">
        <f>_xlfn.IFNA(VLOOKUP($A629,CompChecksTrans!$A:$C,3,FALSE), "      ")</f>
        <v xml:space="preserve">      </v>
      </c>
    </row>
    <row r="630" spans="1:4" x14ac:dyDescent="0.25">
      <c r="A630" s="241" t="s">
        <v>7934</v>
      </c>
      <c r="B630" s="10" t="str">
        <f>_xlfn.IFNA(VLOOKUP($A630,CompChecksTrans!$A:$C,2,FALSE),"")</f>
        <v/>
      </c>
      <c r="C630" s="10" t="str">
        <f>_xlfn.IFNA(VLOOKUP(B630,Phase4!A$4:C$1000,3,FALSE),"")</f>
        <v/>
      </c>
      <c r="D630" s="10" t="str">
        <f>_xlfn.IFNA(VLOOKUP($A630,CompChecksTrans!$A:$C,3,FALSE), "      ")</f>
        <v xml:space="preserve">      </v>
      </c>
    </row>
    <row r="631" spans="1:4" x14ac:dyDescent="0.25">
      <c r="A631" s="241" t="s">
        <v>7935</v>
      </c>
      <c r="B631" s="10" t="str">
        <f>_xlfn.IFNA(VLOOKUP($A631,CompChecksTrans!$A:$C,2,FALSE),"")</f>
        <v/>
      </c>
      <c r="C631" s="10" t="str">
        <f>_xlfn.IFNA(VLOOKUP(B631,Phase4!A$4:C$1000,3,FALSE),"")</f>
        <v/>
      </c>
      <c r="D631" s="10" t="str">
        <f>_xlfn.IFNA(VLOOKUP($A631,CompChecksTrans!$A:$C,3,FALSE), "      ")</f>
        <v xml:space="preserve">      </v>
      </c>
    </row>
    <row r="632" spans="1:4" x14ac:dyDescent="0.25">
      <c r="A632" s="241" t="s">
        <v>7936</v>
      </c>
      <c r="B632" s="10" t="str">
        <f>_xlfn.IFNA(VLOOKUP($A632,CompChecksTrans!$A:$C,2,FALSE),"")</f>
        <v/>
      </c>
      <c r="C632" s="10" t="str">
        <f>_xlfn.IFNA(VLOOKUP(B632,Phase4!A$4:C$1000,3,FALSE),"")</f>
        <v/>
      </c>
      <c r="D632" s="10" t="str">
        <f>_xlfn.IFNA(VLOOKUP($A632,CompChecksTrans!$A:$C,3,FALSE), "      ")</f>
        <v xml:space="preserve">      </v>
      </c>
    </row>
    <row r="633" spans="1:4" x14ac:dyDescent="0.25">
      <c r="A633" s="241" t="s">
        <v>7937</v>
      </c>
      <c r="B633" s="10" t="str">
        <f>_xlfn.IFNA(VLOOKUP($A633,CompChecksTrans!$A:$C,2,FALSE),"")</f>
        <v/>
      </c>
      <c r="C633" s="10" t="str">
        <f>_xlfn.IFNA(VLOOKUP(B633,Phase4!A$4:C$1000,3,FALSE),"")</f>
        <v/>
      </c>
      <c r="D633" s="10" t="str">
        <f>_xlfn.IFNA(VLOOKUP($A633,CompChecksTrans!$A:$C,3,FALSE), "      ")</f>
        <v xml:space="preserve">      </v>
      </c>
    </row>
    <row r="634" spans="1:4" x14ac:dyDescent="0.25">
      <c r="A634" s="241" t="s">
        <v>7938</v>
      </c>
      <c r="B634" s="10" t="str">
        <f>_xlfn.IFNA(VLOOKUP($A634,CompChecksTrans!$A:$C,2,FALSE),"")</f>
        <v/>
      </c>
      <c r="C634" s="10" t="str">
        <f>_xlfn.IFNA(VLOOKUP(B634,Phase4!A$4:C$1000,3,FALSE),"")</f>
        <v/>
      </c>
      <c r="D634" s="10" t="str">
        <f>_xlfn.IFNA(VLOOKUP($A634,CompChecksTrans!$A:$C,3,FALSE), "      ")</f>
        <v xml:space="preserve">      </v>
      </c>
    </row>
    <row r="635" spans="1:4" x14ac:dyDescent="0.25">
      <c r="A635" s="241" t="s">
        <v>7939</v>
      </c>
      <c r="B635" s="10" t="str">
        <f>_xlfn.IFNA(VLOOKUP($A635,CompChecksTrans!$A:$C,2,FALSE),"")</f>
        <v/>
      </c>
      <c r="C635" s="10" t="str">
        <f>_xlfn.IFNA(VLOOKUP(B635,Phase4!A$4:C$1000,3,FALSE),"")</f>
        <v/>
      </c>
      <c r="D635" s="10" t="str">
        <f>_xlfn.IFNA(VLOOKUP($A635,CompChecksTrans!$A:$C,3,FALSE), "      ")</f>
        <v xml:space="preserve">      </v>
      </c>
    </row>
    <row r="636" spans="1:4" x14ac:dyDescent="0.25">
      <c r="A636" s="241" t="s">
        <v>7940</v>
      </c>
      <c r="B636" s="10" t="str">
        <f>_xlfn.IFNA(VLOOKUP($A636,CompChecksTrans!$A:$C,2,FALSE),"")</f>
        <v/>
      </c>
      <c r="C636" s="10" t="str">
        <f>_xlfn.IFNA(VLOOKUP(B636,Phase4!A$4:C$1000,3,FALSE),"")</f>
        <v/>
      </c>
      <c r="D636" s="10" t="str">
        <f>_xlfn.IFNA(VLOOKUP($A636,CompChecksTrans!$A:$C,3,FALSE), "      ")</f>
        <v xml:space="preserve">      </v>
      </c>
    </row>
    <row r="637" spans="1:4" x14ac:dyDescent="0.25">
      <c r="A637" s="241" t="s">
        <v>7941</v>
      </c>
      <c r="B637" s="10" t="str">
        <f>_xlfn.IFNA(VLOOKUP($A637,CompChecksTrans!$A:$C,2,FALSE),"")</f>
        <v/>
      </c>
      <c r="C637" s="10" t="str">
        <f>_xlfn.IFNA(VLOOKUP(B637,Phase4!A$4:C$1000,3,FALSE),"")</f>
        <v/>
      </c>
      <c r="D637" s="10" t="str">
        <f>_xlfn.IFNA(VLOOKUP($A637,CompChecksTrans!$A:$C,3,FALSE), "      ")</f>
        <v xml:space="preserve">      </v>
      </c>
    </row>
    <row r="638" spans="1:4" x14ac:dyDescent="0.25">
      <c r="A638" s="241" t="s">
        <v>7942</v>
      </c>
      <c r="B638" s="10" t="str">
        <f>_xlfn.IFNA(VLOOKUP($A638,CompChecksTrans!$A:$C,2,FALSE),"")</f>
        <v/>
      </c>
      <c r="C638" s="10" t="str">
        <f>_xlfn.IFNA(VLOOKUP(B638,Phase4!A$4:C$1000,3,FALSE),"")</f>
        <v/>
      </c>
      <c r="D638" s="10" t="str">
        <f>_xlfn.IFNA(VLOOKUP($A638,CompChecksTrans!$A:$C,3,FALSE), "      ")</f>
        <v xml:space="preserve">      </v>
      </c>
    </row>
    <row r="639" spans="1:4" x14ac:dyDescent="0.25">
      <c r="A639" s="241" t="s">
        <v>7943</v>
      </c>
      <c r="B639" s="10" t="str">
        <f>_xlfn.IFNA(VLOOKUP($A639,CompChecksTrans!$A:$C,2,FALSE),"")</f>
        <v/>
      </c>
      <c r="C639" s="10" t="str">
        <f>_xlfn.IFNA(VLOOKUP(B639,Phase4!A$4:C$1000,3,FALSE),"")</f>
        <v/>
      </c>
      <c r="D639" s="10" t="str">
        <f>_xlfn.IFNA(VLOOKUP($A639,CompChecksTrans!$A:$C,3,FALSE), "      ")</f>
        <v xml:space="preserve">      </v>
      </c>
    </row>
    <row r="640" spans="1:4" x14ac:dyDescent="0.25">
      <c r="A640" s="241" t="s">
        <v>7944</v>
      </c>
      <c r="B640" s="10" t="str">
        <f>_xlfn.IFNA(VLOOKUP($A640,CompChecksTrans!$A:$C,2,FALSE),"")</f>
        <v/>
      </c>
      <c r="C640" s="10" t="str">
        <f>_xlfn.IFNA(VLOOKUP(B640,Phase4!A$4:C$1000,3,FALSE),"")</f>
        <v/>
      </c>
      <c r="D640" s="10" t="str">
        <f>_xlfn.IFNA(VLOOKUP($A640,CompChecksTrans!$A:$C,3,FALSE), "      ")</f>
        <v xml:space="preserve">      </v>
      </c>
    </row>
    <row r="641" spans="1:4" x14ac:dyDescent="0.25">
      <c r="A641" s="241" t="s">
        <v>7945</v>
      </c>
      <c r="B641" s="10" t="str">
        <f>_xlfn.IFNA(VLOOKUP($A641,CompChecksTrans!$A:$C,2,FALSE),"")</f>
        <v/>
      </c>
      <c r="C641" s="10" t="str">
        <f>_xlfn.IFNA(VLOOKUP(B641,Phase4!A$4:C$1000,3,FALSE),"")</f>
        <v/>
      </c>
      <c r="D641" s="10" t="str">
        <f>_xlfn.IFNA(VLOOKUP($A641,CompChecksTrans!$A:$C,3,FALSE), "      ")</f>
        <v xml:space="preserve">      </v>
      </c>
    </row>
    <row r="642" spans="1:4" x14ac:dyDescent="0.25">
      <c r="A642" s="241" t="s">
        <v>7946</v>
      </c>
      <c r="B642" s="10" t="str">
        <f>_xlfn.IFNA(VLOOKUP($A642,CompChecksTrans!$A:$C,2,FALSE),"")</f>
        <v/>
      </c>
      <c r="C642" s="10" t="str">
        <f>_xlfn.IFNA(VLOOKUP(B642,Phase4!A$4:C$1000,3,FALSE),"")</f>
        <v/>
      </c>
      <c r="D642" s="10" t="str">
        <f>_xlfn.IFNA(VLOOKUP($A642,CompChecksTrans!$A:$C,3,FALSE), "      ")</f>
        <v xml:space="preserve">      </v>
      </c>
    </row>
    <row r="643" spans="1:4" x14ac:dyDescent="0.25">
      <c r="A643" s="241" t="s">
        <v>7947</v>
      </c>
      <c r="B643" s="10" t="str">
        <f>_xlfn.IFNA(VLOOKUP($A643,CompChecksTrans!$A:$C,2,FALSE),"")</f>
        <v/>
      </c>
      <c r="C643" s="10" t="str">
        <f>_xlfn.IFNA(VLOOKUP(B643,Phase4!A$4:C$1000,3,FALSE),"")</f>
        <v/>
      </c>
      <c r="D643" s="10" t="str">
        <f>_xlfn.IFNA(VLOOKUP($A643,CompChecksTrans!$A:$C,3,FALSE), "      ")</f>
        <v xml:space="preserve">      </v>
      </c>
    </row>
    <row r="644" spans="1:4" x14ac:dyDescent="0.25">
      <c r="A644" s="241" t="s">
        <v>7948</v>
      </c>
      <c r="B644" s="10" t="str">
        <f>_xlfn.IFNA(VLOOKUP($A644,CompChecksTrans!$A:$C,2,FALSE),"")</f>
        <v/>
      </c>
      <c r="C644" s="10" t="str">
        <f>_xlfn.IFNA(VLOOKUP(B644,Phase4!A$4:C$1000,3,FALSE),"")</f>
        <v/>
      </c>
      <c r="D644" s="10" t="str">
        <f>_xlfn.IFNA(VLOOKUP($A644,CompChecksTrans!$A:$C,3,FALSE), "      ")</f>
        <v xml:space="preserve">      </v>
      </c>
    </row>
    <row r="645" spans="1:4" x14ac:dyDescent="0.25">
      <c r="A645" s="241" t="s">
        <v>7949</v>
      </c>
      <c r="B645" s="10" t="str">
        <f>_xlfn.IFNA(VLOOKUP($A645,CompChecksTrans!$A:$C,2,FALSE),"")</f>
        <v/>
      </c>
      <c r="C645" s="10" t="str">
        <f>_xlfn.IFNA(VLOOKUP(B645,Phase4!A$4:C$1000,3,FALSE),"")</f>
        <v/>
      </c>
      <c r="D645" s="10" t="str">
        <f>_xlfn.IFNA(VLOOKUP($A645,CompChecksTrans!$A:$C,3,FALSE), "      ")</f>
        <v xml:space="preserve">      </v>
      </c>
    </row>
    <row r="646" spans="1:4" x14ac:dyDescent="0.25">
      <c r="A646" s="241" t="s">
        <v>7950</v>
      </c>
      <c r="B646" s="10" t="str">
        <f>_xlfn.IFNA(VLOOKUP($A646,CompChecksTrans!$A:$C,2,FALSE),"")</f>
        <v/>
      </c>
      <c r="C646" s="10" t="str">
        <f>_xlfn.IFNA(VLOOKUP(B646,Phase4!A$4:C$1000,3,FALSE),"")</f>
        <v/>
      </c>
      <c r="D646" s="10" t="str">
        <f>_xlfn.IFNA(VLOOKUP($A646,CompChecksTrans!$A:$C,3,FALSE), "      ")</f>
        <v xml:space="preserve">      </v>
      </c>
    </row>
    <row r="647" spans="1:4" x14ac:dyDescent="0.25">
      <c r="A647" s="241" t="s">
        <v>7951</v>
      </c>
      <c r="B647" s="10" t="str">
        <f>_xlfn.IFNA(VLOOKUP($A647,CompChecksTrans!$A:$C,2,FALSE),"")</f>
        <v/>
      </c>
      <c r="C647" s="10" t="str">
        <f>_xlfn.IFNA(VLOOKUP(B647,Phase4!A$4:C$1000,3,FALSE),"")</f>
        <v/>
      </c>
      <c r="D647" s="10" t="str">
        <f>_xlfn.IFNA(VLOOKUP($A647,CompChecksTrans!$A:$C,3,FALSE), "      ")</f>
        <v xml:space="preserve">      </v>
      </c>
    </row>
    <row r="648" spans="1:4" x14ac:dyDescent="0.25">
      <c r="A648" s="241" t="s">
        <v>7952</v>
      </c>
      <c r="B648" s="10" t="str">
        <f>_xlfn.IFNA(VLOOKUP($A648,CompChecksTrans!$A:$C,2,FALSE),"")</f>
        <v/>
      </c>
      <c r="C648" s="10" t="str">
        <f>_xlfn.IFNA(VLOOKUP(B648,Phase4!A$4:C$1000,3,FALSE),"")</f>
        <v/>
      </c>
      <c r="D648" s="10" t="str">
        <f>_xlfn.IFNA(VLOOKUP($A648,CompChecksTrans!$A:$C,3,FALSE), "      ")</f>
        <v xml:space="preserve">      </v>
      </c>
    </row>
    <row r="649" spans="1:4" x14ac:dyDescent="0.25">
      <c r="A649" s="241" t="s">
        <v>7953</v>
      </c>
      <c r="B649" s="10" t="str">
        <f>_xlfn.IFNA(VLOOKUP($A649,CompChecksTrans!$A:$C,2,FALSE),"")</f>
        <v/>
      </c>
      <c r="C649" s="10" t="str">
        <f>_xlfn.IFNA(VLOOKUP(B649,Phase4!A$4:C$1000,3,FALSE),"")</f>
        <v/>
      </c>
      <c r="D649" s="10" t="str">
        <f>_xlfn.IFNA(VLOOKUP($A649,CompChecksTrans!$A:$C,3,FALSE), "      ")</f>
        <v xml:space="preserve">      </v>
      </c>
    </row>
    <row r="650" spans="1:4" x14ac:dyDescent="0.25">
      <c r="A650" s="241" t="s">
        <v>7954</v>
      </c>
      <c r="B650" s="10" t="str">
        <f>_xlfn.IFNA(VLOOKUP($A650,CompChecksTrans!$A:$C,2,FALSE),"")</f>
        <v/>
      </c>
      <c r="C650" s="10" t="str">
        <f>_xlfn.IFNA(VLOOKUP(B650,Phase4!A$4:C$1000,3,FALSE),"")</f>
        <v/>
      </c>
      <c r="D650" s="10" t="str">
        <f>_xlfn.IFNA(VLOOKUP($A650,CompChecksTrans!$A:$C,3,FALSE), "      ")</f>
        <v xml:space="preserve">      </v>
      </c>
    </row>
    <row r="651" spans="1:4" x14ac:dyDescent="0.25">
      <c r="A651" s="241" t="s">
        <v>7955</v>
      </c>
      <c r="B651" s="10" t="str">
        <f>_xlfn.IFNA(VLOOKUP($A651,CompChecksTrans!$A:$C,2,FALSE),"")</f>
        <v/>
      </c>
      <c r="C651" s="10" t="str">
        <f>_xlfn.IFNA(VLOOKUP(B651,Phase4!A$4:C$1000,3,FALSE),"")</f>
        <v/>
      </c>
      <c r="D651" s="10" t="str">
        <f>_xlfn.IFNA(VLOOKUP($A651,CompChecksTrans!$A:$C,3,FALSE), "      ")</f>
        <v xml:space="preserve">      </v>
      </c>
    </row>
    <row r="652" spans="1:4" x14ac:dyDescent="0.25">
      <c r="A652" s="241" t="s">
        <v>7956</v>
      </c>
      <c r="B652" s="10" t="str">
        <f>_xlfn.IFNA(VLOOKUP($A652,CompChecksTrans!$A:$C,2,FALSE),"")</f>
        <v/>
      </c>
      <c r="C652" s="10" t="str">
        <f>_xlfn.IFNA(VLOOKUP(B652,Phase4!A$4:C$1000,3,FALSE),"")</f>
        <v/>
      </c>
      <c r="D652" s="10" t="str">
        <f>_xlfn.IFNA(VLOOKUP($A652,CompChecksTrans!$A:$C,3,FALSE), "      ")</f>
        <v xml:space="preserve">      </v>
      </c>
    </row>
    <row r="653" spans="1:4" x14ac:dyDescent="0.25">
      <c r="A653" s="241" t="s">
        <v>7957</v>
      </c>
      <c r="B653" s="10" t="str">
        <f>_xlfn.IFNA(VLOOKUP($A653,CompChecksTrans!$A:$C,2,FALSE),"")</f>
        <v/>
      </c>
      <c r="C653" s="10" t="str">
        <f>_xlfn.IFNA(VLOOKUP(B653,Phase4!A$4:C$1000,3,FALSE),"")</f>
        <v/>
      </c>
      <c r="D653" s="10" t="str">
        <f>_xlfn.IFNA(VLOOKUP($A653,CompChecksTrans!$A:$C,3,FALSE), "      ")</f>
        <v xml:space="preserve">      </v>
      </c>
    </row>
    <row r="654" spans="1:4" x14ac:dyDescent="0.25">
      <c r="A654" s="241" t="s">
        <v>7958</v>
      </c>
      <c r="B654" s="10" t="str">
        <f>_xlfn.IFNA(VLOOKUP($A654,CompChecksTrans!$A:$C,2,FALSE),"")</f>
        <v/>
      </c>
      <c r="C654" s="10" t="str">
        <f>_xlfn.IFNA(VLOOKUP(B654,Phase4!A$4:C$1000,3,FALSE),"")</f>
        <v/>
      </c>
      <c r="D654" s="10" t="str">
        <f>_xlfn.IFNA(VLOOKUP($A654,CompChecksTrans!$A:$C,3,FALSE), "      ")</f>
        <v xml:space="preserve">      </v>
      </c>
    </row>
    <row r="655" spans="1:4" x14ac:dyDescent="0.25">
      <c r="A655" s="241" t="s">
        <v>7959</v>
      </c>
      <c r="B655" s="10" t="str">
        <f>_xlfn.IFNA(VLOOKUP($A655,CompChecksTrans!$A:$C,2,FALSE),"")</f>
        <v/>
      </c>
      <c r="C655" s="10" t="str">
        <f>_xlfn.IFNA(VLOOKUP(B655,Phase4!A$4:C$1000,3,FALSE),"")</f>
        <v/>
      </c>
      <c r="D655" s="10" t="str">
        <f>_xlfn.IFNA(VLOOKUP($A655,CompChecksTrans!$A:$C,3,FALSE), "      ")</f>
        <v xml:space="preserve">      </v>
      </c>
    </row>
    <row r="656" spans="1:4" x14ac:dyDescent="0.25">
      <c r="A656" s="241" t="s">
        <v>7960</v>
      </c>
      <c r="B656" s="10" t="str">
        <f>_xlfn.IFNA(VLOOKUP($A656,CompChecksTrans!$A:$C,2,FALSE),"")</f>
        <v/>
      </c>
      <c r="C656" s="10" t="str">
        <f>_xlfn.IFNA(VLOOKUP(B656,Phase4!A$4:C$1000,3,FALSE),"")</f>
        <v/>
      </c>
      <c r="D656" s="10" t="str">
        <f>_xlfn.IFNA(VLOOKUP($A656,CompChecksTrans!$A:$C,3,FALSE), "      ")</f>
        <v xml:space="preserve">      </v>
      </c>
    </row>
    <row r="657" spans="1:4" x14ac:dyDescent="0.25">
      <c r="A657" s="241" t="s">
        <v>7961</v>
      </c>
      <c r="B657" s="10" t="str">
        <f>_xlfn.IFNA(VLOOKUP($A657,CompChecksTrans!$A:$C,2,FALSE),"")</f>
        <v/>
      </c>
      <c r="C657" s="10" t="str">
        <f>_xlfn.IFNA(VLOOKUP(B657,Phase4!A$4:C$1000,3,FALSE),"")</f>
        <v/>
      </c>
      <c r="D657" s="10" t="str">
        <f>_xlfn.IFNA(VLOOKUP($A657,CompChecksTrans!$A:$C,3,FALSE), "      ")</f>
        <v xml:space="preserve">      </v>
      </c>
    </row>
    <row r="658" spans="1:4" x14ac:dyDescent="0.25">
      <c r="A658" s="241" t="s">
        <v>7962</v>
      </c>
      <c r="B658" s="10" t="str">
        <f>_xlfn.IFNA(VLOOKUP($A658,CompChecksTrans!$A:$C,2,FALSE),"")</f>
        <v/>
      </c>
      <c r="C658" s="10" t="str">
        <f>_xlfn.IFNA(VLOOKUP(B658,Phase4!A$4:C$1000,3,FALSE),"")</f>
        <v/>
      </c>
      <c r="D658" s="10" t="str">
        <f>_xlfn.IFNA(VLOOKUP($A658,CompChecksTrans!$A:$C,3,FALSE), "      ")</f>
        <v xml:space="preserve">      </v>
      </c>
    </row>
    <row r="659" spans="1:4" x14ac:dyDescent="0.25">
      <c r="A659" s="241" t="s">
        <v>7963</v>
      </c>
      <c r="B659" s="10" t="str">
        <f>_xlfn.IFNA(VLOOKUP($A659,CompChecksTrans!$A:$C,2,FALSE),"")</f>
        <v/>
      </c>
      <c r="C659" s="10" t="str">
        <f>_xlfn.IFNA(VLOOKUP(B659,Phase4!A$4:C$1000,3,FALSE),"")</f>
        <v/>
      </c>
      <c r="D659" s="10" t="str">
        <f>_xlfn.IFNA(VLOOKUP($A659,CompChecksTrans!$A:$C,3,FALSE), "      ")</f>
        <v xml:space="preserve">      </v>
      </c>
    </row>
    <row r="660" spans="1:4" x14ac:dyDescent="0.25">
      <c r="A660" s="241" t="s">
        <v>7964</v>
      </c>
      <c r="B660" s="10" t="str">
        <f>_xlfn.IFNA(VLOOKUP($A660,CompChecksTrans!$A:$C,2,FALSE),"")</f>
        <v/>
      </c>
      <c r="C660" s="10" t="str">
        <f>_xlfn.IFNA(VLOOKUP(B660,Phase4!A$4:C$1000,3,FALSE),"")</f>
        <v/>
      </c>
      <c r="D660" s="10" t="str">
        <f>_xlfn.IFNA(VLOOKUP($A660,CompChecksTrans!$A:$C,3,FALSE), "      ")</f>
        <v xml:space="preserve">      </v>
      </c>
    </row>
    <row r="661" spans="1:4" x14ac:dyDescent="0.25">
      <c r="A661" s="241" t="s">
        <v>7965</v>
      </c>
      <c r="B661" s="10" t="str">
        <f>_xlfn.IFNA(VLOOKUP($A661,CompChecksTrans!$A:$C,2,FALSE),"")</f>
        <v/>
      </c>
      <c r="C661" s="10" t="str">
        <f>_xlfn.IFNA(VLOOKUP(B661,Phase4!A$4:C$1000,3,FALSE),"")</f>
        <v/>
      </c>
      <c r="D661" s="10" t="str">
        <f>_xlfn.IFNA(VLOOKUP($A661,CompChecksTrans!$A:$C,3,FALSE), "      ")</f>
        <v xml:space="preserve">      </v>
      </c>
    </row>
    <row r="662" spans="1:4" x14ac:dyDescent="0.25">
      <c r="A662" s="241" t="s">
        <v>7966</v>
      </c>
      <c r="B662" s="10" t="str">
        <f>_xlfn.IFNA(VLOOKUP($A662,CompChecksTrans!$A:$C,2,FALSE),"")</f>
        <v/>
      </c>
      <c r="C662" s="10" t="str">
        <f>_xlfn.IFNA(VLOOKUP(B662,Phase4!A$4:C$1000,3,FALSE),"")</f>
        <v/>
      </c>
      <c r="D662" s="10" t="str">
        <f>_xlfn.IFNA(VLOOKUP($A662,CompChecksTrans!$A:$C,3,FALSE), "      ")</f>
        <v xml:space="preserve">      </v>
      </c>
    </row>
    <row r="663" spans="1:4" x14ac:dyDescent="0.25">
      <c r="A663" s="241" t="s">
        <v>7967</v>
      </c>
      <c r="B663" s="10" t="str">
        <f>_xlfn.IFNA(VLOOKUP($A663,CompChecksTrans!$A:$C,2,FALSE),"")</f>
        <v/>
      </c>
      <c r="C663" s="10" t="str">
        <f>_xlfn.IFNA(VLOOKUP(B663,Phase4!A$4:C$1000,3,FALSE),"")</f>
        <v/>
      </c>
      <c r="D663" s="10" t="str">
        <f>_xlfn.IFNA(VLOOKUP($A663,CompChecksTrans!$A:$C,3,FALSE), "      ")</f>
        <v xml:space="preserve">      </v>
      </c>
    </row>
    <row r="664" spans="1:4" x14ac:dyDescent="0.25">
      <c r="A664" s="241" t="s">
        <v>7968</v>
      </c>
      <c r="B664" s="10" t="str">
        <f>_xlfn.IFNA(VLOOKUP($A664,CompChecksTrans!$A:$C,2,FALSE),"")</f>
        <v/>
      </c>
      <c r="C664" s="10" t="str">
        <f>_xlfn.IFNA(VLOOKUP(B664,Phase4!A$4:C$1000,3,FALSE),"")</f>
        <v/>
      </c>
      <c r="D664" s="10" t="str">
        <f>_xlfn.IFNA(VLOOKUP($A664,CompChecksTrans!$A:$C,3,FALSE), "      ")</f>
        <v xml:space="preserve">      </v>
      </c>
    </row>
    <row r="665" spans="1:4" x14ac:dyDescent="0.25">
      <c r="A665" s="241" t="s">
        <v>7969</v>
      </c>
      <c r="B665" s="10" t="str">
        <f>_xlfn.IFNA(VLOOKUP($A665,CompChecksTrans!$A:$C,2,FALSE),"")</f>
        <v/>
      </c>
      <c r="C665" s="10" t="str">
        <f>_xlfn.IFNA(VLOOKUP(B665,Phase4!A$4:C$1000,3,FALSE),"")</f>
        <v/>
      </c>
      <c r="D665" s="10" t="str">
        <f>_xlfn.IFNA(VLOOKUP($A665,CompChecksTrans!$A:$C,3,FALSE), "      ")</f>
        <v xml:space="preserve">      </v>
      </c>
    </row>
    <row r="666" spans="1:4" x14ac:dyDescent="0.25">
      <c r="A666" s="241" t="s">
        <v>7970</v>
      </c>
      <c r="B666" s="10" t="str">
        <f>_xlfn.IFNA(VLOOKUP($A666,CompChecksTrans!$A:$C,2,FALSE),"")</f>
        <v/>
      </c>
      <c r="C666" s="10" t="str">
        <f>_xlfn.IFNA(VLOOKUP(B666,Phase4!A$4:C$1000,3,FALSE),"")</f>
        <v/>
      </c>
      <c r="D666" s="10" t="str">
        <f>_xlfn.IFNA(VLOOKUP($A666,CompChecksTrans!$A:$C,3,FALSE), "      ")</f>
        <v xml:space="preserve">      </v>
      </c>
    </row>
    <row r="667" spans="1:4" x14ac:dyDescent="0.25">
      <c r="A667" s="241" t="s">
        <v>7971</v>
      </c>
      <c r="B667" s="10" t="str">
        <f>_xlfn.IFNA(VLOOKUP($A667,CompChecksTrans!$A:$C,2,FALSE),"")</f>
        <v/>
      </c>
      <c r="C667" s="10" t="str">
        <f>_xlfn.IFNA(VLOOKUP(B667,Phase4!A$4:C$1000,3,FALSE),"")</f>
        <v/>
      </c>
      <c r="D667" s="10" t="str">
        <f>_xlfn.IFNA(VLOOKUP($A667,CompChecksTrans!$A:$C,3,FALSE), "      ")</f>
        <v xml:space="preserve">      </v>
      </c>
    </row>
    <row r="668" spans="1:4" x14ac:dyDescent="0.25">
      <c r="A668" s="241" t="s">
        <v>7972</v>
      </c>
      <c r="B668" s="10" t="str">
        <f>_xlfn.IFNA(VLOOKUP($A668,CompChecksTrans!$A:$C,2,FALSE),"")</f>
        <v/>
      </c>
      <c r="C668" s="10" t="str">
        <f>_xlfn.IFNA(VLOOKUP(B668,Phase4!A$4:C$1000,3,FALSE),"")</f>
        <v/>
      </c>
      <c r="D668" s="10" t="str">
        <f>_xlfn.IFNA(VLOOKUP($A668,CompChecksTrans!$A:$C,3,FALSE), "      ")</f>
        <v xml:space="preserve">      </v>
      </c>
    </row>
    <row r="669" spans="1:4" x14ac:dyDescent="0.25">
      <c r="A669" s="241" t="s">
        <v>7973</v>
      </c>
      <c r="B669" s="10" t="str">
        <f>_xlfn.IFNA(VLOOKUP($A669,CompChecksTrans!$A:$C,2,FALSE),"")</f>
        <v/>
      </c>
      <c r="C669" s="10" t="str">
        <f>_xlfn.IFNA(VLOOKUP(B669,Phase4!A$4:C$1000,3,FALSE),"")</f>
        <v/>
      </c>
      <c r="D669" s="10" t="str">
        <f>_xlfn.IFNA(VLOOKUP($A669,CompChecksTrans!$A:$C,3,FALSE), "      ")</f>
        <v xml:space="preserve">      </v>
      </c>
    </row>
    <row r="670" spans="1:4" x14ac:dyDescent="0.25">
      <c r="A670" s="241" t="s">
        <v>7974</v>
      </c>
      <c r="B670" s="10" t="str">
        <f>_xlfn.IFNA(VLOOKUP($A670,CompChecksTrans!$A:$C,2,FALSE),"")</f>
        <v/>
      </c>
      <c r="C670" s="10" t="str">
        <f>_xlfn.IFNA(VLOOKUP(B670,Phase4!A$4:C$1000,3,FALSE),"")</f>
        <v/>
      </c>
      <c r="D670" s="10" t="str">
        <f>_xlfn.IFNA(VLOOKUP($A670,CompChecksTrans!$A:$C,3,FALSE), "      ")</f>
        <v xml:space="preserve">      </v>
      </c>
    </row>
    <row r="671" spans="1:4" x14ac:dyDescent="0.25">
      <c r="A671" s="241" t="s">
        <v>7975</v>
      </c>
      <c r="B671" s="10" t="str">
        <f>_xlfn.IFNA(VLOOKUP($A671,CompChecksTrans!$A:$C,2,FALSE),"")</f>
        <v/>
      </c>
      <c r="C671" s="10" t="str">
        <f>_xlfn.IFNA(VLOOKUP(B671,Phase4!A$4:C$1000,3,FALSE),"")</f>
        <v/>
      </c>
      <c r="D671" s="10" t="str">
        <f>_xlfn.IFNA(VLOOKUP($A671,CompChecksTrans!$A:$C,3,FALSE), "      ")</f>
        <v xml:space="preserve">      </v>
      </c>
    </row>
    <row r="672" spans="1:4" x14ac:dyDescent="0.25">
      <c r="A672" s="241" t="s">
        <v>7976</v>
      </c>
      <c r="B672" s="10" t="str">
        <f>_xlfn.IFNA(VLOOKUP($A672,CompChecksTrans!$A:$C,2,FALSE),"")</f>
        <v/>
      </c>
      <c r="C672" s="10" t="str">
        <f>_xlfn.IFNA(VLOOKUP(B672,Phase4!A$4:C$1000,3,FALSE),"")</f>
        <v/>
      </c>
      <c r="D672" s="10" t="str">
        <f>_xlfn.IFNA(VLOOKUP($A672,CompChecksTrans!$A:$C,3,FALSE), "      ")</f>
        <v xml:space="preserve">      </v>
      </c>
    </row>
    <row r="673" spans="1:4" x14ac:dyDescent="0.25">
      <c r="A673" s="241" t="s">
        <v>7977</v>
      </c>
      <c r="B673" s="10" t="str">
        <f>_xlfn.IFNA(VLOOKUP($A673,CompChecksTrans!$A:$C,2,FALSE),"")</f>
        <v/>
      </c>
      <c r="C673" s="10" t="str">
        <f>_xlfn.IFNA(VLOOKUP(B673,Phase4!A$4:C$1000,3,FALSE),"")</f>
        <v/>
      </c>
      <c r="D673" s="10" t="str">
        <f>_xlfn.IFNA(VLOOKUP($A673,CompChecksTrans!$A:$C,3,FALSE), "      ")</f>
        <v xml:space="preserve">      </v>
      </c>
    </row>
    <row r="674" spans="1:4" x14ac:dyDescent="0.25">
      <c r="A674" s="241" t="s">
        <v>7978</v>
      </c>
      <c r="B674" s="10" t="str">
        <f>_xlfn.IFNA(VLOOKUP($A674,CompChecksTrans!$A:$C,2,FALSE),"")</f>
        <v/>
      </c>
      <c r="C674" s="10" t="str">
        <f>_xlfn.IFNA(VLOOKUP(B674,Phase4!A$4:C$1000,3,FALSE),"")</f>
        <v/>
      </c>
      <c r="D674" s="10" t="str">
        <f>_xlfn.IFNA(VLOOKUP($A674,CompChecksTrans!$A:$C,3,FALSE), "      ")</f>
        <v xml:space="preserve">      </v>
      </c>
    </row>
    <row r="675" spans="1:4" x14ac:dyDescent="0.25">
      <c r="A675" s="241" t="s">
        <v>7979</v>
      </c>
      <c r="B675" s="10" t="str">
        <f>_xlfn.IFNA(VLOOKUP($A675,CompChecksTrans!$A:$C,2,FALSE),"")</f>
        <v/>
      </c>
      <c r="C675" s="10" t="str">
        <f>_xlfn.IFNA(VLOOKUP(B675,Phase4!A$4:C$1000,3,FALSE),"")</f>
        <v/>
      </c>
      <c r="D675" s="10" t="str">
        <f>_xlfn.IFNA(VLOOKUP($A675,CompChecksTrans!$A:$C,3,FALSE), "      ")</f>
        <v xml:space="preserve">      </v>
      </c>
    </row>
    <row r="676" spans="1:4" x14ac:dyDescent="0.25">
      <c r="A676" s="241" t="s">
        <v>7980</v>
      </c>
      <c r="B676" s="10" t="str">
        <f>_xlfn.IFNA(VLOOKUP($A676,CompChecksTrans!$A:$C,2,FALSE),"")</f>
        <v/>
      </c>
      <c r="C676" s="10" t="str">
        <f>_xlfn.IFNA(VLOOKUP(B676,Phase4!A$4:C$1000,3,FALSE),"")</f>
        <v/>
      </c>
      <c r="D676" s="10" t="str">
        <f>_xlfn.IFNA(VLOOKUP($A676,CompChecksTrans!$A:$C,3,FALSE), "      ")</f>
        <v xml:space="preserve">      </v>
      </c>
    </row>
    <row r="677" spans="1:4" x14ac:dyDescent="0.25">
      <c r="A677" s="241" t="s">
        <v>7981</v>
      </c>
      <c r="B677" s="10" t="str">
        <f>_xlfn.IFNA(VLOOKUP($A677,CompChecksTrans!$A:$C,2,FALSE),"")</f>
        <v/>
      </c>
      <c r="C677" s="10" t="str">
        <f>_xlfn.IFNA(VLOOKUP(B677,Phase4!A$4:C$1000,3,FALSE),"")</f>
        <v/>
      </c>
      <c r="D677" s="10" t="str">
        <f>_xlfn.IFNA(VLOOKUP($A677,CompChecksTrans!$A:$C,3,FALSE), "      ")</f>
        <v xml:space="preserve">      </v>
      </c>
    </row>
    <row r="678" spans="1:4" x14ac:dyDescent="0.25">
      <c r="A678" s="241" t="s">
        <v>7982</v>
      </c>
      <c r="B678" s="10" t="str">
        <f>_xlfn.IFNA(VLOOKUP($A678,CompChecksTrans!$A:$C,2,FALSE),"")</f>
        <v/>
      </c>
      <c r="C678" s="10" t="str">
        <f>_xlfn.IFNA(VLOOKUP(B678,Phase4!A$4:C$1000,3,FALSE),"")</f>
        <v/>
      </c>
      <c r="D678" s="10" t="str">
        <f>_xlfn.IFNA(VLOOKUP($A678,CompChecksTrans!$A:$C,3,FALSE), "      ")</f>
        <v xml:space="preserve">      </v>
      </c>
    </row>
    <row r="679" spans="1:4" x14ac:dyDescent="0.25">
      <c r="A679" s="241" t="s">
        <v>7983</v>
      </c>
      <c r="B679" s="10" t="str">
        <f>_xlfn.IFNA(VLOOKUP($A679,CompChecksTrans!$A:$C,2,FALSE),"")</f>
        <v/>
      </c>
      <c r="C679" s="10" t="str">
        <f>_xlfn.IFNA(VLOOKUP(B679,Phase4!A$4:C$1000,3,FALSE),"")</f>
        <v/>
      </c>
      <c r="D679" s="10" t="str">
        <f>_xlfn.IFNA(VLOOKUP($A679,CompChecksTrans!$A:$C,3,FALSE), "      ")</f>
        <v xml:space="preserve">      </v>
      </c>
    </row>
    <row r="680" spans="1:4" x14ac:dyDescent="0.25">
      <c r="A680" s="241" t="s">
        <v>7984</v>
      </c>
      <c r="B680" s="10" t="str">
        <f>_xlfn.IFNA(VLOOKUP($A680,CompChecksTrans!$A:$C,2,FALSE),"")</f>
        <v/>
      </c>
      <c r="C680" s="10" t="str">
        <f>_xlfn.IFNA(VLOOKUP(B680,Phase4!A$4:C$1000,3,FALSE),"")</f>
        <v/>
      </c>
      <c r="D680" s="10" t="str">
        <f>_xlfn.IFNA(VLOOKUP($A680,CompChecksTrans!$A:$C,3,FALSE), "      ")</f>
        <v xml:space="preserve">      </v>
      </c>
    </row>
    <row r="681" spans="1:4" x14ac:dyDescent="0.25">
      <c r="A681" s="241" t="s">
        <v>7985</v>
      </c>
      <c r="B681" s="10" t="str">
        <f>_xlfn.IFNA(VLOOKUP($A681,CompChecksTrans!$A:$C,2,FALSE),"")</f>
        <v/>
      </c>
      <c r="C681" s="10" t="str">
        <f>_xlfn.IFNA(VLOOKUP(B681,Phase4!A$4:C$1000,3,FALSE),"")</f>
        <v/>
      </c>
      <c r="D681" s="10" t="str">
        <f>_xlfn.IFNA(VLOOKUP($A681,CompChecksTrans!$A:$C,3,FALSE), "      ")</f>
        <v xml:space="preserve">      </v>
      </c>
    </row>
    <row r="682" spans="1:4" x14ac:dyDescent="0.25">
      <c r="A682" s="241" t="s">
        <v>7986</v>
      </c>
      <c r="B682" s="10" t="str">
        <f>_xlfn.IFNA(VLOOKUP($A682,CompChecksTrans!$A:$C,2,FALSE),"")</f>
        <v/>
      </c>
      <c r="C682" s="10" t="str">
        <f>_xlfn.IFNA(VLOOKUP(B682,Phase4!A$4:C$1000,3,FALSE),"")</f>
        <v/>
      </c>
      <c r="D682" s="10" t="str">
        <f>_xlfn.IFNA(VLOOKUP($A682,CompChecksTrans!$A:$C,3,FALSE), "      ")</f>
        <v xml:space="preserve">      </v>
      </c>
    </row>
    <row r="683" spans="1:4" x14ac:dyDescent="0.25">
      <c r="A683" s="241" t="s">
        <v>7987</v>
      </c>
      <c r="B683" s="10" t="str">
        <f>_xlfn.IFNA(VLOOKUP($A683,CompChecksTrans!$A:$C,2,FALSE),"")</f>
        <v/>
      </c>
      <c r="C683" s="10" t="str">
        <f>_xlfn.IFNA(VLOOKUP(B683,Phase4!A$4:C$1000,3,FALSE),"")</f>
        <v/>
      </c>
      <c r="D683" s="10" t="str">
        <f>_xlfn.IFNA(VLOOKUP($A683,CompChecksTrans!$A:$C,3,FALSE), "      ")</f>
        <v xml:space="preserve">      </v>
      </c>
    </row>
    <row r="684" spans="1:4" x14ac:dyDescent="0.25">
      <c r="A684" s="241" t="s">
        <v>7988</v>
      </c>
      <c r="B684" s="10" t="str">
        <f>_xlfn.IFNA(VLOOKUP($A684,CompChecksTrans!$A:$C,2,FALSE),"")</f>
        <v/>
      </c>
      <c r="C684" s="10" t="str">
        <f>_xlfn.IFNA(VLOOKUP(B684,Phase4!A$4:C$1000,3,FALSE),"")</f>
        <v/>
      </c>
      <c r="D684" s="10" t="str">
        <f>_xlfn.IFNA(VLOOKUP($A684,CompChecksTrans!$A:$C,3,FALSE), "      ")</f>
        <v xml:space="preserve">      </v>
      </c>
    </row>
    <row r="685" spans="1:4" x14ac:dyDescent="0.25">
      <c r="A685" s="241" t="s">
        <v>7989</v>
      </c>
      <c r="B685" s="10" t="str">
        <f>_xlfn.IFNA(VLOOKUP($A685,CompChecksTrans!$A:$C,2,FALSE),"")</f>
        <v/>
      </c>
      <c r="C685" s="10" t="str">
        <f>_xlfn.IFNA(VLOOKUP(B685,Phase4!A$4:C$1000,3,FALSE),"")</f>
        <v/>
      </c>
      <c r="D685" s="10" t="str">
        <f>_xlfn.IFNA(VLOOKUP($A685,CompChecksTrans!$A:$C,3,FALSE), "      ")</f>
        <v xml:space="preserve">      </v>
      </c>
    </row>
    <row r="686" spans="1:4" x14ac:dyDescent="0.25">
      <c r="A686" s="241" t="s">
        <v>7990</v>
      </c>
      <c r="B686" s="10" t="str">
        <f>_xlfn.IFNA(VLOOKUP($A686,CompChecksTrans!$A:$C,2,FALSE),"")</f>
        <v/>
      </c>
      <c r="C686" s="10" t="str">
        <f>_xlfn.IFNA(VLOOKUP(B686,Phase4!A$4:C$1000,3,FALSE),"")</f>
        <v/>
      </c>
      <c r="D686" s="10" t="str">
        <f>_xlfn.IFNA(VLOOKUP($A686,CompChecksTrans!$A:$C,3,FALSE), "      ")</f>
        <v xml:space="preserve">      </v>
      </c>
    </row>
    <row r="687" spans="1:4" x14ac:dyDescent="0.25">
      <c r="A687" s="241" t="s">
        <v>7991</v>
      </c>
      <c r="B687" s="10" t="str">
        <f>_xlfn.IFNA(VLOOKUP($A687,CompChecksTrans!$A:$C,2,FALSE),"")</f>
        <v/>
      </c>
      <c r="C687" s="10" t="str">
        <f>_xlfn.IFNA(VLOOKUP(B687,Phase4!A$4:C$1000,3,FALSE),"")</f>
        <v/>
      </c>
      <c r="D687" s="10" t="str">
        <f>_xlfn.IFNA(VLOOKUP($A687,CompChecksTrans!$A:$C,3,FALSE), "      ")</f>
        <v xml:space="preserve">      </v>
      </c>
    </row>
    <row r="688" spans="1:4" x14ac:dyDescent="0.25">
      <c r="A688" s="241" t="s">
        <v>7992</v>
      </c>
      <c r="B688" s="10" t="str">
        <f>_xlfn.IFNA(VLOOKUP($A688,CompChecksTrans!$A:$C,2,FALSE),"")</f>
        <v/>
      </c>
      <c r="C688" s="10" t="str">
        <f>_xlfn.IFNA(VLOOKUP(B688,Phase4!A$4:C$1000,3,FALSE),"")</f>
        <v/>
      </c>
      <c r="D688" s="10" t="str">
        <f>_xlfn.IFNA(VLOOKUP($A688,CompChecksTrans!$A:$C,3,FALSE), "      ")</f>
        <v xml:space="preserve">      </v>
      </c>
    </row>
    <row r="689" spans="1:4" x14ac:dyDescent="0.25">
      <c r="A689" s="241" t="s">
        <v>7993</v>
      </c>
      <c r="B689" s="10" t="str">
        <f>_xlfn.IFNA(VLOOKUP($A689,CompChecksTrans!$A:$C,2,FALSE),"")</f>
        <v/>
      </c>
      <c r="C689" s="10" t="str">
        <f>_xlfn.IFNA(VLOOKUP(B689,Phase4!A$4:C$1000,3,FALSE),"")</f>
        <v/>
      </c>
      <c r="D689" s="10" t="str">
        <f>_xlfn.IFNA(VLOOKUP($A689,CompChecksTrans!$A:$C,3,FALSE), "      ")</f>
        <v xml:space="preserve">      </v>
      </c>
    </row>
    <row r="690" spans="1:4" x14ac:dyDescent="0.25">
      <c r="A690" s="241" t="s">
        <v>7994</v>
      </c>
      <c r="B690" s="10" t="str">
        <f>_xlfn.IFNA(VLOOKUP($A690,CompChecksTrans!$A:$C,2,FALSE),"")</f>
        <v/>
      </c>
      <c r="C690" s="10" t="str">
        <f>_xlfn.IFNA(VLOOKUP(B690,Phase4!A$4:C$1000,3,FALSE),"")</f>
        <v/>
      </c>
      <c r="D690" s="10" t="str">
        <f>_xlfn.IFNA(VLOOKUP($A690,CompChecksTrans!$A:$C,3,FALSE), "      ")</f>
        <v xml:space="preserve">      </v>
      </c>
    </row>
    <row r="691" spans="1:4" x14ac:dyDescent="0.25">
      <c r="A691" s="241" t="s">
        <v>7995</v>
      </c>
      <c r="B691" s="10" t="str">
        <f>_xlfn.IFNA(VLOOKUP($A691,CompChecksTrans!$A:$C,2,FALSE),"")</f>
        <v/>
      </c>
      <c r="C691" s="10" t="str">
        <f>_xlfn.IFNA(VLOOKUP(B691,Phase4!A$4:C$1000,3,FALSE),"")</f>
        <v/>
      </c>
      <c r="D691" s="10" t="str">
        <f>_xlfn.IFNA(VLOOKUP($A691,CompChecksTrans!$A:$C,3,FALSE), "      ")</f>
        <v xml:space="preserve">      </v>
      </c>
    </row>
    <row r="692" spans="1:4" x14ac:dyDescent="0.25">
      <c r="A692" s="241" t="s">
        <v>7996</v>
      </c>
      <c r="B692" s="10" t="str">
        <f>_xlfn.IFNA(VLOOKUP($A692,CompChecksTrans!$A:$C,2,FALSE),"")</f>
        <v/>
      </c>
      <c r="C692" s="10" t="str">
        <f>_xlfn.IFNA(VLOOKUP(B692,Phase4!A$4:C$1000,3,FALSE),"")</f>
        <v/>
      </c>
      <c r="D692" s="10" t="str">
        <f>_xlfn.IFNA(VLOOKUP($A692,CompChecksTrans!$A:$C,3,FALSE), "      ")</f>
        <v xml:space="preserve">      </v>
      </c>
    </row>
    <row r="693" spans="1:4" x14ac:dyDescent="0.25">
      <c r="A693" s="241" t="s">
        <v>7997</v>
      </c>
      <c r="B693" s="10" t="str">
        <f>_xlfn.IFNA(VLOOKUP($A693,CompChecksTrans!$A:$C,2,FALSE),"")</f>
        <v/>
      </c>
      <c r="C693" s="10" t="str">
        <f>_xlfn.IFNA(VLOOKUP(B693,Phase4!A$4:C$1000,3,FALSE),"")</f>
        <v/>
      </c>
      <c r="D693" s="10" t="str">
        <f>_xlfn.IFNA(VLOOKUP($A693,CompChecksTrans!$A:$C,3,FALSE), "      ")</f>
        <v xml:space="preserve">      </v>
      </c>
    </row>
    <row r="694" spans="1:4" x14ac:dyDescent="0.25">
      <c r="A694" s="241" t="s">
        <v>7998</v>
      </c>
      <c r="B694" s="10" t="str">
        <f>_xlfn.IFNA(VLOOKUP($A694,CompChecksTrans!$A:$C,2,FALSE),"")</f>
        <v/>
      </c>
      <c r="C694" s="10" t="str">
        <f>_xlfn.IFNA(VLOOKUP(B694,Phase4!A$4:C$1000,3,FALSE),"")</f>
        <v/>
      </c>
      <c r="D694" s="10" t="str">
        <f>_xlfn.IFNA(VLOOKUP($A694,CompChecksTrans!$A:$C,3,FALSE), "      ")</f>
        <v xml:space="preserve">      </v>
      </c>
    </row>
    <row r="695" spans="1:4" x14ac:dyDescent="0.25">
      <c r="A695" s="241" t="s">
        <v>7999</v>
      </c>
      <c r="B695" s="10" t="str">
        <f>_xlfn.IFNA(VLOOKUP($A695,CompChecksTrans!$A:$C,2,FALSE),"")</f>
        <v/>
      </c>
      <c r="C695" s="10" t="str">
        <f>_xlfn.IFNA(VLOOKUP(B695,Phase4!A$4:C$1000,3,FALSE),"")</f>
        <v/>
      </c>
      <c r="D695" s="10" t="str">
        <f>_xlfn.IFNA(VLOOKUP($A695,CompChecksTrans!$A:$C,3,FALSE), "      ")</f>
        <v xml:space="preserve">      </v>
      </c>
    </row>
    <row r="696" spans="1:4" x14ac:dyDescent="0.25">
      <c r="A696" s="241" t="s">
        <v>8000</v>
      </c>
      <c r="B696" s="10" t="str">
        <f>_xlfn.IFNA(VLOOKUP($A696,CompChecksTrans!$A:$C,2,FALSE),"")</f>
        <v/>
      </c>
      <c r="C696" s="10" t="str">
        <f>_xlfn.IFNA(VLOOKUP(B696,Phase4!A$4:C$1000,3,FALSE),"")</f>
        <v/>
      </c>
      <c r="D696" s="10" t="str">
        <f>_xlfn.IFNA(VLOOKUP($A696,CompChecksTrans!$A:$C,3,FALSE), "      ")</f>
        <v xml:space="preserve">      </v>
      </c>
    </row>
    <row r="697" spans="1:4" x14ac:dyDescent="0.25">
      <c r="A697" s="241" t="s">
        <v>8001</v>
      </c>
      <c r="B697" s="10" t="str">
        <f>_xlfn.IFNA(VLOOKUP($A697,CompChecksTrans!$A:$C,2,FALSE),"")</f>
        <v/>
      </c>
      <c r="C697" s="10" t="str">
        <f>_xlfn.IFNA(VLOOKUP(B697,Phase4!A$4:C$1000,3,FALSE),"")</f>
        <v/>
      </c>
      <c r="D697" s="10" t="str">
        <f>_xlfn.IFNA(VLOOKUP($A697,CompChecksTrans!$A:$C,3,FALSE), "      ")</f>
        <v xml:space="preserve">      </v>
      </c>
    </row>
    <row r="698" spans="1:4" x14ac:dyDescent="0.25">
      <c r="A698" s="241" t="s">
        <v>8002</v>
      </c>
      <c r="B698" s="10" t="str">
        <f>_xlfn.IFNA(VLOOKUP($A698,CompChecksTrans!$A:$C,2,FALSE),"")</f>
        <v/>
      </c>
      <c r="C698" s="10" t="str">
        <f>_xlfn.IFNA(VLOOKUP(B698,Phase4!A$4:C$1000,3,FALSE),"")</f>
        <v/>
      </c>
      <c r="D698" s="10" t="str">
        <f>_xlfn.IFNA(VLOOKUP($A698,CompChecksTrans!$A:$C,3,FALSE), "      ")</f>
        <v xml:space="preserve">      </v>
      </c>
    </row>
    <row r="699" spans="1:4" x14ac:dyDescent="0.25">
      <c r="A699" s="241" t="s">
        <v>8003</v>
      </c>
      <c r="B699" s="10" t="str">
        <f>_xlfn.IFNA(VLOOKUP($A699,CompChecksTrans!$A:$C,2,FALSE),"")</f>
        <v/>
      </c>
      <c r="C699" s="10" t="str">
        <f>_xlfn.IFNA(VLOOKUP(B699,Phase4!A$4:C$1000,3,FALSE),"")</f>
        <v/>
      </c>
      <c r="D699" s="10" t="str">
        <f>_xlfn.IFNA(VLOOKUP($A699,CompChecksTrans!$A:$C,3,FALSE), "      ")</f>
        <v xml:space="preserve">      </v>
      </c>
    </row>
    <row r="700" spans="1:4" x14ac:dyDescent="0.25">
      <c r="A700" s="241" t="s">
        <v>8004</v>
      </c>
      <c r="B700" s="10" t="str">
        <f>_xlfn.IFNA(VLOOKUP($A700,CompChecksTrans!$A:$C,2,FALSE),"")</f>
        <v/>
      </c>
      <c r="C700" s="10" t="str">
        <f>_xlfn.IFNA(VLOOKUP(B700,Phase4!A$4:C$1000,3,FALSE),"")</f>
        <v/>
      </c>
      <c r="D700" s="10" t="str">
        <f>_xlfn.IFNA(VLOOKUP($A700,CompChecksTrans!$A:$C,3,FALSE), "      ")</f>
        <v xml:space="preserve">      </v>
      </c>
    </row>
    <row r="701" spans="1:4" x14ac:dyDescent="0.25">
      <c r="A701" s="241" t="s">
        <v>8005</v>
      </c>
      <c r="B701" s="10" t="str">
        <f>_xlfn.IFNA(VLOOKUP($A701,CompChecksTrans!$A:$C,2,FALSE),"")</f>
        <v/>
      </c>
      <c r="C701" s="10" t="str">
        <f>_xlfn.IFNA(VLOOKUP(B701,Phase4!A$4:C$1000,3,FALSE),"")</f>
        <v/>
      </c>
      <c r="D701" s="10" t="str">
        <f>_xlfn.IFNA(VLOOKUP($A701,CompChecksTrans!$A:$C,3,FALSE), "      ")</f>
        <v xml:space="preserve">      </v>
      </c>
    </row>
    <row r="702" spans="1:4" x14ac:dyDescent="0.25">
      <c r="A702" s="241" t="s">
        <v>8006</v>
      </c>
      <c r="B702" s="10" t="str">
        <f>_xlfn.IFNA(VLOOKUP($A702,CompChecksTrans!$A:$C,2,FALSE),"")</f>
        <v/>
      </c>
      <c r="C702" s="10" t="str">
        <f>_xlfn.IFNA(VLOOKUP(B702,Phase4!A$4:C$1000,3,FALSE),"")</f>
        <v/>
      </c>
      <c r="D702" s="10" t="str">
        <f>_xlfn.IFNA(VLOOKUP($A702,CompChecksTrans!$A:$C,3,FALSE), "      ")</f>
        <v xml:space="preserve">      </v>
      </c>
    </row>
    <row r="703" spans="1:4" x14ac:dyDescent="0.25">
      <c r="A703" s="241" t="s">
        <v>8007</v>
      </c>
      <c r="B703" s="10" t="str">
        <f>_xlfn.IFNA(VLOOKUP($A703,CompChecksTrans!$A:$C,2,FALSE),"")</f>
        <v/>
      </c>
      <c r="C703" s="10" t="str">
        <f>_xlfn.IFNA(VLOOKUP(B703,Phase4!A$4:C$1000,3,FALSE),"")</f>
        <v/>
      </c>
      <c r="D703" s="10" t="str">
        <f>_xlfn.IFNA(VLOOKUP($A703,CompChecksTrans!$A:$C,3,FALSE), "      ")</f>
        <v xml:space="preserve">      </v>
      </c>
    </row>
    <row r="704" spans="1:4" x14ac:dyDescent="0.25">
      <c r="A704" s="241" t="s">
        <v>8008</v>
      </c>
      <c r="B704" s="10" t="str">
        <f>_xlfn.IFNA(VLOOKUP($A704,CompChecksTrans!$A:$C,2,FALSE),"")</f>
        <v/>
      </c>
      <c r="C704" s="10" t="str">
        <f>_xlfn.IFNA(VLOOKUP(B704,Phase4!A$4:C$1000,3,FALSE),"")</f>
        <v/>
      </c>
      <c r="D704" s="10" t="str">
        <f>_xlfn.IFNA(VLOOKUP($A704,CompChecksTrans!$A:$C,3,FALSE), "      ")</f>
        <v xml:space="preserve">      </v>
      </c>
    </row>
    <row r="705" spans="1:4" x14ac:dyDescent="0.25">
      <c r="A705" s="241" t="s">
        <v>8009</v>
      </c>
      <c r="B705" s="10" t="str">
        <f>_xlfn.IFNA(VLOOKUP($A705,CompChecksTrans!$A:$C,2,FALSE),"")</f>
        <v/>
      </c>
      <c r="C705" s="10" t="str">
        <f>_xlfn.IFNA(VLOOKUP(B705,Phase4!A$4:C$1000,3,FALSE),"")</f>
        <v/>
      </c>
      <c r="D705" s="10" t="str">
        <f>_xlfn.IFNA(VLOOKUP($A705,CompChecksTrans!$A:$C,3,FALSE), "      ")</f>
        <v xml:space="preserve">      </v>
      </c>
    </row>
    <row r="706" spans="1:4" x14ac:dyDescent="0.25">
      <c r="A706" s="241" t="s">
        <v>8010</v>
      </c>
      <c r="B706" s="10" t="str">
        <f>_xlfn.IFNA(VLOOKUP($A706,CompChecksTrans!$A:$C,2,FALSE),"")</f>
        <v/>
      </c>
      <c r="C706" s="10" t="str">
        <f>_xlfn.IFNA(VLOOKUP(B706,Phase4!A$4:C$1000,3,FALSE),"")</f>
        <v/>
      </c>
      <c r="D706" s="10" t="str">
        <f>_xlfn.IFNA(VLOOKUP($A706,CompChecksTrans!$A:$C,3,FALSE), "      ")</f>
        <v xml:space="preserve">      </v>
      </c>
    </row>
    <row r="707" spans="1:4" x14ac:dyDescent="0.25">
      <c r="A707" s="241" t="s">
        <v>8011</v>
      </c>
      <c r="B707" s="10" t="str">
        <f>_xlfn.IFNA(VLOOKUP($A707,CompChecksTrans!$A:$C,2,FALSE),"")</f>
        <v/>
      </c>
      <c r="C707" s="10" t="str">
        <f>_xlfn.IFNA(VLOOKUP(B707,Phase4!A$4:C$1000,3,FALSE),"")</f>
        <v/>
      </c>
      <c r="D707" s="10" t="str">
        <f>_xlfn.IFNA(VLOOKUP($A707,CompChecksTrans!$A:$C,3,FALSE), "      ")</f>
        <v xml:space="preserve">      </v>
      </c>
    </row>
    <row r="708" spans="1:4" x14ac:dyDescent="0.25">
      <c r="A708" s="241" t="s">
        <v>8012</v>
      </c>
      <c r="B708" s="10" t="str">
        <f>_xlfn.IFNA(VLOOKUP($A708,CompChecksTrans!$A:$C,2,FALSE),"")</f>
        <v/>
      </c>
      <c r="C708" s="10" t="str">
        <f>_xlfn.IFNA(VLOOKUP(B708,Phase4!A$4:C$1000,3,FALSE),"")</f>
        <v/>
      </c>
      <c r="D708" s="10" t="str">
        <f>_xlfn.IFNA(VLOOKUP($A708,CompChecksTrans!$A:$C,3,FALSE), "      ")</f>
        <v xml:space="preserve">      </v>
      </c>
    </row>
    <row r="709" spans="1:4" x14ac:dyDescent="0.25">
      <c r="A709" s="241" t="s">
        <v>8013</v>
      </c>
      <c r="B709" s="10" t="str">
        <f>_xlfn.IFNA(VLOOKUP($A709,CompChecksTrans!$A:$C,2,FALSE),"")</f>
        <v/>
      </c>
      <c r="C709" s="10" t="str">
        <f>_xlfn.IFNA(VLOOKUP(B709,Phase4!A$4:C$1000,3,FALSE),"")</f>
        <v/>
      </c>
      <c r="D709" s="10" t="str">
        <f>_xlfn.IFNA(VLOOKUP($A709,CompChecksTrans!$A:$C,3,FALSE), "      ")</f>
        <v xml:space="preserve">      </v>
      </c>
    </row>
    <row r="710" spans="1:4" x14ac:dyDescent="0.25">
      <c r="A710" s="241" t="s">
        <v>8014</v>
      </c>
      <c r="B710" s="10" t="str">
        <f>_xlfn.IFNA(VLOOKUP($A710,CompChecksTrans!$A:$C,2,FALSE),"")</f>
        <v/>
      </c>
      <c r="C710" s="10" t="str">
        <f>_xlfn.IFNA(VLOOKUP(B710,Phase4!A$4:C$1000,3,FALSE),"")</f>
        <v/>
      </c>
      <c r="D710" s="10" t="str">
        <f>_xlfn.IFNA(VLOOKUP($A710,CompChecksTrans!$A:$C,3,FALSE), "      ")</f>
        <v xml:space="preserve">      </v>
      </c>
    </row>
    <row r="711" spans="1:4" x14ac:dyDescent="0.25">
      <c r="A711" s="241" t="s">
        <v>8015</v>
      </c>
      <c r="B711" s="10" t="str">
        <f>_xlfn.IFNA(VLOOKUP($A711,CompChecksTrans!$A:$C,2,FALSE),"")</f>
        <v/>
      </c>
      <c r="C711" s="10" t="str">
        <f>_xlfn.IFNA(VLOOKUP(B711,Phase4!A$4:C$1000,3,FALSE),"")</f>
        <v/>
      </c>
      <c r="D711" s="10" t="str">
        <f>_xlfn.IFNA(VLOOKUP($A711,CompChecksTrans!$A:$C,3,FALSE), "      ")</f>
        <v xml:space="preserve">      </v>
      </c>
    </row>
    <row r="712" spans="1:4" x14ac:dyDescent="0.25">
      <c r="A712" s="241" t="s">
        <v>8016</v>
      </c>
      <c r="B712" s="10" t="str">
        <f>_xlfn.IFNA(VLOOKUP($A712,CompChecksTrans!$A:$C,2,FALSE),"")</f>
        <v/>
      </c>
      <c r="C712" s="10" t="str">
        <f>_xlfn.IFNA(VLOOKUP(B712,Phase4!A$4:C$1000,3,FALSE),"")</f>
        <v/>
      </c>
      <c r="D712" s="10" t="str">
        <f>_xlfn.IFNA(VLOOKUP($A712,CompChecksTrans!$A:$C,3,FALSE), "      ")</f>
        <v xml:space="preserve">      </v>
      </c>
    </row>
    <row r="713" spans="1:4" x14ac:dyDescent="0.25">
      <c r="A713" s="241" t="s">
        <v>8017</v>
      </c>
      <c r="B713" s="10" t="str">
        <f>_xlfn.IFNA(VLOOKUP($A713,CompChecksTrans!$A:$C,2,FALSE),"")</f>
        <v/>
      </c>
      <c r="C713" s="10" t="str">
        <f>_xlfn.IFNA(VLOOKUP(B713,Phase4!A$4:C$1000,3,FALSE),"")</f>
        <v/>
      </c>
      <c r="D713" s="10" t="str">
        <f>_xlfn.IFNA(VLOOKUP($A713,CompChecksTrans!$A:$C,3,FALSE), "      ")</f>
        <v xml:space="preserve">      </v>
      </c>
    </row>
    <row r="714" spans="1:4" x14ac:dyDescent="0.25">
      <c r="A714" s="241" t="s">
        <v>8018</v>
      </c>
      <c r="B714" s="10" t="str">
        <f>_xlfn.IFNA(VLOOKUP($A714,CompChecksTrans!$A:$C,2,FALSE),"")</f>
        <v/>
      </c>
      <c r="C714" s="10" t="str">
        <f>_xlfn.IFNA(VLOOKUP(B714,Phase4!A$4:C$1000,3,FALSE),"")</f>
        <v/>
      </c>
      <c r="D714" s="10" t="str">
        <f>_xlfn.IFNA(VLOOKUP($A714,CompChecksTrans!$A:$C,3,FALSE), "      ")</f>
        <v xml:space="preserve">      </v>
      </c>
    </row>
    <row r="715" spans="1:4" x14ac:dyDescent="0.25">
      <c r="A715" s="241" t="s">
        <v>8019</v>
      </c>
      <c r="B715" s="10" t="str">
        <f>_xlfn.IFNA(VLOOKUP($A715,CompChecksTrans!$A:$C,2,FALSE),"")</f>
        <v/>
      </c>
      <c r="C715" s="10" t="str">
        <f>_xlfn.IFNA(VLOOKUP(B715,Phase4!A$4:C$1000,3,FALSE),"")</f>
        <v/>
      </c>
      <c r="D715" s="10" t="str">
        <f>_xlfn.IFNA(VLOOKUP($A715,CompChecksTrans!$A:$C,3,FALSE), "      ")</f>
        <v xml:space="preserve">      </v>
      </c>
    </row>
    <row r="716" spans="1:4" x14ac:dyDescent="0.25">
      <c r="A716" s="241" t="s">
        <v>8020</v>
      </c>
      <c r="B716" s="10" t="str">
        <f>_xlfn.IFNA(VLOOKUP($A716,CompChecksTrans!$A:$C,2,FALSE),"")</f>
        <v/>
      </c>
      <c r="C716" s="10" t="str">
        <f>_xlfn.IFNA(VLOOKUP(B716,Phase4!A$4:C$1000,3,FALSE),"")</f>
        <v/>
      </c>
      <c r="D716" s="10" t="str">
        <f>_xlfn.IFNA(VLOOKUP($A716,CompChecksTrans!$A:$C,3,FALSE), "      ")</f>
        <v xml:space="preserve">      </v>
      </c>
    </row>
    <row r="717" spans="1:4" x14ac:dyDescent="0.25">
      <c r="A717" s="241" t="s">
        <v>8021</v>
      </c>
      <c r="B717" s="10" t="str">
        <f>_xlfn.IFNA(VLOOKUP($A717,CompChecksTrans!$A:$C,2,FALSE),"")</f>
        <v/>
      </c>
      <c r="C717" s="10" t="str">
        <f>_xlfn.IFNA(VLOOKUP(B717,Phase4!A$4:C$1000,3,FALSE),"")</f>
        <v/>
      </c>
      <c r="D717" s="10" t="str">
        <f>_xlfn.IFNA(VLOOKUP($A717,CompChecksTrans!$A:$C,3,FALSE), "      ")</f>
        <v xml:space="preserve">      </v>
      </c>
    </row>
    <row r="718" spans="1:4" x14ac:dyDescent="0.25">
      <c r="A718" s="241" t="s">
        <v>8022</v>
      </c>
      <c r="B718" s="10" t="str">
        <f>_xlfn.IFNA(VLOOKUP($A718,CompChecksTrans!$A:$C,2,FALSE),"")</f>
        <v/>
      </c>
      <c r="C718" s="10" t="str">
        <f>_xlfn.IFNA(VLOOKUP(B718,Phase4!A$4:C$1000,3,FALSE),"")</f>
        <v/>
      </c>
      <c r="D718" s="10" t="str">
        <f>_xlfn.IFNA(VLOOKUP($A718,CompChecksTrans!$A:$C,3,FALSE), "      ")</f>
        <v xml:space="preserve">      </v>
      </c>
    </row>
    <row r="719" spans="1:4" x14ac:dyDescent="0.25">
      <c r="A719" s="241" t="s">
        <v>8023</v>
      </c>
      <c r="B719" s="10" t="str">
        <f>_xlfn.IFNA(VLOOKUP($A719,CompChecksTrans!$A:$C,2,FALSE),"")</f>
        <v/>
      </c>
      <c r="C719" s="10" t="str">
        <f>_xlfn.IFNA(VLOOKUP(B719,Phase4!A$4:C$1000,3,FALSE),"")</f>
        <v/>
      </c>
      <c r="D719" s="10" t="str">
        <f>_xlfn.IFNA(VLOOKUP($A719,CompChecksTrans!$A:$C,3,FALSE), "      ")</f>
        <v xml:space="preserve">      </v>
      </c>
    </row>
    <row r="720" spans="1:4" x14ac:dyDescent="0.25">
      <c r="A720" s="241" t="s">
        <v>8024</v>
      </c>
      <c r="B720" s="10" t="str">
        <f>_xlfn.IFNA(VLOOKUP($A720,CompChecksTrans!$A:$C,2,FALSE),"")</f>
        <v/>
      </c>
      <c r="C720" s="10" t="str">
        <f>_xlfn.IFNA(VLOOKUP(B720,Phase4!A$4:C$1000,3,FALSE),"")</f>
        <v/>
      </c>
      <c r="D720" s="10" t="str">
        <f>_xlfn.IFNA(VLOOKUP($A720,CompChecksTrans!$A:$C,3,FALSE), "      ")</f>
        <v xml:space="preserve">      </v>
      </c>
    </row>
    <row r="721" spans="1:4" x14ac:dyDescent="0.25">
      <c r="A721" s="241" t="s">
        <v>8025</v>
      </c>
      <c r="B721" s="10" t="str">
        <f>_xlfn.IFNA(VLOOKUP($A721,CompChecksTrans!$A:$C,2,FALSE),"")</f>
        <v/>
      </c>
      <c r="C721" s="10" t="str">
        <f>_xlfn.IFNA(VLOOKUP(B721,Phase4!A$4:C$1000,3,FALSE),"")</f>
        <v/>
      </c>
      <c r="D721" s="10" t="str">
        <f>_xlfn.IFNA(VLOOKUP($A721,CompChecksTrans!$A:$C,3,FALSE), "      ")</f>
        <v xml:space="preserve">      </v>
      </c>
    </row>
    <row r="722" spans="1:4" x14ac:dyDescent="0.25">
      <c r="A722" s="241" t="s">
        <v>8026</v>
      </c>
      <c r="B722" s="10" t="str">
        <f>_xlfn.IFNA(VLOOKUP($A722,CompChecksTrans!$A:$C,2,FALSE),"")</f>
        <v/>
      </c>
      <c r="C722" s="10" t="str">
        <f>_xlfn.IFNA(VLOOKUP(B722,Phase4!A$4:C$1000,3,FALSE),"")</f>
        <v/>
      </c>
      <c r="D722" s="10" t="str">
        <f>_xlfn.IFNA(VLOOKUP($A722,CompChecksTrans!$A:$C,3,FALSE), "      ")</f>
        <v xml:space="preserve">      </v>
      </c>
    </row>
    <row r="723" spans="1:4" x14ac:dyDescent="0.25">
      <c r="A723" s="241" t="s">
        <v>8027</v>
      </c>
      <c r="B723" s="10" t="str">
        <f>_xlfn.IFNA(VLOOKUP($A723,CompChecksTrans!$A:$C,2,FALSE),"")</f>
        <v/>
      </c>
      <c r="C723" s="10" t="str">
        <f>_xlfn.IFNA(VLOOKUP(B723,Phase4!A$4:C$1000,3,FALSE),"")</f>
        <v/>
      </c>
      <c r="D723" s="10" t="str">
        <f>_xlfn.IFNA(VLOOKUP($A723,CompChecksTrans!$A:$C,3,FALSE), "      ")</f>
        <v xml:space="preserve">      </v>
      </c>
    </row>
    <row r="724" spans="1:4" x14ac:dyDescent="0.25">
      <c r="A724" s="241" t="s">
        <v>8028</v>
      </c>
      <c r="B724" s="10" t="str">
        <f>_xlfn.IFNA(VLOOKUP($A724,CompChecksTrans!$A:$C,2,FALSE),"")</f>
        <v/>
      </c>
      <c r="C724" s="10" t="str">
        <f>_xlfn.IFNA(VLOOKUP(B724,Phase4!A$4:C$1000,3,FALSE),"")</f>
        <v/>
      </c>
      <c r="D724" s="10" t="str">
        <f>_xlfn.IFNA(VLOOKUP($A724,CompChecksTrans!$A:$C,3,FALSE), "      ")</f>
        <v xml:space="preserve">      </v>
      </c>
    </row>
    <row r="725" spans="1:4" x14ac:dyDescent="0.25">
      <c r="A725" s="241" t="s">
        <v>8029</v>
      </c>
      <c r="B725" s="10" t="str">
        <f>_xlfn.IFNA(VLOOKUP($A725,CompChecksTrans!$A:$C,2,FALSE),"")</f>
        <v/>
      </c>
      <c r="C725" s="10" t="str">
        <f>_xlfn.IFNA(VLOOKUP(B725,Phase4!A$4:C$1000,3,FALSE),"")</f>
        <v/>
      </c>
      <c r="D725" s="10" t="str">
        <f>_xlfn.IFNA(VLOOKUP($A725,CompChecksTrans!$A:$C,3,FALSE), "      ")</f>
        <v xml:space="preserve">      </v>
      </c>
    </row>
    <row r="726" spans="1:4" x14ac:dyDescent="0.25">
      <c r="A726" s="241" t="s">
        <v>8030</v>
      </c>
      <c r="B726" s="10" t="str">
        <f>_xlfn.IFNA(VLOOKUP($A726,CompChecksTrans!$A:$C,2,FALSE),"")</f>
        <v/>
      </c>
      <c r="C726" s="10" t="str">
        <f>_xlfn.IFNA(VLOOKUP(B726,Phase4!A$4:C$1000,3,FALSE),"")</f>
        <v/>
      </c>
      <c r="D726" s="10" t="str">
        <f>_xlfn.IFNA(VLOOKUP($A726,CompChecksTrans!$A:$C,3,FALSE), "      ")</f>
        <v xml:space="preserve">      </v>
      </c>
    </row>
    <row r="727" spans="1:4" x14ac:dyDescent="0.25">
      <c r="A727" s="241" t="s">
        <v>8031</v>
      </c>
      <c r="B727" s="10" t="str">
        <f>_xlfn.IFNA(VLOOKUP($A727,CompChecksTrans!$A:$C,2,FALSE),"")</f>
        <v/>
      </c>
      <c r="C727" s="10" t="str">
        <f>_xlfn.IFNA(VLOOKUP(B727,Phase4!A$4:C$1000,3,FALSE),"")</f>
        <v/>
      </c>
      <c r="D727" s="10" t="str">
        <f>_xlfn.IFNA(VLOOKUP($A727,CompChecksTrans!$A:$C,3,FALSE), "      ")</f>
        <v xml:space="preserve">      </v>
      </c>
    </row>
    <row r="728" spans="1:4" x14ac:dyDescent="0.25">
      <c r="A728" s="241" t="s">
        <v>8032</v>
      </c>
      <c r="B728" s="10" t="str">
        <f>_xlfn.IFNA(VLOOKUP($A728,CompChecksTrans!$A:$C,2,FALSE),"")</f>
        <v/>
      </c>
      <c r="C728" s="10" t="str">
        <f>_xlfn.IFNA(VLOOKUP(B728,Phase4!A$4:C$1000,3,FALSE),"")</f>
        <v/>
      </c>
      <c r="D728" s="10" t="str">
        <f>_xlfn.IFNA(VLOOKUP($A728,CompChecksTrans!$A:$C,3,FALSE), "      ")</f>
        <v xml:space="preserve">      </v>
      </c>
    </row>
    <row r="729" spans="1:4" x14ac:dyDescent="0.25">
      <c r="A729" s="241" t="s">
        <v>8033</v>
      </c>
      <c r="B729" s="10" t="str">
        <f>_xlfn.IFNA(VLOOKUP($A729,CompChecksTrans!$A:$C,2,FALSE),"")</f>
        <v/>
      </c>
      <c r="C729" s="10" t="str">
        <f>_xlfn.IFNA(VLOOKUP(B729,Phase4!A$4:C$1000,3,FALSE),"")</f>
        <v/>
      </c>
      <c r="D729" s="10" t="str">
        <f>_xlfn.IFNA(VLOOKUP($A729,CompChecksTrans!$A:$C,3,FALSE), "      ")</f>
        <v xml:space="preserve">      </v>
      </c>
    </row>
    <row r="730" spans="1:4" x14ac:dyDescent="0.25">
      <c r="A730" s="241" t="s">
        <v>8034</v>
      </c>
      <c r="B730" s="10" t="str">
        <f>_xlfn.IFNA(VLOOKUP($A730,CompChecksTrans!$A:$C,2,FALSE),"")</f>
        <v/>
      </c>
      <c r="C730" s="10" t="str">
        <f>_xlfn.IFNA(VLOOKUP(B730,Phase4!A$4:C$1000,3,FALSE),"")</f>
        <v/>
      </c>
      <c r="D730" s="10" t="str">
        <f>_xlfn.IFNA(VLOOKUP($A730,CompChecksTrans!$A:$C,3,FALSE), "      ")</f>
        <v xml:space="preserve">      </v>
      </c>
    </row>
    <row r="731" spans="1:4" x14ac:dyDescent="0.25">
      <c r="A731" s="241" t="s">
        <v>8035</v>
      </c>
      <c r="B731" s="10" t="str">
        <f>_xlfn.IFNA(VLOOKUP($A731,CompChecksTrans!$A:$C,2,FALSE),"")</f>
        <v/>
      </c>
      <c r="C731" s="10" t="str">
        <f>_xlfn.IFNA(VLOOKUP(B731,Phase4!A$4:C$1000,3,FALSE),"")</f>
        <v/>
      </c>
      <c r="D731" s="10" t="str">
        <f>_xlfn.IFNA(VLOOKUP($A731,CompChecksTrans!$A:$C,3,FALSE), "      ")</f>
        <v xml:space="preserve">      </v>
      </c>
    </row>
    <row r="732" spans="1:4" x14ac:dyDescent="0.25">
      <c r="A732" s="241" t="s">
        <v>8036</v>
      </c>
      <c r="B732" s="10" t="str">
        <f>_xlfn.IFNA(VLOOKUP($A732,CompChecksTrans!$A:$C,2,FALSE),"")</f>
        <v/>
      </c>
      <c r="C732" s="10" t="str">
        <f>_xlfn.IFNA(VLOOKUP(B732,Phase4!A$4:C$1000,3,FALSE),"")</f>
        <v/>
      </c>
      <c r="D732" s="10" t="str">
        <f>_xlfn.IFNA(VLOOKUP($A732,CompChecksTrans!$A:$C,3,FALSE), "      ")</f>
        <v xml:space="preserve">      </v>
      </c>
    </row>
    <row r="733" spans="1:4" x14ac:dyDescent="0.25">
      <c r="A733" s="241" t="s">
        <v>8037</v>
      </c>
      <c r="B733" s="10" t="str">
        <f>_xlfn.IFNA(VLOOKUP($A733,CompChecksTrans!$A:$C,2,FALSE),"")</f>
        <v/>
      </c>
      <c r="C733" s="10" t="str">
        <f>_xlfn.IFNA(VLOOKUP(B733,Phase4!A$4:C$1000,3,FALSE),"")</f>
        <v/>
      </c>
      <c r="D733" s="10" t="str">
        <f>_xlfn.IFNA(VLOOKUP($A733,CompChecksTrans!$A:$C,3,FALSE), "      ")</f>
        <v xml:space="preserve">      </v>
      </c>
    </row>
    <row r="734" spans="1:4" x14ac:dyDescent="0.25">
      <c r="A734" s="241" t="s">
        <v>8038</v>
      </c>
      <c r="B734" s="10" t="str">
        <f>_xlfn.IFNA(VLOOKUP($A734,CompChecksTrans!$A:$C,2,FALSE),"")</f>
        <v/>
      </c>
      <c r="C734" s="10" t="str">
        <f>_xlfn.IFNA(VLOOKUP(B734,Phase4!A$4:C$1000,3,FALSE),"")</f>
        <v/>
      </c>
      <c r="D734" s="10" t="str">
        <f>_xlfn.IFNA(VLOOKUP($A734,CompChecksTrans!$A:$C,3,FALSE), "      ")</f>
        <v xml:space="preserve">      </v>
      </c>
    </row>
    <row r="735" spans="1:4" x14ac:dyDescent="0.25">
      <c r="A735" s="241" t="s">
        <v>8039</v>
      </c>
      <c r="B735" s="10" t="str">
        <f>_xlfn.IFNA(VLOOKUP($A735,CompChecksTrans!$A:$C,2,FALSE),"")</f>
        <v/>
      </c>
      <c r="C735" s="10" t="str">
        <f>_xlfn.IFNA(VLOOKUP(B735,Phase4!A$4:C$1000,3,FALSE),"")</f>
        <v/>
      </c>
      <c r="D735" s="10" t="str">
        <f>_xlfn.IFNA(VLOOKUP($A735,CompChecksTrans!$A:$C,3,FALSE), "      ")</f>
        <v xml:space="preserve">      </v>
      </c>
    </row>
    <row r="736" spans="1:4" x14ac:dyDescent="0.25">
      <c r="A736" s="241" t="s">
        <v>8040</v>
      </c>
      <c r="B736" s="10" t="str">
        <f>_xlfn.IFNA(VLOOKUP($A736,CompChecksTrans!$A:$C,2,FALSE),"")</f>
        <v/>
      </c>
      <c r="C736" s="10" t="str">
        <f>_xlfn.IFNA(VLOOKUP(B736,Phase4!A$4:C$1000,3,FALSE),"")</f>
        <v/>
      </c>
      <c r="D736" s="10" t="str">
        <f>_xlfn.IFNA(VLOOKUP($A736,CompChecksTrans!$A:$C,3,FALSE), "      ")</f>
        <v xml:space="preserve">      </v>
      </c>
    </row>
    <row r="737" spans="1:4" x14ac:dyDescent="0.25">
      <c r="A737" s="241" t="s">
        <v>8041</v>
      </c>
      <c r="B737" s="10" t="str">
        <f>_xlfn.IFNA(VLOOKUP($A737,CompChecksTrans!$A:$C,2,FALSE),"")</f>
        <v/>
      </c>
      <c r="C737" s="10" t="str">
        <f>_xlfn.IFNA(VLOOKUP(B737,Phase4!A$4:C$1000,3,FALSE),"")</f>
        <v/>
      </c>
      <c r="D737" s="10" t="str">
        <f>_xlfn.IFNA(VLOOKUP($A737,CompChecksTrans!$A:$C,3,FALSE), "      ")</f>
        <v xml:space="preserve">      </v>
      </c>
    </row>
    <row r="738" spans="1:4" x14ac:dyDescent="0.25">
      <c r="A738" s="241" t="s">
        <v>8042</v>
      </c>
      <c r="B738" s="10" t="str">
        <f>_xlfn.IFNA(VLOOKUP($A738,CompChecksTrans!$A:$C,2,FALSE),"")</f>
        <v/>
      </c>
      <c r="C738" s="10" t="str">
        <f>_xlfn.IFNA(VLOOKUP(B738,Phase4!A$4:C$1000,3,FALSE),"")</f>
        <v/>
      </c>
      <c r="D738" s="10" t="str">
        <f>_xlfn.IFNA(VLOOKUP($A738,CompChecksTrans!$A:$C,3,FALSE), "      ")</f>
        <v xml:space="preserve">      </v>
      </c>
    </row>
    <row r="739" spans="1:4" x14ac:dyDescent="0.25">
      <c r="A739" s="241" t="s">
        <v>8043</v>
      </c>
      <c r="B739" s="10" t="str">
        <f>_xlfn.IFNA(VLOOKUP($A739,CompChecksTrans!$A:$C,2,FALSE),"")</f>
        <v/>
      </c>
      <c r="C739" s="10" t="str">
        <f>_xlfn.IFNA(VLOOKUP(B739,Phase4!A$4:C$1000,3,FALSE),"")</f>
        <v/>
      </c>
      <c r="D739" s="10" t="str">
        <f>_xlfn.IFNA(VLOOKUP($A739,CompChecksTrans!$A:$C,3,FALSE), "      ")</f>
        <v xml:space="preserve">      </v>
      </c>
    </row>
    <row r="740" spans="1:4" x14ac:dyDescent="0.25">
      <c r="A740" s="241" t="s">
        <v>8044</v>
      </c>
      <c r="B740" s="10" t="str">
        <f>_xlfn.IFNA(VLOOKUP($A740,CompChecksTrans!$A:$C,2,FALSE),"")</f>
        <v/>
      </c>
      <c r="C740" s="10" t="str">
        <f>_xlfn.IFNA(VLOOKUP(B740,Phase4!A$4:C$1000,3,FALSE),"")</f>
        <v/>
      </c>
      <c r="D740" s="10" t="str">
        <f>_xlfn.IFNA(VLOOKUP($A740,CompChecksTrans!$A:$C,3,FALSE), "      ")</f>
        <v xml:space="preserve">      </v>
      </c>
    </row>
    <row r="741" spans="1:4" x14ac:dyDescent="0.25">
      <c r="A741" s="241" t="s">
        <v>8045</v>
      </c>
      <c r="B741" s="10" t="str">
        <f>_xlfn.IFNA(VLOOKUP($A741,CompChecksTrans!$A:$C,2,FALSE),"")</f>
        <v/>
      </c>
      <c r="C741" s="10" t="str">
        <f>_xlfn.IFNA(VLOOKUP(B741,Phase4!A$4:C$1000,3,FALSE),"")</f>
        <v/>
      </c>
      <c r="D741" s="10" t="str">
        <f>_xlfn.IFNA(VLOOKUP($A741,CompChecksTrans!$A:$C,3,FALSE), "      ")</f>
        <v xml:space="preserve">      </v>
      </c>
    </row>
    <row r="742" spans="1:4" x14ac:dyDescent="0.25">
      <c r="A742" s="241" t="s">
        <v>8046</v>
      </c>
      <c r="B742" s="10" t="str">
        <f>_xlfn.IFNA(VLOOKUP($A742,CompChecksTrans!$A:$C,2,FALSE),"")</f>
        <v/>
      </c>
      <c r="C742" s="10" t="str">
        <f>_xlfn.IFNA(VLOOKUP(B742,Phase4!A$4:C$1000,3,FALSE),"")</f>
        <v/>
      </c>
      <c r="D742" s="10" t="str">
        <f>_xlfn.IFNA(VLOOKUP($A742,CompChecksTrans!$A:$C,3,FALSE), "      ")</f>
        <v xml:space="preserve">      </v>
      </c>
    </row>
    <row r="743" spans="1:4" x14ac:dyDescent="0.25">
      <c r="A743" s="241" t="s">
        <v>8047</v>
      </c>
      <c r="B743" s="10" t="str">
        <f>_xlfn.IFNA(VLOOKUP($A743,CompChecksTrans!$A:$C,2,FALSE),"")</f>
        <v/>
      </c>
      <c r="C743" s="10" t="str">
        <f>_xlfn.IFNA(VLOOKUP(B743,Phase4!A$4:C$1000,3,FALSE),"")</f>
        <v/>
      </c>
      <c r="D743" s="10" t="str">
        <f>_xlfn.IFNA(VLOOKUP($A743,CompChecksTrans!$A:$C,3,FALSE), "      ")</f>
        <v xml:space="preserve">      </v>
      </c>
    </row>
    <row r="744" spans="1:4" x14ac:dyDescent="0.25">
      <c r="A744" s="241" t="s">
        <v>8048</v>
      </c>
      <c r="B744" s="10" t="str">
        <f>_xlfn.IFNA(VLOOKUP($A744,CompChecksTrans!$A:$C,2,FALSE),"")</f>
        <v/>
      </c>
      <c r="C744" s="10" t="str">
        <f>_xlfn.IFNA(VLOOKUP(B744,Phase4!A$4:C$1000,3,FALSE),"")</f>
        <v/>
      </c>
      <c r="D744" s="10" t="str">
        <f>_xlfn.IFNA(VLOOKUP($A744,CompChecksTrans!$A:$C,3,FALSE), "      ")</f>
        <v xml:space="preserve">      </v>
      </c>
    </row>
    <row r="745" spans="1:4" x14ac:dyDescent="0.25">
      <c r="A745" s="241" t="s">
        <v>8049</v>
      </c>
      <c r="B745" s="10" t="str">
        <f>_xlfn.IFNA(VLOOKUP($A745,CompChecksTrans!$A:$C,2,FALSE),"")</f>
        <v/>
      </c>
      <c r="C745" s="10" t="str">
        <f>_xlfn.IFNA(VLOOKUP(B745,Phase4!A$4:C$1000,3,FALSE),"")</f>
        <v/>
      </c>
      <c r="D745" s="10" t="str">
        <f>_xlfn.IFNA(VLOOKUP($A745,CompChecksTrans!$A:$C,3,FALSE), "      ")</f>
        <v xml:space="preserve">      </v>
      </c>
    </row>
    <row r="746" spans="1:4" x14ac:dyDescent="0.25">
      <c r="A746" s="241" t="s">
        <v>8050</v>
      </c>
      <c r="B746" s="10" t="str">
        <f>_xlfn.IFNA(VLOOKUP($A746,CompChecksTrans!$A:$C,2,FALSE),"")</f>
        <v/>
      </c>
      <c r="C746" s="10" t="str">
        <f>_xlfn.IFNA(VLOOKUP(B746,Phase4!A$4:C$1000,3,FALSE),"")</f>
        <v/>
      </c>
      <c r="D746" s="10" t="str">
        <f>_xlfn.IFNA(VLOOKUP($A746,CompChecksTrans!$A:$C,3,FALSE), "      ")</f>
        <v xml:space="preserve">      </v>
      </c>
    </row>
    <row r="747" spans="1:4" x14ac:dyDescent="0.25">
      <c r="A747" s="241" t="s">
        <v>8051</v>
      </c>
      <c r="B747" s="10" t="str">
        <f>_xlfn.IFNA(VLOOKUP($A747,CompChecksTrans!$A:$C,2,FALSE),"")</f>
        <v/>
      </c>
      <c r="C747" s="10" t="str">
        <f>_xlfn.IFNA(VLOOKUP(B747,Phase4!A$4:C$1000,3,FALSE),"")</f>
        <v/>
      </c>
      <c r="D747" s="10" t="str">
        <f>_xlfn.IFNA(VLOOKUP($A747,CompChecksTrans!$A:$C,3,FALSE), "      ")</f>
        <v xml:space="preserve">      </v>
      </c>
    </row>
    <row r="748" spans="1:4" x14ac:dyDescent="0.25">
      <c r="A748" s="241" t="s">
        <v>8052</v>
      </c>
      <c r="B748" s="10" t="str">
        <f>_xlfn.IFNA(VLOOKUP($A748,CompChecksTrans!$A:$C,2,FALSE),"")</f>
        <v/>
      </c>
      <c r="C748" s="10" t="str">
        <f>_xlfn.IFNA(VLOOKUP(B748,Phase4!A$4:C$1000,3,FALSE),"")</f>
        <v/>
      </c>
      <c r="D748" s="10" t="str">
        <f>_xlfn.IFNA(VLOOKUP($A748,CompChecksTrans!$A:$C,3,FALSE), "      ")</f>
        <v xml:space="preserve">      </v>
      </c>
    </row>
    <row r="749" spans="1:4" x14ac:dyDescent="0.25">
      <c r="A749" s="241" t="s">
        <v>8053</v>
      </c>
      <c r="B749" s="10" t="str">
        <f>_xlfn.IFNA(VLOOKUP($A749,CompChecksTrans!$A:$C,2,FALSE),"")</f>
        <v/>
      </c>
      <c r="C749" s="10" t="str">
        <f>_xlfn.IFNA(VLOOKUP(B749,Phase4!A$4:C$1000,3,FALSE),"")</f>
        <v/>
      </c>
      <c r="D749" s="10" t="str">
        <f>_xlfn.IFNA(VLOOKUP($A749,CompChecksTrans!$A:$C,3,FALSE), "      ")</f>
        <v xml:space="preserve">      </v>
      </c>
    </row>
    <row r="750" spans="1:4" x14ac:dyDescent="0.25">
      <c r="A750" s="241" t="s">
        <v>8054</v>
      </c>
      <c r="B750" s="10" t="str">
        <f>_xlfn.IFNA(VLOOKUP($A750,CompChecksTrans!$A:$C,2,FALSE),"")</f>
        <v/>
      </c>
      <c r="C750" s="10" t="str">
        <f>_xlfn.IFNA(VLOOKUP(B750,Phase4!A$4:C$1000,3,FALSE),"")</f>
        <v/>
      </c>
      <c r="D750" s="10" t="str">
        <f>_xlfn.IFNA(VLOOKUP($A750,CompChecksTrans!$A:$C,3,FALSE), "      ")</f>
        <v xml:space="preserve">      </v>
      </c>
    </row>
    <row r="751" spans="1:4" x14ac:dyDescent="0.25">
      <c r="A751" s="241" t="s">
        <v>8055</v>
      </c>
      <c r="B751" s="10" t="str">
        <f>_xlfn.IFNA(VLOOKUP($A751,CompChecksTrans!$A:$C,2,FALSE),"")</f>
        <v/>
      </c>
      <c r="C751" s="10" t="str">
        <f>_xlfn.IFNA(VLOOKUP(B751,Phase4!A$4:C$1000,3,FALSE),"")</f>
        <v/>
      </c>
      <c r="D751" s="10" t="str">
        <f>_xlfn.IFNA(VLOOKUP($A751,CompChecksTrans!$A:$C,3,FALSE), "      ")</f>
        <v xml:space="preserve">      </v>
      </c>
    </row>
    <row r="752" spans="1:4" x14ac:dyDescent="0.25">
      <c r="A752" s="241" t="s">
        <v>8056</v>
      </c>
      <c r="B752" s="10" t="str">
        <f>_xlfn.IFNA(VLOOKUP($A752,CompChecksTrans!$A:$C,2,FALSE),"")</f>
        <v/>
      </c>
      <c r="C752" s="10" t="str">
        <f>_xlfn.IFNA(VLOOKUP(B752,Phase4!A$4:C$1000,3,FALSE),"")</f>
        <v/>
      </c>
      <c r="D752" s="10" t="str">
        <f>_xlfn.IFNA(VLOOKUP($A752,CompChecksTrans!$A:$C,3,FALSE), "      ")</f>
        <v xml:space="preserve">      </v>
      </c>
    </row>
    <row r="753" spans="1:4" x14ac:dyDescent="0.25">
      <c r="A753" s="241" t="s">
        <v>8057</v>
      </c>
      <c r="B753" s="10" t="str">
        <f>_xlfn.IFNA(VLOOKUP($A753,CompChecksTrans!$A:$C,2,FALSE),"")</f>
        <v/>
      </c>
      <c r="C753" s="10" t="str">
        <f>_xlfn.IFNA(VLOOKUP(B753,Phase4!A$4:C$1000,3,FALSE),"")</f>
        <v/>
      </c>
      <c r="D753" s="10" t="str">
        <f>_xlfn.IFNA(VLOOKUP($A753,CompChecksTrans!$A:$C,3,FALSE), "      ")</f>
        <v xml:space="preserve">      </v>
      </c>
    </row>
    <row r="754" spans="1:4" x14ac:dyDescent="0.25">
      <c r="A754" s="241" t="s">
        <v>8058</v>
      </c>
      <c r="B754" s="10" t="str">
        <f>_xlfn.IFNA(VLOOKUP($A754,CompChecksTrans!$A:$C,2,FALSE),"")</f>
        <v/>
      </c>
      <c r="C754" s="10" t="str">
        <f>_xlfn.IFNA(VLOOKUP(B754,Phase4!A$4:C$1000,3,FALSE),"")</f>
        <v/>
      </c>
      <c r="D754" s="10" t="str">
        <f>_xlfn.IFNA(VLOOKUP($A754,CompChecksTrans!$A:$C,3,FALSE), "      ")</f>
        <v xml:space="preserve">      </v>
      </c>
    </row>
    <row r="755" spans="1:4" x14ac:dyDescent="0.25">
      <c r="A755" s="241" t="s">
        <v>8059</v>
      </c>
      <c r="B755" s="10" t="str">
        <f>_xlfn.IFNA(VLOOKUP($A755,CompChecksTrans!$A:$C,2,FALSE),"")</f>
        <v/>
      </c>
      <c r="C755" s="10" t="str">
        <f>_xlfn.IFNA(VLOOKUP(B755,Phase4!A$4:C$1000,3,FALSE),"")</f>
        <v/>
      </c>
      <c r="D755" s="10" t="str">
        <f>_xlfn.IFNA(VLOOKUP($A755,CompChecksTrans!$A:$C,3,FALSE), "      ")</f>
        <v xml:space="preserve">      </v>
      </c>
    </row>
    <row r="756" spans="1:4" x14ac:dyDescent="0.25">
      <c r="A756" s="241" t="s">
        <v>8060</v>
      </c>
      <c r="B756" s="10" t="str">
        <f>_xlfn.IFNA(VLOOKUP($A756,CompChecksTrans!$A:$C,2,FALSE),"")</f>
        <v/>
      </c>
      <c r="C756" s="10" t="str">
        <f>_xlfn.IFNA(VLOOKUP(B756,Phase4!A$4:C$1000,3,FALSE),"")</f>
        <v/>
      </c>
      <c r="D756" s="10" t="str">
        <f>_xlfn.IFNA(VLOOKUP($A756,CompChecksTrans!$A:$C,3,FALSE), "      ")</f>
        <v xml:space="preserve">      </v>
      </c>
    </row>
    <row r="757" spans="1:4" x14ac:dyDescent="0.25">
      <c r="A757" s="241" t="s">
        <v>8061</v>
      </c>
      <c r="B757" s="10" t="str">
        <f>_xlfn.IFNA(VLOOKUP($A757,CompChecksTrans!$A:$C,2,FALSE),"")</f>
        <v/>
      </c>
      <c r="C757" s="10" t="str">
        <f>_xlfn.IFNA(VLOOKUP(B757,Phase4!A$4:C$1000,3,FALSE),"")</f>
        <v/>
      </c>
      <c r="D757" s="10" t="str">
        <f>_xlfn.IFNA(VLOOKUP($A757,CompChecksTrans!$A:$C,3,FALSE), "      ")</f>
        <v xml:space="preserve">      </v>
      </c>
    </row>
    <row r="758" spans="1:4" x14ac:dyDescent="0.25">
      <c r="A758" s="241" t="s">
        <v>8062</v>
      </c>
      <c r="B758" s="10" t="str">
        <f>_xlfn.IFNA(VLOOKUP($A758,CompChecksTrans!$A:$C,2,FALSE),"")</f>
        <v/>
      </c>
      <c r="C758" s="10" t="str">
        <f>_xlfn.IFNA(VLOOKUP(B758,Phase4!A$4:C$1000,3,FALSE),"")</f>
        <v/>
      </c>
      <c r="D758" s="10" t="str">
        <f>_xlfn.IFNA(VLOOKUP($A758,CompChecksTrans!$A:$C,3,FALSE), "      ")</f>
        <v xml:space="preserve">      </v>
      </c>
    </row>
    <row r="759" spans="1:4" x14ac:dyDescent="0.25">
      <c r="A759" s="241" t="s">
        <v>8063</v>
      </c>
      <c r="B759" s="10" t="str">
        <f>_xlfn.IFNA(VLOOKUP($A759,CompChecksTrans!$A:$C,2,FALSE),"")</f>
        <v/>
      </c>
      <c r="C759" s="10" t="str">
        <f>_xlfn.IFNA(VLOOKUP(B759,Phase4!A$4:C$1000,3,FALSE),"")</f>
        <v/>
      </c>
      <c r="D759" s="10" t="str">
        <f>_xlfn.IFNA(VLOOKUP($A759,CompChecksTrans!$A:$C,3,FALSE), "      ")</f>
        <v xml:space="preserve">      </v>
      </c>
    </row>
    <row r="760" spans="1:4" x14ac:dyDescent="0.25">
      <c r="A760" s="241" t="s">
        <v>8064</v>
      </c>
      <c r="B760" s="10" t="str">
        <f>_xlfn.IFNA(VLOOKUP($A760,CompChecksTrans!$A:$C,2,FALSE),"")</f>
        <v/>
      </c>
      <c r="C760" s="10" t="str">
        <f>_xlfn.IFNA(VLOOKUP(B760,Phase4!A$4:C$1000,3,FALSE),"")</f>
        <v/>
      </c>
      <c r="D760" s="10" t="str">
        <f>_xlfn.IFNA(VLOOKUP($A760,CompChecksTrans!$A:$C,3,FALSE), "      ")</f>
        <v xml:space="preserve">      </v>
      </c>
    </row>
    <row r="761" spans="1:4" x14ac:dyDescent="0.25">
      <c r="A761" s="241" t="s">
        <v>8065</v>
      </c>
      <c r="B761" s="10" t="str">
        <f>_xlfn.IFNA(VLOOKUP($A761,CompChecksTrans!$A:$C,2,FALSE),"")</f>
        <v/>
      </c>
      <c r="C761" s="10" t="str">
        <f>_xlfn.IFNA(VLOOKUP(B761,Phase4!A$4:C$1000,3,FALSE),"")</f>
        <v/>
      </c>
      <c r="D761" s="10" t="str">
        <f>_xlfn.IFNA(VLOOKUP($A761,CompChecksTrans!$A:$C,3,FALSE), "      ")</f>
        <v xml:space="preserve">      </v>
      </c>
    </row>
    <row r="762" spans="1:4" x14ac:dyDescent="0.25">
      <c r="A762" s="241" t="s">
        <v>8066</v>
      </c>
      <c r="B762" s="10" t="str">
        <f>_xlfn.IFNA(VLOOKUP($A762,CompChecksTrans!$A:$C,2,FALSE),"")</f>
        <v/>
      </c>
      <c r="C762" s="10" t="str">
        <f>_xlfn.IFNA(VLOOKUP(B762,Phase4!A$4:C$1000,3,FALSE),"")</f>
        <v/>
      </c>
      <c r="D762" s="10" t="str">
        <f>_xlfn.IFNA(VLOOKUP($A762,CompChecksTrans!$A:$C,3,FALSE), "      ")</f>
        <v xml:space="preserve">      </v>
      </c>
    </row>
    <row r="763" spans="1:4" x14ac:dyDescent="0.25">
      <c r="A763" s="241" t="s">
        <v>8067</v>
      </c>
      <c r="B763" s="10" t="str">
        <f>_xlfn.IFNA(VLOOKUP($A763,CompChecksTrans!$A:$C,2,FALSE),"")</f>
        <v/>
      </c>
      <c r="C763" s="10" t="str">
        <f>_xlfn.IFNA(VLOOKUP(B763,Phase4!A$4:C$1000,3,FALSE),"")</f>
        <v/>
      </c>
      <c r="D763" s="10" t="str">
        <f>_xlfn.IFNA(VLOOKUP($A763,CompChecksTrans!$A:$C,3,FALSE), "      ")</f>
        <v xml:space="preserve">      </v>
      </c>
    </row>
    <row r="764" spans="1:4" x14ac:dyDescent="0.25">
      <c r="A764" s="241" t="s">
        <v>8068</v>
      </c>
      <c r="B764" s="10" t="str">
        <f>_xlfn.IFNA(VLOOKUP($A764,CompChecksTrans!$A:$C,2,FALSE),"")</f>
        <v/>
      </c>
      <c r="C764" s="10" t="str">
        <f>_xlfn.IFNA(VLOOKUP(B764,Phase4!A$4:C$1000,3,FALSE),"")</f>
        <v/>
      </c>
      <c r="D764" s="10" t="str">
        <f>_xlfn.IFNA(VLOOKUP($A764,CompChecksTrans!$A:$C,3,FALSE), "      ")</f>
        <v xml:space="preserve">      </v>
      </c>
    </row>
    <row r="765" spans="1:4" x14ac:dyDescent="0.25">
      <c r="A765" s="241" t="s">
        <v>8069</v>
      </c>
      <c r="B765" s="10" t="str">
        <f>_xlfn.IFNA(VLOOKUP($A765,CompChecksTrans!$A:$C,2,FALSE),"")</f>
        <v/>
      </c>
      <c r="C765" s="10" t="str">
        <f>_xlfn.IFNA(VLOOKUP(B765,Phase4!A$4:C$1000,3,FALSE),"")</f>
        <v/>
      </c>
      <c r="D765" s="10" t="str">
        <f>_xlfn.IFNA(VLOOKUP($A765,CompChecksTrans!$A:$C,3,FALSE), "      ")</f>
        <v xml:space="preserve">      </v>
      </c>
    </row>
    <row r="766" spans="1:4" x14ac:dyDescent="0.25">
      <c r="A766" s="241" t="s">
        <v>8070</v>
      </c>
      <c r="B766" s="10" t="str">
        <f>_xlfn.IFNA(VLOOKUP($A766,CompChecksTrans!$A:$C,2,FALSE),"")</f>
        <v/>
      </c>
      <c r="C766" s="10" t="str">
        <f>_xlfn.IFNA(VLOOKUP(B766,Phase4!A$4:C$1000,3,FALSE),"")</f>
        <v/>
      </c>
      <c r="D766" s="10" t="str">
        <f>_xlfn.IFNA(VLOOKUP($A766,CompChecksTrans!$A:$C,3,FALSE), "      ")</f>
        <v xml:space="preserve">      </v>
      </c>
    </row>
    <row r="767" spans="1:4" x14ac:dyDescent="0.25">
      <c r="A767" s="241" t="s">
        <v>8071</v>
      </c>
      <c r="B767" s="10" t="str">
        <f>_xlfn.IFNA(VLOOKUP($A767,CompChecksTrans!$A:$C,2,FALSE),"")</f>
        <v/>
      </c>
      <c r="C767" s="10" t="str">
        <f>_xlfn.IFNA(VLOOKUP(B767,Phase4!A$4:C$1000,3,FALSE),"")</f>
        <v/>
      </c>
      <c r="D767" s="10" t="str">
        <f>_xlfn.IFNA(VLOOKUP($A767,CompChecksTrans!$A:$C,3,FALSE), "      ")</f>
        <v xml:space="preserve">      </v>
      </c>
    </row>
    <row r="768" spans="1:4" x14ac:dyDescent="0.25">
      <c r="A768" s="241" t="s">
        <v>8072</v>
      </c>
      <c r="B768" s="10" t="str">
        <f>_xlfn.IFNA(VLOOKUP($A768,CompChecksTrans!$A:$C,2,FALSE),"")</f>
        <v/>
      </c>
      <c r="C768" s="10" t="str">
        <f>_xlfn.IFNA(VLOOKUP(B768,Phase4!A$4:C$1000,3,FALSE),"")</f>
        <v/>
      </c>
      <c r="D768" s="10" t="str">
        <f>_xlfn.IFNA(VLOOKUP($A768,CompChecksTrans!$A:$C,3,FALSE), "      ")</f>
        <v xml:space="preserve">      </v>
      </c>
    </row>
    <row r="769" spans="1:4" x14ac:dyDescent="0.25">
      <c r="A769" s="241" t="s">
        <v>8073</v>
      </c>
      <c r="B769" s="10" t="str">
        <f>_xlfn.IFNA(VLOOKUP($A769,CompChecksTrans!$A:$C,2,FALSE),"")</f>
        <v/>
      </c>
      <c r="C769" s="10" t="str">
        <f>_xlfn.IFNA(VLOOKUP(B769,Phase4!A$4:C$1000,3,FALSE),"")</f>
        <v/>
      </c>
      <c r="D769" s="10" t="str">
        <f>_xlfn.IFNA(VLOOKUP($A769,CompChecksTrans!$A:$C,3,FALSE), "      ")</f>
        <v xml:space="preserve">      </v>
      </c>
    </row>
    <row r="770" spans="1:4" x14ac:dyDescent="0.25">
      <c r="A770" s="241" t="s">
        <v>8074</v>
      </c>
      <c r="B770" s="10" t="str">
        <f>_xlfn.IFNA(VLOOKUP($A770,CompChecksTrans!$A:$C,2,FALSE),"")</f>
        <v/>
      </c>
      <c r="C770" s="10" t="str">
        <f>_xlfn.IFNA(VLOOKUP(B770,Phase4!A$4:C$1000,3,FALSE),"")</f>
        <v/>
      </c>
      <c r="D770" s="10" t="str">
        <f>_xlfn.IFNA(VLOOKUP($A770,CompChecksTrans!$A:$C,3,FALSE), "      ")</f>
        <v xml:space="preserve">      </v>
      </c>
    </row>
    <row r="771" spans="1:4" x14ac:dyDescent="0.25">
      <c r="A771" s="241" t="s">
        <v>8075</v>
      </c>
      <c r="B771" s="10" t="str">
        <f>_xlfn.IFNA(VLOOKUP($A771,CompChecksTrans!$A:$C,2,FALSE),"")</f>
        <v/>
      </c>
      <c r="C771" s="10" t="str">
        <f>_xlfn.IFNA(VLOOKUP(B771,Phase4!A$4:C$1000,3,FALSE),"")</f>
        <v/>
      </c>
      <c r="D771" s="10" t="str">
        <f>_xlfn.IFNA(VLOOKUP($A771,CompChecksTrans!$A:$C,3,FALSE), "      ")</f>
        <v xml:space="preserve">      </v>
      </c>
    </row>
    <row r="772" spans="1:4" x14ac:dyDescent="0.25">
      <c r="A772" s="241" t="s">
        <v>8076</v>
      </c>
      <c r="B772" s="10" t="str">
        <f>_xlfn.IFNA(VLOOKUP($A772,CompChecksTrans!$A:$C,2,FALSE),"")</f>
        <v/>
      </c>
      <c r="C772" s="10" t="str">
        <f>_xlfn.IFNA(VLOOKUP(B772,Phase4!A$4:C$1000,3,FALSE),"")</f>
        <v/>
      </c>
      <c r="D772" s="10" t="str">
        <f>_xlfn.IFNA(VLOOKUP($A772,CompChecksTrans!$A:$C,3,FALSE), "      ")</f>
        <v xml:space="preserve">      </v>
      </c>
    </row>
    <row r="773" spans="1:4" x14ac:dyDescent="0.25">
      <c r="A773" s="241" t="s">
        <v>8077</v>
      </c>
      <c r="B773" s="10" t="str">
        <f>_xlfn.IFNA(VLOOKUP($A773,CompChecksTrans!$A:$C,2,FALSE),"")</f>
        <v/>
      </c>
      <c r="C773" s="10" t="str">
        <f>_xlfn.IFNA(VLOOKUP(B773,Phase4!A$4:C$1000,3,FALSE),"")</f>
        <v/>
      </c>
      <c r="D773" s="10" t="str">
        <f>_xlfn.IFNA(VLOOKUP($A773,CompChecksTrans!$A:$C,3,FALSE), "      ")</f>
        <v xml:space="preserve">      </v>
      </c>
    </row>
    <row r="774" spans="1:4" x14ac:dyDescent="0.25">
      <c r="A774" s="241" t="s">
        <v>8078</v>
      </c>
      <c r="B774" s="10" t="str">
        <f>_xlfn.IFNA(VLOOKUP($A774,CompChecksTrans!$A:$C,2,FALSE),"")</f>
        <v/>
      </c>
      <c r="C774" s="10" t="str">
        <f>_xlfn.IFNA(VLOOKUP(B774,Phase4!A$4:C$1000,3,FALSE),"")</f>
        <v/>
      </c>
      <c r="D774" s="10" t="str">
        <f>_xlfn.IFNA(VLOOKUP($A774,CompChecksTrans!$A:$C,3,FALSE), "      ")</f>
        <v xml:space="preserve">      </v>
      </c>
    </row>
    <row r="775" spans="1:4" x14ac:dyDescent="0.25">
      <c r="A775" s="241" t="s">
        <v>8079</v>
      </c>
      <c r="B775" s="10" t="str">
        <f>_xlfn.IFNA(VLOOKUP($A775,CompChecksTrans!$A:$C,2,FALSE),"")</f>
        <v/>
      </c>
      <c r="C775" s="10" t="str">
        <f>_xlfn.IFNA(VLOOKUP(B775,Phase4!A$4:C$1000,3,FALSE),"")</f>
        <v/>
      </c>
      <c r="D775" s="10" t="str">
        <f>_xlfn.IFNA(VLOOKUP($A775,CompChecksTrans!$A:$C,3,FALSE), "      ")</f>
        <v xml:space="preserve">      </v>
      </c>
    </row>
    <row r="776" spans="1:4" x14ac:dyDescent="0.25">
      <c r="A776" s="241" t="s">
        <v>8080</v>
      </c>
      <c r="B776" s="10" t="str">
        <f>_xlfn.IFNA(VLOOKUP($A776,CompChecksTrans!$A:$C,2,FALSE),"")</f>
        <v/>
      </c>
      <c r="C776" s="10" t="str">
        <f>_xlfn.IFNA(VLOOKUP(B776,Phase4!A$4:C$1000,3,FALSE),"")</f>
        <v/>
      </c>
      <c r="D776" s="10" t="str">
        <f>_xlfn.IFNA(VLOOKUP($A776,CompChecksTrans!$A:$C,3,FALSE), "      ")</f>
        <v xml:space="preserve">      </v>
      </c>
    </row>
    <row r="777" spans="1:4" x14ac:dyDescent="0.25">
      <c r="A777" s="241" t="s">
        <v>8081</v>
      </c>
      <c r="B777" s="10" t="str">
        <f>_xlfn.IFNA(VLOOKUP($A777,CompChecksTrans!$A:$C,2,FALSE),"")</f>
        <v/>
      </c>
      <c r="C777" s="10" t="str">
        <f>_xlfn.IFNA(VLOOKUP(B777,Phase4!A$4:C$1000,3,FALSE),"")</f>
        <v/>
      </c>
      <c r="D777" s="10" t="str">
        <f>_xlfn.IFNA(VLOOKUP($A777,CompChecksTrans!$A:$C,3,FALSE), "      ")</f>
        <v xml:space="preserve">      </v>
      </c>
    </row>
    <row r="778" spans="1:4" x14ac:dyDescent="0.25">
      <c r="A778" s="241" t="s">
        <v>8082</v>
      </c>
      <c r="B778" s="10" t="str">
        <f>_xlfn.IFNA(VLOOKUP($A778,CompChecksTrans!$A:$C,2,FALSE),"")</f>
        <v/>
      </c>
      <c r="C778" s="10" t="str">
        <f>_xlfn.IFNA(VLOOKUP(B778,Phase4!A$4:C$1000,3,FALSE),"")</f>
        <v/>
      </c>
      <c r="D778" s="10" t="str">
        <f>_xlfn.IFNA(VLOOKUP($A778,CompChecksTrans!$A:$C,3,FALSE), "      ")</f>
        <v xml:space="preserve">      </v>
      </c>
    </row>
    <row r="779" spans="1:4" x14ac:dyDescent="0.25">
      <c r="A779" s="241" t="s">
        <v>8083</v>
      </c>
      <c r="B779" s="10" t="str">
        <f>_xlfn.IFNA(VLOOKUP($A779,CompChecksTrans!$A:$C,2,FALSE),"")</f>
        <v/>
      </c>
      <c r="C779" s="10" t="str">
        <f>_xlfn.IFNA(VLOOKUP(B779,Phase4!A$4:C$1000,3,FALSE),"")</f>
        <v/>
      </c>
      <c r="D779" s="10" t="str">
        <f>_xlfn.IFNA(VLOOKUP($A779,CompChecksTrans!$A:$C,3,FALSE), "      ")</f>
        <v xml:space="preserve">      </v>
      </c>
    </row>
    <row r="780" spans="1:4" x14ac:dyDescent="0.25">
      <c r="A780" s="241" t="s">
        <v>8084</v>
      </c>
      <c r="B780" s="10" t="str">
        <f>_xlfn.IFNA(VLOOKUP($A780,CompChecksTrans!$A:$C,2,FALSE),"")</f>
        <v/>
      </c>
      <c r="C780" s="10" t="str">
        <f>_xlfn.IFNA(VLOOKUP(B780,Phase4!A$4:C$1000,3,FALSE),"")</f>
        <v/>
      </c>
      <c r="D780" s="10" t="str">
        <f>_xlfn.IFNA(VLOOKUP($A780,CompChecksTrans!$A:$C,3,FALSE), "      ")</f>
        <v xml:space="preserve">      </v>
      </c>
    </row>
    <row r="781" spans="1:4" x14ac:dyDescent="0.25">
      <c r="A781" s="241" t="s">
        <v>8085</v>
      </c>
      <c r="B781" s="10" t="str">
        <f>_xlfn.IFNA(VLOOKUP($A781,CompChecksTrans!$A:$C,2,FALSE),"")</f>
        <v/>
      </c>
      <c r="C781" s="10" t="str">
        <f>_xlfn.IFNA(VLOOKUP(B781,Phase4!A$4:C$1000,3,FALSE),"")</f>
        <v/>
      </c>
      <c r="D781" s="10" t="str">
        <f>_xlfn.IFNA(VLOOKUP($A781,CompChecksTrans!$A:$C,3,FALSE), "      ")</f>
        <v xml:space="preserve">      </v>
      </c>
    </row>
    <row r="782" spans="1:4" x14ac:dyDescent="0.25">
      <c r="A782" s="241" t="s">
        <v>8086</v>
      </c>
      <c r="B782" s="10" t="str">
        <f>_xlfn.IFNA(VLOOKUP($A782,CompChecksTrans!$A:$C,2,FALSE),"")</f>
        <v/>
      </c>
      <c r="C782" s="10" t="str">
        <f>_xlfn.IFNA(VLOOKUP(B782,Phase4!A$4:C$1000,3,FALSE),"")</f>
        <v/>
      </c>
      <c r="D782" s="10" t="str">
        <f>_xlfn.IFNA(VLOOKUP($A782,CompChecksTrans!$A:$C,3,FALSE), "      ")</f>
        <v xml:space="preserve">      </v>
      </c>
    </row>
    <row r="783" spans="1:4" x14ac:dyDescent="0.25">
      <c r="A783" s="241" t="s">
        <v>8087</v>
      </c>
      <c r="B783" s="10" t="str">
        <f>_xlfn.IFNA(VLOOKUP($A783,CompChecksTrans!$A:$C,2,FALSE),"")</f>
        <v/>
      </c>
      <c r="C783" s="10" t="str">
        <f>_xlfn.IFNA(VLOOKUP(B783,Phase4!A$4:C$1000,3,FALSE),"")</f>
        <v/>
      </c>
      <c r="D783" s="10" t="str">
        <f>_xlfn.IFNA(VLOOKUP($A783,CompChecksTrans!$A:$C,3,FALSE), "      ")</f>
        <v xml:space="preserve">      </v>
      </c>
    </row>
    <row r="784" spans="1:4" x14ac:dyDescent="0.25">
      <c r="A784" s="241" t="s">
        <v>8088</v>
      </c>
      <c r="B784" s="10" t="str">
        <f>_xlfn.IFNA(VLOOKUP($A784,CompChecksTrans!$A:$C,2,FALSE),"")</f>
        <v/>
      </c>
      <c r="C784" s="10" t="str">
        <f>_xlfn.IFNA(VLOOKUP(B784,Phase4!A$4:C$1000,3,FALSE),"")</f>
        <v/>
      </c>
      <c r="D784" s="10" t="str">
        <f>_xlfn.IFNA(VLOOKUP($A784,CompChecksTrans!$A:$C,3,FALSE), "      ")</f>
        <v xml:space="preserve">      </v>
      </c>
    </row>
    <row r="785" spans="1:4" x14ac:dyDescent="0.25">
      <c r="A785" s="241" t="s">
        <v>8089</v>
      </c>
      <c r="B785" s="10" t="str">
        <f>_xlfn.IFNA(VLOOKUP($A785,CompChecksTrans!$A:$C,2,FALSE),"")</f>
        <v/>
      </c>
      <c r="C785" s="10" t="str">
        <f>_xlfn.IFNA(VLOOKUP(B785,Phase4!A$4:C$1000,3,FALSE),"")</f>
        <v/>
      </c>
      <c r="D785" s="10" t="str">
        <f>_xlfn.IFNA(VLOOKUP($A785,CompChecksTrans!$A:$C,3,FALSE), "      ")</f>
        <v xml:space="preserve">      </v>
      </c>
    </row>
    <row r="786" spans="1:4" x14ac:dyDescent="0.25">
      <c r="A786" s="241" t="s">
        <v>8090</v>
      </c>
      <c r="B786" s="10" t="str">
        <f>_xlfn.IFNA(VLOOKUP($A786,CompChecksTrans!$A:$C,2,FALSE),"")</f>
        <v/>
      </c>
      <c r="C786" s="10" t="str">
        <f>_xlfn.IFNA(VLOOKUP(B786,Phase4!A$4:C$1000,3,FALSE),"")</f>
        <v/>
      </c>
      <c r="D786" s="10" t="str">
        <f>_xlfn.IFNA(VLOOKUP($A786,CompChecksTrans!$A:$C,3,FALSE), "      ")</f>
        <v xml:space="preserve">      </v>
      </c>
    </row>
    <row r="787" spans="1:4" x14ac:dyDescent="0.25">
      <c r="A787" s="241" t="s">
        <v>8091</v>
      </c>
      <c r="B787" s="10" t="str">
        <f>_xlfn.IFNA(VLOOKUP($A787,CompChecksTrans!$A:$C,2,FALSE),"")</f>
        <v/>
      </c>
      <c r="C787" s="10" t="str">
        <f>_xlfn.IFNA(VLOOKUP(B787,Phase4!A$4:C$1000,3,FALSE),"")</f>
        <v/>
      </c>
      <c r="D787" s="10" t="str">
        <f>_xlfn.IFNA(VLOOKUP($A787,CompChecksTrans!$A:$C,3,FALSE), "      ")</f>
        <v xml:space="preserve">      </v>
      </c>
    </row>
    <row r="788" spans="1:4" x14ac:dyDescent="0.25">
      <c r="A788" s="241" t="s">
        <v>8092</v>
      </c>
      <c r="B788" s="10" t="str">
        <f>_xlfn.IFNA(VLOOKUP($A788,CompChecksTrans!$A:$C,2,FALSE),"")</f>
        <v/>
      </c>
      <c r="C788" s="10" t="str">
        <f>_xlfn.IFNA(VLOOKUP(B788,Phase4!A$4:C$1000,3,FALSE),"")</f>
        <v/>
      </c>
      <c r="D788" s="10" t="str">
        <f>_xlfn.IFNA(VLOOKUP($A788,CompChecksTrans!$A:$C,3,FALSE), "      ")</f>
        <v xml:space="preserve">      </v>
      </c>
    </row>
    <row r="789" spans="1:4" x14ac:dyDescent="0.25">
      <c r="A789" s="241" t="s">
        <v>8093</v>
      </c>
      <c r="B789" s="10" t="str">
        <f>_xlfn.IFNA(VLOOKUP($A789,CompChecksTrans!$A:$C,2,FALSE),"")</f>
        <v/>
      </c>
      <c r="C789" s="10" t="str">
        <f>_xlfn.IFNA(VLOOKUP(B789,Phase4!A$4:C$1000,3,FALSE),"")</f>
        <v/>
      </c>
      <c r="D789" s="10" t="str">
        <f>_xlfn.IFNA(VLOOKUP($A789,CompChecksTrans!$A:$C,3,FALSE), "      ")</f>
        <v xml:space="preserve">      </v>
      </c>
    </row>
    <row r="790" spans="1:4" x14ac:dyDescent="0.25">
      <c r="A790" s="241" t="s">
        <v>8094</v>
      </c>
      <c r="B790" s="10" t="str">
        <f>_xlfn.IFNA(VLOOKUP($A790,CompChecksTrans!$A:$C,2,FALSE),"")</f>
        <v/>
      </c>
      <c r="C790" s="10" t="str">
        <f>_xlfn.IFNA(VLOOKUP(B790,Phase4!A$4:C$1000,3,FALSE),"")</f>
        <v/>
      </c>
      <c r="D790" s="10" t="str">
        <f>_xlfn.IFNA(VLOOKUP($A790,CompChecksTrans!$A:$C,3,FALSE), "      ")</f>
        <v xml:space="preserve">      </v>
      </c>
    </row>
    <row r="791" spans="1:4" x14ac:dyDescent="0.25">
      <c r="A791" s="241" t="s">
        <v>8095</v>
      </c>
      <c r="B791" s="10" t="str">
        <f>_xlfn.IFNA(VLOOKUP($A791,CompChecksTrans!$A:$C,2,FALSE),"")</f>
        <v/>
      </c>
      <c r="C791" s="10" t="str">
        <f>_xlfn.IFNA(VLOOKUP(B791,Phase4!A$4:C$1000,3,FALSE),"")</f>
        <v/>
      </c>
      <c r="D791" s="10" t="str">
        <f>_xlfn.IFNA(VLOOKUP($A791,CompChecksTrans!$A:$C,3,FALSE), "      ")</f>
        <v xml:space="preserve">      </v>
      </c>
    </row>
    <row r="792" spans="1:4" x14ac:dyDescent="0.25">
      <c r="A792" s="241" t="s">
        <v>8096</v>
      </c>
      <c r="B792" s="10" t="str">
        <f>_xlfn.IFNA(VLOOKUP($A792,CompChecksTrans!$A:$C,2,FALSE),"")</f>
        <v/>
      </c>
      <c r="C792" s="10" t="str">
        <f>_xlfn.IFNA(VLOOKUP(B792,Phase4!A$4:C$1000,3,FALSE),"")</f>
        <v/>
      </c>
      <c r="D792" s="10" t="str">
        <f>_xlfn.IFNA(VLOOKUP($A792,CompChecksTrans!$A:$C,3,FALSE), "      ")</f>
        <v xml:space="preserve">      </v>
      </c>
    </row>
    <row r="793" spans="1:4" x14ac:dyDescent="0.25">
      <c r="A793" s="241" t="s">
        <v>8097</v>
      </c>
      <c r="B793" s="10" t="str">
        <f>_xlfn.IFNA(VLOOKUP($A793,CompChecksTrans!$A:$C,2,FALSE),"")</f>
        <v/>
      </c>
      <c r="C793" s="10" t="str">
        <f>_xlfn.IFNA(VLOOKUP(B793,Phase4!A$4:C$1000,3,FALSE),"")</f>
        <v/>
      </c>
      <c r="D793" s="10" t="str">
        <f>_xlfn.IFNA(VLOOKUP($A793,CompChecksTrans!$A:$C,3,FALSE), "      ")</f>
        <v xml:space="preserve">      </v>
      </c>
    </row>
    <row r="794" spans="1:4" x14ac:dyDescent="0.25">
      <c r="A794" s="241" t="s">
        <v>8098</v>
      </c>
      <c r="B794" s="10" t="str">
        <f>_xlfn.IFNA(VLOOKUP($A794,CompChecksTrans!$A:$C,2,FALSE),"")</f>
        <v/>
      </c>
      <c r="C794" s="10" t="str">
        <f>_xlfn.IFNA(VLOOKUP(B794,Phase4!A$4:C$1000,3,FALSE),"")</f>
        <v/>
      </c>
      <c r="D794" s="10" t="str">
        <f>_xlfn.IFNA(VLOOKUP($A794,CompChecksTrans!$A:$C,3,FALSE), "      ")</f>
        <v xml:space="preserve">      </v>
      </c>
    </row>
    <row r="795" spans="1:4" x14ac:dyDescent="0.25">
      <c r="A795" s="241" t="s">
        <v>8099</v>
      </c>
      <c r="B795" s="10" t="str">
        <f>_xlfn.IFNA(VLOOKUP($A795,CompChecksTrans!$A:$C,2,FALSE),"")</f>
        <v/>
      </c>
      <c r="C795" s="10" t="str">
        <f>_xlfn.IFNA(VLOOKUP(B795,Phase4!A$4:C$1000,3,FALSE),"")</f>
        <v/>
      </c>
      <c r="D795" s="10" t="str">
        <f>_xlfn.IFNA(VLOOKUP($A795,CompChecksTrans!$A:$C,3,FALSE), "      ")</f>
        <v xml:space="preserve">      </v>
      </c>
    </row>
    <row r="796" spans="1:4" x14ac:dyDescent="0.25">
      <c r="A796" s="241" t="s">
        <v>8100</v>
      </c>
      <c r="B796" s="10" t="str">
        <f>_xlfn.IFNA(VLOOKUP($A796,CompChecksTrans!$A:$C,2,FALSE),"")</f>
        <v/>
      </c>
      <c r="C796" s="10" t="str">
        <f>_xlfn.IFNA(VLOOKUP(B796,Phase4!A$4:C$1000,3,FALSE),"")</f>
        <v/>
      </c>
      <c r="D796" s="10" t="str">
        <f>_xlfn.IFNA(VLOOKUP($A796,CompChecksTrans!$A:$C,3,FALSE), "      ")</f>
        <v xml:space="preserve">      </v>
      </c>
    </row>
    <row r="797" spans="1:4" x14ac:dyDescent="0.25">
      <c r="A797" s="241" t="s">
        <v>8101</v>
      </c>
      <c r="B797" s="10" t="str">
        <f>_xlfn.IFNA(VLOOKUP($A797,CompChecksTrans!$A:$C,2,FALSE),"")</f>
        <v/>
      </c>
      <c r="C797" s="10" t="str">
        <f>_xlfn.IFNA(VLOOKUP(B797,Phase4!A$4:C$1000,3,FALSE),"")</f>
        <v/>
      </c>
      <c r="D797" s="10" t="str">
        <f>_xlfn.IFNA(VLOOKUP($A797,CompChecksTrans!$A:$C,3,FALSE), "      ")</f>
        <v xml:space="preserve">      </v>
      </c>
    </row>
    <row r="798" spans="1:4" x14ac:dyDescent="0.25">
      <c r="A798" s="241" t="s">
        <v>8102</v>
      </c>
      <c r="B798" s="10" t="str">
        <f>_xlfn.IFNA(VLOOKUP($A798,CompChecksTrans!$A:$C,2,FALSE),"")</f>
        <v/>
      </c>
      <c r="C798" s="10" t="str">
        <f>_xlfn.IFNA(VLOOKUP(B798,Phase4!A$4:C$1000,3,FALSE),"")</f>
        <v/>
      </c>
      <c r="D798" s="10" t="str">
        <f>_xlfn.IFNA(VLOOKUP($A798,CompChecksTrans!$A:$C,3,FALSE), "      ")</f>
        <v xml:space="preserve">      </v>
      </c>
    </row>
    <row r="799" spans="1:4" x14ac:dyDescent="0.25">
      <c r="A799" s="241" t="s">
        <v>8103</v>
      </c>
      <c r="B799" s="10" t="str">
        <f>_xlfn.IFNA(VLOOKUP($A799,CompChecksTrans!$A:$C,2,FALSE),"")</f>
        <v/>
      </c>
      <c r="C799" s="10" t="str">
        <f>_xlfn.IFNA(VLOOKUP(B799,Phase4!A$4:C$1000,3,FALSE),"")</f>
        <v/>
      </c>
      <c r="D799" s="10" t="str">
        <f>_xlfn.IFNA(VLOOKUP($A799,CompChecksTrans!$A:$C,3,FALSE), "      ")</f>
        <v xml:space="preserve">      </v>
      </c>
    </row>
    <row r="800" spans="1:4" x14ac:dyDescent="0.25">
      <c r="A800" s="241" t="s">
        <v>8104</v>
      </c>
      <c r="B800" s="10" t="str">
        <f>_xlfn.IFNA(VLOOKUP($A800,CompChecksTrans!$A:$C,2,FALSE),"")</f>
        <v/>
      </c>
      <c r="C800" s="10" t="str">
        <f>_xlfn.IFNA(VLOOKUP(B800,Phase4!A$4:C$1000,3,FALSE),"")</f>
        <v/>
      </c>
      <c r="D800" s="10" t="str">
        <f>_xlfn.IFNA(VLOOKUP($A800,CompChecksTrans!$A:$C,3,FALSE), "      ")</f>
        <v xml:space="preserve">      </v>
      </c>
    </row>
    <row r="801" spans="1:4" x14ac:dyDescent="0.25">
      <c r="A801" s="241" t="s">
        <v>8105</v>
      </c>
      <c r="B801" s="10" t="str">
        <f>_xlfn.IFNA(VLOOKUP($A801,CompChecksTrans!$A:$C,2,FALSE),"")</f>
        <v/>
      </c>
      <c r="C801" s="10" t="str">
        <f>_xlfn.IFNA(VLOOKUP(B801,Phase4!A$4:C$1000,3,FALSE),"")</f>
        <v/>
      </c>
      <c r="D801" s="10" t="str">
        <f>_xlfn.IFNA(VLOOKUP($A801,CompChecksTrans!$A:$C,3,FALSE), "      ")</f>
        <v xml:space="preserve">      </v>
      </c>
    </row>
    <row r="802" spans="1:4" x14ac:dyDescent="0.25">
      <c r="A802" s="241" t="s">
        <v>8106</v>
      </c>
      <c r="B802" s="10" t="str">
        <f>_xlfn.IFNA(VLOOKUP($A802,CompChecksTrans!$A:$C,2,FALSE),"")</f>
        <v/>
      </c>
      <c r="C802" s="10" t="str">
        <f>_xlfn.IFNA(VLOOKUP(B802,Phase4!A$4:C$1000,3,FALSE),"")</f>
        <v/>
      </c>
      <c r="D802" s="10" t="str">
        <f>_xlfn.IFNA(VLOOKUP($A802,CompChecksTrans!$A:$C,3,FALSE), "      ")</f>
        <v xml:space="preserve">      </v>
      </c>
    </row>
    <row r="803" spans="1:4" x14ac:dyDescent="0.25">
      <c r="A803" s="241" t="s">
        <v>8107</v>
      </c>
      <c r="B803" s="10" t="str">
        <f>_xlfn.IFNA(VLOOKUP($A803,CompChecksTrans!$A:$C,2,FALSE),"")</f>
        <v/>
      </c>
      <c r="C803" s="10" t="str">
        <f>_xlfn.IFNA(VLOOKUP(B803,Phase4!A$4:C$1000,3,FALSE),"")</f>
        <v/>
      </c>
      <c r="D803" s="10" t="str">
        <f>_xlfn.IFNA(VLOOKUP($A803,CompChecksTrans!$A:$C,3,FALSE), "      ")</f>
        <v xml:space="preserve">      </v>
      </c>
    </row>
    <row r="804" spans="1:4" x14ac:dyDescent="0.25">
      <c r="A804" s="241" t="s">
        <v>8108</v>
      </c>
      <c r="B804" s="10" t="str">
        <f>_xlfn.IFNA(VLOOKUP($A804,CompChecksTrans!$A:$C,2,FALSE),"")</f>
        <v/>
      </c>
      <c r="C804" s="10" t="str">
        <f>_xlfn.IFNA(VLOOKUP(B804,Phase4!A$4:C$1000,3,FALSE),"")</f>
        <v/>
      </c>
      <c r="D804" s="10" t="str">
        <f>_xlfn.IFNA(VLOOKUP($A804,CompChecksTrans!$A:$C,3,FALSE), "      ")</f>
        <v xml:space="preserve">      </v>
      </c>
    </row>
    <row r="805" spans="1:4" x14ac:dyDescent="0.25">
      <c r="A805" s="241" t="s">
        <v>8109</v>
      </c>
      <c r="B805" s="10" t="str">
        <f>_xlfn.IFNA(VLOOKUP($A805,CompChecksTrans!$A:$C,2,FALSE),"")</f>
        <v/>
      </c>
      <c r="C805" s="10" t="str">
        <f>_xlfn.IFNA(VLOOKUP(B805,Phase4!A$4:C$1000,3,FALSE),"")</f>
        <v/>
      </c>
      <c r="D805" s="10" t="str">
        <f>_xlfn.IFNA(VLOOKUP($A805,CompChecksTrans!$A:$C,3,FALSE), "      ")</f>
        <v xml:space="preserve">      </v>
      </c>
    </row>
    <row r="806" spans="1:4" x14ac:dyDescent="0.25">
      <c r="A806" s="241" t="s">
        <v>8110</v>
      </c>
      <c r="B806" s="10" t="str">
        <f>_xlfn.IFNA(VLOOKUP($A806,CompChecksTrans!$A:$C,2,FALSE),"")</f>
        <v/>
      </c>
      <c r="C806" s="10" t="str">
        <f>_xlfn.IFNA(VLOOKUP(B806,Phase4!A$4:C$1000,3,FALSE),"")</f>
        <v/>
      </c>
      <c r="D806" s="10" t="str">
        <f>_xlfn.IFNA(VLOOKUP($A806,CompChecksTrans!$A:$C,3,FALSE), "      ")</f>
        <v xml:space="preserve">      </v>
      </c>
    </row>
    <row r="807" spans="1:4" x14ac:dyDescent="0.25">
      <c r="A807" s="241" t="s">
        <v>8111</v>
      </c>
      <c r="B807" s="10" t="str">
        <f>_xlfn.IFNA(VLOOKUP($A807,CompChecksTrans!$A:$C,2,FALSE),"")</f>
        <v/>
      </c>
      <c r="C807" s="10" t="str">
        <f>_xlfn.IFNA(VLOOKUP(B807,Phase4!A$4:C$1000,3,FALSE),"")</f>
        <v/>
      </c>
      <c r="D807" s="10" t="str">
        <f>_xlfn.IFNA(VLOOKUP($A807,CompChecksTrans!$A:$C,3,FALSE), "      ")</f>
        <v xml:space="preserve">      </v>
      </c>
    </row>
    <row r="808" spans="1:4" x14ac:dyDescent="0.25">
      <c r="A808" s="241" t="s">
        <v>8112</v>
      </c>
      <c r="B808" s="10" t="str">
        <f>_xlfn.IFNA(VLOOKUP($A808,CompChecksTrans!$A:$C,2,FALSE),"")</f>
        <v/>
      </c>
      <c r="C808" s="10" t="str">
        <f>_xlfn.IFNA(VLOOKUP(B808,Phase4!A$4:C$1000,3,FALSE),"")</f>
        <v/>
      </c>
      <c r="D808" s="10" t="str">
        <f>_xlfn.IFNA(VLOOKUP($A808,CompChecksTrans!$A:$C,3,FALSE), "      ")</f>
        <v xml:space="preserve">      </v>
      </c>
    </row>
    <row r="809" spans="1:4" x14ac:dyDescent="0.25">
      <c r="A809" s="241" t="s">
        <v>8113</v>
      </c>
      <c r="B809" s="10" t="str">
        <f>_xlfn.IFNA(VLOOKUP($A809,CompChecksTrans!$A:$C,2,FALSE),"")</f>
        <v/>
      </c>
      <c r="C809" s="10" t="str">
        <f>_xlfn.IFNA(VLOOKUP(B809,Phase4!A$4:C$1000,3,FALSE),"")</f>
        <v/>
      </c>
      <c r="D809" s="10" t="str">
        <f>_xlfn.IFNA(VLOOKUP($A809,CompChecksTrans!$A:$C,3,FALSE), "      ")</f>
        <v xml:space="preserve">      </v>
      </c>
    </row>
    <row r="810" spans="1:4" x14ac:dyDescent="0.25">
      <c r="A810" s="241" t="s">
        <v>8114</v>
      </c>
      <c r="B810" s="10" t="str">
        <f>_xlfn.IFNA(VLOOKUP($A810,CompChecksTrans!$A:$C,2,FALSE),"")</f>
        <v/>
      </c>
      <c r="C810" s="10" t="str">
        <f>_xlfn.IFNA(VLOOKUP(B810,Phase4!A$4:C$1000,3,FALSE),"")</f>
        <v/>
      </c>
      <c r="D810" s="10" t="str">
        <f>_xlfn.IFNA(VLOOKUP($A810,CompChecksTrans!$A:$C,3,FALSE), "      ")</f>
        <v xml:space="preserve">      </v>
      </c>
    </row>
    <row r="811" spans="1:4" x14ac:dyDescent="0.25">
      <c r="A811" s="241" t="s">
        <v>8115</v>
      </c>
      <c r="B811" s="10" t="str">
        <f>_xlfn.IFNA(VLOOKUP($A811,CompChecksTrans!$A:$C,2,FALSE),"")</f>
        <v/>
      </c>
      <c r="C811" s="10" t="str">
        <f>_xlfn.IFNA(VLOOKUP(B811,Phase4!A$4:C$1000,3,FALSE),"")</f>
        <v/>
      </c>
      <c r="D811" s="10" t="str">
        <f>_xlfn.IFNA(VLOOKUP($A811,CompChecksTrans!$A:$C,3,FALSE), "      ")</f>
        <v xml:space="preserve">      </v>
      </c>
    </row>
    <row r="812" spans="1:4" x14ac:dyDescent="0.25">
      <c r="A812" s="241" t="s">
        <v>8116</v>
      </c>
      <c r="B812" s="10" t="str">
        <f>_xlfn.IFNA(VLOOKUP($A812,CompChecksTrans!$A:$C,2,FALSE),"")</f>
        <v/>
      </c>
      <c r="C812" s="10" t="str">
        <f>_xlfn.IFNA(VLOOKUP(B812,Phase4!A$4:C$1000,3,FALSE),"")</f>
        <v/>
      </c>
      <c r="D812" s="10" t="str">
        <f>_xlfn.IFNA(VLOOKUP($A812,CompChecksTrans!$A:$C,3,FALSE), "      ")</f>
        <v xml:space="preserve">      </v>
      </c>
    </row>
    <row r="813" spans="1:4" x14ac:dyDescent="0.25">
      <c r="A813" s="241" t="s">
        <v>8117</v>
      </c>
      <c r="B813" s="10" t="str">
        <f>_xlfn.IFNA(VLOOKUP($A813,CompChecksTrans!$A:$C,2,FALSE),"")</f>
        <v/>
      </c>
      <c r="C813" s="10" t="str">
        <f>_xlfn.IFNA(VLOOKUP(B813,Phase4!A$4:C$1000,3,FALSE),"")</f>
        <v/>
      </c>
      <c r="D813" s="10" t="str">
        <f>_xlfn.IFNA(VLOOKUP($A813,CompChecksTrans!$A:$C,3,FALSE), "      ")</f>
        <v xml:space="preserve">      </v>
      </c>
    </row>
    <row r="814" spans="1:4" x14ac:dyDescent="0.25">
      <c r="A814" s="241" t="s">
        <v>8118</v>
      </c>
      <c r="B814" s="10" t="str">
        <f>_xlfn.IFNA(VLOOKUP($A814,CompChecksTrans!$A:$C,2,FALSE),"")</f>
        <v/>
      </c>
      <c r="C814" s="10" t="str">
        <f>_xlfn.IFNA(VLOOKUP(B814,Phase4!A$4:C$1000,3,FALSE),"")</f>
        <v/>
      </c>
      <c r="D814" s="10" t="str">
        <f>_xlfn.IFNA(VLOOKUP($A814,CompChecksTrans!$A:$C,3,FALSE), "      ")</f>
        <v xml:space="preserve">      </v>
      </c>
    </row>
    <row r="815" spans="1:4" x14ac:dyDescent="0.25">
      <c r="A815" s="241" t="s">
        <v>8119</v>
      </c>
      <c r="B815" s="10" t="str">
        <f>_xlfn.IFNA(VLOOKUP($A815,CompChecksTrans!$A:$C,2,FALSE),"")</f>
        <v/>
      </c>
      <c r="C815" s="10" t="str">
        <f>_xlfn.IFNA(VLOOKUP(B815,Phase4!A$4:C$1000,3,FALSE),"")</f>
        <v/>
      </c>
      <c r="D815" s="10" t="str">
        <f>_xlfn.IFNA(VLOOKUP($A815,CompChecksTrans!$A:$C,3,FALSE), "      ")</f>
        <v xml:space="preserve">      </v>
      </c>
    </row>
    <row r="816" spans="1:4" x14ac:dyDescent="0.25">
      <c r="A816" s="241" t="s">
        <v>8120</v>
      </c>
      <c r="B816" s="10" t="str">
        <f>_xlfn.IFNA(VLOOKUP($A816,CompChecksTrans!$A:$C,2,FALSE),"")</f>
        <v/>
      </c>
      <c r="C816" s="10" t="str">
        <f>_xlfn.IFNA(VLOOKUP(B816,Phase4!A$4:C$1000,3,FALSE),"")</f>
        <v/>
      </c>
      <c r="D816" s="10" t="str">
        <f>_xlfn.IFNA(VLOOKUP($A816,CompChecksTrans!$A:$C,3,FALSE), "      ")</f>
        <v xml:space="preserve">      </v>
      </c>
    </row>
    <row r="817" spans="1:4" x14ac:dyDescent="0.25">
      <c r="A817" s="241" t="s">
        <v>8121</v>
      </c>
      <c r="B817" s="10" t="str">
        <f>_xlfn.IFNA(VLOOKUP($A817,CompChecksTrans!$A:$C,2,FALSE),"")</f>
        <v/>
      </c>
      <c r="C817" s="10" t="str">
        <f>_xlfn.IFNA(VLOOKUP(B817,Phase4!A$4:C$1000,3,FALSE),"")</f>
        <v/>
      </c>
      <c r="D817" s="10" t="str">
        <f>_xlfn.IFNA(VLOOKUP($A817,CompChecksTrans!$A:$C,3,FALSE), "      ")</f>
        <v xml:space="preserve">      </v>
      </c>
    </row>
    <row r="818" spans="1:4" x14ac:dyDescent="0.25">
      <c r="A818" s="241" t="s">
        <v>8122</v>
      </c>
      <c r="B818" s="10" t="str">
        <f>_xlfn.IFNA(VLOOKUP($A818,CompChecksTrans!$A:$C,2,FALSE),"")</f>
        <v/>
      </c>
      <c r="C818" s="10" t="str">
        <f>_xlfn.IFNA(VLOOKUP(B818,Phase4!A$4:C$1000,3,FALSE),"")</f>
        <v/>
      </c>
      <c r="D818" s="10" t="str">
        <f>_xlfn.IFNA(VLOOKUP($A818,CompChecksTrans!$A:$C,3,FALSE), "      ")</f>
        <v xml:space="preserve">      </v>
      </c>
    </row>
    <row r="819" spans="1:4" x14ac:dyDescent="0.25">
      <c r="A819" s="241" t="s">
        <v>8123</v>
      </c>
      <c r="B819" s="10" t="str">
        <f>_xlfn.IFNA(VLOOKUP($A819,CompChecksTrans!$A:$C,2,FALSE),"")</f>
        <v/>
      </c>
      <c r="C819" s="10" t="str">
        <f>_xlfn.IFNA(VLOOKUP(B819,Phase4!A$4:C$1000,3,FALSE),"")</f>
        <v/>
      </c>
      <c r="D819" s="10" t="str">
        <f>_xlfn.IFNA(VLOOKUP($A819,CompChecksTrans!$A:$C,3,FALSE), "      ")</f>
        <v xml:space="preserve">      </v>
      </c>
    </row>
    <row r="820" spans="1:4" x14ac:dyDescent="0.25">
      <c r="A820" s="241" t="s">
        <v>8124</v>
      </c>
      <c r="B820" s="10" t="str">
        <f>_xlfn.IFNA(VLOOKUP($A820,CompChecksTrans!$A:$C,2,FALSE),"")</f>
        <v/>
      </c>
      <c r="C820" s="10" t="str">
        <f>_xlfn.IFNA(VLOOKUP(B820,Phase4!A$4:C$1000,3,FALSE),"")</f>
        <v/>
      </c>
      <c r="D820" s="10" t="str">
        <f>_xlfn.IFNA(VLOOKUP($A820,CompChecksTrans!$A:$C,3,FALSE), "      ")</f>
        <v xml:space="preserve">      </v>
      </c>
    </row>
    <row r="821" spans="1:4" x14ac:dyDescent="0.25">
      <c r="A821" s="241" t="s">
        <v>8125</v>
      </c>
      <c r="B821" s="10" t="str">
        <f>_xlfn.IFNA(VLOOKUP($A821,CompChecksTrans!$A:$C,2,FALSE),"")</f>
        <v/>
      </c>
      <c r="C821" s="10" t="str">
        <f>_xlfn.IFNA(VLOOKUP(B821,Phase4!A$4:C$1000,3,FALSE),"")</f>
        <v/>
      </c>
      <c r="D821" s="10" t="str">
        <f>_xlfn.IFNA(VLOOKUP($A821,CompChecksTrans!$A:$C,3,FALSE), "      ")</f>
        <v xml:space="preserve">      </v>
      </c>
    </row>
    <row r="822" spans="1:4" x14ac:dyDescent="0.25">
      <c r="A822" s="241" t="s">
        <v>8126</v>
      </c>
      <c r="B822" s="10" t="str">
        <f>_xlfn.IFNA(VLOOKUP($A822,CompChecksTrans!$A:$C,2,FALSE),"")</f>
        <v/>
      </c>
      <c r="C822" s="10" t="str">
        <f>_xlfn.IFNA(VLOOKUP(B822,Phase4!A$4:C$1000,3,FALSE),"")</f>
        <v/>
      </c>
      <c r="D822" s="10" t="str">
        <f>_xlfn.IFNA(VLOOKUP($A822,CompChecksTrans!$A:$C,3,FALSE), "      ")</f>
        <v xml:space="preserve">      </v>
      </c>
    </row>
    <row r="823" spans="1:4" x14ac:dyDescent="0.25">
      <c r="A823" s="241" t="s">
        <v>8127</v>
      </c>
      <c r="B823" s="10" t="str">
        <f>_xlfn.IFNA(VLOOKUP($A823,CompChecksTrans!$A:$C,2,FALSE),"")</f>
        <v/>
      </c>
      <c r="C823" s="10" t="str">
        <f>_xlfn.IFNA(VLOOKUP(B823,Phase4!A$4:C$1000,3,FALSE),"")</f>
        <v/>
      </c>
      <c r="D823" s="10" t="str">
        <f>_xlfn.IFNA(VLOOKUP($A823,CompChecksTrans!$A:$C,3,FALSE), "      ")</f>
        <v xml:space="preserve">      </v>
      </c>
    </row>
    <row r="824" spans="1:4" x14ac:dyDescent="0.25">
      <c r="A824" s="241" t="s">
        <v>8128</v>
      </c>
      <c r="B824" s="10" t="str">
        <f>_xlfn.IFNA(VLOOKUP($A824,CompChecksTrans!$A:$C,2,FALSE),"")</f>
        <v/>
      </c>
      <c r="C824" s="10" t="str">
        <f>_xlfn.IFNA(VLOOKUP(B824,Phase4!A$4:C$1000,3,FALSE),"")</f>
        <v/>
      </c>
      <c r="D824" s="10" t="str">
        <f>_xlfn.IFNA(VLOOKUP($A824,CompChecksTrans!$A:$C,3,FALSE), "      ")</f>
        <v xml:space="preserve">      </v>
      </c>
    </row>
    <row r="825" spans="1:4" x14ac:dyDescent="0.25">
      <c r="A825" s="241" t="s">
        <v>8129</v>
      </c>
      <c r="B825" s="10" t="str">
        <f>_xlfn.IFNA(VLOOKUP($A825,CompChecksTrans!$A:$C,2,FALSE),"")</f>
        <v/>
      </c>
      <c r="C825" s="10" t="str">
        <f>_xlfn.IFNA(VLOOKUP(B825,Phase4!A$4:C$1000,3,FALSE),"")</f>
        <v/>
      </c>
      <c r="D825" s="10" t="str">
        <f>_xlfn.IFNA(VLOOKUP($A825,CompChecksTrans!$A:$C,3,FALSE), "      ")</f>
        <v xml:space="preserve">      </v>
      </c>
    </row>
    <row r="826" spans="1:4" x14ac:dyDescent="0.25">
      <c r="A826" s="241" t="s">
        <v>8130</v>
      </c>
      <c r="B826" s="10" t="str">
        <f>_xlfn.IFNA(VLOOKUP($A826,CompChecksTrans!$A:$C,2,FALSE),"")</f>
        <v/>
      </c>
      <c r="C826" s="10" t="str">
        <f>_xlfn.IFNA(VLOOKUP(B826,Phase4!A$4:C$1000,3,FALSE),"")</f>
        <v/>
      </c>
      <c r="D826" s="10" t="str">
        <f>_xlfn.IFNA(VLOOKUP($A826,CompChecksTrans!$A:$C,3,FALSE), "      ")</f>
        <v xml:space="preserve">      </v>
      </c>
    </row>
    <row r="827" spans="1:4" x14ac:dyDescent="0.25">
      <c r="A827" s="241" t="s">
        <v>8131</v>
      </c>
      <c r="B827" s="10" t="str">
        <f>_xlfn.IFNA(VLOOKUP($A827,CompChecksTrans!$A:$C,2,FALSE),"")</f>
        <v/>
      </c>
      <c r="C827" s="10" t="str">
        <f>_xlfn.IFNA(VLOOKUP(B827,Phase4!A$4:C$1000,3,FALSE),"")</f>
        <v/>
      </c>
      <c r="D827" s="10" t="str">
        <f>_xlfn.IFNA(VLOOKUP($A827,CompChecksTrans!$A:$C,3,FALSE), "      ")</f>
        <v xml:space="preserve">      </v>
      </c>
    </row>
    <row r="828" spans="1:4" x14ac:dyDescent="0.25">
      <c r="A828" s="241" t="s">
        <v>8132</v>
      </c>
      <c r="B828" s="10" t="str">
        <f>_xlfn.IFNA(VLOOKUP($A828,CompChecksTrans!$A:$C,2,FALSE),"")</f>
        <v/>
      </c>
      <c r="C828" s="10" t="str">
        <f>_xlfn.IFNA(VLOOKUP(B828,Phase4!A$4:C$1000,3,FALSE),"")</f>
        <v/>
      </c>
      <c r="D828" s="10" t="str">
        <f>_xlfn.IFNA(VLOOKUP($A828,CompChecksTrans!$A:$C,3,FALSE), "      ")</f>
        <v xml:space="preserve">      </v>
      </c>
    </row>
    <row r="829" spans="1:4" x14ac:dyDescent="0.25">
      <c r="A829" s="241" t="s">
        <v>8133</v>
      </c>
      <c r="B829" s="10" t="str">
        <f>_xlfn.IFNA(VLOOKUP($A829,CompChecksTrans!$A:$C,2,FALSE),"")</f>
        <v/>
      </c>
      <c r="C829" s="10" t="str">
        <f>_xlfn.IFNA(VLOOKUP(B829,Phase4!A$4:C$1000,3,FALSE),"")</f>
        <v/>
      </c>
      <c r="D829" s="10" t="str">
        <f>_xlfn.IFNA(VLOOKUP($A829,CompChecksTrans!$A:$C,3,FALSE), "      ")</f>
        <v xml:space="preserve">      </v>
      </c>
    </row>
    <row r="830" spans="1:4" x14ac:dyDescent="0.25">
      <c r="A830" s="241" t="s">
        <v>8134</v>
      </c>
      <c r="B830" s="10" t="str">
        <f>_xlfn.IFNA(VLOOKUP($A830,CompChecksTrans!$A:$C,2,FALSE),"")</f>
        <v/>
      </c>
      <c r="C830" s="10" t="str">
        <f>_xlfn.IFNA(VLOOKUP(B830,Phase4!A$4:C$1000,3,FALSE),"")</f>
        <v/>
      </c>
      <c r="D830" s="10" t="str">
        <f>_xlfn.IFNA(VLOOKUP($A830,CompChecksTrans!$A:$C,3,FALSE), "      ")</f>
        <v xml:space="preserve">      </v>
      </c>
    </row>
    <row r="831" spans="1:4" x14ac:dyDescent="0.25">
      <c r="A831" s="241" t="s">
        <v>8135</v>
      </c>
      <c r="B831" s="10" t="str">
        <f>_xlfn.IFNA(VLOOKUP($A831,CompChecksTrans!$A:$C,2,FALSE),"")</f>
        <v/>
      </c>
      <c r="C831" s="10" t="str">
        <f>_xlfn.IFNA(VLOOKUP(B831,Phase4!A$4:C$1000,3,FALSE),"")</f>
        <v/>
      </c>
      <c r="D831" s="10" t="str">
        <f>_xlfn.IFNA(VLOOKUP($A831,CompChecksTrans!$A:$C,3,FALSE), "      ")</f>
        <v xml:space="preserve">      </v>
      </c>
    </row>
    <row r="832" spans="1:4" x14ac:dyDescent="0.25">
      <c r="A832" s="241" t="s">
        <v>8136</v>
      </c>
      <c r="B832" s="10" t="str">
        <f>_xlfn.IFNA(VLOOKUP($A832,CompChecksTrans!$A:$C,2,FALSE),"")</f>
        <v/>
      </c>
      <c r="C832" s="10" t="str">
        <f>_xlfn.IFNA(VLOOKUP(B832,Phase4!A$4:C$1000,3,FALSE),"")</f>
        <v/>
      </c>
      <c r="D832" s="10" t="str">
        <f>_xlfn.IFNA(VLOOKUP($A832,CompChecksTrans!$A:$C,3,FALSE), "      ")</f>
        <v xml:space="preserve">      </v>
      </c>
    </row>
    <row r="833" spans="1:4" x14ac:dyDescent="0.25">
      <c r="A833" s="241" t="s">
        <v>8137</v>
      </c>
      <c r="B833" s="10" t="str">
        <f>_xlfn.IFNA(VLOOKUP($A833,CompChecksTrans!$A:$C,2,FALSE),"")</f>
        <v/>
      </c>
      <c r="C833" s="10" t="str">
        <f>_xlfn.IFNA(VLOOKUP(B833,Phase4!A$4:C$1000,3,FALSE),"")</f>
        <v/>
      </c>
      <c r="D833" s="10" t="str">
        <f>_xlfn.IFNA(VLOOKUP($A833,CompChecksTrans!$A:$C,3,FALSE), "      ")</f>
        <v xml:space="preserve">      </v>
      </c>
    </row>
    <row r="834" spans="1:4" x14ac:dyDescent="0.25">
      <c r="A834" s="241" t="s">
        <v>8138</v>
      </c>
      <c r="B834" s="10" t="str">
        <f>_xlfn.IFNA(VLOOKUP($A834,CompChecksTrans!$A:$C,2,FALSE),"")</f>
        <v/>
      </c>
      <c r="C834" s="10" t="str">
        <f>_xlfn.IFNA(VLOOKUP(B834,Phase4!A$4:C$1000,3,FALSE),"")</f>
        <v/>
      </c>
      <c r="D834" s="10" t="str">
        <f>_xlfn.IFNA(VLOOKUP($A834,CompChecksTrans!$A:$C,3,FALSE), "      ")</f>
        <v xml:space="preserve">      </v>
      </c>
    </row>
    <row r="835" spans="1:4" x14ac:dyDescent="0.25">
      <c r="A835" s="241" t="s">
        <v>8139</v>
      </c>
      <c r="B835" s="10" t="str">
        <f>_xlfn.IFNA(VLOOKUP($A835,CompChecksTrans!$A:$C,2,FALSE),"")</f>
        <v/>
      </c>
      <c r="C835" s="10" t="str">
        <f>_xlfn.IFNA(VLOOKUP(B835,Phase4!A$4:C$1000,3,FALSE),"")</f>
        <v/>
      </c>
      <c r="D835" s="10" t="str">
        <f>_xlfn.IFNA(VLOOKUP($A835,CompChecksTrans!$A:$C,3,FALSE), "      ")</f>
        <v xml:space="preserve">      </v>
      </c>
    </row>
    <row r="836" spans="1:4" x14ac:dyDescent="0.25">
      <c r="A836" s="241" t="s">
        <v>8140</v>
      </c>
      <c r="B836" s="10" t="str">
        <f>_xlfn.IFNA(VLOOKUP($A836,CompChecksTrans!$A:$C,2,FALSE),"")</f>
        <v/>
      </c>
      <c r="C836" s="10" t="str">
        <f>_xlfn.IFNA(VLOOKUP(B836,Phase4!A$4:C$1000,3,FALSE),"")</f>
        <v/>
      </c>
      <c r="D836" s="10" t="str">
        <f>_xlfn.IFNA(VLOOKUP($A836,CompChecksTrans!$A:$C,3,FALSE), "      ")</f>
        <v xml:space="preserve">      </v>
      </c>
    </row>
    <row r="837" spans="1:4" x14ac:dyDescent="0.25">
      <c r="A837" s="241" t="s">
        <v>8141</v>
      </c>
      <c r="B837" s="10" t="str">
        <f>_xlfn.IFNA(VLOOKUP($A837,CompChecksTrans!$A:$C,2,FALSE),"")</f>
        <v/>
      </c>
      <c r="C837" s="10" t="str">
        <f>_xlfn.IFNA(VLOOKUP(B837,Phase4!A$4:C$1000,3,FALSE),"")</f>
        <v/>
      </c>
      <c r="D837" s="10" t="str">
        <f>_xlfn.IFNA(VLOOKUP($A837,CompChecksTrans!$A:$C,3,FALSE), "      ")</f>
        <v xml:space="preserve">      </v>
      </c>
    </row>
    <row r="838" spans="1:4" x14ac:dyDescent="0.25">
      <c r="A838" s="241" t="s">
        <v>8142</v>
      </c>
      <c r="B838" s="10" t="str">
        <f>_xlfn.IFNA(VLOOKUP($A838,CompChecksTrans!$A:$C,2,FALSE),"")</f>
        <v/>
      </c>
      <c r="C838" s="10" t="str">
        <f>_xlfn.IFNA(VLOOKUP(B838,Phase4!A$4:C$1000,3,FALSE),"")</f>
        <v/>
      </c>
      <c r="D838" s="10" t="str">
        <f>_xlfn.IFNA(VLOOKUP($A838,CompChecksTrans!$A:$C,3,FALSE), "      ")</f>
        <v xml:space="preserve">      </v>
      </c>
    </row>
    <row r="839" spans="1:4" x14ac:dyDescent="0.25">
      <c r="A839" s="241" t="s">
        <v>8143</v>
      </c>
      <c r="B839" s="10" t="str">
        <f>_xlfn.IFNA(VLOOKUP($A839,CompChecksTrans!$A:$C,2,FALSE),"")</f>
        <v/>
      </c>
      <c r="C839" s="10" t="str">
        <f>_xlfn.IFNA(VLOOKUP(B839,Phase4!A$4:C$1000,3,FALSE),"")</f>
        <v/>
      </c>
      <c r="D839" s="10" t="str">
        <f>_xlfn.IFNA(VLOOKUP($A839,CompChecksTrans!$A:$C,3,FALSE), "      ")</f>
        <v xml:space="preserve">      </v>
      </c>
    </row>
    <row r="840" spans="1:4" x14ac:dyDescent="0.25">
      <c r="A840" s="241" t="s">
        <v>8144</v>
      </c>
      <c r="B840" s="10" t="str">
        <f>_xlfn.IFNA(VLOOKUP($A840,CompChecksTrans!$A:$C,2,FALSE),"")</f>
        <v/>
      </c>
      <c r="C840" s="10" t="str">
        <f>_xlfn.IFNA(VLOOKUP(B840,Phase4!A$4:C$1000,3,FALSE),"")</f>
        <v/>
      </c>
      <c r="D840" s="10" t="str">
        <f>_xlfn.IFNA(VLOOKUP($A840,CompChecksTrans!$A:$C,3,FALSE), "      ")</f>
        <v xml:space="preserve">      </v>
      </c>
    </row>
    <row r="841" spans="1:4" x14ac:dyDescent="0.25">
      <c r="A841" s="241" t="s">
        <v>8145</v>
      </c>
      <c r="B841" s="10" t="str">
        <f>_xlfn.IFNA(VLOOKUP($A841,CompChecksTrans!$A:$C,2,FALSE),"")</f>
        <v/>
      </c>
      <c r="C841" s="10" t="str">
        <f>_xlfn.IFNA(VLOOKUP(B841,Phase4!A$4:C$1000,3,FALSE),"")</f>
        <v/>
      </c>
      <c r="D841" s="10" t="str">
        <f>_xlfn.IFNA(VLOOKUP($A841,CompChecksTrans!$A:$C,3,FALSE), "      ")</f>
        <v xml:space="preserve">      </v>
      </c>
    </row>
    <row r="842" spans="1:4" x14ac:dyDescent="0.25">
      <c r="A842" s="241" t="s">
        <v>8146</v>
      </c>
      <c r="B842" s="10" t="str">
        <f>_xlfn.IFNA(VLOOKUP($A842,CompChecksTrans!$A:$C,2,FALSE),"")</f>
        <v/>
      </c>
      <c r="C842" s="10" t="str">
        <f>_xlfn.IFNA(VLOOKUP(B842,Phase4!A$4:C$1000,3,FALSE),"")</f>
        <v/>
      </c>
      <c r="D842" s="10" t="str">
        <f>_xlfn.IFNA(VLOOKUP($A842,CompChecksTrans!$A:$C,3,FALSE), "      ")</f>
        <v xml:space="preserve">      </v>
      </c>
    </row>
    <row r="843" spans="1:4" x14ac:dyDescent="0.25">
      <c r="A843" s="241" t="s">
        <v>8147</v>
      </c>
      <c r="B843" s="10" t="str">
        <f>_xlfn.IFNA(VLOOKUP($A843,CompChecksTrans!$A:$C,2,FALSE),"")</f>
        <v/>
      </c>
      <c r="C843" s="10" t="str">
        <f>_xlfn.IFNA(VLOOKUP(B843,Phase4!A$4:C$1000,3,FALSE),"")</f>
        <v/>
      </c>
      <c r="D843" s="10" t="str">
        <f>_xlfn.IFNA(VLOOKUP($A843,CompChecksTrans!$A:$C,3,FALSE), "      ")</f>
        <v xml:space="preserve">      </v>
      </c>
    </row>
    <row r="844" spans="1:4" x14ac:dyDescent="0.25">
      <c r="A844" s="241" t="s">
        <v>8148</v>
      </c>
      <c r="B844" s="10" t="str">
        <f>_xlfn.IFNA(VLOOKUP($A844,CompChecksTrans!$A:$C,2,FALSE),"")</f>
        <v/>
      </c>
      <c r="C844" s="10" t="str">
        <f>_xlfn.IFNA(VLOOKUP(B844,Phase4!A$4:C$1000,3,FALSE),"")</f>
        <v/>
      </c>
      <c r="D844" s="10" t="str">
        <f>_xlfn.IFNA(VLOOKUP($A844,CompChecksTrans!$A:$C,3,FALSE), "      ")</f>
        <v xml:space="preserve">      </v>
      </c>
    </row>
    <row r="845" spans="1:4" x14ac:dyDescent="0.25">
      <c r="A845" s="241" t="s">
        <v>8149</v>
      </c>
      <c r="B845" s="10" t="str">
        <f>_xlfn.IFNA(VLOOKUP($A845,CompChecksTrans!$A:$C,2,FALSE),"")</f>
        <v/>
      </c>
      <c r="C845" s="10" t="str">
        <f>_xlfn.IFNA(VLOOKUP(B845,Phase4!A$4:C$1000,3,FALSE),"")</f>
        <v/>
      </c>
      <c r="D845" s="10" t="str">
        <f>_xlfn.IFNA(VLOOKUP($A845,CompChecksTrans!$A:$C,3,FALSE), "      ")</f>
        <v xml:space="preserve">      </v>
      </c>
    </row>
    <row r="846" spans="1:4" x14ac:dyDescent="0.25">
      <c r="A846" s="241" t="s">
        <v>8150</v>
      </c>
      <c r="B846" s="10" t="str">
        <f>_xlfn.IFNA(VLOOKUP($A846,CompChecksTrans!$A:$C,2,FALSE),"")</f>
        <v/>
      </c>
      <c r="C846" s="10" t="str">
        <f>_xlfn.IFNA(VLOOKUP(B846,Phase4!A$4:C$1000,3,FALSE),"")</f>
        <v/>
      </c>
      <c r="D846" s="10" t="str">
        <f>_xlfn.IFNA(VLOOKUP($A846,CompChecksTrans!$A:$C,3,FALSE), "      ")</f>
        <v xml:space="preserve">      </v>
      </c>
    </row>
    <row r="847" spans="1:4" x14ac:dyDescent="0.25">
      <c r="A847" s="241" t="s">
        <v>8151</v>
      </c>
      <c r="B847" s="10" t="str">
        <f>_xlfn.IFNA(VLOOKUP($A847,CompChecksTrans!$A:$C,2,FALSE),"")</f>
        <v/>
      </c>
      <c r="C847" s="10" t="str">
        <f>_xlfn.IFNA(VLOOKUP(B847,Phase4!A$4:C$1000,3,FALSE),"")</f>
        <v/>
      </c>
      <c r="D847" s="10" t="str">
        <f>_xlfn.IFNA(VLOOKUP($A847,CompChecksTrans!$A:$C,3,FALSE), "      ")</f>
        <v xml:space="preserve">      </v>
      </c>
    </row>
    <row r="848" spans="1:4" x14ac:dyDescent="0.25">
      <c r="A848" s="241" t="s">
        <v>8152</v>
      </c>
      <c r="B848" s="10" t="str">
        <f>_xlfn.IFNA(VLOOKUP($A848,CompChecksTrans!$A:$C,2,FALSE),"")</f>
        <v/>
      </c>
      <c r="C848" s="10" t="str">
        <f>_xlfn.IFNA(VLOOKUP(B848,Phase4!A$4:C$1000,3,FALSE),"")</f>
        <v/>
      </c>
      <c r="D848" s="10" t="str">
        <f>_xlfn.IFNA(VLOOKUP($A848,CompChecksTrans!$A:$C,3,FALSE), "      ")</f>
        <v xml:space="preserve">      </v>
      </c>
    </row>
    <row r="849" spans="1:4" x14ac:dyDescent="0.25">
      <c r="A849" s="241" t="s">
        <v>8153</v>
      </c>
      <c r="B849" s="10" t="str">
        <f>_xlfn.IFNA(VLOOKUP($A849,CompChecksTrans!$A:$C,2,FALSE),"")</f>
        <v/>
      </c>
      <c r="C849" s="10" t="str">
        <f>_xlfn.IFNA(VLOOKUP(B849,Phase4!A$4:C$1000,3,FALSE),"")</f>
        <v/>
      </c>
      <c r="D849" s="10" t="str">
        <f>_xlfn.IFNA(VLOOKUP($A849,CompChecksTrans!$A:$C,3,FALSE), "      ")</f>
        <v xml:space="preserve">      </v>
      </c>
    </row>
    <row r="850" spans="1:4" x14ac:dyDescent="0.25">
      <c r="A850" s="241" t="s">
        <v>8154</v>
      </c>
      <c r="B850" s="10" t="str">
        <f>_xlfn.IFNA(VLOOKUP($A850,CompChecksTrans!$A:$C,2,FALSE),"")</f>
        <v/>
      </c>
      <c r="C850" s="10" t="str">
        <f>_xlfn.IFNA(VLOOKUP(B850,Phase4!A$4:C$1000,3,FALSE),"")</f>
        <v/>
      </c>
      <c r="D850" s="10" t="str">
        <f>_xlfn.IFNA(VLOOKUP($A850,CompChecksTrans!$A:$C,3,FALSE), "      ")</f>
        <v xml:space="preserve">      </v>
      </c>
    </row>
    <row r="851" spans="1:4" x14ac:dyDescent="0.25">
      <c r="A851" s="241" t="s">
        <v>8155</v>
      </c>
      <c r="B851" s="10" t="str">
        <f>_xlfn.IFNA(VLOOKUP($A851,CompChecksTrans!$A:$C,2,FALSE),"")</f>
        <v/>
      </c>
      <c r="C851" s="10" t="str">
        <f>_xlfn.IFNA(VLOOKUP(B851,Phase4!A$4:C$1000,3,FALSE),"")</f>
        <v/>
      </c>
      <c r="D851" s="10" t="str">
        <f>_xlfn.IFNA(VLOOKUP($A851,CompChecksTrans!$A:$C,3,FALSE), "      ")</f>
        <v xml:space="preserve">      </v>
      </c>
    </row>
    <row r="852" spans="1:4" x14ac:dyDescent="0.25">
      <c r="A852" s="241" t="s">
        <v>8156</v>
      </c>
      <c r="B852" s="10" t="str">
        <f>_xlfn.IFNA(VLOOKUP($A852,CompChecksTrans!$A:$C,2,FALSE),"")</f>
        <v/>
      </c>
      <c r="C852" s="10" t="str">
        <f>_xlfn.IFNA(VLOOKUP(B852,Phase4!A$4:C$1000,3,FALSE),"")</f>
        <v/>
      </c>
      <c r="D852" s="10" t="str">
        <f>_xlfn.IFNA(VLOOKUP($A852,CompChecksTrans!$A:$C,3,FALSE), "      ")</f>
        <v xml:space="preserve">      </v>
      </c>
    </row>
    <row r="853" spans="1:4" x14ac:dyDescent="0.25">
      <c r="A853" s="241" t="s">
        <v>8157</v>
      </c>
      <c r="B853" s="10" t="str">
        <f>_xlfn.IFNA(VLOOKUP($A853,CompChecksTrans!$A:$C,2,FALSE),"")</f>
        <v/>
      </c>
      <c r="C853" s="10" t="str">
        <f>_xlfn.IFNA(VLOOKUP(B853,Phase4!A$4:C$1000,3,FALSE),"")</f>
        <v/>
      </c>
      <c r="D853" s="10" t="str">
        <f>_xlfn.IFNA(VLOOKUP($A853,CompChecksTrans!$A:$C,3,FALSE), "      ")</f>
        <v xml:space="preserve">      </v>
      </c>
    </row>
    <row r="854" spans="1:4" x14ac:dyDescent="0.25">
      <c r="A854" s="241" t="s">
        <v>8158</v>
      </c>
      <c r="B854" s="10" t="str">
        <f>_xlfn.IFNA(VLOOKUP($A854,CompChecksTrans!$A:$C,2,FALSE),"")</f>
        <v/>
      </c>
      <c r="C854" s="10" t="str">
        <f>_xlfn.IFNA(VLOOKUP(B854,Phase4!A$4:C$1000,3,FALSE),"")</f>
        <v/>
      </c>
      <c r="D854" s="10" t="str">
        <f>_xlfn.IFNA(VLOOKUP($A854,CompChecksTrans!$A:$C,3,FALSE), "      ")</f>
        <v xml:space="preserve">      </v>
      </c>
    </row>
    <row r="855" spans="1:4" x14ac:dyDescent="0.25">
      <c r="A855" s="241" t="s">
        <v>8159</v>
      </c>
      <c r="B855" s="10" t="str">
        <f>_xlfn.IFNA(VLOOKUP($A855,CompChecksTrans!$A:$C,2,FALSE),"")</f>
        <v/>
      </c>
      <c r="C855" s="10" t="str">
        <f>_xlfn.IFNA(VLOOKUP(B855,Phase4!A$4:C$1000,3,FALSE),"")</f>
        <v/>
      </c>
      <c r="D855" s="10" t="str">
        <f>_xlfn.IFNA(VLOOKUP($A855,CompChecksTrans!$A:$C,3,FALSE), "      ")</f>
        <v xml:space="preserve">      </v>
      </c>
    </row>
    <row r="856" spans="1:4" x14ac:dyDescent="0.25">
      <c r="A856" s="241" t="s">
        <v>8160</v>
      </c>
      <c r="B856" s="10" t="str">
        <f>_xlfn.IFNA(VLOOKUP($A856,CompChecksTrans!$A:$C,2,FALSE),"")</f>
        <v/>
      </c>
      <c r="C856" s="10" t="str">
        <f>_xlfn.IFNA(VLOOKUP(B856,Phase4!A$4:C$1000,3,FALSE),"")</f>
        <v/>
      </c>
      <c r="D856" s="10" t="str">
        <f>_xlfn.IFNA(VLOOKUP($A856,CompChecksTrans!$A:$C,3,FALSE), "      ")</f>
        <v xml:space="preserve">      </v>
      </c>
    </row>
    <row r="857" spans="1:4" x14ac:dyDescent="0.25">
      <c r="A857" s="241" t="s">
        <v>8161</v>
      </c>
      <c r="B857" s="10" t="str">
        <f>_xlfn.IFNA(VLOOKUP($A857,CompChecksTrans!$A:$C,2,FALSE),"")</f>
        <v/>
      </c>
      <c r="C857" s="10" t="str">
        <f>_xlfn.IFNA(VLOOKUP(B857,Phase4!A$4:C$1000,3,FALSE),"")</f>
        <v/>
      </c>
      <c r="D857" s="10" t="str">
        <f>_xlfn.IFNA(VLOOKUP($A857,CompChecksTrans!$A:$C,3,FALSE), "      ")</f>
        <v xml:space="preserve">      </v>
      </c>
    </row>
    <row r="858" spans="1:4" x14ac:dyDescent="0.25">
      <c r="A858" s="241" t="s">
        <v>8162</v>
      </c>
      <c r="B858" s="10" t="str">
        <f>_xlfn.IFNA(VLOOKUP($A858,CompChecksTrans!$A:$C,2,FALSE),"")</f>
        <v/>
      </c>
      <c r="C858" s="10" t="str">
        <f>_xlfn.IFNA(VLOOKUP(B858,Phase4!A$4:C$1000,3,FALSE),"")</f>
        <v/>
      </c>
      <c r="D858" s="10" t="str">
        <f>_xlfn.IFNA(VLOOKUP($A858,CompChecksTrans!$A:$C,3,FALSE), "      ")</f>
        <v xml:space="preserve">      </v>
      </c>
    </row>
    <row r="859" spans="1:4" x14ac:dyDescent="0.25">
      <c r="A859" s="241" t="s">
        <v>8163</v>
      </c>
      <c r="B859" s="10" t="str">
        <f>_xlfn.IFNA(VLOOKUP($A859,CompChecksTrans!$A:$C,2,FALSE),"")</f>
        <v/>
      </c>
      <c r="C859" s="10" t="str">
        <f>_xlfn.IFNA(VLOOKUP(B859,Phase4!A$4:C$1000,3,FALSE),"")</f>
        <v/>
      </c>
      <c r="D859" s="10" t="str">
        <f>_xlfn.IFNA(VLOOKUP($A859,CompChecksTrans!$A:$C,3,FALSE), "      ")</f>
        <v xml:space="preserve">      </v>
      </c>
    </row>
    <row r="860" spans="1:4" x14ac:dyDescent="0.25">
      <c r="A860" s="241" t="s">
        <v>8164</v>
      </c>
      <c r="B860" s="10" t="str">
        <f>_xlfn.IFNA(VLOOKUP($A860,CompChecksTrans!$A:$C,2,FALSE),"")</f>
        <v/>
      </c>
      <c r="C860" s="10" t="str">
        <f>_xlfn.IFNA(VLOOKUP(B860,Phase4!A$4:C$1000,3,FALSE),"")</f>
        <v/>
      </c>
      <c r="D860" s="10" t="str">
        <f>_xlfn.IFNA(VLOOKUP($A860,CompChecksTrans!$A:$C,3,FALSE), "      ")</f>
        <v xml:space="preserve">      </v>
      </c>
    </row>
    <row r="861" spans="1:4" x14ac:dyDescent="0.25">
      <c r="A861" s="241" t="s">
        <v>8165</v>
      </c>
      <c r="B861" s="10" t="str">
        <f>_xlfn.IFNA(VLOOKUP($A861,CompChecksTrans!$A:$C,2,FALSE),"")</f>
        <v/>
      </c>
      <c r="C861" s="10" t="str">
        <f>_xlfn.IFNA(VLOOKUP(B861,Phase4!A$4:C$1000,3,FALSE),"")</f>
        <v/>
      </c>
      <c r="D861" s="10" t="str">
        <f>_xlfn.IFNA(VLOOKUP($A861,CompChecksTrans!$A:$C,3,FALSE), "      ")</f>
        <v xml:space="preserve">      </v>
      </c>
    </row>
    <row r="862" spans="1:4" x14ac:dyDescent="0.25">
      <c r="A862" s="241" t="s">
        <v>8166</v>
      </c>
      <c r="B862" s="10" t="str">
        <f>_xlfn.IFNA(VLOOKUP($A862,CompChecksTrans!$A:$C,2,FALSE),"")</f>
        <v/>
      </c>
      <c r="C862" s="10" t="str">
        <f>_xlfn.IFNA(VLOOKUP(B862,Phase4!A$4:C$1000,3,FALSE),"")</f>
        <v/>
      </c>
      <c r="D862" s="10" t="str">
        <f>_xlfn.IFNA(VLOOKUP($A862,CompChecksTrans!$A:$C,3,FALSE), "      ")</f>
        <v xml:space="preserve">      </v>
      </c>
    </row>
    <row r="863" spans="1:4" x14ac:dyDescent="0.25">
      <c r="A863" s="241" t="s">
        <v>8167</v>
      </c>
      <c r="B863" s="10" t="str">
        <f>_xlfn.IFNA(VLOOKUP($A863,CompChecksTrans!$A:$C,2,FALSE),"")</f>
        <v/>
      </c>
      <c r="C863" s="10" t="str">
        <f>_xlfn.IFNA(VLOOKUP(B863,Phase4!A$4:C$1000,3,FALSE),"")</f>
        <v/>
      </c>
      <c r="D863" s="10" t="str">
        <f>_xlfn.IFNA(VLOOKUP($A863,CompChecksTrans!$A:$C,3,FALSE), "      ")</f>
        <v xml:space="preserve">      </v>
      </c>
    </row>
    <row r="864" spans="1:4" x14ac:dyDescent="0.25">
      <c r="A864" s="241" t="s">
        <v>8168</v>
      </c>
      <c r="B864" s="10" t="str">
        <f>_xlfn.IFNA(VLOOKUP($A864,CompChecksTrans!$A:$C,2,FALSE),"")</f>
        <v/>
      </c>
      <c r="C864" s="10" t="str">
        <f>_xlfn.IFNA(VLOOKUP(B864,Phase4!A$4:C$1000,3,FALSE),"")</f>
        <v/>
      </c>
      <c r="D864" s="10" t="str">
        <f>_xlfn.IFNA(VLOOKUP($A864,CompChecksTrans!$A:$C,3,FALSE), "      ")</f>
        <v xml:space="preserve">      </v>
      </c>
    </row>
    <row r="865" spans="1:4" x14ac:dyDescent="0.25">
      <c r="A865" s="241" t="s">
        <v>8169</v>
      </c>
      <c r="B865" s="10" t="str">
        <f>_xlfn.IFNA(VLOOKUP($A865,CompChecksTrans!$A:$C,2,FALSE),"")</f>
        <v/>
      </c>
      <c r="C865" s="10" t="str">
        <f>_xlfn.IFNA(VLOOKUP(B865,Phase4!A$4:C$1000,3,FALSE),"")</f>
        <v/>
      </c>
      <c r="D865" s="10" t="str">
        <f>_xlfn.IFNA(VLOOKUP($A865,CompChecksTrans!$A:$C,3,FALSE), "      ")</f>
        <v xml:space="preserve">      </v>
      </c>
    </row>
    <row r="866" spans="1:4" x14ac:dyDescent="0.25">
      <c r="A866" s="241" t="s">
        <v>8170</v>
      </c>
      <c r="B866" s="10" t="str">
        <f>_xlfn.IFNA(VLOOKUP($A866,CompChecksTrans!$A:$C,2,FALSE),"")</f>
        <v/>
      </c>
      <c r="C866" s="10" t="str">
        <f>_xlfn.IFNA(VLOOKUP(B866,Phase4!A$4:C$1000,3,FALSE),"")</f>
        <v/>
      </c>
      <c r="D866" s="10" t="str">
        <f>_xlfn.IFNA(VLOOKUP($A866,CompChecksTrans!$A:$C,3,FALSE), "      ")</f>
        <v xml:space="preserve">      </v>
      </c>
    </row>
    <row r="867" spans="1:4" x14ac:dyDescent="0.25">
      <c r="A867" s="241" t="s">
        <v>8171</v>
      </c>
      <c r="B867" s="10" t="str">
        <f>_xlfn.IFNA(VLOOKUP($A867,CompChecksTrans!$A:$C,2,FALSE),"")</f>
        <v/>
      </c>
      <c r="C867" s="10" t="str">
        <f>_xlfn.IFNA(VLOOKUP(B867,Phase4!A$4:C$1000,3,FALSE),"")</f>
        <v/>
      </c>
      <c r="D867" s="10" t="str">
        <f>_xlfn.IFNA(VLOOKUP($A867,CompChecksTrans!$A:$C,3,FALSE), "      ")</f>
        <v xml:space="preserve">      </v>
      </c>
    </row>
    <row r="868" spans="1:4" x14ac:dyDescent="0.25">
      <c r="A868" s="241" t="s">
        <v>8172</v>
      </c>
      <c r="B868" s="10" t="str">
        <f>_xlfn.IFNA(VLOOKUP($A868,CompChecksTrans!$A:$C,2,FALSE),"")</f>
        <v/>
      </c>
      <c r="C868" s="10" t="str">
        <f>_xlfn.IFNA(VLOOKUP(B868,Phase4!A$4:C$1000,3,FALSE),"")</f>
        <v/>
      </c>
      <c r="D868" s="10" t="str">
        <f>_xlfn.IFNA(VLOOKUP($A868,CompChecksTrans!$A:$C,3,FALSE), "      ")</f>
        <v xml:space="preserve">      </v>
      </c>
    </row>
    <row r="869" spans="1:4" x14ac:dyDescent="0.25">
      <c r="A869" s="241" t="s">
        <v>8173</v>
      </c>
      <c r="B869" s="10" t="str">
        <f>_xlfn.IFNA(VLOOKUP($A869,CompChecksTrans!$A:$C,2,FALSE),"")</f>
        <v/>
      </c>
      <c r="C869" s="10" t="str">
        <f>_xlfn.IFNA(VLOOKUP(B869,Phase4!A$4:C$1000,3,FALSE),"")</f>
        <v/>
      </c>
      <c r="D869" s="10" t="str">
        <f>_xlfn.IFNA(VLOOKUP($A869,CompChecksTrans!$A:$C,3,FALSE), "      ")</f>
        <v xml:space="preserve">      </v>
      </c>
    </row>
    <row r="870" spans="1:4" x14ac:dyDescent="0.25">
      <c r="A870" s="241" t="s">
        <v>8174</v>
      </c>
      <c r="B870" s="10" t="str">
        <f>_xlfn.IFNA(VLOOKUP($A870,CompChecksTrans!$A:$C,2,FALSE),"")</f>
        <v/>
      </c>
      <c r="C870" s="10" t="str">
        <f>_xlfn.IFNA(VLOOKUP(B870,Phase4!A$4:C$1000,3,FALSE),"")</f>
        <v/>
      </c>
      <c r="D870" s="10" t="str">
        <f>_xlfn.IFNA(VLOOKUP($A870,CompChecksTrans!$A:$C,3,FALSE), "      ")</f>
        <v xml:space="preserve">      </v>
      </c>
    </row>
    <row r="871" spans="1:4" x14ac:dyDescent="0.25">
      <c r="A871" s="241" t="s">
        <v>8175</v>
      </c>
      <c r="B871" s="10" t="str">
        <f>_xlfn.IFNA(VLOOKUP($A871,CompChecksTrans!$A:$C,2,FALSE),"")</f>
        <v/>
      </c>
      <c r="C871" s="10" t="str">
        <f>_xlfn.IFNA(VLOOKUP(B871,Phase4!A$4:C$1000,3,FALSE),"")</f>
        <v/>
      </c>
      <c r="D871" s="10" t="str">
        <f>_xlfn.IFNA(VLOOKUP($A871,CompChecksTrans!$A:$C,3,FALSE), "      ")</f>
        <v xml:space="preserve">      </v>
      </c>
    </row>
    <row r="872" spans="1:4" x14ac:dyDescent="0.25">
      <c r="A872" s="241" t="s">
        <v>8176</v>
      </c>
      <c r="B872" s="10" t="str">
        <f>_xlfn.IFNA(VLOOKUP($A872,CompChecksTrans!$A:$C,2,FALSE),"")</f>
        <v/>
      </c>
      <c r="C872" s="10" t="str">
        <f>_xlfn.IFNA(VLOOKUP(B872,Phase4!A$4:C$1000,3,FALSE),"")</f>
        <v/>
      </c>
      <c r="D872" s="10" t="str">
        <f>_xlfn.IFNA(VLOOKUP($A872,CompChecksTrans!$A:$C,3,FALSE), "      ")</f>
        <v xml:space="preserve">      </v>
      </c>
    </row>
    <row r="873" spans="1:4" x14ac:dyDescent="0.25">
      <c r="A873" s="241" t="s">
        <v>8177</v>
      </c>
      <c r="B873" s="10" t="str">
        <f>_xlfn.IFNA(VLOOKUP($A873,CompChecksTrans!$A:$C,2,FALSE),"")</f>
        <v/>
      </c>
      <c r="C873" s="10" t="str">
        <f>_xlfn.IFNA(VLOOKUP(B873,Phase4!A$4:C$1000,3,FALSE),"")</f>
        <v/>
      </c>
      <c r="D873" s="10" t="str">
        <f>_xlfn.IFNA(VLOOKUP($A873,CompChecksTrans!$A:$C,3,FALSE), "      ")</f>
        <v xml:space="preserve">      </v>
      </c>
    </row>
    <row r="874" spans="1:4" x14ac:dyDescent="0.25">
      <c r="A874" s="241" t="s">
        <v>8178</v>
      </c>
      <c r="B874" s="10" t="str">
        <f>_xlfn.IFNA(VLOOKUP($A874,CompChecksTrans!$A:$C,2,FALSE),"")</f>
        <v/>
      </c>
      <c r="C874" s="10" t="str">
        <f>_xlfn.IFNA(VLOOKUP(B874,Phase4!A$4:C$1000,3,FALSE),"")</f>
        <v/>
      </c>
      <c r="D874" s="10" t="str">
        <f>_xlfn.IFNA(VLOOKUP($A874,CompChecksTrans!$A:$C,3,FALSE), "      ")</f>
        <v xml:space="preserve">      </v>
      </c>
    </row>
    <row r="875" spans="1:4" x14ac:dyDescent="0.25">
      <c r="A875" s="241" t="s">
        <v>8179</v>
      </c>
      <c r="B875" s="10" t="str">
        <f>_xlfn.IFNA(VLOOKUP($A875,CompChecksTrans!$A:$C,2,FALSE),"")</f>
        <v/>
      </c>
      <c r="C875" s="10" t="str">
        <f>_xlfn.IFNA(VLOOKUP(B875,Phase4!A$4:C$1000,3,FALSE),"")</f>
        <v/>
      </c>
      <c r="D875" s="10" t="str">
        <f>_xlfn.IFNA(VLOOKUP($A875,CompChecksTrans!$A:$C,3,FALSE), "      ")</f>
        <v xml:space="preserve">      </v>
      </c>
    </row>
    <row r="876" spans="1:4" x14ac:dyDescent="0.25">
      <c r="A876" s="241" t="s">
        <v>8180</v>
      </c>
      <c r="B876" s="10" t="str">
        <f>_xlfn.IFNA(VLOOKUP($A876,CompChecksTrans!$A:$C,2,FALSE),"")</f>
        <v/>
      </c>
      <c r="C876" s="10" t="str">
        <f>_xlfn.IFNA(VLOOKUP(B876,Phase4!A$4:C$1000,3,FALSE),"")</f>
        <v/>
      </c>
      <c r="D876" s="10" t="str">
        <f>_xlfn.IFNA(VLOOKUP($A876,CompChecksTrans!$A:$C,3,FALSE), "      ")</f>
        <v xml:space="preserve">      </v>
      </c>
    </row>
    <row r="877" spans="1:4" x14ac:dyDescent="0.25">
      <c r="A877" s="241" t="s">
        <v>8181</v>
      </c>
      <c r="B877" s="10" t="str">
        <f>_xlfn.IFNA(VLOOKUP($A877,CompChecksTrans!$A:$C,2,FALSE),"")</f>
        <v/>
      </c>
      <c r="C877" s="10" t="str">
        <f>_xlfn.IFNA(VLOOKUP(B877,Phase4!A$4:C$1000,3,FALSE),"")</f>
        <v/>
      </c>
      <c r="D877" s="10" t="str">
        <f>_xlfn.IFNA(VLOOKUP($A877,CompChecksTrans!$A:$C,3,FALSE), "      ")</f>
        <v xml:space="preserve">      </v>
      </c>
    </row>
    <row r="878" spans="1:4" x14ac:dyDescent="0.25">
      <c r="A878" s="241" t="s">
        <v>8182</v>
      </c>
      <c r="B878" s="10" t="str">
        <f>_xlfn.IFNA(VLOOKUP($A878,CompChecksTrans!$A:$C,2,FALSE),"")</f>
        <v/>
      </c>
      <c r="C878" s="10" t="str">
        <f>_xlfn.IFNA(VLOOKUP(B878,Phase4!A$4:C$1000,3,FALSE),"")</f>
        <v/>
      </c>
      <c r="D878" s="10" t="str">
        <f>_xlfn.IFNA(VLOOKUP($A878,CompChecksTrans!$A:$C,3,FALSE), "      ")</f>
        <v xml:space="preserve">      </v>
      </c>
    </row>
    <row r="879" spans="1:4" x14ac:dyDescent="0.25">
      <c r="A879" s="241" t="s">
        <v>8183</v>
      </c>
      <c r="B879" s="10" t="str">
        <f>_xlfn.IFNA(VLOOKUP($A879,CompChecksTrans!$A:$C,2,FALSE),"")</f>
        <v/>
      </c>
      <c r="C879" s="10" t="str">
        <f>_xlfn.IFNA(VLOOKUP(B879,Phase4!A$4:C$1000,3,FALSE),"")</f>
        <v/>
      </c>
      <c r="D879" s="10" t="str">
        <f>_xlfn.IFNA(VLOOKUP($A879,CompChecksTrans!$A:$C,3,FALSE), "      ")</f>
        <v xml:space="preserve">      </v>
      </c>
    </row>
    <row r="880" spans="1:4" x14ac:dyDescent="0.25">
      <c r="A880" s="241" t="s">
        <v>8184</v>
      </c>
      <c r="B880" s="10" t="str">
        <f>_xlfn.IFNA(VLOOKUP($A880,CompChecksTrans!$A:$C,2,FALSE),"")</f>
        <v/>
      </c>
      <c r="C880" s="10" t="str">
        <f>_xlfn.IFNA(VLOOKUP(B880,Phase4!A$4:C$1000,3,FALSE),"")</f>
        <v/>
      </c>
      <c r="D880" s="10" t="str">
        <f>_xlfn.IFNA(VLOOKUP($A880,CompChecksTrans!$A:$C,3,FALSE), "      ")</f>
        <v xml:space="preserve">      </v>
      </c>
    </row>
    <row r="881" spans="1:4" x14ac:dyDescent="0.25">
      <c r="A881" s="241" t="s">
        <v>8185</v>
      </c>
      <c r="B881" s="10" t="str">
        <f>_xlfn.IFNA(VLOOKUP($A881,CompChecksTrans!$A:$C,2,FALSE),"")</f>
        <v/>
      </c>
      <c r="C881" s="10" t="str">
        <f>_xlfn.IFNA(VLOOKUP(B881,Phase4!A$4:C$1000,3,FALSE),"")</f>
        <v/>
      </c>
      <c r="D881" s="10" t="str">
        <f>_xlfn.IFNA(VLOOKUP($A881,CompChecksTrans!$A:$C,3,FALSE), "      ")</f>
        <v xml:space="preserve">      </v>
      </c>
    </row>
    <row r="882" spans="1:4" x14ac:dyDescent="0.25">
      <c r="A882" s="241" t="s">
        <v>8186</v>
      </c>
      <c r="B882" s="10" t="str">
        <f>_xlfn.IFNA(VLOOKUP($A882,CompChecksTrans!$A:$C,2,FALSE),"")</f>
        <v/>
      </c>
      <c r="C882" s="10" t="str">
        <f>_xlfn.IFNA(VLOOKUP(B882,Phase4!A$4:C$1000,3,FALSE),"")</f>
        <v/>
      </c>
      <c r="D882" s="10" t="str">
        <f>_xlfn.IFNA(VLOOKUP($A882,CompChecksTrans!$A:$C,3,FALSE), "      ")</f>
        <v xml:space="preserve">      </v>
      </c>
    </row>
    <row r="883" spans="1:4" x14ac:dyDescent="0.25">
      <c r="A883" s="241" t="s">
        <v>8187</v>
      </c>
      <c r="B883" s="10" t="str">
        <f>_xlfn.IFNA(VLOOKUP($A883,CompChecksTrans!$A:$C,2,FALSE),"")</f>
        <v/>
      </c>
      <c r="C883" s="10" t="str">
        <f>_xlfn.IFNA(VLOOKUP(B883,Phase4!A$4:C$1000,3,FALSE),"")</f>
        <v/>
      </c>
      <c r="D883" s="10" t="str">
        <f>_xlfn.IFNA(VLOOKUP($A883,CompChecksTrans!$A:$C,3,FALSE), "      ")</f>
        <v xml:space="preserve">      </v>
      </c>
    </row>
    <row r="884" spans="1:4" x14ac:dyDescent="0.25">
      <c r="A884" s="241" t="s">
        <v>8188</v>
      </c>
      <c r="B884" s="10" t="str">
        <f>_xlfn.IFNA(VLOOKUP($A884,CompChecksTrans!$A:$C,2,FALSE),"")</f>
        <v/>
      </c>
      <c r="C884" s="10" t="str">
        <f>_xlfn.IFNA(VLOOKUP(B884,Phase4!A$4:C$1000,3,FALSE),"")</f>
        <v/>
      </c>
      <c r="D884" s="10" t="str">
        <f>_xlfn.IFNA(VLOOKUP($A884,CompChecksTrans!$A:$C,3,FALSE), "      ")</f>
        <v xml:space="preserve">      </v>
      </c>
    </row>
    <row r="885" spans="1:4" x14ac:dyDescent="0.25">
      <c r="A885" s="241" t="s">
        <v>8189</v>
      </c>
      <c r="B885" s="10" t="str">
        <f>_xlfn.IFNA(VLOOKUP($A885,CompChecksTrans!$A:$C,2,FALSE),"")</f>
        <v/>
      </c>
      <c r="C885" s="10" t="str">
        <f>_xlfn.IFNA(VLOOKUP(B885,Phase4!A$4:C$1000,3,FALSE),"")</f>
        <v/>
      </c>
      <c r="D885" s="10" t="str">
        <f>_xlfn.IFNA(VLOOKUP($A885,CompChecksTrans!$A:$C,3,FALSE), "      ")</f>
        <v xml:space="preserve">      </v>
      </c>
    </row>
    <row r="886" spans="1:4" x14ac:dyDescent="0.25">
      <c r="A886" s="241" t="s">
        <v>8190</v>
      </c>
      <c r="B886" s="10" t="str">
        <f>_xlfn.IFNA(VLOOKUP($A886,CompChecksTrans!$A:$C,2,FALSE),"")</f>
        <v/>
      </c>
      <c r="C886" s="10" t="str">
        <f>_xlfn.IFNA(VLOOKUP(B886,Phase4!A$4:C$1000,3,FALSE),"")</f>
        <v/>
      </c>
      <c r="D886" s="10" t="str">
        <f>_xlfn.IFNA(VLOOKUP($A886,CompChecksTrans!$A:$C,3,FALSE), "      ")</f>
        <v xml:space="preserve">      </v>
      </c>
    </row>
    <row r="887" spans="1:4" x14ac:dyDescent="0.25">
      <c r="A887" s="241" t="s">
        <v>8191</v>
      </c>
      <c r="B887" s="10" t="str">
        <f>_xlfn.IFNA(VLOOKUP($A887,CompChecksTrans!$A:$C,2,FALSE),"")</f>
        <v/>
      </c>
      <c r="C887" s="10" t="str">
        <f>_xlfn.IFNA(VLOOKUP(B887,Phase4!A$4:C$1000,3,FALSE),"")</f>
        <v/>
      </c>
      <c r="D887" s="10" t="str">
        <f>_xlfn.IFNA(VLOOKUP($A887,CompChecksTrans!$A:$C,3,FALSE), "      ")</f>
        <v xml:space="preserve">      </v>
      </c>
    </row>
    <row r="888" spans="1:4" x14ac:dyDescent="0.25">
      <c r="A888" s="241" t="s">
        <v>8192</v>
      </c>
      <c r="B888" s="10" t="str">
        <f>_xlfn.IFNA(VLOOKUP($A888,CompChecksTrans!$A:$C,2,FALSE),"")</f>
        <v/>
      </c>
      <c r="C888" s="10" t="str">
        <f>_xlfn.IFNA(VLOOKUP(B888,Phase4!A$4:C$1000,3,FALSE),"")</f>
        <v/>
      </c>
      <c r="D888" s="10" t="str">
        <f>_xlfn.IFNA(VLOOKUP($A888,CompChecksTrans!$A:$C,3,FALSE), "      ")</f>
        <v xml:space="preserve">      </v>
      </c>
    </row>
    <row r="889" spans="1:4" x14ac:dyDescent="0.25">
      <c r="A889" s="241" t="s">
        <v>8193</v>
      </c>
      <c r="B889" s="10" t="str">
        <f>_xlfn.IFNA(VLOOKUP($A889,CompChecksTrans!$A:$C,2,FALSE),"")</f>
        <v/>
      </c>
      <c r="C889" s="10" t="str">
        <f>_xlfn.IFNA(VLOOKUP(B889,Phase4!A$4:C$1000,3,FALSE),"")</f>
        <v/>
      </c>
      <c r="D889" s="10" t="str">
        <f>_xlfn.IFNA(VLOOKUP($A889,CompChecksTrans!$A:$C,3,FALSE), "      ")</f>
        <v xml:space="preserve">      </v>
      </c>
    </row>
    <row r="890" spans="1:4" x14ac:dyDescent="0.25">
      <c r="A890" s="241" t="s">
        <v>8194</v>
      </c>
      <c r="B890" s="10" t="str">
        <f>_xlfn.IFNA(VLOOKUP($A890,CompChecksTrans!$A:$C,2,FALSE),"")</f>
        <v/>
      </c>
      <c r="C890" s="10" t="str">
        <f>_xlfn.IFNA(VLOOKUP(B890,Phase4!A$4:C$1000,3,FALSE),"")</f>
        <v/>
      </c>
      <c r="D890" s="10" t="str">
        <f>_xlfn.IFNA(VLOOKUP($A890,CompChecksTrans!$A:$C,3,FALSE), "      ")</f>
        <v xml:space="preserve">      </v>
      </c>
    </row>
    <row r="891" spans="1:4" x14ac:dyDescent="0.25">
      <c r="A891" s="241" t="s">
        <v>8195</v>
      </c>
      <c r="B891" s="10" t="str">
        <f>_xlfn.IFNA(VLOOKUP($A891,CompChecksTrans!$A:$C,2,FALSE),"")</f>
        <v/>
      </c>
      <c r="C891" s="10" t="str">
        <f>_xlfn.IFNA(VLOOKUP(B891,Phase4!A$4:C$1000,3,FALSE),"")</f>
        <v/>
      </c>
      <c r="D891" s="10" t="str">
        <f>_xlfn.IFNA(VLOOKUP($A891,CompChecksTrans!$A:$C,3,FALSE), "      ")</f>
        <v xml:space="preserve">      </v>
      </c>
    </row>
    <row r="892" spans="1:4" x14ac:dyDescent="0.25">
      <c r="A892" s="241" t="s">
        <v>8196</v>
      </c>
      <c r="B892" s="10" t="str">
        <f>_xlfn.IFNA(VLOOKUP($A892,CompChecksTrans!$A:$C,2,FALSE),"")</f>
        <v/>
      </c>
      <c r="C892" s="10" t="str">
        <f>_xlfn.IFNA(VLOOKUP(B892,Phase4!A$4:C$1000,3,FALSE),"")</f>
        <v/>
      </c>
      <c r="D892" s="10" t="str">
        <f>_xlfn.IFNA(VLOOKUP($A892,CompChecksTrans!$A:$C,3,FALSE), "      ")</f>
        <v xml:space="preserve">      </v>
      </c>
    </row>
    <row r="893" spans="1:4" x14ac:dyDescent="0.25">
      <c r="A893" s="241" t="s">
        <v>8197</v>
      </c>
      <c r="B893" s="10" t="str">
        <f>_xlfn.IFNA(VLOOKUP($A893,CompChecksTrans!$A:$C,2,FALSE),"")</f>
        <v/>
      </c>
      <c r="C893" s="10" t="str">
        <f>_xlfn.IFNA(VLOOKUP(B893,Phase4!A$4:C$1000,3,FALSE),"")</f>
        <v/>
      </c>
      <c r="D893" s="10" t="str">
        <f>_xlfn.IFNA(VLOOKUP($A893,CompChecksTrans!$A:$C,3,FALSE), "      ")</f>
        <v xml:space="preserve">      </v>
      </c>
    </row>
    <row r="894" spans="1:4" x14ac:dyDescent="0.25">
      <c r="A894" s="241" t="s">
        <v>8198</v>
      </c>
      <c r="B894" s="10" t="str">
        <f>_xlfn.IFNA(VLOOKUP($A894,CompChecksTrans!$A:$C,2,FALSE),"")</f>
        <v/>
      </c>
      <c r="C894" s="10" t="str">
        <f>_xlfn.IFNA(VLOOKUP(B894,Phase4!A$4:C$1000,3,FALSE),"")</f>
        <v/>
      </c>
      <c r="D894" s="10" t="str">
        <f>_xlfn.IFNA(VLOOKUP($A894,CompChecksTrans!$A:$C,3,FALSE), "      ")</f>
        <v xml:space="preserve">      </v>
      </c>
    </row>
    <row r="895" spans="1:4" x14ac:dyDescent="0.25">
      <c r="A895" s="241" t="s">
        <v>8199</v>
      </c>
      <c r="B895" s="10" t="str">
        <f>_xlfn.IFNA(VLOOKUP($A895,CompChecksTrans!$A:$C,2,FALSE),"")</f>
        <v/>
      </c>
      <c r="C895" s="10" t="str">
        <f>_xlfn.IFNA(VLOOKUP(B895,Phase4!A$4:C$1000,3,FALSE),"")</f>
        <v/>
      </c>
      <c r="D895" s="10" t="str">
        <f>_xlfn.IFNA(VLOOKUP($A895,CompChecksTrans!$A:$C,3,FALSE), "      ")</f>
        <v xml:space="preserve">      </v>
      </c>
    </row>
    <row r="896" spans="1:4" x14ac:dyDescent="0.25">
      <c r="A896" s="241" t="s">
        <v>8200</v>
      </c>
      <c r="B896" s="10" t="str">
        <f>_xlfn.IFNA(VLOOKUP($A896,CompChecksTrans!$A:$C,2,FALSE),"")</f>
        <v/>
      </c>
      <c r="C896" s="10" t="str">
        <f>_xlfn.IFNA(VLOOKUP(B896,Phase4!A$4:C$1000,3,FALSE),"")</f>
        <v/>
      </c>
      <c r="D896" s="10" t="str">
        <f>_xlfn.IFNA(VLOOKUP($A896,CompChecksTrans!$A:$C,3,FALSE), "      ")</f>
        <v xml:space="preserve">      </v>
      </c>
    </row>
    <row r="897" spans="1:4" x14ac:dyDescent="0.25">
      <c r="A897" s="241" t="s">
        <v>8201</v>
      </c>
      <c r="B897" s="10" t="str">
        <f>_xlfn.IFNA(VLOOKUP($A897,CompChecksTrans!$A:$C,2,FALSE),"")</f>
        <v/>
      </c>
      <c r="C897" s="10" t="str">
        <f>_xlfn.IFNA(VLOOKUP(B897,Phase4!A$4:C$1000,3,FALSE),"")</f>
        <v/>
      </c>
      <c r="D897" s="10" t="str">
        <f>_xlfn.IFNA(VLOOKUP($A897,CompChecksTrans!$A:$C,3,FALSE), "      ")</f>
        <v xml:space="preserve">      </v>
      </c>
    </row>
    <row r="898" spans="1:4" x14ac:dyDescent="0.25">
      <c r="A898" s="241" t="s">
        <v>8202</v>
      </c>
      <c r="B898" s="10" t="str">
        <f>_xlfn.IFNA(VLOOKUP($A898,CompChecksTrans!$A:$C,2,FALSE),"")</f>
        <v/>
      </c>
      <c r="C898" s="10" t="str">
        <f>_xlfn.IFNA(VLOOKUP(B898,Phase4!A$4:C$1000,3,FALSE),"")</f>
        <v/>
      </c>
      <c r="D898" s="10" t="str">
        <f>_xlfn.IFNA(VLOOKUP($A898,CompChecksTrans!$A:$C,3,FALSE), "      ")</f>
        <v xml:space="preserve">      </v>
      </c>
    </row>
    <row r="899" spans="1:4" x14ac:dyDescent="0.25">
      <c r="A899" s="241" t="s">
        <v>8203</v>
      </c>
      <c r="B899" s="10" t="str">
        <f>_xlfn.IFNA(VLOOKUP($A899,CompChecksTrans!$A:$C,2,FALSE),"")</f>
        <v/>
      </c>
      <c r="C899" s="10" t="str">
        <f>_xlfn.IFNA(VLOOKUP(B899,Phase4!A$4:C$1000,3,FALSE),"")</f>
        <v/>
      </c>
      <c r="D899" s="10" t="str">
        <f>_xlfn.IFNA(VLOOKUP($A899,CompChecksTrans!$A:$C,3,FALSE), "      ")</f>
        <v xml:space="preserve">      </v>
      </c>
    </row>
    <row r="900" spans="1:4" x14ac:dyDescent="0.25">
      <c r="A900" s="241" t="s">
        <v>8204</v>
      </c>
      <c r="B900" s="10" t="str">
        <f>_xlfn.IFNA(VLOOKUP($A900,CompChecksTrans!$A:$C,2,FALSE),"")</f>
        <v/>
      </c>
      <c r="C900" s="10" t="str">
        <f>_xlfn.IFNA(VLOOKUP(B900,Phase4!A$4:C$1000,3,FALSE),"")</f>
        <v/>
      </c>
      <c r="D900" s="10" t="str">
        <f>_xlfn.IFNA(VLOOKUP($A900,CompChecksTrans!$A:$C,3,FALSE), "      ")</f>
        <v xml:space="preserve">      </v>
      </c>
    </row>
    <row r="901" spans="1:4" x14ac:dyDescent="0.25">
      <c r="A901" s="241" t="s">
        <v>8205</v>
      </c>
      <c r="B901" s="10" t="str">
        <f>_xlfn.IFNA(VLOOKUP($A901,CompChecksTrans!$A:$C,2,FALSE),"")</f>
        <v/>
      </c>
      <c r="C901" s="10" t="str">
        <f>_xlfn.IFNA(VLOOKUP(B901,Phase4!A$4:C$1000,3,FALSE),"")</f>
        <v/>
      </c>
      <c r="D901" s="10" t="str">
        <f>_xlfn.IFNA(VLOOKUP($A901,CompChecksTrans!$A:$C,3,FALSE), "      ")</f>
        <v xml:space="preserve">      </v>
      </c>
    </row>
    <row r="902" spans="1:4" x14ac:dyDescent="0.25">
      <c r="A902" s="241" t="s">
        <v>8206</v>
      </c>
      <c r="B902" s="10" t="str">
        <f>_xlfn.IFNA(VLOOKUP($A902,CompChecksTrans!$A:$C,2,FALSE),"")</f>
        <v/>
      </c>
      <c r="C902" s="10" t="str">
        <f>_xlfn.IFNA(VLOOKUP(B902,Phase4!A$4:C$1000,3,FALSE),"")</f>
        <v/>
      </c>
      <c r="D902" s="10" t="str">
        <f>_xlfn.IFNA(VLOOKUP($A902,CompChecksTrans!$A:$C,3,FALSE), "      ")</f>
        <v xml:space="preserve">      </v>
      </c>
    </row>
    <row r="903" spans="1:4" x14ac:dyDescent="0.25">
      <c r="A903" s="241" t="s">
        <v>8207</v>
      </c>
      <c r="B903" s="10" t="str">
        <f>_xlfn.IFNA(VLOOKUP($A903,CompChecksTrans!$A:$C,2,FALSE),"")</f>
        <v/>
      </c>
      <c r="C903" s="10" t="str">
        <f>_xlfn.IFNA(VLOOKUP(B903,Phase4!A$4:C$1000,3,FALSE),"")</f>
        <v/>
      </c>
      <c r="D903" s="10" t="str">
        <f>_xlfn.IFNA(VLOOKUP($A903,CompChecksTrans!$A:$C,3,FALSE), "      ")</f>
        <v xml:space="preserve">      </v>
      </c>
    </row>
    <row r="904" spans="1:4" x14ac:dyDescent="0.25">
      <c r="A904" s="241" t="s">
        <v>8208</v>
      </c>
      <c r="B904" s="10" t="str">
        <f>_xlfn.IFNA(VLOOKUP($A904,CompChecksTrans!$A:$C,2,FALSE),"")</f>
        <v/>
      </c>
      <c r="C904" s="10" t="str">
        <f>_xlfn.IFNA(VLOOKUP(B904,Phase4!A$4:C$1000,3,FALSE),"")</f>
        <v/>
      </c>
      <c r="D904" s="10" t="str">
        <f>_xlfn.IFNA(VLOOKUP($A904,CompChecksTrans!$A:$C,3,FALSE), "      ")</f>
        <v xml:space="preserve">      </v>
      </c>
    </row>
    <row r="905" spans="1:4" x14ac:dyDescent="0.25">
      <c r="A905" s="241" t="s">
        <v>8209</v>
      </c>
      <c r="B905" s="10" t="str">
        <f>_xlfn.IFNA(VLOOKUP($A905,CompChecksTrans!$A:$C,2,FALSE),"")</f>
        <v/>
      </c>
      <c r="C905" s="10" t="str">
        <f>_xlfn.IFNA(VLOOKUP(B905,Phase4!A$4:C$1000,3,FALSE),"")</f>
        <v/>
      </c>
      <c r="D905" s="10" t="str">
        <f>_xlfn.IFNA(VLOOKUP($A905,CompChecksTrans!$A:$C,3,FALSE), "      ")</f>
        <v xml:space="preserve">      </v>
      </c>
    </row>
    <row r="906" spans="1:4" x14ac:dyDescent="0.25">
      <c r="A906" s="241" t="s">
        <v>8210</v>
      </c>
      <c r="B906" s="10" t="str">
        <f>_xlfn.IFNA(VLOOKUP($A906,CompChecksTrans!$A:$C,2,FALSE),"")</f>
        <v/>
      </c>
      <c r="C906" s="10" t="str">
        <f>_xlfn.IFNA(VLOOKUP(B906,Phase4!A$4:C$1000,3,FALSE),"")</f>
        <v/>
      </c>
      <c r="D906" s="10" t="str">
        <f>_xlfn.IFNA(VLOOKUP($A906,CompChecksTrans!$A:$C,3,FALSE), "      ")</f>
        <v xml:space="preserve">      </v>
      </c>
    </row>
    <row r="907" spans="1:4" x14ac:dyDescent="0.25">
      <c r="A907" s="241" t="s">
        <v>8211</v>
      </c>
      <c r="B907" s="10" t="str">
        <f>_xlfn.IFNA(VLOOKUP($A907,CompChecksTrans!$A:$C,2,FALSE),"")</f>
        <v/>
      </c>
      <c r="C907" s="10" t="str">
        <f>_xlfn.IFNA(VLOOKUP(B907,Phase4!A$4:C$1000,3,FALSE),"")</f>
        <v/>
      </c>
      <c r="D907" s="10" t="str">
        <f>_xlfn.IFNA(VLOOKUP($A907,CompChecksTrans!$A:$C,3,FALSE), "      ")</f>
        <v xml:space="preserve">      </v>
      </c>
    </row>
    <row r="908" spans="1:4" x14ac:dyDescent="0.25">
      <c r="A908" s="241" t="s">
        <v>8212</v>
      </c>
      <c r="B908" s="10" t="str">
        <f>_xlfn.IFNA(VLOOKUP($A908,CompChecksTrans!$A:$C,2,FALSE),"")</f>
        <v/>
      </c>
      <c r="C908" s="10" t="str">
        <f>_xlfn.IFNA(VLOOKUP(B908,Phase4!A$4:C$1000,3,FALSE),"")</f>
        <v/>
      </c>
      <c r="D908" s="10" t="str">
        <f>_xlfn.IFNA(VLOOKUP($A908,CompChecksTrans!$A:$C,3,FALSE), "      ")</f>
        <v xml:space="preserve">      </v>
      </c>
    </row>
    <row r="909" spans="1:4" x14ac:dyDescent="0.25">
      <c r="A909" s="241" t="s">
        <v>8213</v>
      </c>
      <c r="B909" s="10" t="str">
        <f>_xlfn.IFNA(VLOOKUP($A909,CompChecksTrans!$A:$C,2,FALSE),"")</f>
        <v/>
      </c>
      <c r="C909" s="10" t="str">
        <f>_xlfn.IFNA(VLOOKUP(B909,Phase4!A$4:C$1000,3,FALSE),"")</f>
        <v/>
      </c>
      <c r="D909" s="10" t="str">
        <f>_xlfn.IFNA(VLOOKUP($A909,CompChecksTrans!$A:$C,3,FALSE), "      ")</f>
        <v xml:space="preserve">      </v>
      </c>
    </row>
    <row r="910" spans="1:4" x14ac:dyDescent="0.25">
      <c r="A910" s="241" t="s">
        <v>8214</v>
      </c>
      <c r="B910" s="10" t="str">
        <f>_xlfn.IFNA(VLOOKUP($A910,CompChecksTrans!$A:$C,2,FALSE),"")</f>
        <v/>
      </c>
      <c r="C910" s="10" t="str">
        <f>_xlfn.IFNA(VLOOKUP(B910,Phase4!A$4:C$1000,3,FALSE),"")</f>
        <v/>
      </c>
      <c r="D910" s="10" t="str">
        <f>_xlfn.IFNA(VLOOKUP($A910,CompChecksTrans!$A:$C,3,FALSE), "      ")</f>
        <v xml:space="preserve">      </v>
      </c>
    </row>
    <row r="911" spans="1:4" x14ac:dyDescent="0.25">
      <c r="A911" s="241" t="s">
        <v>8215</v>
      </c>
      <c r="B911" s="10" t="str">
        <f>_xlfn.IFNA(VLOOKUP($A911,CompChecksTrans!$A:$C,2,FALSE),"")</f>
        <v/>
      </c>
      <c r="C911" s="10" t="str">
        <f>_xlfn.IFNA(VLOOKUP(B911,Phase4!A$4:C$1000,3,FALSE),"")</f>
        <v/>
      </c>
      <c r="D911" s="10" t="str">
        <f>_xlfn.IFNA(VLOOKUP($A911,CompChecksTrans!$A:$C,3,FALSE), "      ")</f>
        <v xml:space="preserve">      </v>
      </c>
    </row>
    <row r="912" spans="1:4" x14ac:dyDescent="0.25">
      <c r="A912" s="241" t="s">
        <v>8216</v>
      </c>
      <c r="B912" s="10" t="str">
        <f>_xlfn.IFNA(VLOOKUP($A912,CompChecksTrans!$A:$C,2,FALSE),"")</f>
        <v/>
      </c>
      <c r="C912" s="10" t="str">
        <f>_xlfn.IFNA(VLOOKUP(B912,Phase4!A$4:C$1000,3,FALSE),"")</f>
        <v/>
      </c>
      <c r="D912" s="10" t="str">
        <f>_xlfn.IFNA(VLOOKUP($A912,CompChecksTrans!$A:$C,3,FALSE), "      ")</f>
        <v xml:space="preserve">      </v>
      </c>
    </row>
    <row r="913" spans="1:4" x14ac:dyDescent="0.25">
      <c r="A913" s="241" t="s">
        <v>8217</v>
      </c>
      <c r="B913" s="10" t="str">
        <f>_xlfn.IFNA(VLOOKUP($A913,CompChecksTrans!$A:$C,2,FALSE),"")</f>
        <v/>
      </c>
      <c r="C913" s="10" t="str">
        <f>_xlfn.IFNA(VLOOKUP(B913,Phase4!A$4:C$1000,3,FALSE),"")</f>
        <v/>
      </c>
      <c r="D913" s="10" t="str">
        <f>_xlfn.IFNA(VLOOKUP($A913,CompChecksTrans!$A:$C,3,FALSE), "      ")</f>
        <v xml:space="preserve">      </v>
      </c>
    </row>
    <row r="914" spans="1:4" x14ac:dyDescent="0.25">
      <c r="A914" s="241" t="s">
        <v>8218</v>
      </c>
      <c r="B914" s="10" t="str">
        <f>_xlfn.IFNA(VLOOKUP($A914,CompChecksTrans!$A:$C,2,FALSE),"")</f>
        <v/>
      </c>
      <c r="C914" s="10" t="str">
        <f>_xlfn.IFNA(VLOOKUP(B914,Phase4!A$4:C$1000,3,FALSE),"")</f>
        <v/>
      </c>
      <c r="D914" s="10" t="str">
        <f>_xlfn.IFNA(VLOOKUP($A914,CompChecksTrans!$A:$C,3,FALSE), "      ")</f>
        <v xml:space="preserve">      </v>
      </c>
    </row>
    <row r="915" spans="1:4" x14ac:dyDescent="0.25">
      <c r="A915" s="241" t="s">
        <v>8219</v>
      </c>
      <c r="B915" s="10" t="str">
        <f>_xlfn.IFNA(VLOOKUP($A915,CompChecksTrans!$A:$C,2,FALSE),"")</f>
        <v/>
      </c>
      <c r="C915" s="10" t="str">
        <f>_xlfn.IFNA(VLOOKUP(B915,Phase4!A$4:C$1000,3,FALSE),"")</f>
        <v/>
      </c>
      <c r="D915" s="10" t="str">
        <f>_xlfn.IFNA(VLOOKUP($A915,CompChecksTrans!$A:$C,3,FALSE), "      ")</f>
        <v xml:space="preserve">      </v>
      </c>
    </row>
    <row r="916" spans="1:4" x14ac:dyDescent="0.25">
      <c r="A916" s="241" t="s">
        <v>8220</v>
      </c>
      <c r="B916" s="10" t="str">
        <f>_xlfn.IFNA(VLOOKUP($A916,CompChecksTrans!$A:$C,2,FALSE),"")</f>
        <v/>
      </c>
      <c r="C916" s="10" t="str">
        <f>_xlfn.IFNA(VLOOKUP(B916,Phase4!A$4:C$1000,3,FALSE),"")</f>
        <v/>
      </c>
      <c r="D916" s="10" t="str">
        <f>_xlfn.IFNA(VLOOKUP($A916,CompChecksTrans!$A:$C,3,FALSE), "      ")</f>
        <v xml:space="preserve">      </v>
      </c>
    </row>
    <row r="917" spans="1:4" x14ac:dyDescent="0.25">
      <c r="A917" s="241" t="s">
        <v>8221</v>
      </c>
      <c r="B917" s="10" t="str">
        <f>_xlfn.IFNA(VLOOKUP($A917,CompChecksTrans!$A:$C,2,FALSE),"")</f>
        <v/>
      </c>
      <c r="C917" s="10" t="str">
        <f>_xlfn.IFNA(VLOOKUP(B917,Phase4!A$4:C$1000,3,FALSE),"")</f>
        <v/>
      </c>
      <c r="D917" s="10" t="str">
        <f>_xlfn.IFNA(VLOOKUP($A917,CompChecksTrans!$A:$C,3,FALSE), "      ")</f>
        <v xml:space="preserve">      </v>
      </c>
    </row>
    <row r="918" spans="1:4" x14ac:dyDescent="0.25">
      <c r="A918" s="241" t="s">
        <v>8222</v>
      </c>
      <c r="B918" s="10" t="str">
        <f>_xlfn.IFNA(VLOOKUP($A918,CompChecksTrans!$A:$C,2,FALSE),"")</f>
        <v/>
      </c>
      <c r="C918" s="10" t="str">
        <f>_xlfn.IFNA(VLOOKUP(B918,Phase4!A$4:C$1000,3,FALSE),"")</f>
        <v/>
      </c>
      <c r="D918" s="10" t="str">
        <f>_xlfn.IFNA(VLOOKUP($A918,CompChecksTrans!$A:$C,3,FALSE), "      ")</f>
        <v xml:space="preserve">      </v>
      </c>
    </row>
    <row r="919" spans="1:4" x14ac:dyDescent="0.25">
      <c r="A919" s="241" t="s">
        <v>8223</v>
      </c>
      <c r="B919" s="10" t="str">
        <f>_xlfn.IFNA(VLOOKUP($A919,CompChecksTrans!$A:$C,2,FALSE),"")</f>
        <v/>
      </c>
      <c r="C919" s="10" t="str">
        <f>_xlfn.IFNA(VLOOKUP(B919,Phase4!A$4:C$1000,3,FALSE),"")</f>
        <v/>
      </c>
      <c r="D919" s="10" t="str">
        <f>_xlfn.IFNA(VLOOKUP($A919,CompChecksTrans!$A:$C,3,FALSE), "      ")</f>
        <v xml:space="preserve">      </v>
      </c>
    </row>
    <row r="920" spans="1:4" x14ac:dyDescent="0.25">
      <c r="A920" s="241" t="s">
        <v>8224</v>
      </c>
      <c r="B920" s="10" t="str">
        <f>_xlfn.IFNA(VLOOKUP($A920,CompChecksTrans!$A:$C,2,FALSE),"")</f>
        <v/>
      </c>
      <c r="C920" s="10" t="str">
        <f>_xlfn.IFNA(VLOOKUP(B920,Phase4!A$4:C$1000,3,FALSE),"")</f>
        <v/>
      </c>
      <c r="D920" s="10" t="str">
        <f>_xlfn.IFNA(VLOOKUP($A920,CompChecksTrans!$A:$C,3,FALSE), "      ")</f>
        <v xml:space="preserve">      </v>
      </c>
    </row>
    <row r="921" spans="1:4" x14ac:dyDescent="0.25">
      <c r="A921" s="241" t="s">
        <v>8225</v>
      </c>
      <c r="B921" s="10" t="str">
        <f>_xlfn.IFNA(VLOOKUP($A921,CompChecksTrans!$A:$C,2,FALSE),"")</f>
        <v/>
      </c>
      <c r="C921" s="10" t="str">
        <f>_xlfn.IFNA(VLOOKUP(B921,Phase4!A$4:C$1000,3,FALSE),"")</f>
        <v/>
      </c>
      <c r="D921" s="10" t="str">
        <f>_xlfn.IFNA(VLOOKUP($A921,CompChecksTrans!$A:$C,3,FALSE), "      ")</f>
        <v xml:space="preserve">      </v>
      </c>
    </row>
    <row r="922" spans="1:4" x14ac:dyDescent="0.25">
      <c r="A922" s="241" t="s">
        <v>8226</v>
      </c>
      <c r="B922" s="10" t="str">
        <f>_xlfn.IFNA(VLOOKUP($A922,CompChecksTrans!$A:$C,2,FALSE),"")</f>
        <v/>
      </c>
      <c r="C922" s="10" t="str">
        <f>_xlfn.IFNA(VLOOKUP(B922,Phase4!A$4:C$1000,3,FALSE),"")</f>
        <v/>
      </c>
      <c r="D922" s="10" t="str">
        <f>_xlfn.IFNA(VLOOKUP($A922,CompChecksTrans!$A:$C,3,FALSE), "      ")</f>
        <v xml:space="preserve">      </v>
      </c>
    </row>
    <row r="923" spans="1:4" x14ac:dyDescent="0.25">
      <c r="A923" s="241" t="s">
        <v>8227</v>
      </c>
      <c r="B923" s="10" t="str">
        <f>_xlfn.IFNA(VLOOKUP($A923,CompChecksTrans!$A:$C,2,FALSE),"")</f>
        <v/>
      </c>
      <c r="C923" s="10" t="str">
        <f>_xlfn.IFNA(VLOOKUP(B923,Phase4!A$4:C$1000,3,FALSE),"")</f>
        <v/>
      </c>
      <c r="D923" s="10" t="str">
        <f>_xlfn.IFNA(VLOOKUP($A923,CompChecksTrans!$A:$C,3,FALSE), "      ")</f>
        <v xml:space="preserve">      </v>
      </c>
    </row>
    <row r="924" spans="1:4" x14ac:dyDescent="0.25">
      <c r="A924" s="241" t="s">
        <v>8228</v>
      </c>
      <c r="B924" s="10" t="str">
        <f>_xlfn.IFNA(VLOOKUP($A924,CompChecksTrans!$A:$C,2,FALSE),"")</f>
        <v/>
      </c>
      <c r="C924" s="10" t="str">
        <f>_xlfn.IFNA(VLOOKUP(B924,Phase4!A$4:C$1000,3,FALSE),"")</f>
        <v/>
      </c>
      <c r="D924" s="10" t="str">
        <f>_xlfn.IFNA(VLOOKUP($A924,CompChecksTrans!$A:$C,3,FALSE), "      ")</f>
        <v xml:space="preserve">      </v>
      </c>
    </row>
    <row r="925" spans="1:4" x14ac:dyDescent="0.25">
      <c r="A925" s="241" t="s">
        <v>8229</v>
      </c>
      <c r="B925" s="10" t="str">
        <f>_xlfn.IFNA(VLOOKUP($A925,CompChecksTrans!$A:$C,2,FALSE),"")</f>
        <v/>
      </c>
      <c r="C925" s="10" t="str">
        <f>_xlfn.IFNA(VLOOKUP(B925,Phase4!A$4:C$1000,3,FALSE),"")</f>
        <v/>
      </c>
      <c r="D925" s="10" t="str">
        <f>_xlfn.IFNA(VLOOKUP($A925,CompChecksTrans!$A:$C,3,FALSE), "      ")</f>
        <v xml:space="preserve">      </v>
      </c>
    </row>
    <row r="926" spans="1:4" x14ac:dyDescent="0.25">
      <c r="A926" s="241" t="s">
        <v>8230</v>
      </c>
      <c r="B926" s="10" t="str">
        <f>_xlfn.IFNA(VLOOKUP($A926,CompChecksTrans!$A:$C,2,FALSE),"")</f>
        <v/>
      </c>
      <c r="C926" s="10" t="str">
        <f>_xlfn.IFNA(VLOOKUP(B926,Phase4!A$4:C$1000,3,FALSE),"")</f>
        <v/>
      </c>
      <c r="D926" s="10" t="str">
        <f>_xlfn.IFNA(VLOOKUP($A926,CompChecksTrans!$A:$C,3,FALSE), "      ")</f>
        <v xml:space="preserve">      </v>
      </c>
    </row>
    <row r="927" spans="1:4" x14ac:dyDescent="0.25">
      <c r="A927" s="241" t="s">
        <v>8231</v>
      </c>
      <c r="B927" s="10" t="str">
        <f>_xlfn.IFNA(VLOOKUP($A927,CompChecksTrans!$A:$C,2,FALSE),"")</f>
        <v/>
      </c>
      <c r="C927" s="10" t="str">
        <f>_xlfn.IFNA(VLOOKUP(B927,Phase4!A$4:C$1000,3,FALSE),"")</f>
        <v/>
      </c>
      <c r="D927" s="10" t="str">
        <f>_xlfn.IFNA(VLOOKUP($A927,CompChecksTrans!$A:$C,3,FALSE), "      ")</f>
        <v xml:space="preserve">      </v>
      </c>
    </row>
    <row r="928" spans="1:4" x14ac:dyDescent="0.25">
      <c r="A928" s="241" t="s">
        <v>8232</v>
      </c>
      <c r="B928" s="10" t="str">
        <f>_xlfn.IFNA(VLOOKUP($A928,CompChecksTrans!$A:$C,2,FALSE),"")</f>
        <v/>
      </c>
      <c r="C928" s="10" t="str">
        <f>_xlfn.IFNA(VLOOKUP(B928,Phase4!A$4:C$1000,3,FALSE),"")</f>
        <v/>
      </c>
      <c r="D928" s="10" t="str">
        <f>_xlfn.IFNA(VLOOKUP($A928,CompChecksTrans!$A:$C,3,FALSE), "      ")</f>
        <v xml:space="preserve">      </v>
      </c>
    </row>
    <row r="929" spans="1:4" x14ac:dyDescent="0.25">
      <c r="A929" s="241" t="s">
        <v>8233</v>
      </c>
      <c r="B929" s="10" t="str">
        <f>_xlfn.IFNA(VLOOKUP($A929,CompChecksTrans!$A:$C,2,FALSE),"")</f>
        <v/>
      </c>
      <c r="C929" s="10" t="str">
        <f>_xlfn.IFNA(VLOOKUP(B929,Phase4!A$4:C$1000,3,FALSE),"")</f>
        <v/>
      </c>
      <c r="D929" s="10" t="str">
        <f>_xlfn.IFNA(VLOOKUP($A929,CompChecksTrans!$A:$C,3,FALSE), "      ")</f>
        <v xml:space="preserve">      </v>
      </c>
    </row>
    <row r="930" spans="1:4" x14ac:dyDescent="0.25">
      <c r="A930" s="241" t="s">
        <v>8234</v>
      </c>
      <c r="B930" s="10" t="str">
        <f>_xlfn.IFNA(VLOOKUP($A930,CompChecksTrans!$A:$C,2,FALSE),"")</f>
        <v/>
      </c>
      <c r="C930" s="10" t="str">
        <f>_xlfn.IFNA(VLOOKUP(B930,Phase4!A$4:C$1000,3,FALSE),"")</f>
        <v/>
      </c>
      <c r="D930" s="10" t="str">
        <f>_xlfn.IFNA(VLOOKUP($A930,CompChecksTrans!$A:$C,3,FALSE), "      ")</f>
        <v xml:space="preserve">      </v>
      </c>
    </row>
    <row r="931" spans="1:4" x14ac:dyDescent="0.25">
      <c r="A931" s="241" t="s">
        <v>8235</v>
      </c>
      <c r="B931" s="10" t="str">
        <f>_xlfn.IFNA(VLOOKUP($A931,CompChecksTrans!$A:$C,2,FALSE),"")</f>
        <v/>
      </c>
      <c r="C931" s="10" t="str">
        <f>_xlfn.IFNA(VLOOKUP(B931,Phase4!A$4:C$1000,3,FALSE),"")</f>
        <v/>
      </c>
      <c r="D931" s="10" t="str">
        <f>_xlfn.IFNA(VLOOKUP($A931,CompChecksTrans!$A:$C,3,FALSE), "      ")</f>
        <v xml:space="preserve">      </v>
      </c>
    </row>
    <row r="932" spans="1:4" x14ac:dyDescent="0.25">
      <c r="A932" s="241" t="s">
        <v>8236</v>
      </c>
      <c r="B932" s="10" t="str">
        <f>_xlfn.IFNA(VLOOKUP($A932,CompChecksTrans!$A:$C,2,FALSE),"")</f>
        <v/>
      </c>
      <c r="C932" s="10" t="str">
        <f>_xlfn.IFNA(VLOOKUP(B932,Phase4!A$4:C$1000,3,FALSE),"")</f>
        <v/>
      </c>
      <c r="D932" s="10" t="str">
        <f>_xlfn.IFNA(VLOOKUP($A932,CompChecksTrans!$A:$C,3,FALSE), "      ")</f>
        <v xml:space="preserve">      </v>
      </c>
    </row>
    <row r="933" spans="1:4" x14ac:dyDescent="0.25">
      <c r="A933" s="241" t="s">
        <v>8237</v>
      </c>
      <c r="B933" s="10" t="str">
        <f>_xlfn.IFNA(VLOOKUP($A933,CompChecksTrans!$A:$C,2,FALSE),"")</f>
        <v/>
      </c>
      <c r="C933" s="10" t="str">
        <f>_xlfn.IFNA(VLOOKUP(B933,Phase4!A$4:C$1000,3,FALSE),"")</f>
        <v/>
      </c>
      <c r="D933" s="10" t="str">
        <f>_xlfn.IFNA(VLOOKUP($A933,CompChecksTrans!$A:$C,3,FALSE), "      ")</f>
        <v xml:space="preserve">      </v>
      </c>
    </row>
    <row r="934" spans="1:4" x14ac:dyDescent="0.25">
      <c r="A934" s="241" t="s">
        <v>8238</v>
      </c>
      <c r="B934" s="10" t="str">
        <f>_xlfn.IFNA(VLOOKUP($A934,CompChecksTrans!$A:$C,2,FALSE),"")</f>
        <v/>
      </c>
      <c r="C934" s="10" t="str">
        <f>_xlfn.IFNA(VLOOKUP(B934,Phase4!A$4:C$1000,3,FALSE),"")</f>
        <v/>
      </c>
      <c r="D934" s="10" t="str">
        <f>_xlfn.IFNA(VLOOKUP($A934,CompChecksTrans!$A:$C,3,FALSE), "      ")</f>
        <v xml:space="preserve">      </v>
      </c>
    </row>
    <row r="935" spans="1:4" x14ac:dyDescent="0.25">
      <c r="A935" s="241" t="s">
        <v>8239</v>
      </c>
      <c r="B935" s="10" t="str">
        <f>_xlfn.IFNA(VLOOKUP($A935,CompChecksTrans!$A:$C,2,FALSE),"")</f>
        <v/>
      </c>
      <c r="C935" s="10" t="str">
        <f>_xlfn.IFNA(VLOOKUP(B935,Phase4!A$4:C$1000,3,FALSE),"")</f>
        <v/>
      </c>
      <c r="D935" s="10" t="str">
        <f>_xlfn.IFNA(VLOOKUP($A935,CompChecksTrans!$A:$C,3,FALSE), "      ")</f>
        <v xml:space="preserve">      </v>
      </c>
    </row>
    <row r="936" spans="1:4" x14ac:dyDescent="0.25">
      <c r="A936" s="241" t="s">
        <v>8240</v>
      </c>
      <c r="B936" s="10" t="str">
        <f>_xlfn.IFNA(VLOOKUP($A936,CompChecksTrans!$A:$C,2,FALSE),"")</f>
        <v/>
      </c>
      <c r="C936" s="10" t="str">
        <f>_xlfn.IFNA(VLOOKUP(B936,Phase4!A$4:C$1000,3,FALSE),"")</f>
        <v/>
      </c>
      <c r="D936" s="10" t="str">
        <f>_xlfn.IFNA(VLOOKUP($A936,CompChecksTrans!$A:$C,3,FALSE), "      ")</f>
        <v xml:space="preserve">      </v>
      </c>
    </row>
    <row r="937" spans="1:4" x14ac:dyDescent="0.25">
      <c r="A937" s="241" t="s">
        <v>8241</v>
      </c>
      <c r="B937" s="10" t="str">
        <f>_xlfn.IFNA(VLOOKUP($A937,CompChecksTrans!$A:$C,2,FALSE),"")</f>
        <v/>
      </c>
      <c r="C937" s="10" t="str">
        <f>_xlfn.IFNA(VLOOKUP(B937,Phase4!A$4:C$1000,3,FALSE),"")</f>
        <v/>
      </c>
      <c r="D937" s="10" t="str">
        <f>_xlfn.IFNA(VLOOKUP($A937,CompChecksTrans!$A:$C,3,FALSE), "      ")</f>
        <v xml:space="preserve">      </v>
      </c>
    </row>
    <row r="938" spans="1:4" x14ac:dyDescent="0.25">
      <c r="A938" s="241" t="s">
        <v>8242</v>
      </c>
      <c r="B938" s="10" t="str">
        <f>_xlfn.IFNA(VLOOKUP($A938,CompChecksTrans!$A:$C,2,FALSE),"")</f>
        <v/>
      </c>
      <c r="C938" s="10" t="str">
        <f>_xlfn.IFNA(VLOOKUP(B938,Phase4!A$4:C$1000,3,FALSE),"")</f>
        <v/>
      </c>
      <c r="D938" s="10" t="str">
        <f>_xlfn.IFNA(VLOOKUP($A938,CompChecksTrans!$A:$C,3,FALSE), "      ")</f>
        <v xml:space="preserve">      </v>
      </c>
    </row>
    <row r="939" spans="1:4" x14ac:dyDescent="0.25">
      <c r="A939" s="241" t="s">
        <v>8243</v>
      </c>
      <c r="B939" s="10" t="str">
        <f>_xlfn.IFNA(VLOOKUP($A939,CompChecksTrans!$A:$C,2,FALSE),"")</f>
        <v/>
      </c>
      <c r="C939" s="10" t="str">
        <f>_xlfn.IFNA(VLOOKUP(B939,Phase4!A$4:C$1000,3,FALSE),"")</f>
        <v/>
      </c>
      <c r="D939" s="10" t="str">
        <f>_xlfn.IFNA(VLOOKUP($A939,CompChecksTrans!$A:$C,3,FALSE), "      ")</f>
        <v xml:space="preserve">      </v>
      </c>
    </row>
    <row r="940" spans="1:4" x14ac:dyDescent="0.25">
      <c r="A940" s="241" t="s">
        <v>8244</v>
      </c>
      <c r="B940" s="10" t="str">
        <f>_xlfn.IFNA(VLOOKUP($A940,CompChecksTrans!$A:$C,2,FALSE),"")</f>
        <v/>
      </c>
      <c r="C940" s="10" t="str">
        <f>_xlfn.IFNA(VLOOKUP(B940,Phase4!A$4:C$1000,3,FALSE),"")</f>
        <v/>
      </c>
      <c r="D940" s="10" t="str">
        <f>_xlfn.IFNA(VLOOKUP($A940,CompChecksTrans!$A:$C,3,FALSE), "      ")</f>
        <v xml:space="preserve">      </v>
      </c>
    </row>
    <row r="941" spans="1:4" x14ac:dyDescent="0.25">
      <c r="A941" s="241" t="s">
        <v>8245</v>
      </c>
      <c r="B941" s="10" t="str">
        <f>_xlfn.IFNA(VLOOKUP($A941,CompChecksTrans!$A:$C,2,FALSE),"")</f>
        <v/>
      </c>
      <c r="C941" s="10" t="str">
        <f>_xlfn.IFNA(VLOOKUP(B941,Phase4!A$4:C$1000,3,FALSE),"")</f>
        <v/>
      </c>
      <c r="D941" s="10" t="str">
        <f>_xlfn.IFNA(VLOOKUP($A941,CompChecksTrans!$A:$C,3,FALSE), "      ")</f>
        <v xml:space="preserve">      </v>
      </c>
    </row>
    <row r="942" spans="1:4" x14ac:dyDescent="0.25">
      <c r="A942" s="241" t="s">
        <v>8246</v>
      </c>
      <c r="B942" s="10" t="str">
        <f>_xlfn.IFNA(VLOOKUP($A942,CompChecksTrans!$A:$C,2,FALSE),"")</f>
        <v/>
      </c>
      <c r="C942" s="10" t="str">
        <f>_xlfn.IFNA(VLOOKUP(B942,Phase4!A$4:C$1000,3,FALSE),"")</f>
        <v/>
      </c>
      <c r="D942" s="10" t="str">
        <f>_xlfn.IFNA(VLOOKUP($A942,CompChecksTrans!$A:$C,3,FALSE), "      ")</f>
        <v xml:space="preserve">      </v>
      </c>
    </row>
    <row r="943" spans="1:4" x14ac:dyDescent="0.25">
      <c r="A943" s="241" t="s">
        <v>8247</v>
      </c>
      <c r="B943" s="10" t="str">
        <f>_xlfn.IFNA(VLOOKUP($A943,CompChecksTrans!$A:$C,2,FALSE),"")</f>
        <v/>
      </c>
      <c r="C943" s="10" t="str">
        <f>_xlfn.IFNA(VLOOKUP(B943,Phase4!A$4:C$1000,3,FALSE),"")</f>
        <v/>
      </c>
      <c r="D943" s="10" t="str">
        <f>_xlfn.IFNA(VLOOKUP($A943,CompChecksTrans!$A:$C,3,FALSE), "      ")</f>
        <v xml:space="preserve">      </v>
      </c>
    </row>
    <row r="944" spans="1:4" x14ac:dyDescent="0.25">
      <c r="A944" s="241" t="s">
        <v>8248</v>
      </c>
      <c r="B944" s="10" t="str">
        <f>_xlfn.IFNA(VLOOKUP($A944,CompChecksTrans!$A:$C,2,FALSE),"")</f>
        <v/>
      </c>
      <c r="C944" s="10" t="str">
        <f>_xlfn.IFNA(VLOOKUP(B944,Phase4!A$4:C$1000,3,FALSE),"")</f>
        <v/>
      </c>
      <c r="D944" s="10" t="str">
        <f>_xlfn.IFNA(VLOOKUP($A944,CompChecksTrans!$A:$C,3,FALSE), "      ")</f>
        <v xml:space="preserve">      </v>
      </c>
    </row>
    <row r="945" spans="1:4" x14ac:dyDescent="0.25">
      <c r="A945" s="241" t="s">
        <v>8249</v>
      </c>
      <c r="B945" s="10" t="str">
        <f>_xlfn.IFNA(VLOOKUP($A945,CompChecksTrans!$A:$C,2,FALSE),"")</f>
        <v/>
      </c>
      <c r="C945" s="10" t="str">
        <f>_xlfn.IFNA(VLOOKUP(B945,Phase4!A$4:C$1000,3,FALSE),"")</f>
        <v/>
      </c>
      <c r="D945" s="10" t="str">
        <f>_xlfn.IFNA(VLOOKUP($A945,CompChecksTrans!$A:$C,3,FALSE), "      ")</f>
        <v xml:space="preserve">      </v>
      </c>
    </row>
    <row r="946" spans="1:4" x14ac:dyDescent="0.25">
      <c r="A946" s="241" t="s">
        <v>8250</v>
      </c>
      <c r="B946" s="10" t="str">
        <f>_xlfn.IFNA(VLOOKUP($A946,CompChecksTrans!$A:$C,2,FALSE),"")</f>
        <v/>
      </c>
      <c r="C946" s="10" t="str">
        <f>_xlfn.IFNA(VLOOKUP(B946,Phase4!A$4:C$1000,3,FALSE),"")</f>
        <v/>
      </c>
      <c r="D946" s="10" t="str">
        <f>_xlfn.IFNA(VLOOKUP($A946,CompChecksTrans!$A:$C,3,FALSE), "      ")</f>
        <v xml:space="preserve">      </v>
      </c>
    </row>
    <row r="947" spans="1:4" x14ac:dyDescent="0.25">
      <c r="A947" s="241" t="s">
        <v>8251</v>
      </c>
      <c r="B947" s="10" t="str">
        <f>_xlfn.IFNA(VLOOKUP($A947,CompChecksTrans!$A:$C,2,FALSE),"")</f>
        <v/>
      </c>
      <c r="C947" s="10" t="str">
        <f>_xlfn.IFNA(VLOOKUP(B947,Phase4!A$4:C$1000,3,FALSE),"")</f>
        <v/>
      </c>
      <c r="D947" s="10" t="str">
        <f>_xlfn.IFNA(VLOOKUP($A947,CompChecksTrans!$A:$C,3,FALSE), "      ")</f>
        <v xml:space="preserve">      </v>
      </c>
    </row>
    <row r="948" spans="1:4" x14ac:dyDescent="0.25">
      <c r="A948" s="241" t="s">
        <v>8252</v>
      </c>
      <c r="B948" s="10" t="str">
        <f>_xlfn.IFNA(VLOOKUP($A948,CompChecksTrans!$A:$C,2,FALSE),"")</f>
        <v/>
      </c>
      <c r="C948" s="10" t="str">
        <f>_xlfn.IFNA(VLOOKUP(B948,Phase4!A$4:C$1000,3,FALSE),"")</f>
        <v/>
      </c>
      <c r="D948" s="10" t="str">
        <f>_xlfn.IFNA(VLOOKUP($A948,CompChecksTrans!$A:$C,3,FALSE), "      ")</f>
        <v xml:space="preserve">      </v>
      </c>
    </row>
    <row r="949" spans="1:4" x14ac:dyDescent="0.25">
      <c r="A949" s="241" t="s">
        <v>8253</v>
      </c>
      <c r="B949" s="10" t="str">
        <f>_xlfn.IFNA(VLOOKUP($A949,CompChecksTrans!$A:$C,2,FALSE),"")</f>
        <v/>
      </c>
      <c r="C949" s="10" t="str">
        <f>_xlfn.IFNA(VLOOKUP(B949,Phase4!A$4:C$1000,3,FALSE),"")</f>
        <v/>
      </c>
      <c r="D949" s="10" t="str">
        <f>_xlfn.IFNA(VLOOKUP($A949,CompChecksTrans!$A:$C,3,FALSE), "      ")</f>
        <v xml:space="preserve">      </v>
      </c>
    </row>
    <row r="950" spans="1:4" x14ac:dyDescent="0.25">
      <c r="A950" s="241" t="s">
        <v>8254</v>
      </c>
      <c r="B950" s="10" t="str">
        <f>_xlfn.IFNA(VLOOKUP($A950,CompChecksTrans!$A:$C,2,FALSE),"")</f>
        <v/>
      </c>
      <c r="C950" s="10" t="str">
        <f>_xlfn.IFNA(VLOOKUP(B950,Phase4!A$4:C$1000,3,FALSE),"")</f>
        <v/>
      </c>
      <c r="D950" s="10" t="str">
        <f>_xlfn.IFNA(VLOOKUP($A950,CompChecksTrans!$A:$C,3,FALSE), "      ")</f>
        <v xml:space="preserve">      </v>
      </c>
    </row>
    <row r="951" spans="1:4" x14ac:dyDescent="0.25">
      <c r="A951" s="241" t="s">
        <v>8255</v>
      </c>
      <c r="B951" s="10" t="str">
        <f>_xlfn.IFNA(VLOOKUP($A951,CompChecksTrans!$A:$C,2,FALSE),"")</f>
        <v/>
      </c>
      <c r="C951" s="10" t="str">
        <f>_xlfn.IFNA(VLOOKUP(B951,Phase4!A$4:C$1000,3,FALSE),"")</f>
        <v/>
      </c>
      <c r="D951" s="10" t="str">
        <f>_xlfn.IFNA(VLOOKUP($A951,CompChecksTrans!$A:$C,3,FALSE), "      ")</f>
        <v xml:space="preserve">      </v>
      </c>
    </row>
    <row r="952" spans="1:4" x14ac:dyDescent="0.25">
      <c r="A952" s="241" t="s">
        <v>8256</v>
      </c>
      <c r="B952" s="10" t="str">
        <f>_xlfn.IFNA(VLOOKUP($A952,CompChecksTrans!$A:$C,2,FALSE),"")</f>
        <v/>
      </c>
      <c r="C952" s="10" t="str">
        <f>_xlfn.IFNA(VLOOKUP(B952,Phase4!A$4:C$1000,3,FALSE),"")</f>
        <v/>
      </c>
      <c r="D952" s="10" t="str">
        <f>_xlfn.IFNA(VLOOKUP($A952,CompChecksTrans!$A:$C,3,FALSE), "      ")</f>
        <v xml:space="preserve">      </v>
      </c>
    </row>
    <row r="953" spans="1:4" x14ac:dyDescent="0.25">
      <c r="A953" s="241" t="s">
        <v>8257</v>
      </c>
      <c r="B953" s="10" t="str">
        <f>_xlfn.IFNA(VLOOKUP($A953,CompChecksTrans!$A:$C,2,FALSE),"")</f>
        <v/>
      </c>
      <c r="C953" s="10" t="str">
        <f>_xlfn.IFNA(VLOOKUP(B953,Phase4!A$4:C$1000,3,FALSE),"")</f>
        <v/>
      </c>
      <c r="D953" s="10" t="str">
        <f>_xlfn.IFNA(VLOOKUP($A953,CompChecksTrans!$A:$C,3,FALSE), "      ")</f>
        <v xml:space="preserve">      </v>
      </c>
    </row>
    <row r="954" spans="1:4" x14ac:dyDescent="0.25">
      <c r="A954" s="241" t="s">
        <v>8258</v>
      </c>
      <c r="B954" s="10" t="str">
        <f>_xlfn.IFNA(VLOOKUP($A954,CompChecksTrans!$A:$C,2,FALSE),"")</f>
        <v/>
      </c>
      <c r="C954" s="10" t="str">
        <f>_xlfn.IFNA(VLOOKUP(B954,Phase4!A$4:C$1000,3,FALSE),"")</f>
        <v/>
      </c>
      <c r="D954" s="10" t="str">
        <f>_xlfn.IFNA(VLOOKUP($A954,CompChecksTrans!$A:$C,3,FALSE), "      ")</f>
        <v xml:space="preserve">      </v>
      </c>
    </row>
    <row r="955" spans="1:4" x14ac:dyDescent="0.25">
      <c r="A955" s="241" t="s">
        <v>8259</v>
      </c>
      <c r="B955" s="10" t="str">
        <f>_xlfn.IFNA(VLOOKUP($A955,CompChecksTrans!$A:$C,2,FALSE),"")</f>
        <v/>
      </c>
      <c r="C955" s="10" t="str">
        <f>_xlfn.IFNA(VLOOKUP(B955,Phase4!A$4:C$1000,3,FALSE),"")</f>
        <v/>
      </c>
      <c r="D955" s="10" t="str">
        <f>_xlfn.IFNA(VLOOKUP($A955,CompChecksTrans!$A:$C,3,FALSE), "      ")</f>
        <v xml:space="preserve">      </v>
      </c>
    </row>
    <row r="956" spans="1:4" x14ac:dyDescent="0.25">
      <c r="A956" s="241" t="s">
        <v>8260</v>
      </c>
      <c r="B956" s="10" t="str">
        <f>_xlfn.IFNA(VLOOKUP($A956,CompChecksTrans!$A:$C,2,FALSE),"")</f>
        <v/>
      </c>
      <c r="C956" s="10" t="str">
        <f>_xlfn.IFNA(VLOOKUP(B956,Phase4!A$4:C$1000,3,FALSE),"")</f>
        <v/>
      </c>
      <c r="D956" s="10" t="str">
        <f>_xlfn.IFNA(VLOOKUP($A956,CompChecksTrans!$A:$C,3,FALSE), "      ")</f>
        <v xml:space="preserve">      </v>
      </c>
    </row>
    <row r="957" spans="1:4" x14ac:dyDescent="0.25">
      <c r="A957" s="241" t="s">
        <v>8261</v>
      </c>
      <c r="B957" s="10" t="str">
        <f>_xlfn.IFNA(VLOOKUP($A957,CompChecksTrans!$A:$C,2,FALSE),"")</f>
        <v/>
      </c>
      <c r="C957" s="10" t="str">
        <f>_xlfn.IFNA(VLOOKUP(B957,Phase4!A$4:C$1000,3,FALSE),"")</f>
        <v/>
      </c>
      <c r="D957" s="10" t="str">
        <f>_xlfn.IFNA(VLOOKUP($A957,CompChecksTrans!$A:$C,3,FALSE), "      ")</f>
        <v xml:space="preserve">      </v>
      </c>
    </row>
    <row r="958" spans="1:4" x14ac:dyDescent="0.25">
      <c r="A958" s="241" t="s">
        <v>8262</v>
      </c>
      <c r="B958" s="10" t="str">
        <f>_xlfn.IFNA(VLOOKUP($A958,CompChecksTrans!$A:$C,2,FALSE),"")</f>
        <v/>
      </c>
      <c r="C958" s="10" t="str">
        <f>_xlfn.IFNA(VLOOKUP(B958,Phase4!A$4:C$1000,3,FALSE),"")</f>
        <v/>
      </c>
      <c r="D958" s="10" t="str">
        <f>_xlfn.IFNA(VLOOKUP($A958,CompChecksTrans!$A:$C,3,FALSE), "      ")</f>
        <v xml:space="preserve">      </v>
      </c>
    </row>
    <row r="959" spans="1:4" x14ac:dyDescent="0.25">
      <c r="A959" s="241" t="s">
        <v>8263</v>
      </c>
      <c r="B959" s="10" t="str">
        <f>_xlfn.IFNA(VLOOKUP($A959,CompChecksTrans!$A:$C,2,FALSE),"")</f>
        <v/>
      </c>
      <c r="C959" s="10" t="str">
        <f>_xlfn.IFNA(VLOOKUP(B959,Phase4!A$4:C$1000,3,FALSE),"")</f>
        <v/>
      </c>
      <c r="D959" s="10" t="str">
        <f>_xlfn.IFNA(VLOOKUP($A959,CompChecksTrans!$A:$C,3,FALSE), "      ")</f>
        <v xml:space="preserve">      </v>
      </c>
    </row>
    <row r="960" spans="1:4" x14ac:dyDescent="0.25">
      <c r="A960" s="241" t="s">
        <v>8264</v>
      </c>
      <c r="B960" s="10" t="str">
        <f>_xlfn.IFNA(VLOOKUP($A960,CompChecksTrans!$A:$C,2,FALSE),"")</f>
        <v/>
      </c>
      <c r="C960" s="10" t="str">
        <f>_xlfn.IFNA(VLOOKUP(B960,Phase4!A$4:C$1000,3,FALSE),"")</f>
        <v/>
      </c>
      <c r="D960" s="10" t="str">
        <f>_xlfn.IFNA(VLOOKUP($A960,CompChecksTrans!$A:$C,3,FALSE), "      ")</f>
        <v xml:space="preserve">      </v>
      </c>
    </row>
    <row r="961" spans="1:4" x14ac:dyDescent="0.25">
      <c r="A961" s="241" t="s">
        <v>8265</v>
      </c>
      <c r="B961" s="10" t="str">
        <f>_xlfn.IFNA(VLOOKUP($A961,CompChecksTrans!$A:$C,2,FALSE),"")</f>
        <v/>
      </c>
      <c r="C961" s="10" t="str">
        <f>_xlfn.IFNA(VLOOKUP(B961,Phase4!A$4:C$1000,3,FALSE),"")</f>
        <v/>
      </c>
      <c r="D961" s="10" t="str">
        <f>_xlfn.IFNA(VLOOKUP($A961,CompChecksTrans!$A:$C,3,FALSE), "      ")</f>
        <v xml:space="preserve">      </v>
      </c>
    </row>
    <row r="962" spans="1:4" x14ac:dyDescent="0.25">
      <c r="A962" s="241" t="s">
        <v>8266</v>
      </c>
      <c r="B962" s="10" t="str">
        <f>_xlfn.IFNA(VLOOKUP($A962,CompChecksTrans!$A:$C,2,FALSE),"")</f>
        <v/>
      </c>
      <c r="C962" s="10" t="str">
        <f>_xlfn.IFNA(VLOOKUP(B962,Phase4!A$4:C$1000,3,FALSE),"")</f>
        <v/>
      </c>
      <c r="D962" s="10" t="str">
        <f>_xlfn.IFNA(VLOOKUP($A962,CompChecksTrans!$A:$C,3,FALSE), "      ")</f>
        <v xml:space="preserve">      </v>
      </c>
    </row>
    <row r="963" spans="1:4" x14ac:dyDescent="0.25">
      <c r="A963" s="241" t="s">
        <v>8267</v>
      </c>
      <c r="B963" s="10" t="str">
        <f>_xlfn.IFNA(VLOOKUP($A963,CompChecksTrans!$A:$C,2,FALSE),"")</f>
        <v/>
      </c>
      <c r="C963" s="10" t="str">
        <f>_xlfn.IFNA(VLOOKUP(B963,Phase4!A$4:C$1000,3,FALSE),"")</f>
        <v/>
      </c>
      <c r="D963" s="10" t="str">
        <f>_xlfn.IFNA(VLOOKUP($A963,CompChecksTrans!$A:$C,3,FALSE), "      ")</f>
        <v xml:space="preserve">      </v>
      </c>
    </row>
    <row r="964" spans="1:4" x14ac:dyDescent="0.25">
      <c r="A964" s="241" t="s">
        <v>8268</v>
      </c>
      <c r="B964" s="10" t="str">
        <f>_xlfn.IFNA(VLOOKUP($A964,CompChecksTrans!$A:$C,2,FALSE),"")</f>
        <v/>
      </c>
      <c r="C964" s="10" t="str">
        <f>_xlfn.IFNA(VLOOKUP(B964,Phase4!A$4:C$1000,3,FALSE),"")</f>
        <v/>
      </c>
      <c r="D964" s="10" t="str">
        <f>_xlfn.IFNA(VLOOKUP($A964,CompChecksTrans!$A:$C,3,FALSE), "      ")</f>
        <v xml:space="preserve">      </v>
      </c>
    </row>
    <row r="965" spans="1:4" x14ac:dyDescent="0.25">
      <c r="A965" s="241" t="s">
        <v>8269</v>
      </c>
      <c r="B965" s="10" t="str">
        <f>_xlfn.IFNA(VLOOKUP($A965,CompChecksTrans!$A:$C,2,FALSE),"")</f>
        <v/>
      </c>
      <c r="C965" s="10" t="str">
        <f>_xlfn.IFNA(VLOOKUP(B965,Phase4!A$4:C$1000,3,FALSE),"")</f>
        <v/>
      </c>
      <c r="D965" s="10" t="str">
        <f>_xlfn.IFNA(VLOOKUP($A965,CompChecksTrans!$A:$C,3,FALSE), "      ")</f>
        <v xml:space="preserve">      </v>
      </c>
    </row>
    <row r="966" spans="1:4" x14ac:dyDescent="0.25">
      <c r="A966" s="241" t="s">
        <v>8270</v>
      </c>
      <c r="B966" s="10" t="str">
        <f>_xlfn.IFNA(VLOOKUP($A966,CompChecksTrans!$A:$C,2,FALSE),"")</f>
        <v/>
      </c>
      <c r="C966" s="10" t="str">
        <f>_xlfn.IFNA(VLOOKUP(B966,Phase4!A$4:C$1000,3,FALSE),"")</f>
        <v/>
      </c>
      <c r="D966" s="10" t="str">
        <f>_xlfn.IFNA(VLOOKUP($A966,CompChecksTrans!$A:$C,3,FALSE), "      ")</f>
        <v xml:space="preserve">      </v>
      </c>
    </row>
    <row r="967" spans="1:4" x14ac:dyDescent="0.25">
      <c r="A967" s="241" t="s">
        <v>8271</v>
      </c>
      <c r="B967" s="10" t="str">
        <f>_xlfn.IFNA(VLOOKUP($A967,CompChecksTrans!$A:$C,2,FALSE),"")</f>
        <v/>
      </c>
      <c r="C967" s="10" t="str">
        <f>_xlfn.IFNA(VLOOKUP(B967,Phase4!A$4:C$1000,3,FALSE),"")</f>
        <v/>
      </c>
      <c r="D967" s="10" t="str">
        <f>_xlfn.IFNA(VLOOKUP($A967,CompChecksTrans!$A:$C,3,FALSE), "      ")</f>
        <v xml:space="preserve">      </v>
      </c>
    </row>
    <row r="968" spans="1:4" x14ac:dyDescent="0.25">
      <c r="A968" s="241" t="s">
        <v>8272</v>
      </c>
      <c r="B968" s="10" t="str">
        <f>_xlfn.IFNA(VLOOKUP($A968,CompChecksTrans!$A:$C,2,FALSE),"")</f>
        <v/>
      </c>
      <c r="C968" s="10" t="str">
        <f>_xlfn.IFNA(VLOOKUP(B968,Phase4!A$4:C$1000,3,FALSE),"")</f>
        <v/>
      </c>
      <c r="D968" s="10" t="str">
        <f>_xlfn.IFNA(VLOOKUP($A968,CompChecksTrans!$A:$C,3,FALSE), "      ")</f>
        <v xml:space="preserve">      </v>
      </c>
    </row>
    <row r="969" spans="1:4" x14ac:dyDescent="0.25">
      <c r="A969" s="241" t="s">
        <v>8273</v>
      </c>
      <c r="B969" s="10" t="str">
        <f>_xlfn.IFNA(VLOOKUP($A969,CompChecksTrans!$A:$C,2,FALSE),"")</f>
        <v/>
      </c>
      <c r="C969" s="10" t="str">
        <f>_xlfn.IFNA(VLOOKUP(B969,Phase4!A$4:C$1000,3,FALSE),"")</f>
        <v/>
      </c>
      <c r="D969" s="10" t="str">
        <f>_xlfn.IFNA(VLOOKUP($A969,CompChecksTrans!$A:$C,3,FALSE), "      ")</f>
        <v xml:space="preserve">      </v>
      </c>
    </row>
    <row r="970" spans="1:4" x14ac:dyDescent="0.25">
      <c r="A970" s="241" t="s">
        <v>8274</v>
      </c>
      <c r="B970" s="10" t="str">
        <f>_xlfn.IFNA(VLOOKUP($A970,CompChecksTrans!$A:$C,2,FALSE),"")</f>
        <v/>
      </c>
      <c r="C970" s="10" t="str">
        <f>_xlfn.IFNA(VLOOKUP(B970,Phase4!A$4:C$1000,3,FALSE),"")</f>
        <v/>
      </c>
      <c r="D970" s="10" t="str">
        <f>_xlfn.IFNA(VLOOKUP($A970,CompChecksTrans!$A:$C,3,FALSE), "      ")</f>
        <v xml:space="preserve">      </v>
      </c>
    </row>
    <row r="971" spans="1:4" x14ac:dyDescent="0.25">
      <c r="A971" s="241" t="s">
        <v>8275</v>
      </c>
      <c r="B971" s="10" t="str">
        <f>_xlfn.IFNA(VLOOKUP($A971,CompChecksTrans!$A:$C,2,FALSE),"")</f>
        <v/>
      </c>
      <c r="C971" s="10" t="str">
        <f>_xlfn.IFNA(VLOOKUP(B971,Phase4!A$4:C$1000,3,FALSE),"")</f>
        <v/>
      </c>
      <c r="D971" s="10" t="str">
        <f>_xlfn.IFNA(VLOOKUP($A971,CompChecksTrans!$A:$C,3,FALSE), "      ")</f>
        <v xml:space="preserve">      </v>
      </c>
    </row>
    <row r="972" spans="1:4" x14ac:dyDescent="0.25">
      <c r="A972" s="241" t="s">
        <v>8276</v>
      </c>
      <c r="B972" s="10" t="str">
        <f>_xlfn.IFNA(VLOOKUP($A972,CompChecksTrans!$A:$C,2,FALSE),"")</f>
        <v/>
      </c>
      <c r="C972" s="10" t="str">
        <f>_xlfn.IFNA(VLOOKUP(B972,Phase4!A$4:C$1000,3,FALSE),"")</f>
        <v/>
      </c>
      <c r="D972" s="10" t="str">
        <f>_xlfn.IFNA(VLOOKUP($A972,CompChecksTrans!$A:$C,3,FALSE), "      ")</f>
        <v xml:space="preserve">      </v>
      </c>
    </row>
    <row r="973" spans="1:4" x14ac:dyDescent="0.25">
      <c r="A973" s="241" t="s">
        <v>8277</v>
      </c>
      <c r="B973" s="10" t="str">
        <f>_xlfn.IFNA(VLOOKUP($A973,CompChecksTrans!$A:$C,2,FALSE),"")</f>
        <v/>
      </c>
      <c r="C973" s="10" t="str">
        <f>_xlfn.IFNA(VLOOKUP(B973,Phase4!A$4:C$1000,3,FALSE),"")</f>
        <v/>
      </c>
      <c r="D973" s="10" t="str">
        <f>_xlfn.IFNA(VLOOKUP($A973,CompChecksTrans!$A:$C,3,FALSE), "      ")</f>
        <v xml:space="preserve">      </v>
      </c>
    </row>
    <row r="974" spans="1:4" x14ac:dyDescent="0.25">
      <c r="A974" s="241" t="s">
        <v>8278</v>
      </c>
      <c r="B974" s="10" t="str">
        <f>_xlfn.IFNA(VLOOKUP($A974,CompChecksTrans!$A:$C,2,FALSE),"")</f>
        <v/>
      </c>
      <c r="C974" s="10" t="str">
        <f>_xlfn.IFNA(VLOOKUP(B974,Phase4!A$4:C$1000,3,FALSE),"")</f>
        <v/>
      </c>
      <c r="D974" s="10" t="str">
        <f>_xlfn.IFNA(VLOOKUP($A974,CompChecksTrans!$A:$C,3,FALSE), "      ")</f>
        <v xml:space="preserve">      </v>
      </c>
    </row>
    <row r="975" spans="1:4" x14ac:dyDescent="0.25">
      <c r="A975" s="241" t="s">
        <v>8279</v>
      </c>
      <c r="B975" s="10" t="str">
        <f>_xlfn.IFNA(VLOOKUP($A975,CompChecksTrans!$A:$C,2,FALSE),"")</f>
        <v/>
      </c>
      <c r="C975" s="10" t="str">
        <f>_xlfn.IFNA(VLOOKUP(B975,Phase4!A$4:C$1000,3,FALSE),"")</f>
        <v/>
      </c>
      <c r="D975" s="10" t="str">
        <f>_xlfn.IFNA(VLOOKUP($A975,CompChecksTrans!$A:$C,3,FALSE), "      ")</f>
        <v xml:space="preserve">      </v>
      </c>
    </row>
    <row r="976" spans="1:4" x14ac:dyDescent="0.25">
      <c r="A976" s="241" t="s">
        <v>8280</v>
      </c>
      <c r="B976" s="10" t="str">
        <f>_xlfn.IFNA(VLOOKUP($A976,CompChecksTrans!$A:$C,2,FALSE),"")</f>
        <v/>
      </c>
      <c r="C976" s="10" t="str">
        <f>_xlfn.IFNA(VLOOKUP(B976,Phase4!A$4:C$1000,3,FALSE),"")</f>
        <v/>
      </c>
      <c r="D976" s="10" t="str">
        <f>_xlfn.IFNA(VLOOKUP($A976,CompChecksTrans!$A:$C,3,FALSE), "      ")</f>
        <v xml:space="preserve">      </v>
      </c>
    </row>
    <row r="977" spans="1:4" x14ac:dyDescent="0.25">
      <c r="A977" s="241" t="s">
        <v>8281</v>
      </c>
      <c r="B977" s="10" t="str">
        <f>_xlfn.IFNA(VLOOKUP($A977,CompChecksTrans!$A:$C,2,FALSE),"")</f>
        <v/>
      </c>
      <c r="C977" s="10" t="str">
        <f>_xlfn.IFNA(VLOOKUP(B977,Phase4!A$4:C$1000,3,FALSE),"")</f>
        <v/>
      </c>
      <c r="D977" s="10" t="str">
        <f>_xlfn.IFNA(VLOOKUP($A977,CompChecksTrans!$A:$C,3,FALSE), "      ")</f>
        <v xml:space="preserve">      </v>
      </c>
    </row>
    <row r="978" spans="1:4" x14ac:dyDescent="0.25">
      <c r="A978" s="241" t="s">
        <v>8282</v>
      </c>
      <c r="B978" s="10" t="str">
        <f>_xlfn.IFNA(VLOOKUP($A978,CompChecksTrans!$A:$C,2,FALSE),"")</f>
        <v/>
      </c>
      <c r="C978" s="10" t="str">
        <f>_xlfn.IFNA(VLOOKUP(B978,Phase4!A$4:C$1000,3,FALSE),"")</f>
        <v/>
      </c>
      <c r="D978" s="10" t="str">
        <f>_xlfn.IFNA(VLOOKUP($A978,CompChecksTrans!$A:$C,3,FALSE), "      ")</f>
        <v xml:space="preserve">      </v>
      </c>
    </row>
    <row r="979" spans="1:4" x14ac:dyDescent="0.25">
      <c r="A979" s="241" t="s">
        <v>8283</v>
      </c>
      <c r="B979" s="10" t="str">
        <f>_xlfn.IFNA(VLOOKUP($A979,CompChecksTrans!$A:$C,2,FALSE),"")</f>
        <v/>
      </c>
      <c r="C979" s="10" t="str">
        <f>_xlfn.IFNA(VLOOKUP(B979,Phase4!A$4:C$1000,3,FALSE),"")</f>
        <v/>
      </c>
      <c r="D979" s="10" t="str">
        <f>_xlfn.IFNA(VLOOKUP($A979,CompChecksTrans!$A:$C,3,FALSE), "      ")</f>
        <v xml:space="preserve">      </v>
      </c>
    </row>
    <row r="980" spans="1:4" x14ac:dyDescent="0.25">
      <c r="A980" s="241" t="s">
        <v>8284</v>
      </c>
      <c r="B980" s="10" t="str">
        <f>_xlfn.IFNA(VLOOKUP($A980,CompChecksTrans!$A:$C,2,FALSE),"")</f>
        <v/>
      </c>
      <c r="C980" s="10" t="str">
        <f>_xlfn.IFNA(VLOOKUP(B980,Phase4!A$4:C$1000,3,FALSE),"")</f>
        <v/>
      </c>
      <c r="D980" s="10" t="str">
        <f>_xlfn.IFNA(VLOOKUP($A980,CompChecksTrans!$A:$C,3,FALSE), "      ")</f>
        <v xml:space="preserve">      </v>
      </c>
    </row>
    <row r="981" spans="1:4" x14ac:dyDescent="0.25">
      <c r="A981" s="241" t="s">
        <v>8285</v>
      </c>
      <c r="B981" s="10" t="str">
        <f>_xlfn.IFNA(VLOOKUP($A981,CompChecksTrans!$A:$C,2,FALSE),"")</f>
        <v/>
      </c>
      <c r="C981" s="10" t="str">
        <f>_xlfn.IFNA(VLOOKUP(B981,Phase4!A$4:C$1000,3,FALSE),"")</f>
        <v/>
      </c>
      <c r="D981" s="10" t="str">
        <f>_xlfn.IFNA(VLOOKUP($A981,CompChecksTrans!$A:$C,3,FALSE), "      ")</f>
        <v xml:space="preserve">      </v>
      </c>
    </row>
    <row r="982" spans="1:4" x14ac:dyDescent="0.25">
      <c r="A982" s="241" t="s">
        <v>8286</v>
      </c>
      <c r="B982" s="10" t="str">
        <f>_xlfn.IFNA(VLOOKUP($A982,CompChecksTrans!$A:$C,2,FALSE),"")</f>
        <v/>
      </c>
      <c r="C982" s="10" t="str">
        <f>_xlfn.IFNA(VLOOKUP(B982,Phase4!A$4:C$1000,3,FALSE),"")</f>
        <v/>
      </c>
      <c r="D982" s="10" t="str">
        <f>_xlfn.IFNA(VLOOKUP($A982,CompChecksTrans!$A:$C,3,FALSE), "      ")</f>
        <v xml:space="preserve">      </v>
      </c>
    </row>
    <row r="983" spans="1:4" x14ac:dyDescent="0.25">
      <c r="A983" s="241" t="s">
        <v>8287</v>
      </c>
      <c r="B983" s="10" t="str">
        <f>_xlfn.IFNA(VLOOKUP($A983,CompChecksTrans!$A:$C,2,FALSE),"")</f>
        <v/>
      </c>
      <c r="C983" s="10" t="str">
        <f>_xlfn.IFNA(VLOOKUP(B983,Phase4!A$4:C$1000,3,FALSE),"")</f>
        <v/>
      </c>
      <c r="D983" s="10" t="str">
        <f>_xlfn.IFNA(VLOOKUP($A983,CompChecksTrans!$A:$C,3,FALSE), "      ")</f>
        <v xml:space="preserve">      </v>
      </c>
    </row>
    <row r="984" spans="1:4" x14ac:dyDescent="0.25">
      <c r="A984" s="241" t="s">
        <v>8288</v>
      </c>
      <c r="B984" s="10" t="str">
        <f>_xlfn.IFNA(VLOOKUP($A984,CompChecksTrans!$A:$C,2,FALSE),"")</f>
        <v/>
      </c>
      <c r="C984" s="10" t="str">
        <f>_xlfn.IFNA(VLOOKUP(B984,Phase4!A$4:C$1000,3,FALSE),"")</f>
        <v/>
      </c>
      <c r="D984" s="10" t="str">
        <f>_xlfn.IFNA(VLOOKUP($A984,CompChecksTrans!$A:$C,3,FALSE), "      ")</f>
        <v xml:space="preserve">      </v>
      </c>
    </row>
    <row r="985" spans="1:4" x14ac:dyDescent="0.25">
      <c r="A985" s="241" t="s">
        <v>8289</v>
      </c>
      <c r="B985" s="10" t="str">
        <f>_xlfn.IFNA(VLOOKUP($A985,CompChecksTrans!$A:$C,2,FALSE),"")</f>
        <v/>
      </c>
      <c r="C985" s="10" t="str">
        <f>_xlfn.IFNA(VLOOKUP(B985,Phase4!A$4:C$1000,3,FALSE),"")</f>
        <v/>
      </c>
      <c r="D985" s="10" t="str">
        <f>_xlfn.IFNA(VLOOKUP($A985,CompChecksTrans!$A:$C,3,FALSE), "      ")</f>
        <v xml:space="preserve">      </v>
      </c>
    </row>
    <row r="986" spans="1:4" x14ac:dyDescent="0.25">
      <c r="A986" s="241" t="s">
        <v>8290</v>
      </c>
      <c r="B986" s="10" t="str">
        <f>_xlfn.IFNA(VLOOKUP($A986,CompChecksTrans!$A:$C,2,FALSE),"")</f>
        <v/>
      </c>
      <c r="C986" s="10" t="str">
        <f>_xlfn.IFNA(VLOOKUP(B986,Phase4!A$4:C$1000,3,FALSE),"")</f>
        <v/>
      </c>
      <c r="D986" s="10" t="str">
        <f>_xlfn.IFNA(VLOOKUP($A986,CompChecksTrans!$A:$C,3,FALSE), "      ")</f>
        <v xml:space="preserve">      </v>
      </c>
    </row>
    <row r="987" spans="1:4" x14ac:dyDescent="0.25">
      <c r="A987" s="241" t="s">
        <v>8291</v>
      </c>
      <c r="B987" s="10" t="str">
        <f>_xlfn.IFNA(VLOOKUP($A987,CompChecksTrans!$A:$C,2,FALSE),"")</f>
        <v/>
      </c>
      <c r="C987" s="10" t="str">
        <f>_xlfn.IFNA(VLOOKUP(B987,Phase4!A$4:C$1000,3,FALSE),"")</f>
        <v/>
      </c>
      <c r="D987" s="10" t="str">
        <f>_xlfn.IFNA(VLOOKUP($A987,CompChecksTrans!$A:$C,3,FALSE), "      ")</f>
        <v xml:space="preserve">      </v>
      </c>
    </row>
    <row r="988" spans="1:4" x14ac:dyDescent="0.25">
      <c r="A988" s="241" t="s">
        <v>8292</v>
      </c>
      <c r="B988" s="10" t="str">
        <f>_xlfn.IFNA(VLOOKUP($A988,CompChecksTrans!$A:$C,2,FALSE),"")</f>
        <v/>
      </c>
      <c r="C988" s="10" t="str">
        <f>_xlfn.IFNA(VLOOKUP(B988,Phase4!A$4:C$1000,3,FALSE),"")</f>
        <v/>
      </c>
      <c r="D988" s="10" t="str">
        <f>_xlfn.IFNA(VLOOKUP($A988,CompChecksTrans!$A:$C,3,FALSE), "      ")</f>
        <v xml:space="preserve">      </v>
      </c>
    </row>
    <row r="989" spans="1:4" x14ac:dyDescent="0.25">
      <c r="A989" s="241" t="s">
        <v>8293</v>
      </c>
      <c r="B989" s="10" t="str">
        <f>_xlfn.IFNA(VLOOKUP($A989,CompChecksTrans!$A:$C,2,FALSE),"")</f>
        <v/>
      </c>
      <c r="C989" s="10" t="str">
        <f>_xlfn.IFNA(VLOOKUP(B989,Phase4!A$4:C$1000,3,FALSE),"")</f>
        <v/>
      </c>
      <c r="D989" s="10" t="str">
        <f>_xlfn.IFNA(VLOOKUP($A989,CompChecksTrans!$A:$C,3,FALSE), "      ")</f>
        <v xml:space="preserve">      </v>
      </c>
    </row>
    <row r="990" spans="1:4" x14ac:dyDescent="0.25">
      <c r="A990" s="241" t="s">
        <v>8294</v>
      </c>
      <c r="B990" s="10" t="str">
        <f>_xlfn.IFNA(VLOOKUP($A990,CompChecksTrans!$A:$C,2,FALSE),"")</f>
        <v/>
      </c>
      <c r="C990" s="10" t="str">
        <f>_xlfn.IFNA(VLOOKUP(B990,Phase4!A$4:C$1000,3,FALSE),"")</f>
        <v/>
      </c>
      <c r="D990" s="10" t="str">
        <f>_xlfn.IFNA(VLOOKUP($A990,CompChecksTrans!$A:$C,3,FALSE), "      ")</f>
        <v xml:space="preserve">      </v>
      </c>
    </row>
    <row r="991" spans="1:4" x14ac:dyDescent="0.25">
      <c r="A991" s="241" t="s">
        <v>8295</v>
      </c>
      <c r="B991" s="10" t="str">
        <f>_xlfn.IFNA(VLOOKUP($A991,CompChecksTrans!$A:$C,2,FALSE),"")</f>
        <v/>
      </c>
      <c r="C991" s="10" t="str">
        <f>_xlfn.IFNA(VLOOKUP(B991,Phase4!A$4:C$1000,3,FALSE),"")</f>
        <v/>
      </c>
      <c r="D991" s="10" t="str">
        <f>_xlfn.IFNA(VLOOKUP($A991,CompChecksTrans!$A:$C,3,FALSE), "      ")</f>
        <v xml:space="preserve">      </v>
      </c>
    </row>
    <row r="992" spans="1:4" x14ac:dyDescent="0.25">
      <c r="A992" s="241" t="s">
        <v>8296</v>
      </c>
      <c r="B992" s="10" t="str">
        <f>_xlfn.IFNA(VLOOKUP($A992,CompChecksTrans!$A:$C,2,FALSE),"")</f>
        <v/>
      </c>
      <c r="C992" s="10" t="str">
        <f>_xlfn.IFNA(VLOOKUP(B992,Phase4!A$4:C$1000,3,FALSE),"")</f>
        <v/>
      </c>
      <c r="D992" s="10" t="str">
        <f>_xlfn.IFNA(VLOOKUP($A992,CompChecksTrans!$A:$C,3,FALSE), "      ")</f>
        <v xml:space="preserve">      </v>
      </c>
    </row>
    <row r="993" spans="1:4" x14ac:dyDescent="0.25">
      <c r="A993" s="241" t="s">
        <v>8297</v>
      </c>
      <c r="B993" s="10" t="str">
        <f>_xlfn.IFNA(VLOOKUP($A993,CompChecksTrans!$A:$C,2,FALSE),"")</f>
        <v/>
      </c>
      <c r="C993" s="10" t="str">
        <f>_xlfn.IFNA(VLOOKUP(B993,Phase4!A$4:C$1000,3,FALSE),"")</f>
        <v/>
      </c>
      <c r="D993" s="10" t="str">
        <f>_xlfn.IFNA(VLOOKUP($A993,CompChecksTrans!$A:$C,3,FALSE), "      ")</f>
        <v xml:space="preserve">      </v>
      </c>
    </row>
    <row r="994" spans="1:4" x14ac:dyDescent="0.25">
      <c r="A994" s="241" t="s">
        <v>8298</v>
      </c>
      <c r="B994" s="10" t="str">
        <f>_xlfn.IFNA(VLOOKUP($A994,CompChecksTrans!$A:$C,2,FALSE),"")</f>
        <v/>
      </c>
      <c r="C994" s="10" t="str">
        <f>_xlfn.IFNA(VLOOKUP(B994,Phase4!A$4:C$1000,3,FALSE),"")</f>
        <v/>
      </c>
      <c r="D994" s="10" t="str">
        <f>_xlfn.IFNA(VLOOKUP($A994,CompChecksTrans!$A:$C,3,FALSE), "      ")</f>
        <v xml:space="preserve">      </v>
      </c>
    </row>
    <row r="995" spans="1:4" x14ac:dyDescent="0.25">
      <c r="A995" s="241" t="s">
        <v>8299</v>
      </c>
      <c r="B995" s="10" t="str">
        <f>_xlfn.IFNA(VLOOKUP($A995,CompChecksTrans!$A:$C,2,FALSE),"")</f>
        <v/>
      </c>
      <c r="C995" s="10" t="str">
        <f>_xlfn.IFNA(VLOOKUP(B995,Phase4!A$4:C$1000,3,FALSE),"")</f>
        <v/>
      </c>
      <c r="D995" s="10" t="str">
        <f>_xlfn.IFNA(VLOOKUP($A995,CompChecksTrans!$A:$C,3,FALSE), "      ")</f>
        <v xml:space="preserve">      </v>
      </c>
    </row>
    <row r="996" spans="1:4" x14ac:dyDescent="0.25">
      <c r="A996" s="241" t="s">
        <v>8300</v>
      </c>
      <c r="B996" s="10" t="str">
        <f>_xlfn.IFNA(VLOOKUP($A996,CompChecksTrans!$A:$C,2,FALSE),"")</f>
        <v/>
      </c>
      <c r="C996" s="10" t="str">
        <f>_xlfn.IFNA(VLOOKUP(B996,Phase4!A$4:C$1000,3,FALSE),"")</f>
        <v/>
      </c>
      <c r="D996" s="10" t="str">
        <f>_xlfn.IFNA(VLOOKUP($A996,CompChecksTrans!$A:$C,3,FALSE), "      ")</f>
        <v xml:space="preserve">      </v>
      </c>
    </row>
    <row r="997" spans="1:4" x14ac:dyDescent="0.25">
      <c r="A997" s="241" t="s">
        <v>8301</v>
      </c>
      <c r="B997" s="10" t="str">
        <f>_xlfn.IFNA(VLOOKUP($A997,CompChecksTrans!$A:$C,2,FALSE),"")</f>
        <v/>
      </c>
      <c r="C997" s="10" t="str">
        <f>_xlfn.IFNA(VLOOKUP(B997,Phase4!A$4:C$1000,3,FALSE),"")</f>
        <v/>
      </c>
      <c r="D997" s="10" t="str">
        <f>_xlfn.IFNA(VLOOKUP($A997,CompChecksTrans!$A:$C,3,FALSE), "      ")</f>
        <v xml:space="preserve">      </v>
      </c>
    </row>
    <row r="998" spans="1:4" x14ac:dyDescent="0.25">
      <c r="A998" s="241" t="s">
        <v>8302</v>
      </c>
      <c r="B998" s="10" t="str">
        <f>_xlfn.IFNA(VLOOKUP($A998,CompChecksTrans!$A:$C,2,FALSE),"")</f>
        <v/>
      </c>
      <c r="C998" s="10" t="str">
        <f>_xlfn.IFNA(VLOOKUP(B998,Phase4!A$4:C$1000,3,FALSE),"")</f>
        <v/>
      </c>
      <c r="D998" s="10" t="str">
        <f>_xlfn.IFNA(VLOOKUP($A998,CompChecksTrans!$A:$C,3,FALSE), "      ")</f>
        <v xml:space="preserve">      </v>
      </c>
    </row>
    <row r="999" spans="1:4" x14ac:dyDescent="0.25">
      <c r="A999" s="241" t="s">
        <v>8303</v>
      </c>
      <c r="B999" s="10" t="str">
        <f>_xlfn.IFNA(VLOOKUP($A999,CompChecksTrans!$A:$C,2,FALSE),"")</f>
        <v/>
      </c>
      <c r="C999" s="10" t="str">
        <f>_xlfn.IFNA(VLOOKUP(B999,Phase4!A$4:C$1000,3,FALSE),"")</f>
        <v/>
      </c>
      <c r="D999" s="10" t="str">
        <f>_xlfn.IFNA(VLOOKUP($A999,CompChecksTrans!$A:$C,3,FALSE), "      ")</f>
        <v xml:space="preserve">      </v>
      </c>
    </row>
    <row r="1000" spans="1:4" x14ac:dyDescent="0.25">
      <c r="A1000" s="241" t="s">
        <v>8304</v>
      </c>
      <c r="B1000" s="10" t="str">
        <f>_xlfn.IFNA(VLOOKUP($A1000,CompChecksTrans!$A:$C,2,FALSE),"")</f>
        <v/>
      </c>
      <c r="C1000" s="10" t="str">
        <f>_xlfn.IFNA(VLOOKUP(B1000,Phase4!A$4:C$1000,3,FALSE),"")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{C8D0CB01-8F5A-4382-91C9-B6AD36389580}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8D0CB01-8F5A-4382-91C9-B6AD36389580}">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64"/>
  <sheetViews>
    <sheetView workbookViewId="0">
      <selection activeCell="O40" sqref="O40"/>
    </sheetView>
  </sheetViews>
  <sheetFormatPr defaultColWidth="8.85546875" defaultRowHeight="15" x14ac:dyDescent="0.25"/>
  <cols>
    <col min="1" max="1" width="14" bestFit="1" customWidth="1"/>
    <col min="2" max="2" width="15.42578125" bestFit="1" customWidth="1"/>
    <col min="3" max="3" width="98.28515625" customWidth="1"/>
  </cols>
  <sheetData>
    <row r="1" spans="1:6" x14ac:dyDescent="0.25">
      <c r="A1" s="206"/>
      <c r="B1" s="297">
        <f>COUNTA(D4:D153)/COUNTA(C4:C153)</f>
        <v>1</v>
      </c>
      <c r="C1" s="297"/>
      <c r="D1" s="297"/>
    </row>
    <row r="2" spans="1:6" s="1" customFormat="1" ht="53.1" customHeight="1" x14ac:dyDescent="0.25">
      <c r="A2" s="206"/>
      <c r="B2" s="296" t="s">
        <v>3196</v>
      </c>
      <c r="C2" s="296"/>
      <c r="D2" s="296"/>
      <c r="E2" s="240"/>
    </row>
    <row r="3" spans="1:6" s="1" customFormat="1" ht="15.75" x14ac:dyDescent="0.25">
      <c r="A3" s="206"/>
      <c r="B3" s="11" t="s">
        <v>1377</v>
      </c>
      <c r="C3" s="123" t="s">
        <v>1378</v>
      </c>
      <c r="D3" s="11" t="s">
        <v>1460</v>
      </c>
      <c r="E3" s="123" t="s">
        <v>1459</v>
      </c>
    </row>
    <row r="4" spans="1:6" s="1" customFormat="1" ht="31.5" x14ac:dyDescent="0.25">
      <c r="A4" s="207" t="str">
        <f>Dictionnary!A594</f>
        <v>ORG4.1</v>
      </c>
      <c r="B4" s="14" t="str">
        <f>Dictionnary!B594</f>
        <v>Organization</v>
      </c>
      <c r="C4" s="15" t="str">
        <f>Dictionnary!C594</f>
        <v>Is the SOP on performing a management review up-to-date?
Compare elements in most recent Management Review Report with required elements defined in the SOP.</v>
      </c>
      <c r="D4" s="16" t="s">
        <v>1408</v>
      </c>
      <c r="E4" s="103">
        <f>(COUNTIFS('Phase4 - Fill-in'!B$1:B$1000,A4,'Phase4 - Fill-in'!E$1:E$1000,Dictionnary!C$666)+0.5*COUNTIFS('Phase4 - Fill-in'!B$1:B$1000,A4,'Phase4 - Fill-in'!E$1:E$1000,Dictionnary!C$669))/(COUNTIFS('Phase4 - Fill-in'!B$5:B$1000,A4,'Phase4 - Fill-in'!E$5:E$1000,"&lt;&gt;Dictionnary!C669"))</f>
        <v>1</v>
      </c>
      <c r="F4" s="13"/>
    </row>
    <row r="5" spans="1:6" s="1" customFormat="1" ht="15.75" x14ac:dyDescent="0.25">
      <c r="A5" s="207" t="str">
        <f>Dictionnary!A595</f>
        <v>PERS4.1</v>
      </c>
      <c r="B5" s="99" t="str">
        <f>Dictionnary!B595</f>
        <v>Personnel</v>
      </c>
      <c r="C5" s="17" t="str">
        <f>Dictionnary!C595</f>
        <v>Is staff safeguarded from overburdening?</v>
      </c>
      <c r="D5" s="12" t="s">
        <v>1408</v>
      </c>
      <c r="E5" s="103" t="e">
        <f>(COUNTIFS('Phase4 - Fill-in'!B$1:B$1000,A5,'Phase4 - Fill-in'!E$1:E$1000,Dictionnary!C$666)+0.5*COUNTIFS('Phase4 - Fill-in'!B$1:B$1000,A5,'Phase4 - Fill-in'!E$1:E$1000,Dictionnary!C$669))/(COUNTIFS('Phase4 - Fill-in'!B$5:B$1000,A5,'Phase4 - Fill-in'!E$5:E$1000,"&lt;&gt;Dictionnary!C669"))</f>
        <v>#DIV/0!</v>
      </c>
      <c r="F5" s="13"/>
    </row>
    <row r="6" spans="1:6" s="1" customFormat="1" ht="31.5" x14ac:dyDescent="0.25">
      <c r="A6" s="207" t="str">
        <f>Dictionnary!A596</f>
        <v>PERS4.2</v>
      </c>
      <c r="B6" s="14" t="str">
        <f>Dictionnary!B596</f>
        <v>Personnel</v>
      </c>
      <c r="C6" s="15" t="str">
        <f>Dictionnary!C596</f>
        <v>Does the laboratory have a standardized procedure for hiring new permanent and temporary staff, and having guests?</v>
      </c>
      <c r="D6" s="16" t="s">
        <v>1408</v>
      </c>
      <c r="E6" s="103" t="e">
        <f>(COUNTIFS('Phase4 - Fill-in'!B$1:B$1000,A6,'Phase4 - Fill-in'!E$1:E$1000,Dictionnary!C$666)+0.5*COUNTIFS('Phase4 - Fill-in'!B$1:B$1000,A6,'Phase4 - Fill-in'!E$1:E$1000,Dictionnary!C$669))/(COUNTIFS('Phase4 - Fill-in'!B$5:B$1000,A6,'Phase4 - Fill-in'!E$5:E$1000,"&lt;&gt;Dictionnary!C669"))</f>
        <v>#DIV/0!</v>
      </c>
      <c r="F6" s="13"/>
    </row>
    <row r="7" spans="1:6" s="1" customFormat="1" ht="31.5" x14ac:dyDescent="0.25">
      <c r="A7" s="207" t="str">
        <f>Dictionnary!A597</f>
        <v>PERS4.3</v>
      </c>
      <c r="B7" s="99" t="str">
        <f>Dictionnary!B597</f>
        <v>Personnel</v>
      </c>
      <c r="C7" s="17" t="str">
        <f>Dictionnary!C597</f>
        <v>Is the procedure for hiring new permanent and temporary staff and having guests correctly documented?</v>
      </c>
      <c r="D7" s="12" t="s">
        <v>1409</v>
      </c>
      <c r="E7" s="103" t="e">
        <f>(COUNTIFS('Phase4 - Fill-in'!B$1:B$1000,A7,'Phase4 - Fill-in'!E$1:E$1000,Dictionnary!C$666)+0.5*COUNTIFS('Phase4 - Fill-in'!B$1:B$1000,A7,'Phase4 - Fill-in'!E$1:E$1000,Dictionnary!C$669))/(COUNTIFS('Phase4 - Fill-in'!B$5:B$1000,A7,'Phase4 - Fill-in'!E$5:E$1000,"&lt;&gt;Dictionnary!C669"))</f>
        <v>#DIV/0!</v>
      </c>
      <c r="F7" s="13"/>
    </row>
    <row r="8" spans="1:6" s="1" customFormat="1" ht="15.75" x14ac:dyDescent="0.25">
      <c r="A8" s="207" t="str">
        <f>Dictionnary!A598</f>
        <v>PERS4.4</v>
      </c>
      <c r="B8" s="14" t="str">
        <f>Dictionnary!B598</f>
        <v>Personnel</v>
      </c>
      <c r="C8" s="15" t="str">
        <f>Dictionnary!C598</f>
        <v>Does the procedure for hiring new permanent and temporary staff cover all the following elements:</v>
      </c>
      <c r="D8" s="16" t="s">
        <v>1408</v>
      </c>
      <c r="E8" s="103" t="e">
        <f>(COUNTIFS('Phase4 - Fill-in'!B$1:B$1000,A8,'Phase4 - Fill-in'!E$1:E$1000,Dictionnary!C$666)+0.5*COUNTIFS('Phase4 - Fill-in'!B$1:B$1000,A8,'Phase4 - Fill-in'!E$1:E$1000,Dictionnary!C$669))/(COUNTIFS('Phase4 - Fill-in'!B$5:B$1000,A8,'Phase4 - Fill-in'!E$5:E$1000,"&lt;&gt;Dictionnary!C669"))</f>
        <v>#DIV/0!</v>
      </c>
      <c r="F8" s="13"/>
    </row>
    <row r="9" spans="1:6" s="1" customFormat="1" ht="15.75" x14ac:dyDescent="0.25">
      <c r="A9" s="207" t="str">
        <f>Dictionnary!A599</f>
        <v>PERS4.4a</v>
      </c>
      <c r="B9" s="14" t="str">
        <f>Dictionnary!B599</f>
        <v>Personnel</v>
      </c>
      <c r="C9" s="15" t="str">
        <f>Dictionnary!C599</f>
        <v>Regarding permanent and temporary staff:</v>
      </c>
      <c r="D9" s="16" t="s">
        <v>1409</v>
      </c>
      <c r="E9" s="103" t="e">
        <f>(COUNTIFS('Phase4 - Fill-in'!B$1:B$1000,A9,'Phase4 - Fill-in'!E$1:E$1000,Dictionnary!C$666)+0.5*COUNTIFS('Phase4 - Fill-in'!B$1:B$1000,A9,'Phase4 - Fill-in'!E$1:E$1000,Dictionnary!C$669))/(COUNTIFS('Phase4 - Fill-in'!B$5:B$1000,A9,'Phase4 - Fill-in'!E$5:E$1000,"&lt;&gt;Dictionnary!C669"))</f>
        <v>#DIV/0!</v>
      </c>
      <c r="F9" s="13"/>
    </row>
    <row r="10" spans="1:6" s="1" customFormat="1" ht="15.75" x14ac:dyDescent="0.25">
      <c r="A10" s="207" t="str">
        <f>Dictionnary!A600</f>
        <v>PERS4.4b</v>
      </c>
      <c r="B10" s="14" t="str">
        <f>Dictionnary!B600</f>
        <v>Personnel</v>
      </c>
      <c r="C10" s="15" t="str">
        <f>Dictionnary!C600</f>
        <v>Criteria to which all applicants must comply</v>
      </c>
      <c r="D10" s="16" t="s">
        <v>1408</v>
      </c>
      <c r="E10" s="103" t="e">
        <f>(COUNTIFS('Phase4 - Fill-in'!B$1:B$1000,A10,'Phase4 - Fill-in'!E$1:E$1000,Dictionnary!C$666)+0.5*COUNTIFS('Phase4 - Fill-in'!B$1:B$1000,A10,'Phase4 - Fill-in'!E$1:E$1000,Dictionnary!C$669))/(COUNTIFS('Phase4 - Fill-in'!B$5:B$1000,A10,'Phase4 - Fill-in'!E$5:E$1000,"&lt;&gt;Dictionnary!C669"))</f>
        <v>#DIV/0!</v>
      </c>
      <c r="F10" s="13"/>
    </row>
    <row r="11" spans="1:6" s="1" customFormat="1" ht="15.75" x14ac:dyDescent="0.25">
      <c r="A11" s="207" t="str">
        <f>Dictionnary!A601</f>
        <v>PERS4.4c</v>
      </c>
      <c r="B11" s="14" t="str">
        <f>Dictionnary!B601</f>
        <v>Personnel</v>
      </c>
      <c r="C11" s="15" t="str">
        <f>Dictionnary!C601</f>
        <v>Procedure for defining specific criteria for the vacancy</v>
      </c>
      <c r="D11" s="16" t="s">
        <v>1409</v>
      </c>
      <c r="E11" s="103" t="e">
        <f>(COUNTIFS('Phase4 - Fill-in'!B$1:B$1000,A11,'Phase4 - Fill-in'!E$1:E$1000,Dictionnary!C$666)+0.5*COUNTIFS('Phase4 - Fill-in'!B$1:B$1000,A11,'Phase4 - Fill-in'!E$1:E$1000,Dictionnary!C$669))/(COUNTIFS('Phase4 - Fill-in'!B$5:B$1000,A11,'Phase4 - Fill-in'!E$5:E$1000,"&lt;&gt;Dictionnary!C669"))</f>
        <v>#DIV/0!</v>
      </c>
      <c r="F11" s="13"/>
    </row>
    <row r="12" spans="1:6" s="1" customFormat="1" ht="15.75" x14ac:dyDescent="0.25">
      <c r="A12" s="207" t="str">
        <f>Dictionnary!A602</f>
        <v>PERS4.4d</v>
      </c>
      <c r="B12" s="14" t="str">
        <f>Dictionnary!B602</f>
        <v>Personnel</v>
      </c>
      <c r="C12" s="15" t="str">
        <f>Dictionnary!C602</f>
        <v>Procedure of drafting and publishing the vacancy</v>
      </c>
      <c r="D12" s="16" t="s">
        <v>1408</v>
      </c>
      <c r="E12" s="103" t="e">
        <f>(COUNTIFS('Phase4 - Fill-in'!B$1:B$1000,A12,'Phase4 - Fill-in'!E$1:E$1000,Dictionnary!C$666)+0.5*COUNTIFS('Phase4 - Fill-in'!B$1:B$1000,A12,'Phase4 - Fill-in'!E$1:E$1000,Dictionnary!C$669))/(COUNTIFS('Phase4 - Fill-in'!B$5:B$1000,A12,'Phase4 - Fill-in'!E$5:E$1000,"&lt;&gt;Dictionnary!C669"))</f>
        <v>#DIV/0!</v>
      </c>
      <c r="F12" s="13"/>
    </row>
    <row r="13" spans="1:6" s="1" customFormat="1" ht="15.75" x14ac:dyDescent="0.25">
      <c r="A13" s="207" t="str">
        <f>Dictionnary!A603</f>
        <v>PERS4.4e</v>
      </c>
      <c r="B13" s="14" t="str">
        <f>Dictionnary!B603</f>
        <v>Personnel</v>
      </c>
      <c r="C13" s="15" t="str">
        <f>Dictionnary!C603</f>
        <v>Procedure of selecting suitable applicants based on application letters</v>
      </c>
      <c r="D13" s="16" t="s">
        <v>1409</v>
      </c>
      <c r="E13" s="103" t="e">
        <f>(COUNTIFS('Phase4 - Fill-in'!B$1:B$1000,A13,'Phase4 - Fill-in'!E$1:E$1000,Dictionnary!C$666)+0.5*COUNTIFS('Phase4 - Fill-in'!B$1:B$1000,A13,'Phase4 - Fill-in'!E$1:E$1000,Dictionnary!C$669))/(COUNTIFS('Phase4 - Fill-in'!B$5:B$1000,A13,'Phase4 - Fill-in'!E$5:E$1000,"&lt;&gt;Dictionnary!C669"))</f>
        <v>#DIV/0!</v>
      </c>
      <c r="F13" s="13"/>
    </row>
    <row r="14" spans="1:6" s="1" customFormat="1" ht="15.75" x14ac:dyDescent="0.25">
      <c r="A14" s="207" t="str">
        <f>Dictionnary!A604</f>
        <v>PERS4.4f</v>
      </c>
      <c r="B14" s="14" t="str">
        <f>Dictionnary!B604</f>
        <v>Personnel</v>
      </c>
      <c r="C14" s="15" t="str">
        <f>Dictionnary!C604</f>
        <v>Procedure of inviting applicants and organizing the application interview</v>
      </c>
      <c r="D14" s="16" t="s">
        <v>1408</v>
      </c>
      <c r="E14" s="103" t="e">
        <f>(COUNTIFS('Phase4 - Fill-in'!B$1:B$1000,A14,'Phase4 - Fill-in'!E$1:E$1000,Dictionnary!C$666)+0.5*COUNTIFS('Phase4 - Fill-in'!B$1:B$1000,A14,'Phase4 - Fill-in'!E$1:E$1000,Dictionnary!C$669))/(COUNTIFS('Phase4 - Fill-in'!B$5:B$1000,A14,'Phase4 - Fill-in'!E$5:E$1000,"&lt;&gt;Dictionnary!C669"))</f>
        <v>#DIV/0!</v>
      </c>
      <c r="F14" s="13"/>
    </row>
    <row r="15" spans="1:6" s="1" customFormat="1" ht="15.75" x14ac:dyDescent="0.25">
      <c r="A15" s="207" t="str">
        <f>Dictionnary!A605</f>
        <v>PERS4.4g</v>
      </c>
      <c r="B15" s="14" t="str">
        <f>Dictionnary!B605</f>
        <v>Personnel</v>
      </c>
      <c r="C15" s="15" t="str">
        <f>Dictionnary!C605</f>
        <v>Procedure of selecting applicants based on the application interview</v>
      </c>
      <c r="D15" s="16" t="s">
        <v>1409</v>
      </c>
      <c r="E15" s="103" t="e">
        <f>(COUNTIFS('Phase4 - Fill-in'!B$1:B$1000,A15,'Phase4 - Fill-in'!E$1:E$1000,Dictionnary!C$666)+0.5*COUNTIFS('Phase4 - Fill-in'!B$1:B$1000,A15,'Phase4 - Fill-in'!E$1:E$1000,Dictionnary!C$669))/(COUNTIFS('Phase4 - Fill-in'!B$5:B$1000,A15,'Phase4 - Fill-in'!E$5:E$1000,"&lt;&gt;Dictionnary!C669"))</f>
        <v>#DIV/0!</v>
      </c>
      <c r="F15" s="13"/>
    </row>
    <row r="16" spans="1:6" s="1" customFormat="1" ht="15.75" x14ac:dyDescent="0.25">
      <c r="A16" s="207" t="str">
        <f>Dictionnary!A606</f>
        <v>PERS4.4h</v>
      </c>
      <c r="B16" s="14" t="str">
        <f>Dictionnary!B606</f>
        <v>Personnel</v>
      </c>
      <c r="C16" s="15" t="str">
        <f>Dictionnary!C606</f>
        <v>Procedure of hiring suitable applicant, including:</v>
      </c>
      <c r="D16" s="16" t="s">
        <v>1408</v>
      </c>
      <c r="E16" s="103" t="e">
        <f>(COUNTIFS('Phase4 - Fill-in'!B$1:B$1000,A16,'Phase4 - Fill-in'!E$1:E$1000,Dictionnary!C$666)+0.5*COUNTIFS('Phase4 - Fill-in'!B$1:B$1000,A16,'Phase4 - Fill-in'!E$1:E$1000,Dictionnary!C$669))/(COUNTIFS('Phase4 - Fill-in'!B$5:B$1000,A16,'Phase4 - Fill-in'!E$5:E$1000,"&lt;&gt;Dictionnary!C669"))</f>
        <v>#DIV/0!</v>
      </c>
      <c r="F16" s="13"/>
    </row>
    <row r="17" spans="1:6" s="1" customFormat="1" ht="15.75" x14ac:dyDescent="0.25">
      <c r="A17" s="207" t="str">
        <f>Dictionnary!A607</f>
        <v>PERS4.4i</v>
      </c>
      <c r="B17" s="14" t="str">
        <f>Dictionnary!B607</f>
        <v>Personnel</v>
      </c>
      <c r="C17" s="15" t="str">
        <f>Dictionnary!C607</f>
        <v>Determining salary</v>
      </c>
      <c r="D17" s="16" t="s">
        <v>1409</v>
      </c>
      <c r="E17" s="103" t="e">
        <f>(COUNTIFS('Phase4 - Fill-in'!B$1:B$1000,A17,'Phase4 - Fill-in'!E$1:E$1000,Dictionnary!C$666)+0.5*COUNTIFS('Phase4 - Fill-in'!B$1:B$1000,A17,'Phase4 - Fill-in'!E$1:E$1000,Dictionnary!C$669))/(COUNTIFS('Phase4 - Fill-in'!B$5:B$1000,A17,'Phase4 - Fill-in'!E$5:E$1000,"&lt;&gt;Dictionnary!C669"))</f>
        <v>#DIV/0!</v>
      </c>
      <c r="F17" s="13"/>
    </row>
    <row r="18" spans="1:6" s="1" customFormat="1" ht="15.75" x14ac:dyDescent="0.25">
      <c r="A18" s="207" t="str">
        <f>Dictionnary!A608</f>
        <v>PERS4.4j</v>
      </c>
      <c r="B18" s="14" t="str">
        <f>Dictionnary!B608</f>
        <v>Personnel</v>
      </c>
      <c r="C18" s="15" t="str">
        <f>Dictionnary!C608</f>
        <v>Writing Personal Job Description</v>
      </c>
      <c r="D18" s="16" t="s">
        <v>1408</v>
      </c>
      <c r="E18" s="103" t="e">
        <f>(COUNTIFS('Phase4 - Fill-in'!B$1:B$1000,A18,'Phase4 - Fill-in'!E$1:E$1000,Dictionnary!C$666)+0.5*COUNTIFS('Phase4 - Fill-in'!B$1:B$1000,A18,'Phase4 - Fill-in'!E$1:E$1000,Dictionnary!C$669))/(COUNTIFS('Phase4 - Fill-in'!B$5:B$1000,A18,'Phase4 - Fill-in'!E$5:E$1000,"&lt;&gt;Dictionnary!C669"))</f>
        <v>#DIV/0!</v>
      </c>
      <c r="F18" s="13"/>
    </row>
    <row r="19" spans="1:6" s="1" customFormat="1" ht="15.75" x14ac:dyDescent="0.25">
      <c r="A19" s="207" t="str">
        <f>Dictionnary!A609</f>
        <v>PERS4.4k</v>
      </c>
      <c r="B19" s="14" t="str">
        <f>Dictionnary!B609</f>
        <v>Personnel</v>
      </c>
      <c r="C19" s="15" t="str">
        <f>Dictionnary!C609</f>
        <v>Adapting Authorization Matrix</v>
      </c>
      <c r="D19" s="16" t="s">
        <v>1409</v>
      </c>
      <c r="E19" s="103" t="e">
        <f>(COUNTIFS('Phase4 - Fill-in'!B$1:B$1000,A19,'Phase4 - Fill-in'!E$1:E$1000,Dictionnary!C$666)+0.5*COUNTIFS('Phase4 - Fill-in'!B$1:B$1000,A19,'Phase4 - Fill-in'!E$1:E$1000,Dictionnary!C$669))/(COUNTIFS('Phase4 - Fill-in'!B$5:B$1000,A19,'Phase4 - Fill-in'!E$5:E$1000,"&lt;&gt;Dictionnary!C669"))</f>
        <v>#DIV/0!</v>
      </c>
      <c r="F19" s="13"/>
    </row>
    <row r="20" spans="1:6" s="1" customFormat="1" ht="15.75" x14ac:dyDescent="0.25">
      <c r="A20" s="207" t="str">
        <f>Dictionnary!A610</f>
        <v>PERS4.4l</v>
      </c>
      <c r="B20" s="14" t="str">
        <f>Dictionnary!B610</f>
        <v>Personnel</v>
      </c>
      <c r="C20" s="15" t="str">
        <f>Dictionnary!C610</f>
        <v>Creating a personnel file</v>
      </c>
      <c r="D20" s="16" t="s">
        <v>1408</v>
      </c>
      <c r="E20" s="103" t="e">
        <f>(COUNTIFS('Phase4 - Fill-in'!B$1:B$1000,A20,'Phase4 - Fill-in'!E$1:E$1000,Dictionnary!C$666)+0.5*COUNTIFS('Phase4 - Fill-in'!B$1:B$1000,A20,'Phase4 - Fill-in'!E$1:E$1000,Dictionnary!C$669))/(COUNTIFS('Phase4 - Fill-in'!B$5:B$1000,A20,'Phase4 - Fill-in'!E$5:E$1000,"&lt;&gt;Dictionnary!C669"))</f>
        <v>#DIV/0!</v>
      </c>
      <c r="F20" s="13"/>
    </row>
    <row r="21" spans="1:6" s="1" customFormat="1" ht="15.75" x14ac:dyDescent="0.25">
      <c r="A21" s="207" t="str">
        <f>Dictionnary!A611</f>
        <v>PERS4.4m</v>
      </c>
      <c r="B21" s="14" t="str">
        <f>Dictionnary!B611</f>
        <v>Personnel</v>
      </c>
      <c r="C21" s="15" t="str">
        <f>Dictionnary!C611</f>
        <v>Ensuring that staff member is properly induced according to the SOP for Induction of New Personnel</v>
      </c>
      <c r="D21" s="16" t="s">
        <v>1409</v>
      </c>
      <c r="E21" s="103" t="e">
        <f>(COUNTIFS('Phase4 - Fill-in'!B$1:B$1000,A21,'Phase4 - Fill-in'!E$1:E$1000,Dictionnary!C$666)+0.5*COUNTIFS('Phase4 - Fill-in'!B$1:B$1000,A21,'Phase4 - Fill-in'!E$1:E$1000,Dictionnary!C$669))/(COUNTIFS('Phase4 - Fill-in'!B$5:B$1000,A21,'Phase4 - Fill-in'!E$5:E$1000,"&lt;&gt;Dictionnary!C669"))</f>
        <v>#DIV/0!</v>
      </c>
      <c r="F21" s="13"/>
    </row>
    <row r="22" spans="1:6" s="1" customFormat="1" ht="31.5" x14ac:dyDescent="0.25">
      <c r="A22" s="207" t="str">
        <f>Dictionnary!A612</f>
        <v>PERS4.4n</v>
      </c>
      <c r="B22" s="14" t="str">
        <f>Dictionnary!B612</f>
        <v>Personnel</v>
      </c>
      <c r="C22" s="15" t="str">
        <f>Dictionnary!C612</f>
        <v>Providing training to new staff (e.g. training into quality management to ensure that the staff member understands and works via the quality management system).</v>
      </c>
      <c r="D22" s="16" t="s">
        <v>1408</v>
      </c>
      <c r="E22" s="103" t="e">
        <f>(COUNTIFS('Phase4 - Fill-in'!B$1:B$1000,A22,'Phase4 - Fill-in'!E$1:E$1000,Dictionnary!C$666)+0.5*COUNTIFS('Phase4 - Fill-in'!B$1:B$1000,A22,'Phase4 - Fill-in'!E$1:E$1000,Dictionnary!C$669))/(COUNTIFS('Phase4 - Fill-in'!B$5:B$1000,A22,'Phase4 - Fill-in'!E$5:E$1000,"&lt;&gt;Dictionnary!C669"))</f>
        <v>#DIV/0!</v>
      </c>
      <c r="F22" s="13"/>
    </row>
    <row r="23" spans="1:6" s="1" customFormat="1" ht="15.75" x14ac:dyDescent="0.25">
      <c r="A23" s="207" t="str">
        <f>Dictionnary!A613</f>
        <v>PERS4.4o</v>
      </c>
      <c r="B23" s="14" t="str">
        <f>Dictionnary!B613</f>
        <v>Personnel</v>
      </c>
      <c r="C23" s="15" t="str">
        <f>Dictionnary!C613</f>
        <v>Regarding guests:</v>
      </c>
      <c r="D23" s="16" t="s">
        <v>1409</v>
      </c>
      <c r="E23" s="103" t="e">
        <f>(COUNTIFS('Phase4 - Fill-in'!B$1:B$1000,A23,'Phase4 - Fill-in'!E$1:E$1000,Dictionnary!C$666)+0.5*COUNTIFS('Phase4 - Fill-in'!B$1:B$1000,A23,'Phase4 - Fill-in'!E$1:E$1000,Dictionnary!C$669))/(COUNTIFS('Phase4 - Fill-in'!B$5:B$1000,A23,'Phase4 - Fill-in'!E$5:E$1000,"&lt;&gt;Dictionnary!C669"))</f>
        <v>#DIV/0!</v>
      </c>
      <c r="F23" s="13"/>
    </row>
    <row r="24" spans="1:6" s="1" customFormat="1" ht="15.75" x14ac:dyDescent="0.25">
      <c r="A24" s="207" t="str">
        <f>Dictionnary!A614</f>
        <v>PERS4.4p</v>
      </c>
      <c r="B24" s="14" t="str">
        <f>Dictionnary!B614</f>
        <v>Personnel</v>
      </c>
      <c r="C24" s="15" t="str">
        <f>Dictionnary!C614</f>
        <v>Procedure of identification and recording of guest details</v>
      </c>
      <c r="D24" s="16" t="s">
        <v>1408</v>
      </c>
      <c r="E24" s="103" t="e">
        <f>(COUNTIFS('Phase4 - Fill-in'!B$1:B$1000,A24,'Phase4 - Fill-in'!E$1:E$1000,Dictionnary!C$666)+0.5*COUNTIFS('Phase4 - Fill-in'!B$1:B$1000,A24,'Phase4 - Fill-in'!E$1:E$1000,Dictionnary!C$669))/(COUNTIFS('Phase4 - Fill-in'!B$5:B$1000,A24,'Phase4 - Fill-in'!E$5:E$1000,"&lt;&gt;Dictionnary!C669"))</f>
        <v>#DIV/0!</v>
      </c>
      <c r="F24" s="13"/>
    </row>
    <row r="25" spans="1:6" s="1" customFormat="1" ht="15.75" x14ac:dyDescent="0.25">
      <c r="A25" s="207" t="str">
        <f>Dictionnary!A615</f>
        <v>PERS4.4q</v>
      </c>
      <c r="B25" s="14" t="str">
        <f>Dictionnary!B615</f>
        <v>Personnel</v>
      </c>
      <c r="C25" s="15" t="str">
        <f>Dictionnary!C615</f>
        <v>Procedure of recording details of the visit</v>
      </c>
      <c r="D25" s="16" t="s">
        <v>1409</v>
      </c>
      <c r="E25" s="103" t="e">
        <f>(COUNTIFS('Phase4 - Fill-in'!B$1:B$1000,A25,'Phase4 - Fill-in'!E$1:E$1000,Dictionnary!C$666)+0.5*COUNTIFS('Phase4 - Fill-in'!B$1:B$1000,A25,'Phase4 - Fill-in'!E$1:E$1000,Dictionnary!C$669))/(COUNTIFS('Phase4 - Fill-in'!B$5:B$1000,A25,'Phase4 - Fill-in'!E$5:E$1000,"&lt;&gt;Dictionnary!C669"))</f>
        <v>#DIV/0!</v>
      </c>
      <c r="F25" s="13"/>
    </row>
    <row r="26" spans="1:6" s="1" customFormat="1" ht="31.5" x14ac:dyDescent="0.25">
      <c r="A26" s="207" t="str">
        <f>Dictionnary!A616</f>
        <v>PERS4.4r</v>
      </c>
      <c r="B26" s="14" t="str">
        <f>Dictionnary!B616</f>
        <v>Personnel</v>
      </c>
      <c r="C26" s="15" t="str">
        <f>Dictionnary!C616</f>
        <v>Procedure of allowing access of the staff member to the laboratory (including a health check to determine if the guest’s health allows for accessing the testing areas).</v>
      </c>
      <c r="D26" s="16" t="s">
        <v>1408</v>
      </c>
      <c r="E26" s="103" t="e">
        <f>(COUNTIFS('Phase4 - Fill-in'!B$1:B$1000,A26,'Phase4 - Fill-in'!E$1:E$1000,Dictionnary!C$666)+0.5*COUNTIFS('Phase4 - Fill-in'!B$1:B$1000,A26,'Phase4 - Fill-in'!E$1:E$1000,Dictionnary!C$669))/(COUNTIFS('Phase4 - Fill-in'!B$5:B$1000,A26,'Phase4 - Fill-in'!E$5:E$1000,"&lt;&gt;Dictionnary!C669"))</f>
        <v>#DIV/0!</v>
      </c>
      <c r="F26" s="13"/>
    </row>
    <row r="27" spans="1:6" s="1" customFormat="1" ht="15.75" x14ac:dyDescent="0.25">
      <c r="A27" s="207" t="str">
        <f>Dictionnary!A617</f>
        <v>PERS4.5</v>
      </c>
      <c r="B27" s="99" t="str">
        <f>Dictionnary!B617</f>
        <v>Personnel</v>
      </c>
      <c r="C27" s="17" t="str">
        <f>Dictionnary!C617</f>
        <v>Are all staff members appropriately trained for the tasks performed?</v>
      </c>
      <c r="D27" s="12" t="s">
        <v>1409</v>
      </c>
      <c r="E27" s="103">
        <f>(COUNTIFS('Phase4 - Fill-in'!B$1:B$1000,A27,'Phase4 - Fill-in'!E$1:E$1000,Dictionnary!C$666)+0.5*COUNTIFS('Phase4 - Fill-in'!B$1:B$1000,A27,'Phase4 - Fill-in'!E$1:E$1000,Dictionnary!C$669))/(COUNTIFS('Phase4 - Fill-in'!B$5:B$1000,A27,'Phase4 - Fill-in'!E$5:E$1000,"&lt;&gt;Dictionnary!C669"))</f>
        <v>0.66666666666666663</v>
      </c>
      <c r="F27" s="13"/>
    </row>
    <row r="28" spans="1:6" s="1" customFormat="1" ht="31.5" x14ac:dyDescent="0.25">
      <c r="A28" s="207" t="str">
        <f>Dictionnary!A618</f>
        <v>PERS4.6</v>
      </c>
      <c r="B28" s="14" t="str">
        <f>Dictionnary!B618</f>
        <v>Personnel</v>
      </c>
      <c r="C28" s="15" t="str">
        <f>Dictionnary!C618</f>
        <v>Are educational needs consistently assessed in competency assessments and performance appraisals?</v>
      </c>
      <c r="D28" s="16" t="s">
        <v>1408</v>
      </c>
      <c r="E28" s="103" t="e">
        <f>(COUNTIFS('Phase4 - Fill-in'!B$1:B$1000,A28,'Phase4 - Fill-in'!E$1:E$1000,Dictionnary!C$666)+0.5*COUNTIFS('Phase4 - Fill-in'!B$1:B$1000,A28,'Phase4 - Fill-in'!E$1:E$1000,Dictionnary!C$669))/(COUNTIFS('Phase4 - Fill-in'!B$5:B$1000,A28,'Phase4 - Fill-in'!E$5:E$1000,"&lt;&gt;Dictionnary!C669"))</f>
        <v>#DIV/0!</v>
      </c>
      <c r="F28" s="13"/>
    </row>
    <row r="29" spans="1:6" s="1" customFormat="1" ht="15.75" x14ac:dyDescent="0.25">
      <c r="A29" s="207" t="str">
        <f>Dictionnary!A619</f>
        <v>PERS4.7</v>
      </c>
      <c r="B29" s="99" t="str">
        <f>Dictionnary!B619</f>
        <v>Personnel</v>
      </c>
      <c r="C29" s="17" t="str">
        <f>Dictionnary!C619</f>
        <v>Are training needs consistently fulfilled?</v>
      </c>
      <c r="D29" s="12" t="s">
        <v>1409</v>
      </c>
      <c r="E29" s="103" t="e">
        <f>(COUNTIFS('Phase4 - Fill-in'!B$1:B$1000,A29,'Phase4 - Fill-in'!E$1:E$1000,Dictionnary!C$666)+0.5*COUNTIFS('Phase4 - Fill-in'!B$1:B$1000,A29,'Phase4 - Fill-in'!E$1:E$1000,Dictionnary!C$669))/(COUNTIFS('Phase4 - Fill-in'!B$5:B$1000,A29,'Phase4 - Fill-in'!E$5:E$1000,"&lt;&gt;Dictionnary!C669"))</f>
        <v>#DIV/0!</v>
      </c>
      <c r="F29" s="13"/>
    </row>
    <row r="30" spans="1:6" s="1" customFormat="1" ht="15.75" x14ac:dyDescent="0.25">
      <c r="A30" s="207" t="str">
        <f>Dictionnary!A620</f>
        <v>PERS4.8</v>
      </c>
      <c r="B30" s="14" t="str">
        <f>Dictionnary!B620</f>
        <v>Personnel</v>
      </c>
      <c r="C30" s="15" t="str">
        <f>Dictionnary!C620</f>
        <v>Does the laboratory have a Continuous Education Program?</v>
      </c>
      <c r="D30" s="16" t="s">
        <v>1408</v>
      </c>
      <c r="E30" s="103" t="e">
        <f>(COUNTIFS('Phase4 - Fill-in'!B$1:B$1000,A30,'Phase4 - Fill-in'!E$1:E$1000,Dictionnary!C$666)+0.5*COUNTIFS('Phase4 - Fill-in'!B$1:B$1000,A30,'Phase4 - Fill-in'!E$1:E$1000,Dictionnary!C$669))/(COUNTIFS('Phase4 - Fill-in'!B$5:B$1000,A30,'Phase4 - Fill-in'!E$5:E$1000,"&lt;&gt;Dictionnary!C669"))</f>
        <v>#DIV/0!</v>
      </c>
      <c r="F30" s="13"/>
    </row>
    <row r="31" spans="1:6" s="1" customFormat="1" ht="15.75" x14ac:dyDescent="0.25">
      <c r="A31" s="207" t="str">
        <f>Dictionnary!A621</f>
        <v>PERS4.9</v>
      </c>
      <c r="B31" s="99" t="str">
        <f>Dictionnary!B621</f>
        <v>Personnel</v>
      </c>
      <c r="C31" s="17" t="str">
        <f>Dictionnary!C621</f>
        <v>Is budget available for the Continuous Education Program?</v>
      </c>
      <c r="D31" s="12" t="s">
        <v>1409</v>
      </c>
      <c r="E31" s="103" t="e">
        <f>(COUNTIFS('Phase4 - Fill-in'!B$1:B$1000,A31,'Phase4 - Fill-in'!E$1:E$1000,Dictionnary!C$666)+0.5*COUNTIFS('Phase4 - Fill-in'!B$1:B$1000,A31,'Phase4 - Fill-in'!E$1:E$1000,Dictionnary!C$669))/(COUNTIFS('Phase4 - Fill-in'!B$5:B$1000,A31,'Phase4 - Fill-in'!E$5:E$1000,"&lt;&gt;Dictionnary!C669"))</f>
        <v>#DIV/0!</v>
      </c>
      <c r="F31" s="13"/>
    </row>
    <row r="32" spans="1:6" s="1" customFormat="1" ht="15.75" x14ac:dyDescent="0.25">
      <c r="A32" s="207" t="str">
        <f>Dictionnary!A622</f>
        <v>PERS4.10</v>
      </c>
      <c r="B32" s="14" t="str">
        <f>Dictionnary!B622</f>
        <v>Personnel</v>
      </c>
      <c r="C32" s="15" t="str">
        <f>Dictionnary!C622</f>
        <v>Is the Continuous Education Program included as element in the Quality Year Plan?</v>
      </c>
      <c r="D32" s="16" t="s">
        <v>1408</v>
      </c>
      <c r="E32" s="103" t="e">
        <f>(COUNTIFS('Phase4 - Fill-in'!B$1:B$1000,A32,'Phase4 - Fill-in'!E$1:E$1000,Dictionnary!C$666)+0.5*COUNTIFS('Phase4 - Fill-in'!B$1:B$1000,A32,'Phase4 - Fill-in'!E$1:E$1000,Dictionnary!C$669))/(COUNTIFS('Phase4 - Fill-in'!B$5:B$1000,A32,'Phase4 - Fill-in'!E$5:E$1000,"&lt;&gt;Dictionnary!C669"))</f>
        <v>#DIV/0!</v>
      </c>
      <c r="F32" s="13"/>
    </row>
    <row r="33" spans="1:6" s="1" customFormat="1" ht="31.5" x14ac:dyDescent="0.25">
      <c r="A33" s="207" t="str">
        <f>Dictionnary!A623</f>
        <v>PERS4.11</v>
      </c>
      <c r="B33" s="99" t="str">
        <f>Dictionnary!B623</f>
        <v>Personnel</v>
      </c>
      <c r="C33" s="17" t="str">
        <f>Dictionnary!C623</f>
        <v>Is the ability of all technical staff members to correctly perform examinations observed by letting them analyze external quality assessment samples and evaluating the results?</v>
      </c>
      <c r="D33" s="12" t="s">
        <v>1409</v>
      </c>
      <c r="E33" s="103">
        <f>(COUNTIFS('Phase4 - Fill-in'!B$1:B$1000,A33,'Phase4 - Fill-in'!E$1:E$1000,Dictionnary!C$666)+0.5*COUNTIFS('Phase4 - Fill-in'!B$1:B$1000,A33,'Phase4 - Fill-in'!E$1:E$1000,Dictionnary!C$669))/(COUNTIFS('Phase4 - Fill-in'!B$5:B$1000,A33,'Phase4 - Fill-in'!E$5:E$1000,"&lt;&gt;Dictionnary!C669"))</f>
        <v>0.5</v>
      </c>
      <c r="F33" s="13"/>
    </row>
    <row r="34" spans="1:6" s="1" customFormat="1" ht="31.5" x14ac:dyDescent="0.25">
      <c r="A34" s="207" t="str">
        <f>Dictionnary!A624</f>
        <v>PERS4.12</v>
      </c>
      <c r="B34" s="14" t="str">
        <f>Dictionnary!B624</f>
        <v>Personnel</v>
      </c>
      <c r="C34" s="15" t="str">
        <f>Dictionnary!C624</f>
        <v>Has a laboratory staff member appropriately been trained in performing failure-mode-effect-analyses?</v>
      </c>
      <c r="D34" s="16" t="s">
        <v>1408</v>
      </c>
      <c r="E34" s="103" t="e">
        <f>(COUNTIFS('Phase4 - Fill-in'!B$1:B$1000,A34,'Phase4 - Fill-in'!E$1:E$1000,Dictionnary!C$666)+0.5*COUNTIFS('Phase4 - Fill-in'!B$1:B$1000,A34,'Phase4 - Fill-in'!E$1:E$1000,Dictionnary!C$669))/(COUNTIFS('Phase4 - Fill-in'!B$5:B$1000,A34,'Phase4 - Fill-in'!E$5:E$1000,"&lt;&gt;Dictionnary!C669"))</f>
        <v>#DIV/0!</v>
      </c>
      <c r="F34" s="13"/>
    </row>
    <row r="35" spans="1:6" s="1" customFormat="1" ht="31.5" x14ac:dyDescent="0.25">
      <c r="A35" s="207" t="str">
        <f>Dictionnary!A625</f>
        <v>PERS4.13</v>
      </c>
      <c r="B35" s="99" t="str">
        <f>Dictionnary!B625</f>
        <v>Personnel</v>
      </c>
      <c r="C35" s="17" t="str">
        <f>Dictionnary!C625</f>
        <v>Has the personnel file of the staff member participating in failure mode effect analysis training been updated after completing this training?</v>
      </c>
      <c r="D35" s="12" t="s">
        <v>1409</v>
      </c>
      <c r="E35" s="103" t="e">
        <f>(COUNTIFS('Phase4 - Fill-in'!B$1:B$1000,A35,'Phase4 - Fill-in'!E$1:E$1000,Dictionnary!C$666)+0.5*COUNTIFS('Phase4 - Fill-in'!B$1:B$1000,A35,'Phase4 - Fill-in'!E$1:E$1000,Dictionnary!C$669))/(COUNTIFS('Phase4 - Fill-in'!B$5:B$1000,A35,'Phase4 - Fill-in'!E$5:E$1000,"&lt;&gt;Dictionnary!C669"))</f>
        <v>#DIV/0!</v>
      </c>
      <c r="F35" s="13"/>
    </row>
    <row r="36" spans="1:6" s="1" customFormat="1" ht="31.5" x14ac:dyDescent="0.25">
      <c r="A36" s="207" t="str">
        <f>Dictionnary!A626</f>
        <v>EQUIP4.1</v>
      </c>
      <c r="B36" s="14" t="str">
        <f>Dictionnary!B626</f>
        <v>Equipment</v>
      </c>
      <c r="C36" s="15" t="str">
        <f>Dictionnary!C626</f>
        <v>Have all pieces of equipment that have a direct influence on the outcome of examinations been validated?</v>
      </c>
      <c r="D36" s="16" t="s">
        <v>1408</v>
      </c>
      <c r="E36" s="103">
        <f>(COUNTIFS('Phase4 - Fill-in'!B$1:B$1000,A36,'Phase4 - Fill-in'!E$1:E$1000,Dictionnary!C$666)+0.5*COUNTIFS('Phase4 - Fill-in'!B$1:B$1000,A36,'Phase4 - Fill-in'!E$1:E$1000,Dictionnary!C$669))/(COUNTIFS('Phase4 - Fill-in'!B$5:B$1000,A36,'Phase4 - Fill-in'!E$5:E$1000,"&lt;&gt;Dictionnary!C669"))</f>
        <v>0</v>
      </c>
      <c r="F36" s="13"/>
    </row>
    <row r="37" spans="1:6" s="1" customFormat="1" ht="31.5" x14ac:dyDescent="0.25">
      <c r="A37" s="207" t="str">
        <f>Dictionnary!A627</f>
        <v>EQUIP4.2</v>
      </c>
      <c r="B37" s="99" t="str">
        <f>Dictionnary!B627</f>
        <v>Equipment</v>
      </c>
      <c r="C37" s="17" t="str">
        <f>Dictionnary!C627</f>
        <v>Are all findings of validations (both validation of examination methods and validation of equipment) documented in validation reports?</v>
      </c>
      <c r="D37" s="12" t="s">
        <v>1409</v>
      </c>
      <c r="E37" s="103" t="e">
        <f>(COUNTIFS('Phase4 - Fill-in'!B$1:B$1000,A37,'Phase4 - Fill-in'!E$1:E$1000,Dictionnary!C$666)+0.5*COUNTIFS('Phase4 - Fill-in'!B$1:B$1000,A37,'Phase4 - Fill-in'!E$1:E$1000,Dictionnary!C$669))/(COUNTIFS('Phase4 - Fill-in'!B$5:B$1000,A37,'Phase4 - Fill-in'!E$5:E$1000,"&lt;&gt;Dictionnary!C669"))</f>
        <v>#DIV/0!</v>
      </c>
      <c r="F37" s="13"/>
    </row>
    <row r="38" spans="1:6" s="1" customFormat="1" ht="31.5" x14ac:dyDescent="0.25">
      <c r="A38" s="207" t="str">
        <f>Dictionnary!A628</f>
        <v>EQUIP4.3</v>
      </c>
      <c r="B38" s="14" t="str">
        <f>Dictionnary!B628</f>
        <v>Equipment</v>
      </c>
      <c r="C38" s="15" t="str">
        <f>Dictionnary!C628</f>
        <v>Is there an standardized procedure in place assuring that the laboratory determines and corrects the negative influence of defective equipment on laboratory testing?</v>
      </c>
      <c r="D38" s="16" t="s">
        <v>1408</v>
      </c>
      <c r="E38" s="103">
        <f>(COUNTIFS('Phase4 - Fill-in'!B$1:B$1000,A38,'Phase4 - Fill-in'!E$1:E$1000,Dictionnary!C$666)+0.5*COUNTIFS('Phase4 - Fill-in'!B$1:B$1000,A38,'Phase4 - Fill-in'!E$1:E$1000,Dictionnary!C$669))/(COUNTIFS('Phase4 - Fill-in'!B$5:B$1000,A38,'Phase4 - Fill-in'!E$5:E$1000,"&lt;&gt;Dictionnary!C669"))</f>
        <v>0.66666666666666663</v>
      </c>
      <c r="F38" s="13"/>
    </row>
    <row r="39" spans="1:6" s="1" customFormat="1" ht="31.5" x14ac:dyDescent="0.25">
      <c r="A39" s="207" t="str">
        <f>Dictionnary!A629</f>
        <v>EQUIP4.4</v>
      </c>
      <c r="B39" s="99" t="str">
        <f>Dictionnary!B629</f>
        <v>Equipment</v>
      </c>
      <c r="C39" s="17" t="str">
        <f>Dictionnary!C629</f>
        <v>Is the procedure for determining and correcting the negative influence of defective equipment documented in an SOP?</v>
      </c>
      <c r="D39" s="12" t="s">
        <v>1409</v>
      </c>
      <c r="E39" s="103" t="e">
        <f>(COUNTIFS('Phase4 - Fill-in'!B$1:B$1000,A39,'Phase4 - Fill-in'!E$1:E$1000,Dictionnary!C$666)+0.5*COUNTIFS('Phase4 - Fill-in'!B$1:B$1000,A39,'Phase4 - Fill-in'!E$1:E$1000,Dictionnary!C$669))/(COUNTIFS('Phase4 - Fill-in'!B$5:B$1000,A39,'Phase4 - Fill-in'!E$5:E$1000,"&lt;&gt;Dictionnary!C669"))</f>
        <v>#DIV/0!</v>
      </c>
      <c r="F39" s="13"/>
    </row>
    <row r="40" spans="1:6" s="1" customFormat="1" ht="47.25" x14ac:dyDescent="0.25">
      <c r="A40" s="207" t="str">
        <f>Dictionnary!A630</f>
        <v>EQUIP4.5</v>
      </c>
      <c r="B40" s="14" t="str">
        <f>Dictionnary!B630</f>
        <v>Equipment</v>
      </c>
      <c r="C40" s="15" t="str">
        <f>Dictionnary!C630</f>
        <v>Has procedure for determining and correcting the negative influence of defective equipment routinely been performed in the past when equipment appeared to be defective?
Ask the interviewee to show an example.</v>
      </c>
      <c r="D40" s="16" t="s">
        <v>1408</v>
      </c>
      <c r="E40" s="103">
        <f>(COUNTIFS('Phase4 - Fill-in'!B$1:B$1000,A40,'Phase4 - Fill-in'!E$1:E$1000,Dictionnary!C$666)+0.5*COUNTIFS('Phase4 - Fill-in'!B$1:B$1000,A40,'Phase4 - Fill-in'!E$1:E$1000,Dictionnary!C$669))/(COUNTIFS('Phase4 - Fill-in'!B$5:B$1000,A40,'Phase4 - Fill-in'!E$5:E$1000,"&lt;&gt;Dictionnary!C669"))</f>
        <v>1</v>
      </c>
      <c r="F40" s="13"/>
    </row>
    <row r="41" spans="1:6" s="1" customFormat="1" ht="31.5" x14ac:dyDescent="0.25">
      <c r="A41" s="207" t="str">
        <f>Dictionnary!A631</f>
        <v>PM4.1</v>
      </c>
      <c r="B41" s="99" t="str">
        <f>Dictionnary!B631</f>
        <v>Process Management</v>
      </c>
      <c r="C41" s="17" t="str">
        <f>Dictionnary!C631</f>
        <v>Is there an SOP that covers all the more simple procedures for which it is too laborious/inefficient to make separate SOPs but that are critical for proper functioning of the laboratory?</v>
      </c>
      <c r="D41" s="12" t="s">
        <v>1409</v>
      </c>
      <c r="E41" s="103">
        <f>(COUNTIFS('Phase4 - Fill-in'!B$1:B$1000,A41,'Phase4 - Fill-in'!E$1:E$1000,Dictionnary!C$666)+0.5*COUNTIFS('Phase4 - Fill-in'!B$1:B$1000,A41,'Phase4 - Fill-in'!E$1:E$1000,Dictionnary!C$669))/(COUNTIFS('Phase4 - Fill-in'!B$5:B$1000,A41,'Phase4 - Fill-in'!E$5:E$1000,"&lt;&gt;Dictionnary!C669"))</f>
        <v>1</v>
      </c>
      <c r="F41" s="13"/>
    </row>
    <row r="42" spans="1:6" s="1" customFormat="1" ht="31.5" x14ac:dyDescent="0.25">
      <c r="A42" s="207" t="str">
        <f>Dictionnary!A632</f>
        <v>PM4.2</v>
      </c>
      <c r="B42" s="14" t="str">
        <f>Dictionnary!B632</f>
        <v>Process Management</v>
      </c>
      <c r="C42" s="15" t="str">
        <f>Dictionnary!C632</f>
        <v>Is correct transportation of samples monitored on a continuous basis by the laboratory by checking of the transportation requirements in the SOP for Sample Collection are met?</v>
      </c>
      <c r="D42" s="16" t="s">
        <v>1408</v>
      </c>
      <c r="E42" s="103">
        <f>(COUNTIFS('Phase4 - Fill-in'!B$1:B$1000,A42,'Phase4 - Fill-in'!E$1:E$1000,Dictionnary!C$666)+0.5*COUNTIFS('Phase4 - Fill-in'!B$1:B$1000,A42,'Phase4 - Fill-in'!E$1:E$1000,Dictionnary!C$669))/(COUNTIFS('Phase4 - Fill-in'!B$5:B$1000,A42,'Phase4 - Fill-in'!E$5:E$1000,"&lt;&gt;Dictionnary!C669"))</f>
        <v>0</v>
      </c>
      <c r="F42" s="13"/>
    </row>
    <row r="43" spans="1:6" s="1" customFormat="1" ht="31.5" x14ac:dyDescent="0.25">
      <c r="A43" s="207" t="str">
        <f>Dictionnary!A633</f>
        <v>PM4.3</v>
      </c>
      <c r="B43" s="99" t="str">
        <f>Dictionnary!B633</f>
        <v>Process Management</v>
      </c>
      <c r="C43" s="17" t="str">
        <f>Dictionnary!C633</f>
        <v>If problems arise in transportation of samples, does the laboratory investigate these problems to find the cause?</v>
      </c>
      <c r="D43" s="12" t="s">
        <v>1409</v>
      </c>
      <c r="E43" s="103">
        <f>(COUNTIFS('Phase4 - Fill-in'!B$1:B$1000,A43,'Phase4 - Fill-in'!E$1:E$1000,Dictionnary!C$666)+0.5*COUNTIFS('Phase4 - Fill-in'!B$1:B$1000,A43,'Phase4 - Fill-in'!E$1:E$1000,Dictionnary!C$669))/(COUNTIFS('Phase4 - Fill-in'!B$5:B$1000,A43,'Phase4 - Fill-in'!E$5:E$1000,"&lt;&gt;Dictionnary!C669"))</f>
        <v>1</v>
      </c>
      <c r="F43" s="13"/>
    </row>
    <row r="44" spans="1:6" s="1" customFormat="1" ht="31.5" x14ac:dyDescent="0.25">
      <c r="A44" s="207" t="str">
        <f>Dictionnary!A634</f>
        <v>PM4.4</v>
      </c>
      <c r="B44" s="14" t="str">
        <f>Dictionnary!B634</f>
        <v>Process Management</v>
      </c>
      <c r="C44" s="15" t="str">
        <f>Dictionnary!C634</f>
        <v>If problems arise in transportation of samples, is a nonconformity form always completed?</v>
      </c>
      <c r="D44" s="16" t="s">
        <v>1408</v>
      </c>
      <c r="E44" s="103">
        <f>(COUNTIFS('Phase4 - Fill-in'!B$1:B$1000,A44,'Phase4 - Fill-in'!E$1:E$1000,Dictionnary!C$666)+0.5*COUNTIFS('Phase4 - Fill-in'!B$1:B$1000,A44,'Phase4 - Fill-in'!E$1:E$1000,Dictionnary!C$669))/(COUNTIFS('Phase4 - Fill-in'!B$5:B$1000,A44,'Phase4 - Fill-in'!E$5:E$1000,"&lt;&gt;Dictionnary!C669"))</f>
        <v>0.5</v>
      </c>
      <c r="F44" s="13"/>
    </row>
    <row r="45" spans="1:6" s="1" customFormat="1" ht="31.5" x14ac:dyDescent="0.25">
      <c r="A45" s="207" t="str">
        <f>Dictionnary!A635</f>
        <v>PM4.5</v>
      </c>
      <c r="B45" s="99" t="str">
        <f>Dictionnary!B635</f>
        <v>Process Management</v>
      </c>
      <c r="C45" s="17" t="str">
        <f>Dictionnary!C635</f>
        <v>Are corrective and preventive actions undertaken to solve problems in sample transportation?</v>
      </c>
      <c r="D45" s="12" t="s">
        <v>1409</v>
      </c>
      <c r="E45" s="103">
        <f>(COUNTIFS('Phase4 - Fill-in'!B$1:B$1000,A45,'Phase4 - Fill-in'!E$1:E$1000,Dictionnary!C$666)+0.5*COUNTIFS('Phase4 - Fill-in'!B$1:B$1000,A45,'Phase4 - Fill-in'!E$1:E$1000,Dictionnary!C$669))/(COUNTIFS('Phase4 - Fill-in'!B$5:B$1000,A45,'Phase4 - Fill-in'!E$5:E$1000,"&lt;&gt;Dictionnary!C669"))</f>
        <v>0.5</v>
      </c>
      <c r="F45" s="13"/>
    </row>
    <row r="46" spans="1:6" s="1" customFormat="1" ht="31.5" x14ac:dyDescent="0.25">
      <c r="A46" s="207" t="str">
        <f>Dictionnary!A636</f>
        <v>PM4.6</v>
      </c>
      <c r="B46" s="14" t="str">
        <f>Dictionnary!B636</f>
        <v>Process Management</v>
      </c>
      <c r="C46" s="15" t="str">
        <f>Dictionnary!C636</f>
        <v>Is the effect of the preventive/corrective actions to solve problems regarding sample transport evaluated to see if they worked?</v>
      </c>
      <c r="D46" s="16" t="s">
        <v>1408</v>
      </c>
      <c r="E46" s="103">
        <f>(COUNTIFS('Phase4 - Fill-in'!B$1:B$1000,A46,'Phase4 - Fill-in'!E$1:E$1000,Dictionnary!C$666)+0.5*COUNTIFS('Phase4 - Fill-in'!B$1:B$1000,A46,'Phase4 - Fill-in'!E$1:E$1000,Dictionnary!C$669))/(COUNTIFS('Phase4 - Fill-in'!B$5:B$1000,A46,'Phase4 - Fill-in'!E$5:E$1000,"&lt;&gt;Dictionnary!C669"))</f>
        <v>1</v>
      </c>
      <c r="F46" s="13"/>
    </row>
    <row r="47" spans="1:6" s="1" customFormat="1" ht="31.5" x14ac:dyDescent="0.25">
      <c r="A47" s="207" t="str">
        <f>Dictionnary!A637</f>
        <v>PM4.7</v>
      </c>
      <c r="B47" s="99" t="str">
        <f>Dictionnary!B637</f>
        <v>Process Management</v>
      </c>
      <c r="C47" s="17" t="str">
        <f>Dictionnary!C637</f>
        <v>Does the laboratory monitor correct performance of all its processes using quality indicators?</v>
      </c>
      <c r="D47" s="12" t="s">
        <v>1409</v>
      </c>
      <c r="E47" s="103">
        <f>(COUNTIFS('Phase4 - Fill-in'!B$1:B$1000,A47,'Phase4 - Fill-in'!E$1:E$1000,Dictionnary!C$666)+0.5*COUNTIFS('Phase4 - Fill-in'!B$1:B$1000,A47,'Phase4 - Fill-in'!E$1:E$1000,Dictionnary!C$669))/(COUNTIFS('Phase4 - Fill-in'!B$5:B$1000,A47,'Phase4 - Fill-in'!E$5:E$1000,"&lt;&gt;Dictionnary!C669"))</f>
        <v>0.5</v>
      </c>
      <c r="F47" s="13"/>
    </row>
    <row r="48" spans="1:6" s="1" customFormat="1" ht="31.5" x14ac:dyDescent="0.25">
      <c r="A48" s="207" t="str">
        <f>Dictionnary!A638</f>
        <v>PM4.8</v>
      </c>
      <c r="B48" s="14" t="str">
        <f>Dictionnary!B638</f>
        <v>Process Management</v>
      </c>
      <c r="C48" s="15" t="str">
        <f>Dictionnary!C638</f>
        <v>Is action undertaken upon detection of a sudden change in the value of a quality indictors to identify and solve the problem and prevent it from reoccurring?</v>
      </c>
      <c r="D48" s="16" t="s">
        <v>1408</v>
      </c>
      <c r="E48" s="103">
        <f>(COUNTIFS('Phase4 - Fill-in'!B$1:B$1000,A48,'Phase4 - Fill-in'!E$1:E$1000,Dictionnary!C$666)+0.5*COUNTIFS('Phase4 - Fill-in'!B$1:B$1000,A48,'Phase4 - Fill-in'!E$1:E$1000,Dictionnary!C$669))/(COUNTIFS('Phase4 - Fill-in'!B$5:B$1000,A48,'Phase4 - Fill-in'!E$5:E$1000,"&lt;&gt;Dictionnary!C669"))</f>
        <v>0.33333333333333331</v>
      </c>
      <c r="F48" s="13"/>
    </row>
    <row r="49" spans="1:6" s="1" customFormat="1" ht="31.5" x14ac:dyDescent="0.25">
      <c r="A49" s="207" t="str">
        <f>Dictionnary!A639</f>
        <v>PM4.9</v>
      </c>
      <c r="B49" s="99" t="str">
        <f>Dictionnary!B639</f>
        <v>Process Management</v>
      </c>
      <c r="C49" s="17" t="str">
        <f>Dictionnary!C639</f>
        <v>Have limits of acceptability been set for each quality indicator?</v>
      </c>
      <c r="D49" s="12" t="s">
        <v>1409</v>
      </c>
      <c r="E49" s="103">
        <f>(COUNTIFS('Phase4 - Fill-in'!B$1:B$1000,A49,'Phase4 - Fill-in'!E$1:E$1000,Dictionnary!C$666)+0.5*COUNTIFS('Phase4 - Fill-in'!B$1:B$1000,A49,'Phase4 - Fill-in'!E$1:E$1000,Dictionnary!C$669))/(COUNTIFS('Phase4 - Fill-in'!B$5:B$1000,A49,'Phase4 - Fill-in'!E$5:E$1000,"&lt;&gt;Dictionnary!C669"))</f>
        <v>1</v>
      </c>
      <c r="F49" s="13"/>
    </row>
    <row r="50" spans="1:6" s="1" customFormat="1" ht="31.5" x14ac:dyDescent="0.25">
      <c r="A50" s="207" t="str">
        <f>Dictionnary!A640</f>
        <v>PM4.10</v>
      </c>
      <c r="B50" s="14" t="str">
        <f>Dictionnary!B640</f>
        <v>Process Management</v>
      </c>
      <c r="C50" s="15" t="str">
        <f>Dictionnary!C640</f>
        <v>Are actions undertaken to optimize the laboratory processes such that the limits of acceptability for each quality indicator aren’t exceeded any longer?</v>
      </c>
      <c r="D50" s="16" t="s">
        <v>1408</v>
      </c>
      <c r="E50" s="103">
        <f>(COUNTIFS('Phase4 - Fill-in'!B$1:B$1000,A50,'Phase4 - Fill-in'!E$1:E$1000,Dictionnary!C$666)+0.5*COUNTIFS('Phase4 - Fill-in'!B$1:B$1000,A50,'Phase4 - Fill-in'!E$1:E$1000,Dictionnary!C$669))/(COUNTIFS('Phase4 - Fill-in'!B$5:B$1000,A50,'Phase4 - Fill-in'!E$5:E$1000,"&lt;&gt;Dictionnary!C669"))</f>
        <v>0.5</v>
      </c>
      <c r="F50" s="13"/>
    </row>
    <row r="51" spans="1:6" s="1" customFormat="1" ht="31.5" x14ac:dyDescent="0.25">
      <c r="A51" s="207" t="str">
        <f>Dictionnary!A641</f>
        <v>CF4.1</v>
      </c>
      <c r="B51" s="99" t="str">
        <f>Dictionnary!B641</f>
        <v>Customer Focus</v>
      </c>
      <c r="C51" s="17" t="str">
        <f>Dictionnary!C641</f>
        <v>Have specific staff members been authorized to communicate with clients so that proper communication and information provision to clients is ensured?</v>
      </c>
      <c r="D51" s="12" t="s">
        <v>1409</v>
      </c>
      <c r="E51" s="103">
        <f>(COUNTIFS('Phase4 - Fill-in'!B$1:B$1000,A51,'Phase4 - Fill-in'!E$1:E$1000,Dictionnary!C$666)+0.5*COUNTIFS('Phase4 - Fill-in'!B$1:B$1000,A51,'Phase4 - Fill-in'!E$1:E$1000,Dictionnary!C$669))/(COUNTIFS('Phase4 - Fill-in'!B$5:B$1000,A51,'Phase4 - Fill-in'!E$5:E$1000,"&lt;&gt;Dictionnary!C669"))</f>
        <v>0.66666666666666663</v>
      </c>
      <c r="F51" s="13"/>
    </row>
    <row r="52" spans="1:6" s="1" customFormat="1" ht="31.5" x14ac:dyDescent="0.25">
      <c r="A52" s="207" t="str">
        <f>Dictionnary!A642</f>
        <v>CF4.2</v>
      </c>
      <c r="B52" s="14" t="str">
        <f>Dictionnary!B642</f>
        <v>Customer Focus</v>
      </c>
      <c r="C52" s="15" t="str">
        <f>Dictionnary!C642</f>
        <v>Are specific laboratory staff members authorized to participate in clinical rounds?</v>
      </c>
      <c r="D52" s="16" t="s">
        <v>1408</v>
      </c>
      <c r="E52" s="103">
        <f>(COUNTIFS('Phase4 - Fill-in'!B$1:B$1000,A52,'Phase4 - Fill-in'!E$1:E$1000,Dictionnary!C$666)+0.5*COUNTIFS('Phase4 - Fill-in'!B$1:B$1000,A52,'Phase4 - Fill-in'!E$1:E$1000,Dictionnary!C$669))/(COUNTIFS('Phase4 - Fill-in'!B$5:B$1000,A52,'Phase4 - Fill-in'!E$5:E$1000,"&lt;&gt;Dictionnary!C669"))</f>
        <v>0.5</v>
      </c>
      <c r="F52" s="13"/>
    </row>
    <row r="53" spans="1:6" s="1" customFormat="1" ht="31.5" x14ac:dyDescent="0.25">
      <c r="A53" s="207" t="str">
        <f>Dictionnary!A643</f>
        <v>CF4.3</v>
      </c>
      <c r="B53" s="99" t="str">
        <f>Dictionnary!B643</f>
        <v>Customer Focus</v>
      </c>
      <c r="C53" s="17" t="str">
        <f>Dictionnary!C643</f>
        <v>Do laboratory staff members participate in clinical rounds at least 4 times per year?</v>
      </c>
      <c r="D53" s="12" t="s">
        <v>1409</v>
      </c>
      <c r="E53" s="103">
        <f>(COUNTIFS('Phase4 - Fill-in'!B$1:B$1000,A53,'Phase4 - Fill-in'!E$1:E$1000,Dictionnary!C$666)+0.5*COUNTIFS('Phase4 - Fill-in'!B$1:B$1000,A53,'Phase4 - Fill-in'!E$1:E$1000,Dictionnary!C$669))/(COUNTIFS('Phase4 - Fill-in'!B$5:B$1000,A53,'Phase4 - Fill-in'!E$5:E$1000,"&lt;&gt;Dictionnary!C669"))</f>
        <v>0</v>
      </c>
      <c r="F53" s="13"/>
    </row>
    <row r="54" spans="1:6" s="1" customFormat="1" ht="31.5" x14ac:dyDescent="0.25">
      <c r="A54" s="207" t="str">
        <f>Dictionnary!A644</f>
        <v>CF4.4</v>
      </c>
      <c r="B54" s="14" t="str">
        <f>Dictionnary!B644</f>
        <v>Customer Focus</v>
      </c>
      <c r="C54" s="15" t="str">
        <f>Dictionnary!C644</f>
        <v>Are meetings between laboratory staff and clinical staff held at least 4 times per year?</v>
      </c>
      <c r="D54" s="16" t="s">
        <v>1408</v>
      </c>
      <c r="E54" s="103">
        <f>(COUNTIFS('Phase4 - Fill-in'!B$1:B$1000,A54,'Phase4 - Fill-in'!E$1:E$1000,Dictionnary!C$666)+0.5*COUNTIFS('Phase4 - Fill-in'!B$1:B$1000,A54,'Phase4 - Fill-in'!E$1:E$1000,Dictionnary!C$669))/(COUNTIFS('Phase4 - Fill-in'!B$5:B$1000,A54,'Phase4 - Fill-in'!E$5:E$1000,"&lt;&gt;Dictionnary!C669"))</f>
        <v>1</v>
      </c>
      <c r="F54" s="13"/>
    </row>
    <row r="55" spans="1:6" s="1" customFormat="1" ht="31.5" x14ac:dyDescent="0.25">
      <c r="A55" s="207" t="str">
        <f>Dictionnary!A645</f>
        <v>CF4.5</v>
      </c>
      <c r="B55" s="99" t="str">
        <f>Dictionnary!B645</f>
        <v>Customer Focus</v>
      </c>
      <c r="C55" s="17" t="str">
        <f>Dictionnary!C645</f>
        <v>Are minutes made of meetings between laboratory staff and clinical staff?</v>
      </c>
      <c r="D55" s="12" t="s">
        <v>1409</v>
      </c>
      <c r="E55" s="103">
        <f>(COUNTIFS('Phase4 - Fill-in'!B$1:B$1000,A55,'Phase4 - Fill-in'!E$1:E$1000,Dictionnary!C$666)+0.5*COUNTIFS('Phase4 - Fill-in'!B$1:B$1000,A55,'Phase4 - Fill-in'!E$1:E$1000,Dictionnary!C$669))/(COUNTIFS('Phase4 - Fill-in'!B$5:B$1000,A55,'Phase4 - Fill-in'!E$5:E$1000,"&lt;&gt;Dictionnary!C669"))</f>
        <v>1</v>
      </c>
      <c r="F55" s="13"/>
    </row>
    <row r="56" spans="1:6" s="1" customFormat="1" ht="31.5" x14ac:dyDescent="0.25">
      <c r="A56" s="207" t="str">
        <f>Dictionnary!A646</f>
        <v>CF4.6</v>
      </c>
      <c r="B56" s="14" t="str">
        <f>Dictionnary!B646</f>
        <v>Customer Focus</v>
      </c>
      <c r="C56" s="15" t="str">
        <f>Dictionnary!C646</f>
        <v>If action points arise from a meeting between clinical staff and laboratory staff, is feedback given in the following meeting?</v>
      </c>
      <c r="D56" s="16" t="s">
        <v>1408</v>
      </c>
      <c r="E56" s="103">
        <f>(COUNTIFS('Phase4 - Fill-in'!B$1:B$1000,A56,'Phase4 - Fill-in'!E$1:E$1000,Dictionnary!C$666)+0.5*COUNTIFS('Phase4 - Fill-in'!B$1:B$1000,A56,'Phase4 - Fill-in'!E$1:E$1000,Dictionnary!C$669))/(COUNTIFS('Phase4 - Fill-in'!B$5:B$1000,A56,'Phase4 - Fill-in'!E$5:E$1000,"&lt;&gt;Dictionnary!C669"))</f>
        <v>0.66666666666666663</v>
      </c>
      <c r="F56" s="13"/>
    </row>
    <row r="57" spans="1:6" s="1" customFormat="1" ht="31.5" x14ac:dyDescent="0.25">
      <c r="A57" s="207" t="str">
        <f>Dictionnary!A647</f>
        <v>ASSESS4.1</v>
      </c>
      <c r="B57" s="99" t="str">
        <f>Dictionnary!B647</f>
        <v>Assessment</v>
      </c>
      <c r="C57" s="17" t="str">
        <f>Dictionnary!C647</f>
        <v>Has an external audit been performed to verify complete and correct implementation of the quality management system in compliance with ISO 15189 before the laboratory applies for accreditation?</v>
      </c>
      <c r="D57" s="12" t="s">
        <v>1409</v>
      </c>
      <c r="E57" s="103" t="e">
        <f>(COUNTIFS('Phase4 - Fill-in'!B$1:B$1000,A57,'Phase4 - Fill-in'!E$1:E$1000,Dictionnary!C$666)+0.5*COUNTIFS('Phase4 - Fill-in'!B$1:B$1000,A57,'Phase4 - Fill-in'!E$1:E$1000,Dictionnary!C$669))/(COUNTIFS('Phase4 - Fill-in'!B$5:B$1000,A57,'Phase4 - Fill-in'!E$5:E$1000,"&lt;&gt;Dictionnary!C669"))</f>
        <v>#DIV/0!</v>
      </c>
      <c r="F57" s="13"/>
    </row>
    <row r="58" spans="1:6" s="1" customFormat="1" ht="31.5" x14ac:dyDescent="0.25">
      <c r="A58" s="207" t="str">
        <f>Dictionnary!A648</f>
        <v>ASSESS4.2</v>
      </c>
      <c r="B58" s="14" t="str">
        <f>Dictionnary!B648</f>
        <v>Assessment</v>
      </c>
      <c r="C58" s="15" t="str">
        <f>Dictionnary!C648</f>
        <v>Are action plans made to solve/correct the nonconformities identified in the external mock audit with corrective actions and control steps and preventive actions when necessary and applicable?</v>
      </c>
      <c r="D58" s="16" t="s">
        <v>1408</v>
      </c>
      <c r="E58" s="103" t="e">
        <f>(COUNTIFS('Phase4 - Fill-in'!B$1:B$1000,A58,'Phase4 - Fill-in'!E$1:E$1000,Dictionnary!C$666)+0.5*COUNTIFS('Phase4 - Fill-in'!B$1:B$1000,A58,'Phase4 - Fill-in'!E$1:E$1000,Dictionnary!C$669))/(COUNTIFS('Phase4 - Fill-in'!B$5:B$1000,A58,'Phase4 - Fill-in'!E$5:E$1000,"&lt;&gt;Dictionnary!C669"))</f>
        <v>#DIV/0!</v>
      </c>
      <c r="F58" s="13"/>
    </row>
    <row r="59" spans="1:6" s="1" customFormat="1" ht="15.75" x14ac:dyDescent="0.25">
      <c r="A59" s="207" t="str">
        <f>Dictionnary!A649</f>
        <v>ASSESS4.3</v>
      </c>
      <c r="B59" s="99" t="str">
        <f>Dictionnary!B649</f>
        <v>Assessment</v>
      </c>
      <c r="C59" s="17" t="str">
        <f>Dictionnary!C649</f>
        <v>Is timely implementation of the action plans following the external mock audit monitored?</v>
      </c>
      <c r="D59" s="12" t="s">
        <v>1409</v>
      </c>
      <c r="E59" s="103" t="e">
        <f>(COUNTIFS('Phase4 - Fill-in'!B$1:B$1000,A59,'Phase4 - Fill-in'!E$1:E$1000,Dictionnary!C$666)+0.5*COUNTIFS('Phase4 - Fill-in'!B$1:B$1000,A59,'Phase4 - Fill-in'!E$1:E$1000,Dictionnary!C$669))/(COUNTIFS('Phase4 - Fill-in'!B$5:B$1000,A59,'Phase4 - Fill-in'!E$5:E$1000,"&lt;&gt;Dictionnary!C669"))</f>
        <v>#DIV/0!</v>
      </c>
      <c r="F59" s="13"/>
    </row>
    <row r="60" spans="1:6" s="1" customFormat="1" ht="31.5" x14ac:dyDescent="0.25">
      <c r="A60" s="207" t="str">
        <f>Dictionnary!A650</f>
        <v>ASSESS4.4</v>
      </c>
      <c r="B60" s="14" t="str">
        <f>Dictionnary!B650</f>
        <v>Assessment</v>
      </c>
      <c r="C60" s="15" t="str">
        <f>Dictionnary!C650</f>
        <v>Is the audit report of the external mock audit with the action plan archived when all action points have been completed?</v>
      </c>
      <c r="D60" s="16" t="s">
        <v>1408</v>
      </c>
      <c r="E60" s="103" t="e">
        <f>(COUNTIFS('Phase4 - Fill-in'!B$1:B$1000,A60,'Phase4 - Fill-in'!E$1:E$1000,Dictionnary!C$666)+0.5*COUNTIFS('Phase4 - Fill-in'!B$1:B$1000,A60,'Phase4 - Fill-in'!E$1:E$1000,Dictionnary!C$669))/(COUNTIFS('Phase4 - Fill-in'!B$5:B$1000,A60,'Phase4 - Fill-in'!E$5:E$1000,"&lt;&gt;Dictionnary!C669"))</f>
        <v>#DIV/0!</v>
      </c>
      <c r="F60" s="13"/>
    </row>
    <row r="61" spans="1:6" s="1" customFormat="1" ht="47.25" x14ac:dyDescent="0.25">
      <c r="A61" s="207" t="str">
        <f>Dictionnary!A651</f>
        <v>CONFORM4.1</v>
      </c>
      <c r="B61" s="99" t="str">
        <f>Dictionnary!B651</f>
        <v>Nonconforming Event Management</v>
      </c>
      <c r="C61" s="17" t="str">
        <f>Dictionnary!C651</f>
        <v>Does the laboratory have an SOP for Nonconformity Management that ensures that nonconformities are always solved/corrected in a standardized way with corrective and preventive actions and, if necessary and applicable, control steps?</v>
      </c>
      <c r="D61" s="12" t="s">
        <v>1409</v>
      </c>
      <c r="E61" s="103">
        <f>(COUNTIFS('Phase4 - Fill-in'!B$1:B$1000,A61,'Phase4 - Fill-in'!E$1:E$1000,Dictionnary!C$666)+0.5*COUNTIFS('Phase4 - Fill-in'!B$1:B$1000,A61,'Phase4 - Fill-in'!E$1:E$1000,Dictionnary!C$669))/(COUNTIFS('Phase4 - Fill-in'!B$5:B$1000,A61,'Phase4 - Fill-in'!E$5:E$1000,"&lt;&gt;Dictionnary!C669"))</f>
        <v>0.33333333333333331</v>
      </c>
      <c r="F61" s="13"/>
    </row>
    <row r="62" spans="1:6" s="1" customFormat="1" ht="47.25" x14ac:dyDescent="0.25">
      <c r="A62" s="207" t="str">
        <f>Dictionnary!A652</f>
        <v>CONFORM4.2</v>
      </c>
      <c r="B62" s="14" t="str">
        <f>Dictionnary!B652</f>
        <v>Nonconforming Event Management</v>
      </c>
      <c r="C62" s="15" t="str">
        <f>Dictionnary!C652</f>
        <v>Does the laboratory have an SOP on Handling of Complaints?</v>
      </c>
      <c r="D62" s="16" t="s">
        <v>1408</v>
      </c>
      <c r="E62" s="103">
        <f>(COUNTIFS('Phase4 - Fill-in'!B$1:B$1000,A62,'Phase4 - Fill-in'!E$1:E$1000,Dictionnary!C$666)+0.5*COUNTIFS('Phase4 - Fill-in'!B$1:B$1000,A62,'Phase4 - Fill-in'!E$1:E$1000,Dictionnary!C$669))/(COUNTIFS('Phase4 - Fill-in'!B$5:B$1000,A62,'Phase4 - Fill-in'!E$5:E$1000,"&lt;&gt;Dictionnary!C669"))</f>
        <v>0.5</v>
      </c>
      <c r="F62" s="13"/>
    </row>
    <row r="63" spans="1:6" s="1" customFormat="1" ht="47.25" x14ac:dyDescent="0.25">
      <c r="A63" s="207" t="str">
        <f>Dictionnary!A653</f>
        <v>CONFORM4.3</v>
      </c>
      <c r="B63" s="99" t="str">
        <f>Dictionnary!B653</f>
        <v>Nonconforming Event Management</v>
      </c>
      <c r="C63" s="17" t="str">
        <f>Dictionnary!C653</f>
        <v>Are complaints handled in a standardized way?</v>
      </c>
      <c r="D63" s="12" t="s">
        <v>1409</v>
      </c>
      <c r="E63" s="103">
        <f>(COUNTIFS('Phase4 - Fill-in'!B$1:B$1000,A63,'Phase4 - Fill-in'!E$1:E$1000,Dictionnary!C$666)+0.5*COUNTIFS('Phase4 - Fill-in'!B$1:B$1000,A63,'Phase4 - Fill-in'!E$1:E$1000,Dictionnary!C$669))/(COUNTIFS('Phase4 - Fill-in'!B$5:B$1000,A63,'Phase4 - Fill-in'!E$5:E$1000,"&lt;&gt;Dictionnary!C669"))</f>
        <v>0.5</v>
      </c>
      <c r="F63" s="13"/>
    </row>
    <row r="64" spans="1:6" s="1" customFormat="1" ht="47.25" x14ac:dyDescent="0.25">
      <c r="A64" s="207" t="str">
        <f>Dictionnary!A654</f>
        <v>CONFORM4.4</v>
      </c>
      <c r="B64" s="14" t="str">
        <f>Dictionnary!B654</f>
        <v>Nonconforming Event Management</v>
      </c>
      <c r="C64" s="15" t="str">
        <f>Dictionnary!C654</f>
        <v>Are complainers informed about the solution that was developed based on their complaint?</v>
      </c>
      <c r="D64" s="16" t="s">
        <v>1408</v>
      </c>
      <c r="E64" s="103">
        <f>(COUNTIFS('Phase4 - Fill-in'!B$1:B$1000,A64,'Phase4 - Fill-in'!E$1:E$1000,Dictionnary!C$666)+0.5*COUNTIFS('Phase4 - Fill-in'!B$1:B$1000,A64,'Phase4 - Fill-in'!E$1:E$1000,Dictionnary!C$669))/(COUNTIFS('Phase4 - Fill-in'!B$5:B$1000,A64,'Phase4 - Fill-in'!E$5:E$1000,"&lt;&gt;Dictionnary!C669"))</f>
        <v>1</v>
      </c>
      <c r="F64" s="13"/>
    </row>
    <row r="65" spans="1:6" s="1" customFormat="1" ht="47.25" x14ac:dyDescent="0.25">
      <c r="A65" s="207" t="str">
        <f>Dictionnary!A655</f>
        <v>CONFORM4.5</v>
      </c>
      <c r="B65" s="99" t="str">
        <f>Dictionnary!B655</f>
        <v>Nonconforming Event Management</v>
      </c>
      <c r="C65" s="17" t="str">
        <f>Dictionnary!C655</f>
        <v>Has the laboratory procedures in place on how to act in specific emergency situations?</v>
      </c>
      <c r="D65" s="12" t="s">
        <v>1409</v>
      </c>
      <c r="E65" s="103">
        <f>(COUNTIFS('Phase4 - Fill-in'!B$1:B$1000,A65,'Phase4 - Fill-in'!E$1:E$1000,Dictionnary!C$666)+0.5*COUNTIFS('Phase4 - Fill-in'!B$1:B$1000,A65,'Phase4 - Fill-in'!E$1:E$1000,Dictionnary!C$669))/(COUNTIFS('Phase4 - Fill-in'!B$5:B$1000,A65,'Phase4 - Fill-in'!E$5:E$1000,"&lt;&gt;Dictionnary!C669"))</f>
        <v>0</v>
      </c>
      <c r="F65" s="13"/>
    </row>
    <row r="66" spans="1:6" s="1" customFormat="1" ht="47.25" x14ac:dyDescent="0.25">
      <c r="A66" s="207" t="str">
        <f>Dictionnary!A656</f>
        <v>CONFORM4.6</v>
      </c>
      <c r="B66" s="14" t="str">
        <f>Dictionnary!B656</f>
        <v>Nonconforming Event Management</v>
      </c>
      <c r="C66" s="15" t="str">
        <f>Dictionnary!C656</f>
        <v>Is firefighting equipment in place?</v>
      </c>
      <c r="D66" s="16" t="s">
        <v>1408</v>
      </c>
      <c r="E66" s="103">
        <f>(COUNTIFS('Phase4 - Fill-in'!B$1:B$1000,A66,'Phase4 - Fill-in'!E$1:E$1000,Dictionnary!C$666)+0.5*COUNTIFS('Phase4 - Fill-in'!B$1:B$1000,A66,'Phase4 - Fill-in'!E$1:E$1000,Dictionnary!C$669))/(COUNTIFS('Phase4 - Fill-in'!B$5:B$1000,A66,'Phase4 - Fill-in'!E$5:E$1000,"&lt;&gt;Dictionnary!C669"))</f>
        <v>0</v>
      </c>
      <c r="F66" s="13"/>
    </row>
    <row r="67" spans="1:6" s="1" customFormat="1" ht="47.25" x14ac:dyDescent="0.25">
      <c r="A67" s="207" t="str">
        <f>Dictionnary!A657</f>
        <v>CONFORM4.7</v>
      </c>
      <c r="B67" s="99" t="str">
        <f>Dictionnary!B657</f>
        <v>Nonconforming Event Management</v>
      </c>
      <c r="C67" s="17" t="str">
        <f>Dictionnary!C657</f>
        <v>Is an evacuation plan in place?</v>
      </c>
      <c r="D67" s="12" t="s">
        <v>1409</v>
      </c>
      <c r="E67" s="103" t="e">
        <f>(COUNTIFS('Phase4 - Fill-in'!B$1:B$1000,A67,'Phase4 - Fill-in'!E$1:E$1000,Dictionnary!C$666)+0.5*COUNTIFS('Phase4 - Fill-in'!B$1:B$1000,A67,'Phase4 - Fill-in'!E$1:E$1000,Dictionnary!C$669))/(COUNTIFS('Phase4 - Fill-in'!B$5:B$1000,A67,'Phase4 - Fill-in'!E$5:E$1000,"&lt;&gt;Dictionnary!C669"))</f>
        <v>#DIV/0!</v>
      </c>
      <c r="F67" s="13"/>
    </row>
    <row r="68" spans="1:6" s="1" customFormat="1" ht="47.25" x14ac:dyDescent="0.25">
      <c r="A68" s="207" t="str">
        <f>Dictionnary!A658</f>
        <v>CONFORM4.8</v>
      </c>
      <c r="B68" s="14" t="str">
        <f>Dictionnary!B658</f>
        <v>Nonconforming Event Management</v>
      </c>
      <c r="C68" s="15" t="str">
        <f>Dictionnary!C658</f>
        <v>Are evacuation routes indicated?</v>
      </c>
      <c r="D68" s="16" t="s">
        <v>1408</v>
      </c>
      <c r="E68" s="103">
        <f>(COUNTIFS('Phase4 - Fill-in'!B$1:B$1000,A68,'Phase4 - Fill-in'!E$1:E$1000,Dictionnary!C$666)+0.5*COUNTIFS('Phase4 - Fill-in'!B$1:B$1000,A68,'Phase4 - Fill-in'!E$1:E$1000,Dictionnary!C$669))/(COUNTIFS('Phase4 - Fill-in'!B$5:B$1000,A68,'Phase4 - Fill-in'!E$5:E$1000,"&lt;&gt;Dictionnary!C669"))</f>
        <v>0</v>
      </c>
      <c r="F68" s="13"/>
    </row>
    <row r="69" spans="1:6" s="1" customFormat="1" ht="47.25" x14ac:dyDescent="0.25">
      <c r="A69" s="207" t="str">
        <f>Dictionnary!A659</f>
        <v>CONFORM4.9</v>
      </c>
      <c r="B69" s="99" t="str">
        <f>Dictionnary!B659</f>
        <v>Nonconforming Event Management</v>
      </c>
      <c r="C69" s="17" t="str">
        <f>Dictionnary!C659</f>
        <v>Are there organizational emergency arrangements in place including a division of roles and responsibilities for specific emergency situations?</v>
      </c>
      <c r="D69" s="12" t="s">
        <v>1409</v>
      </c>
      <c r="E69" s="103" t="e">
        <f>(COUNTIFS('Phase4 - Fill-in'!B$1:B$1000,A69,'Phase4 - Fill-in'!E$1:E$1000,Dictionnary!C$666)+0.5*COUNTIFS('Phase4 - Fill-in'!B$1:B$1000,A69,'Phase4 - Fill-in'!E$1:E$1000,Dictionnary!C$669))/(COUNTIFS('Phase4 - Fill-in'!B$5:B$1000,A69,'Phase4 - Fill-in'!E$5:E$1000,"&lt;&gt;Dictionnary!C669"))</f>
        <v>#DIV/0!</v>
      </c>
      <c r="F69" s="13"/>
    </row>
    <row r="70" spans="1:6" s="1" customFormat="1" ht="47.25" x14ac:dyDescent="0.25">
      <c r="A70" s="207" t="str">
        <f>Dictionnary!A660</f>
        <v>CONFORM4.10</v>
      </c>
      <c r="B70" s="14" t="str">
        <f>Dictionnary!B660</f>
        <v>Nonconforming Event Management</v>
      </c>
      <c r="C70" s="15" t="str">
        <f>Dictionnary!C660</f>
        <v>Are procedures in place on how to handle in different emergency situations?</v>
      </c>
      <c r="D70" s="16" t="s">
        <v>1408</v>
      </c>
      <c r="E70" s="103" t="e">
        <f>(COUNTIFS('Phase4 - Fill-in'!B$1:B$1000,A70,'Phase4 - Fill-in'!E$1:E$1000,Dictionnary!C$666)+0.5*COUNTIFS('Phase4 - Fill-in'!B$1:B$1000,A70,'Phase4 - Fill-in'!E$1:E$1000,Dictionnary!C$669))/(COUNTIFS('Phase4 - Fill-in'!B$5:B$1000,A70,'Phase4 - Fill-in'!E$5:E$1000,"&lt;&gt;Dictionnary!C669"))</f>
        <v>#DIV/0!</v>
      </c>
      <c r="F70" s="13"/>
    </row>
    <row r="71" spans="1:6" s="1" customFormat="1" ht="31.5" x14ac:dyDescent="0.25">
      <c r="A71" s="207" t="str">
        <f>Dictionnary!A661</f>
        <v>CI4.1</v>
      </c>
      <c r="B71" s="99" t="str">
        <f>Dictionnary!B661</f>
        <v>Continual Improvement</v>
      </c>
      <c r="C71" s="17" t="str">
        <f>Dictionnary!C661</f>
        <v>Have failure mode and effect analyses been performed on all the procedures routinely performed in the laboratory to identify potential sources of nonconformity?</v>
      </c>
      <c r="D71" s="12" t="s">
        <v>1409</v>
      </c>
      <c r="E71" s="103" t="e">
        <f>(COUNTIFS('Phase4 - Fill-in'!B$1:B$1000,A71,'Phase4 - Fill-in'!E$1:E$1000,Dictionnary!C$666)+0.5*COUNTIFS('Phase4 - Fill-in'!B$1:B$1000,A71,'Phase4 - Fill-in'!E$1:E$1000,Dictionnary!C$669))/(COUNTIFS('Phase4 - Fill-in'!B$5:B$1000,A71,'Phase4 - Fill-in'!E$5:E$1000,"&lt;&gt;Dictionnary!C669"))</f>
        <v>#DIV/0!</v>
      </c>
      <c r="F71" s="13"/>
    </row>
    <row r="72" spans="1:6" s="1" customFormat="1" ht="110.25" x14ac:dyDescent="0.25">
      <c r="A72" s="207" t="str">
        <f>Dictionnary!A662</f>
        <v>CI4.2</v>
      </c>
      <c r="B72" s="14" t="str">
        <f>Dictionnary!B662</f>
        <v>Continual Improvement</v>
      </c>
      <c r="C72" s="15" t="str">
        <f>Dictionnary!C662</f>
        <v>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c r="D72" s="16" t="s">
        <v>1408</v>
      </c>
      <c r="E72" s="103" t="e">
        <f>(COUNTIFS('Phase4 - Fill-in'!B$1:B$1000,A72,'Phase4 - Fill-in'!E$1:E$1000,Dictionnary!C$666)+0.5*COUNTIFS('Phase4 - Fill-in'!B$1:B$1000,A72,'Phase4 - Fill-in'!E$1:E$1000,Dictionnary!C$669))/(COUNTIFS('Phase4 - Fill-in'!B$5:B$1000,A72,'Phase4 - Fill-in'!E$5:E$1000,"&lt;&gt;Dictionnary!C669"))</f>
        <v>#DIV/0!</v>
      </c>
      <c r="F72" s="13"/>
    </row>
    <row r="73" spans="1:6" s="1" customFormat="1" ht="31.5" x14ac:dyDescent="0.25">
      <c r="A73" s="207" t="str">
        <f>Dictionnary!A663</f>
        <v>CI4.3</v>
      </c>
      <c r="B73" s="99" t="str">
        <f>Dictionnary!B663</f>
        <v>Continual Improvement</v>
      </c>
      <c r="C73" s="17" t="str">
        <f>Dictionnary!C663</f>
        <v>Has the effectiveness of control steps and preventive/corrective actions implemented in the laboratory routine procedures following the Failure-Mode-Effect-Analysis been evaluated?</v>
      </c>
      <c r="D73" s="12" t="s">
        <v>1409</v>
      </c>
      <c r="E73" s="103" t="e">
        <f>(COUNTIFS('Phase4 - Fill-in'!B$1:B$1000,A73,'Phase4 - Fill-in'!E$1:E$1000,Dictionnary!C$666)+0.5*COUNTIFS('Phase4 - Fill-in'!B$1:B$1000,A73,'Phase4 - Fill-in'!E$1:E$1000,Dictionnary!C$669))/(COUNTIFS('Phase4 - Fill-in'!B$5:B$1000,A73,'Phase4 - Fill-in'!E$5:E$1000,"&lt;&gt;Dictionnary!C669"))</f>
        <v>#DIV/0!</v>
      </c>
      <c r="F73" s="13"/>
    </row>
    <row r="74" spans="1:6" s="1" customFormat="1" ht="31.5" x14ac:dyDescent="0.25">
      <c r="A74" s="207" t="str">
        <f>Dictionnary!A664</f>
        <v>CI4.4</v>
      </c>
      <c r="B74" s="14" t="str">
        <f>Dictionnary!B664</f>
        <v>Continual Improvement</v>
      </c>
      <c r="C74" s="15" t="str">
        <f>Dictionnary!C664</f>
        <v>When control steps and preventive/corrective actions of the Failure-Mode-Effect-Analysis appeared to be ineffective, have they been replaced by more feasible ones?</v>
      </c>
      <c r="D74" s="16" t="s">
        <v>1408</v>
      </c>
      <c r="E74" s="103" t="e">
        <f>(COUNTIFS('Phase4 - Fill-in'!B$1:B$1000,A74,'Phase4 - Fill-in'!E$1:E$1000,Dictionnary!C$666)+0.5*COUNTIFS('Phase4 - Fill-in'!B$1:B$1000,A74,'Phase4 - Fill-in'!E$1:E$1000,Dictionnary!C$669))/(COUNTIFS('Phase4 - Fill-in'!B$5:B$1000,A74,'Phase4 - Fill-in'!E$5:E$1000,"&lt;&gt;Dictionnary!C669"))</f>
        <v>#DIV/0!</v>
      </c>
      <c r="F74" s="13"/>
    </row>
    <row r="75" spans="1:6" s="1" customFormat="1" ht="31.5" x14ac:dyDescent="0.25">
      <c r="A75" s="207" t="str">
        <f>Dictionnary!A665</f>
        <v>CI4.5</v>
      </c>
      <c r="B75" s="99" t="str">
        <f>Dictionnary!B665</f>
        <v>Continual Improvement</v>
      </c>
      <c r="C75" s="17" t="str">
        <f>Dictionnary!C665</f>
        <v>Has the effectiveness and feasibility of the control steps and preventive/corrective actions that were optimized based on the first audit been evaluated in subsequent audits?</v>
      </c>
      <c r="D75" s="12" t="s">
        <v>1409</v>
      </c>
      <c r="E75" s="103" t="e">
        <f>(COUNTIFS('Phase4 - Fill-in'!B$1:B$1000,A75,'Phase4 - Fill-in'!E$1:E$1000,Dictionnary!C$666)+0.5*COUNTIFS('Phase4 - Fill-in'!B$1:B$1000,A75,'Phase4 - Fill-in'!E$1:E$1000,Dictionnary!C$669))/(COUNTIFS('Phase4 - Fill-in'!B$5:B$1000,A75,'Phase4 - Fill-in'!E$5:E$1000,"&lt;&gt;Dictionnary!C669"))</f>
        <v>#DIV/0!</v>
      </c>
      <c r="F75" s="13"/>
    </row>
    <row r="76" spans="1:6" x14ac:dyDescent="0.25">
      <c r="A76" s="207"/>
      <c r="B76" s="207"/>
      <c r="C76" s="207"/>
    </row>
    <row r="77" spans="1:6" x14ac:dyDescent="0.25">
      <c r="A77" s="207"/>
      <c r="B77" s="207"/>
      <c r="C77" s="207"/>
    </row>
    <row r="78" spans="1:6" x14ac:dyDescent="0.25">
      <c r="A78" s="207"/>
      <c r="B78" s="207"/>
      <c r="C78" s="207"/>
    </row>
    <row r="79" spans="1:6" x14ac:dyDescent="0.25">
      <c r="A79" s="207"/>
      <c r="B79" s="207"/>
      <c r="C79" s="207"/>
    </row>
    <row r="80" spans="1:6" x14ac:dyDescent="0.25">
      <c r="A80" s="207"/>
      <c r="B80" s="207"/>
      <c r="C80" s="207"/>
    </row>
    <row r="81" spans="1:3" x14ac:dyDescent="0.25">
      <c r="A81" s="207"/>
      <c r="B81" s="207"/>
      <c r="C81" s="207"/>
    </row>
    <row r="82" spans="1:3" x14ac:dyDescent="0.25">
      <c r="A82" s="207"/>
      <c r="B82" s="207"/>
      <c r="C82" s="207"/>
    </row>
    <row r="83" spans="1:3" x14ac:dyDescent="0.25">
      <c r="A83" s="207"/>
      <c r="B83" s="207"/>
      <c r="C83" s="207"/>
    </row>
    <row r="84" spans="1:3" x14ac:dyDescent="0.25">
      <c r="A84" s="207"/>
      <c r="B84" s="207"/>
      <c r="C84" s="207"/>
    </row>
    <row r="85" spans="1:3" x14ac:dyDescent="0.25">
      <c r="A85" s="207"/>
      <c r="B85" s="207"/>
      <c r="C85" s="207"/>
    </row>
    <row r="86" spans="1:3" x14ac:dyDescent="0.25">
      <c r="A86" s="207"/>
      <c r="B86" s="207"/>
      <c r="C86" s="207"/>
    </row>
    <row r="87" spans="1:3" x14ac:dyDescent="0.25">
      <c r="A87" s="207"/>
      <c r="B87" s="207"/>
      <c r="C87" s="207"/>
    </row>
    <row r="88" spans="1:3" x14ac:dyDescent="0.25">
      <c r="A88" s="207"/>
      <c r="B88" s="207"/>
      <c r="C88" s="207"/>
    </row>
    <row r="89" spans="1:3" x14ac:dyDescent="0.25">
      <c r="A89" s="207"/>
      <c r="B89" s="207"/>
      <c r="C89" s="207"/>
    </row>
    <row r="90" spans="1:3" x14ac:dyDescent="0.25">
      <c r="A90" s="207"/>
      <c r="B90" s="207"/>
      <c r="C90" s="207"/>
    </row>
    <row r="91" spans="1:3" x14ac:dyDescent="0.25">
      <c r="A91" s="207"/>
      <c r="B91" s="207"/>
      <c r="C91" s="207"/>
    </row>
    <row r="92" spans="1:3" x14ac:dyDescent="0.25">
      <c r="A92" s="207"/>
      <c r="B92" s="207"/>
      <c r="C92" s="207"/>
    </row>
    <row r="93" spans="1:3" x14ac:dyDescent="0.25">
      <c r="A93" s="207"/>
      <c r="B93" s="207"/>
      <c r="C93" s="207"/>
    </row>
    <row r="94" spans="1:3" x14ac:dyDescent="0.25">
      <c r="A94" s="207"/>
      <c r="B94" s="207"/>
      <c r="C94" s="207"/>
    </row>
    <row r="95" spans="1:3" x14ac:dyDescent="0.25">
      <c r="A95" s="207"/>
      <c r="B95" s="207"/>
      <c r="C95" s="207"/>
    </row>
    <row r="96" spans="1:3" x14ac:dyDescent="0.25">
      <c r="A96" s="207"/>
      <c r="B96" s="207"/>
      <c r="C96" s="207"/>
    </row>
    <row r="97" spans="1:3" x14ac:dyDescent="0.25">
      <c r="A97" s="207"/>
      <c r="B97" s="207"/>
      <c r="C97" s="207"/>
    </row>
    <row r="98" spans="1:3" x14ac:dyDescent="0.25">
      <c r="A98" s="207"/>
      <c r="B98" s="207"/>
      <c r="C98" s="207"/>
    </row>
    <row r="99" spans="1:3" x14ac:dyDescent="0.25">
      <c r="A99" s="207"/>
      <c r="B99" s="207"/>
      <c r="C99" s="207"/>
    </row>
    <row r="100" spans="1:3" x14ac:dyDescent="0.25">
      <c r="A100" s="207"/>
      <c r="B100" s="207"/>
      <c r="C100" s="207"/>
    </row>
    <row r="101" spans="1:3" x14ac:dyDescent="0.25">
      <c r="A101" s="207"/>
      <c r="B101" s="207"/>
      <c r="C101" s="207"/>
    </row>
    <row r="102" spans="1:3" x14ac:dyDescent="0.25">
      <c r="A102" s="207"/>
      <c r="B102" s="207"/>
      <c r="C102" s="207"/>
    </row>
    <row r="103" spans="1:3" x14ac:dyDescent="0.25">
      <c r="A103" s="207"/>
      <c r="B103" s="207"/>
      <c r="C103" s="207"/>
    </row>
    <row r="104" spans="1:3" x14ac:dyDescent="0.25">
      <c r="A104" s="207"/>
      <c r="B104" s="207"/>
      <c r="C104" s="207"/>
    </row>
    <row r="105" spans="1:3" x14ac:dyDescent="0.25">
      <c r="A105" s="207"/>
      <c r="B105" s="207"/>
      <c r="C105" s="207"/>
    </row>
    <row r="106" spans="1:3" x14ac:dyDescent="0.25">
      <c r="A106" s="207"/>
      <c r="B106" s="207"/>
      <c r="C106" s="207"/>
    </row>
    <row r="107" spans="1:3" x14ac:dyDescent="0.25">
      <c r="A107" s="207"/>
      <c r="B107" s="207"/>
      <c r="C107" s="207"/>
    </row>
    <row r="108" spans="1:3" x14ac:dyDescent="0.25">
      <c r="A108" s="207"/>
      <c r="B108" s="207"/>
      <c r="C108" s="207"/>
    </row>
    <row r="109" spans="1:3" x14ac:dyDescent="0.25">
      <c r="A109" s="207"/>
      <c r="B109" s="207"/>
      <c r="C109" s="207"/>
    </row>
    <row r="110" spans="1:3" x14ac:dyDescent="0.25">
      <c r="A110" s="207"/>
      <c r="B110" s="207"/>
      <c r="C110" s="207"/>
    </row>
    <row r="111" spans="1:3" x14ac:dyDescent="0.25">
      <c r="A111" s="207"/>
      <c r="B111" s="207"/>
      <c r="C111" s="207"/>
    </row>
    <row r="112" spans="1:3" x14ac:dyDescent="0.25">
      <c r="A112" s="207"/>
      <c r="B112" s="207"/>
      <c r="C112" s="207"/>
    </row>
    <row r="113" spans="1:3" x14ac:dyDescent="0.25">
      <c r="A113" s="207"/>
      <c r="B113" s="207"/>
      <c r="C113" s="207"/>
    </row>
    <row r="114" spans="1:3" x14ac:dyDescent="0.25">
      <c r="A114" s="207"/>
      <c r="B114" s="207"/>
      <c r="C114" s="207"/>
    </row>
    <row r="115" spans="1:3" x14ac:dyDescent="0.25">
      <c r="A115" s="207"/>
      <c r="B115" s="207"/>
      <c r="C115" s="207"/>
    </row>
    <row r="116" spans="1:3" x14ac:dyDescent="0.25">
      <c r="A116" s="207"/>
      <c r="B116" s="207"/>
      <c r="C116" s="207"/>
    </row>
    <row r="117" spans="1:3" x14ac:dyDescent="0.25">
      <c r="A117" s="207"/>
      <c r="B117" s="207"/>
      <c r="C117" s="207"/>
    </row>
    <row r="118" spans="1:3" x14ac:dyDescent="0.25">
      <c r="A118" s="207"/>
      <c r="B118" s="207"/>
      <c r="C118" s="207"/>
    </row>
    <row r="119" spans="1:3" x14ac:dyDescent="0.25">
      <c r="A119" s="207"/>
      <c r="B119" s="207"/>
      <c r="C119" s="207"/>
    </row>
    <row r="120" spans="1:3" x14ac:dyDescent="0.25">
      <c r="A120" s="207"/>
      <c r="B120" s="207"/>
      <c r="C120" s="207"/>
    </row>
    <row r="121" spans="1:3" x14ac:dyDescent="0.25">
      <c r="A121" s="207"/>
      <c r="B121" s="207"/>
      <c r="C121" s="207"/>
    </row>
    <row r="122" spans="1:3" x14ac:dyDescent="0.25">
      <c r="A122" s="207"/>
      <c r="B122" s="207"/>
      <c r="C122" s="207"/>
    </row>
    <row r="123" spans="1:3" x14ac:dyDescent="0.25">
      <c r="A123" s="207"/>
      <c r="B123" s="207"/>
      <c r="C123" s="207"/>
    </row>
    <row r="124" spans="1:3" x14ac:dyDescent="0.25">
      <c r="A124" s="207"/>
      <c r="B124" s="207"/>
      <c r="C124" s="207"/>
    </row>
    <row r="125" spans="1:3" x14ac:dyDescent="0.25">
      <c r="A125" s="207"/>
      <c r="B125" s="207"/>
      <c r="C125" s="207"/>
    </row>
    <row r="126" spans="1:3" x14ac:dyDescent="0.25">
      <c r="A126" s="207"/>
      <c r="B126" s="207"/>
      <c r="C126" s="207"/>
    </row>
    <row r="127" spans="1:3" x14ac:dyDescent="0.25">
      <c r="A127" s="207"/>
      <c r="B127" s="207"/>
      <c r="C127" s="207"/>
    </row>
    <row r="128" spans="1:3" x14ac:dyDescent="0.25">
      <c r="A128" s="207"/>
      <c r="B128" s="207"/>
      <c r="C128" s="207"/>
    </row>
    <row r="129" spans="1:3" x14ac:dyDescent="0.25">
      <c r="A129" s="207"/>
      <c r="B129" s="207"/>
      <c r="C129" s="207"/>
    </row>
    <row r="130" spans="1:3" x14ac:dyDescent="0.25">
      <c r="A130" s="207"/>
      <c r="B130" s="207"/>
      <c r="C130" s="207"/>
    </row>
    <row r="131" spans="1:3" x14ac:dyDescent="0.25">
      <c r="A131" s="207"/>
      <c r="B131" s="207"/>
      <c r="C131" s="207"/>
    </row>
    <row r="132" spans="1:3" x14ac:dyDescent="0.25">
      <c r="A132" s="207"/>
      <c r="B132" s="207"/>
      <c r="C132" s="207"/>
    </row>
    <row r="133" spans="1:3" x14ac:dyDescent="0.25">
      <c r="A133" s="207"/>
      <c r="B133" s="207"/>
      <c r="C133" s="207"/>
    </row>
    <row r="134" spans="1:3" x14ac:dyDescent="0.25">
      <c r="A134" s="207"/>
      <c r="B134" s="207"/>
      <c r="C134" s="207"/>
    </row>
    <row r="135" spans="1:3" x14ac:dyDescent="0.25">
      <c r="A135" s="207"/>
      <c r="B135" s="207"/>
      <c r="C135" s="207"/>
    </row>
    <row r="136" spans="1:3" x14ac:dyDescent="0.25">
      <c r="A136" s="207"/>
      <c r="B136" s="207"/>
      <c r="C136" s="207"/>
    </row>
    <row r="137" spans="1:3" x14ac:dyDescent="0.25">
      <c r="A137" s="207"/>
      <c r="B137" s="207"/>
      <c r="C137" s="207"/>
    </row>
    <row r="138" spans="1:3" x14ac:dyDescent="0.25">
      <c r="A138" s="207"/>
      <c r="B138" s="207"/>
      <c r="C138" s="207"/>
    </row>
    <row r="139" spans="1:3" x14ac:dyDescent="0.25">
      <c r="A139" s="207"/>
      <c r="B139" s="207"/>
      <c r="C139" s="207"/>
    </row>
    <row r="140" spans="1:3" x14ac:dyDescent="0.25">
      <c r="A140" s="207"/>
      <c r="B140" s="207"/>
      <c r="C140" s="207"/>
    </row>
    <row r="141" spans="1:3" x14ac:dyDescent="0.25">
      <c r="A141" s="207"/>
      <c r="B141" s="207"/>
      <c r="C141" s="207"/>
    </row>
    <row r="142" spans="1:3" x14ac:dyDescent="0.25">
      <c r="A142" s="207"/>
      <c r="B142" s="207"/>
      <c r="C142" s="207"/>
    </row>
    <row r="143" spans="1:3" x14ac:dyDescent="0.25">
      <c r="A143" s="207"/>
      <c r="B143" s="207"/>
      <c r="C143" s="207"/>
    </row>
    <row r="144" spans="1:3" x14ac:dyDescent="0.25">
      <c r="A144" s="207"/>
      <c r="B144" s="207"/>
      <c r="C144" s="207"/>
    </row>
    <row r="145" spans="1:3" x14ac:dyDescent="0.25">
      <c r="A145" s="207"/>
      <c r="B145" s="207"/>
      <c r="C145" s="207"/>
    </row>
    <row r="146" spans="1:3" x14ac:dyDescent="0.25">
      <c r="A146" s="207"/>
      <c r="B146" s="207"/>
      <c r="C146" s="207"/>
    </row>
    <row r="147" spans="1:3" x14ac:dyDescent="0.25">
      <c r="A147" s="207"/>
      <c r="B147" s="207"/>
      <c r="C147" s="207"/>
    </row>
    <row r="148" spans="1:3" x14ac:dyDescent="0.25">
      <c r="A148" s="207"/>
      <c r="B148" s="207"/>
      <c r="C148" s="207"/>
    </row>
    <row r="149" spans="1:3" x14ac:dyDescent="0.25">
      <c r="A149" s="207"/>
      <c r="B149" s="207"/>
      <c r="C149" s="207"/>
    </row>
    <row r="150" spans="1:3" x14ac:dyDescent="0.25">
      <c r="A150" s="207"/>
      <c r="B150" s="207"/>
      <c r="C150" s="207"/>
    </row>
    <row r="151" spans="1:3" x14ac:dyDescent="0.25">
      <c r="A151" s="207"/>
      <c r="B151" s="207"/>
      <c r="C151" s="207"/>
    </row>
    <row r="152" spans="1:3" x14ac:dyDescent="0.25">
      <c r="A152" s="207"/>
      <c r="B152" s="207"/>
      <c r="C152" s="207"/>
    </row>
    <row r="153" spans="1:3" x14ac:dyDescent="0.25">
      <c r="A153" s="207"/>
      <c r="B153" s="207"/>
      <c r="C153" s="207"/>
    </row>
    <row r="154" spans="1:3" x14ac:dyDescent="0.25">
      <c r="A154" s="207"/>
      <c r="B154" s="207"/>
      <c r="C154" s="207"/>
    </row>
    <row r="155" spans="1:3" x14ac:dyDescent="0.25">
      <c r="A155" s="207"/>
      <c r="B155" s="207"/>
      <c r="C155" s="207"/>
    </row>
    <row r="156" spans="1:3" x14ac:dyDescent="0.25">
      <c r="A156" s="207"/>
      <c r="B156" s="207"/>
      <c r="C156" s="207"/>
    </row>
    <row r="157" spans="1:3" x14ac:dyDescent="0.25">
      <c r="A157" s="207"/>
      <c r="B157" s="207"/>
      <c r="C157" s="207"/>
    </row>
    <row r="158" spans="1:3" x14ac:dyDescent="0.25">
      <c r="A158" s="207"/>
      <c r="B158" s="207"/>
      <c r="C158" s="207"/>
    </row>
    <row r="159" spans="1:3" x14ac:dyDescent="0.25">
      <c r="A159" s="207"/>
      <c r="B159" s="207"/>
      <c r="C159" s="207"/>
    </row>
    <row r="160" spans="1:3" x14ac:dyDescent="0.25">
      <c r="A160" s="207"/>
      <c r="B160" s="207"/>
      <c r="C160" s="207"/>
    </row>
    <row r="161" spans="1:3" x14ac:dyDescent="0.25">
      <c r="A161" s="207"/>
      <c r="B161" s="207"/>
      <c r="C161" s="207"/>
    </row>
    <row r="162" spans="1:3" x14ac:dyDescent="0.25">
      <c r="A162" s="207"/>
      <c r="B162" s="207"/>
      <c r="C162" s="207"/>
    </row>
    <row r="163" spans="1:3" x14ac:dyDescent="0.25">
      <c r="A163" s="207"/>
      <c r="B163" s="207"/>
      <c r="C163" s="207"/>
    </row>
    <row r="164" spans="1:3" x14ac:dyDescent="0.25">
      <c r="A164" s="207"/>
      <c r="B164" s="207"/>
      <c r="C164" s="207"/>
    </row>
  </sheetData>
  <mergeCells count="2">
    <mergeCell ref="B1:D1"/>
    <mergeCell ref="B2:D2"/>
  </mergeCells>
  <conditionalFormatting sqref="B1:D1">
    <cfRule type="dataBar" priority="20">
      <dataBar>
        <cfvo type="num" val="0"/>
        <cfvo type="num" val="1"/>
        <color theme="8" tint="-0.249977111117893"/>
      </dataBar>
      <extLst>
        <ext xmlns:x14="http://schemas.microsoft.com/office/spreadsheetml/2009/9/main" uri="{B025F937-C7B1-47D3-B67F-A62EFF666E3E}">
          <x14:id>{D40C1582-EE15-4938-A423-F6FC6B892B9F}</x14:id>
        </ext>
      </extLst>
    </cfRule>
  </conditionalFormatting>
  <conditionalFormatting sqref="F4:F5">
    <cfRule type="colorScale" priority="17">
      <colorScale>
        <cfvo type="num" val="0"/>
        <cfvo type="num" val="1"/>
        <color rgb="FFC00000"/>
        <color theme="9"/>
      </colorScale>
    </cfRule>
  </conditionalFormatting>
  <conditionalFormatting sqref="E4:E75">
    <cfRule type="colorScale" priority="16">
      <colorScale>
        <cfvo type="num" val="0"/>
        <cfvo type="num" val="1"/>
        <color rgb="FFFF7128"/>
        <color theme="9" tint="0.39997558519241921"/>
      </colorScale>
    </cfRule>
  </conditionalFormatting>
  <conditionalFormatting sqref="F7">
    <cfRule type="colorScale" priority="15">
      <colorScale>
        <cfvo type="num" val="0"/>
        <cfvo type="num" val="1"/>
        <color rgb="FFC00000"/>
        <color theme="9"/>
      </colorScale>
    </cfRule>
  </conditionalFormatting>
  <conditionalFormatting sqref="F6">
    <cfRule type="colorScale" priority="13">
      <colorScale>
        <cfvo type="num" val="0"/>
        <cfvo type="num" val="1"/>
        <color rgb="FFC00000"/>
        <color theme="9"/>
      </colorScale>
    </cfRule>
  </conditionalFormatting>
  <conditionalFormatting sqref="F8">
    <cfRule type="colorScale" priority="11">
      <colorScale>
        <cfvo type="num" val="0"/>
        <cfvo type="num" val="1"/>
        <color rgb="FFC00000"/>
        <color theme="9"/>
      </colorScale>
    </cfRule>
  </conditionalFormatting>
  <conditionalFormatting sqref="F9:F26">
    <cfRule type="colorScale" priority="9">
      <colorScale>
        <cfvo type="num" val="0"/>
        <cfvo type="num" val="1"/>
        <color rgb="FFC00000"/>
        <color theme="9"/>
      </colorScale>
    </cfRule>
  </conditionalFormatting>
  <conditionalFormatting sqref="F27">
    <cfRule type="colorScale" priority="7">
      <colorScale>
        <cfvo type="num" val="0"/>
        <cfvo type="num" val="1"/>
        <color rgb="FFC00000"/>
        <color theme="9"/>
      </colorScale>
    </cfRule>
  </conditionalFormatting>
  <conditionalFormatting sqref="F28 F30 F32 F34 F36 F38 F40 F42 F44 F46 F48 F50 F52 F54 F56 F58 F60 F62 F64 F66 F68 F70 F72 F74 F76 F78 F80 F82 F84 F86 F88 F90 F92 F94">
    <cfRule type="colorScale" priority="5">
      <colorScale>
        <cfvo type="num" val="0"/>
        <cfvo type="num" val="1"/>
        <color rgb="FFC00000"/>
        <color theme="9"/>
      </colorScale>
    </cfRule>
  </conditionalFormatting>
  <conditionalFormatting sqref="E76 E78 E80 E82 E84 E86 E88 E90 E92 E94">
    <cfRule type="colorScale" priority="4">
      <colorScale>
        <cfvo type="num" val="0"/>
        <cfvo type="num" val="1"/>
        <color rgb="FFFF7128"/>
        <color theme="9" tint="0.39997558519241921"/>
      </colorScale>
    </cfRule>
  </conditionalFormatting>
  <conditionalFormatting sqref="F29 F31 F33 F35 F37 F39 F41 F43 F45 F47 F49 F51 F53 F55 F57 F59 F61 F63 F65 F67 F69 F71 F73 F75 F77 F79 F81 F83 F85 F87 F89 F91 F93 F95">
    <cfRule type="colorScale" priority="3">
      <colorScale>
        <cfvo type="num" val="0"/>
        <cfvo type="num" val="1"/>
        <color rgb="FFC00000"/>
        <color theme="9"/>
      </colorScale>
    </cfRule>
  </conditionalFormatting>
  <conditionalFormatting sqref="E79 E77 E81 E83 E85 E87 E89 E91 E93 E95">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{D0B54D7A-0EFE-E043-8B2B-B8C47F424310}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40C1582-EE15-4938-A423-F6FC6B892B9F}">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D0B54D7A-0EFE-E043-8B2B-B8C47F424310}">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D4:D75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78"/>
  <sheetViews>
    <sheetView workbookViewId="0">
      <selection activeCell="C2" sqref="C2"/>
    </sheetView>
  </sheetViews>
  <sheetFormatPr defaultColWidth="8.85546875" defaultRowHeight="15" x14ac:dyDescent="0.25"/>
  <cols>
    <col min="1" max="1" width="15.28515625" style="252" customWidth="1"/>
    <col min="2" max="2" width="25.140625" style="252" customWidth="1"/>
    <col min="3" max="3" width="50.7109375" style="252" customWidth="1"/>
    <col min="4" max="4" width="7.7109375" style="252" bestFit="1" customWidth="1"/>
    <col min="5" max="5" width="21.7109375" style="263" bestFit="1" customWidth="1"/>
    <col min="6" max="6" width="12.42578125" style="252" customWidth="1"/>
    <col min="7" max="7" width="39.42578125" style="252" customWidth="1"/>
    <col min="8" max="8" width="13.140625" style="253" bestFit="1" customWidth="1"/>
    <col min="9" max="9" width="31.85546875" style="266" customWidth="1"/>
    <col min="10" max="10" width="59" style="266" bestFit="1" customWidth="1"/>
    <col min="11" max="11" width="56.7109375" style="266" customWidth="1"/>
    <col min="12" max="12" width="70.85546875" style="266" bestFit="1" customWidth="1"/>
    <col min="13" max="13" width="73.140625" style="252" customWidth="1"/>
    <col min="14" max="14" width="54.85546875" style="254" bestFit="1" customWidth="1"/>
    <col min="15" max="15" width="7.7109375" style="252" bestFit="1" customWidth="1"/>
    <col min="16" max="16" width="7.85546875" style="252" bestFit="1" customWidth="1"/>
    <col min="17" max="17" width="13.85546875" style="252" bestFit="1" customWidth="1"/>
    <col min="18" max="18" width="9.28515625" style="252" bestFit="1" customWidth="1"/>
    <col min="19" max="16384" width="8.85546875" style="252"/>
  </cols>
  <sheetData>
    <row r="1" spans="1:18" ht="30" x14ac:dyDescent="0.25">
      <c r="E1" s="253" t="s">
        <v>1372</v>
      </c>
      <c r="F1" s="253" t="s">
        <v>1373</v>
      </c>
      <c r="G1" s="253" t="s">
        <v>1374</v>
      </c>
      <c r="H1" s="253" t="s">
        <v>1375</v>
      </c>
      <c r="I1" s="252" t="s">
        <v>1376</v>
      </c>
      <c r="J1" s="253" t="s">
        <v>1372</v>
      </c>
      <c r="K1" s="253" t="s">
        <v>1373</v>
      </c>
      <c r="L1" s="253" t="s">
        <v>1374</v>
      </c>
      <c r="M1" s="253" t="s">
        <v>1375</v>
      </c>
      <c r="N1" s="254" t="s">
        <v>1376</v>
      </c>
      <c r="O1" s="253" t="s">
        <v>1372</v>
      </c>
      <c r="P1" s="253" t="s">
        <v>1373</v>
      </c>
      <c r="Q1" s="253" t="s">
        <v>1374</v>
      </c>
      <c r="R1" s="253" t="s">
        <v>1375</v>
      </c>
    </row>
    <row r="2" spans="1:18" ht="47.25" x14ac:dyDescent="0.25">
      <c r="A2" s="252" t="s">
        <v>1468</v>
      </c>
      <c r="B2" s="252" t="str">
        <f>HLOOKUP('Getting Started'!H$2,E:I,ROW(),FALSE)</f>
        <v>Facilities and Safety</v>
      </c>
      <c r="C2" s="252" t="str">
        <f>HLOOKUP('Getting Started'!H$2,J:N,ROW(),FALSE)</f>
        <v>Have the staff adequately been instructed on the symptoms of infection with pathogens worked with in the laboratory?</v>
      </c>
      <c r="D2" s="252" t="s">
        <v>506</v>
      </c>
      <c r="E2" s="255" t="s">
        <v>510</v>
      </c>
      <c r="F2" s="255" t="s">
        <v>1391</v>
      </c>
      <c r="G2" s="255" t="s">
        <v>1392</v>
      </c>
      <c r="H2" s="255" t="s">
        <v>1393</v>
      </c>
      <c r="I2" s="254"/>
      <c r="J2" s="254" t="s">
        <v>0</v>
      </c>
      <c r="K2" s="254" t="s">
        <v>120</v>
      </c>
      <c r="L2" s="254" t="s">
        <v>240</v>
      </c>
      <c r="M2" s="254" t="s">
        <v>360</v>
      </c>
      <c r="N2" s="256" t="s">
        <v>3227</v>
      </c>
      <c r="O2" s="257" t="s">
        <v>1</v>
      </c>
      <c r="P2" s="257" t="s">
        <v>121</v>
      </c>
      <c r="Q2" s="257" t="s">
        <v>241</v>
      </c>
      <c r="R2" s="257" t="s">
        <v>361</v>
      </c>
    </row>
    <row r="3" spans="1:18" ht="63.75" x14ac:dyDescent="0.25">
      <c r="A3" s="252" t="s">
        <v>1469</v>
      </c>
      <c r="B3" s="252" t="str">
        <f>HLOOKUP('Getting Started'!H$2,E:I,ROW(),FALSE)</f>
        <v>Facilities and Safety</v>
      </c>
      <c r="C3" s="252" t="str">
        <f>HLOOKUP('Getting Started'!H$2,J:N,ROW(),FALSE)</f>
        <v>Is there a written procedure on how to act in case of a suspected laboratory associated infection/laboratory accident whereby a staff-member has potentially become infected?</v>
      </c>
      <c r="D3" s="252" t="s">
        <v>506</v>
      </c>
      <c r="E3" s="255" t="s">
        <v>510</v>
      </c>
      <c r="F3" s="255" t="s">
        <v>1391</v>
      </c>
      <c r="G3" s="255" t="s">
        <v>1392</v>
      </c>
      <c r="H3" s="255" t="s">
        <v>1393</v>
      </c>
      <c r="I3" s="254"/>
      <c r="J3" s="254" t="s">
        <v>2</v>
      </c>
      <c r="K3" s="254" t="s">
        <v>122</v>
      </c>
      <c r="L3" s="254" t="s">
        <v>242</v>
      </c>
      <c r="M3" s="254" t="s">
        <v>362</v>
      </c>
      <c r="N3" s="256" t="s">
        <v>3228</v>
      </c>
      <c r="O3" s="257" t="s">
        <v>1</v>
      </c>
      <c r="P3" s="257" t="s">
        <v>121</v>
      </c>
      <c r="Q3" s="257" t="s">
        <v>241</v>
      </c>
      <c r="R3" s="257" t="s">
        <v>361</v>
      </c>
    </row>
    <row r="4" spans="1:18" ht="31.5" x14ac:dyDescent="0.25">
      <c r="A4" s="252" t="s">
        <v>1470</v>
      </c>
      <c r="B4" s="252" t="str">
        <f>HLOOKUP('Getting Started'!H$2,E:I,ROW(),FALSE)</f>
        <v>Facilities and Safety</v>
      </c>
      <c r="C4" s="252" t="str">
        <f>HLOOKUP('Getting Started'!H$2,J:N,ROW(),FALSE)</f>
        <v>Has the Risk Group for each laboratory room been determined?</v>
      </c>
      <c r="D4" s="252" t="s">
        <v>506</v>
      </c>
      <c r="E4" s="255" t="s">
        <v>510</v>
      </c>
      <c r="F4" s="255" t="s">
        <v>1391</v>
      </c>
      <c r="G4" s="255" t="s">
        <v>1392</v>
      </c>
      <c r="H4" s="255" t="s">
        <v>1393</v>
      </c>
      <c r="I4" s="254"/>
      <c r="J4" s="254" t="s">
        <v>3</v>
      </c>
      <c r="K4" s="254" t="s">
        <v>123</v>
      </c>
      <c r="L4" s="254" t="s">
        <v>243</v>
      </c>
      <c r="M4" s="254" t="s">
        <v>363</v>
      </c>
      <c r="N4" s="256" t="s">
        <v>3229</v>
      </c>
      <c r="O4" s="257" t="s">
        <v>1</v>
      </c>
      <c r="P4" s="257" t="s">
        <v>121</v>
      </c>
      <c r="Q4" s="257" t="s">
        <v>241</v>
      </c>
      <c r="R4" s="257" t="s">
        <v>361</v>
      </c>
    </row>
    <row r="5" spans="1:18" ht="31.5" x14ac:dyDescent="0.25">
      <c r="A5" s="252" t="s">
        <v>1471</v>
      </c>
      <c r="B5" s="252" t="str">
        <f>HLOOKUP('Getting Started'!H$2,E:I,ROW(),FALSE)</f>
        <v>Facilities and Safety</v>
      </c>
      <c r="C5" s="252" t="str">
        <f>HLOOKUP('Getting Started'!H$2,J:N,ROW(),FALSE)</f>
        <v>Has a Facilities &amp; Safety Assessment been performed?</v>
      </c>
      <c r="D5" s="252" t="s">
        <v>506</v>
      </c>
      <c r="E5" s="255" t="s">
        <v>510</v>
      </c>
      <c r="F5" s="255" t="s">
        <v>1391</v>
      </c>
      <c r="G5" s="255" t="s">
        <v>1392</v>
      </c>
      <c r="H5" s="255" t="s">
        <v>1393</v>
      </c>
      <c r="I5" s="254"/>
      <c r="J5" s="254" t="s">
        <v>4</v>
      </c>
      <c r="K5" s="254" t="s">
        <v>124</v>
      </c>
      <c r="L5" s="254" t="s">
        <v>244</v>
      </c>
      <c r="M5" s="254" t="s">
        <v>364</v>
      </c>
      <c r="N5" s="256" t="s">
        <v>3230</v>
      </c>
      <c r="O5" s="257" t="s">
        <v>1</v>
      </c>
      <c r="P5" s="257" t="s">
        <v>121</v>
      </c>
      <c r="Q5" s="257" t="s">
        <v>241</v>
      </c>
      <c r="R5" s="257" t="s">
        <v>361</v>
      </c>
    </row>
    <row r="6" spans="1:18" ht="47.25" x14ac:dyDescent="0.25">
      <c r="A6" s="252" t="s">
        <v>1472</v>
      </c>
      <c r="B6" s="252" t="str">
        <f>HLOOKUP('Getting Started'!H$2,E:I,ROW(),FALSE)</f>
        <v>Facilities and Safety</v>
      </c>
      <c r="C6" s="252" t="str">
        <f>HLOOKUP('Getting Started'!H$2,J:N,ROW(),FALSE)</f>
        <v>Is an action plan present to implement improvements based on findings from the Facility &amp; Safety assessment?</v>
      </c>
      <c r="D6" s="252" t="s">
        <v>506</v>
      </c>
      <c r="E6" s="255" t="s">
        <v>510</v>
      </c>
      <c r="F6" s="255" t="s">
        <v>1391</v>
      </c>
      <c r="G6" s="255" t="s">
        <v>1392</v>
      </c>
      <c r="H6" s="255" t="s">
        <v>1393</v>
      </c>
      <c r="I6" s="254"/>
      <c r="J6" s="254" t="s">
        <v>5</v>
      </c>
      <c r="K6" s="254" t="s">
        <v>125</v>
      </c>
      <c r="L6" s="254" t="s">
        <v>245</v>
      </c>
      <c r="M6" s="254" t="s">
        <v>365</v>
      </c>
      <c r="N6" s="256" t="s">
        <v>3231</v>
      </c>
      <c r="O6" s="257" t="s">
        <v>1</v>
      </c>
      <c r="P6" s="257" t="s">
        <v>121</v>
      </c>
      <c r="Q6" s="257" t="s">
        <v>241</v>
      </c>
      <c r="R6" s="257" t="s">
        <v>361</v>
      </c>
    </row>
    <row r="7" spans="1:18" ht="47.25" x14ac:dyDescent="0.25">
      <c r="A7" s="252" t="s">
        <v>1473</v>
      </c>
      <c r="B7" s="252" t="str">
        <f>HLOOKUP('Getting Started'!H$2,E:I,ROW(),FALSE)</f>
        <v>Facilities and Safety</v>
      </c>
      <c r="C7" s="252" t="str">
        <f>HLOOKUP('Getting Started'!H$2,J:N,ROW(),FALSE)</f>
        <v>Are the action points in this action plan from the Facility &amp; Safety Assessment formulated according to the SMART method?</v>
      </c>
      <c r="D7" s="252" t="s">
        <v>506</v>
      </c>
      <c r="E7" s="255" t="s">
        <v>510</v>
      </c>
      <c r="F7" s="255" t="s">
        <v>1391</v>
      </c>
      <c r="G7" s="255" t="s">
        <v>1392</v>
      </c>
      <c r="H7" s="255" t="s">
        <v>1393</v>
      </c>
      <c r="I7" s="254"/>
      <c r="J7" s="254" t="s">
        <v>6</v>
      </c>
      <c r="K7" s="254" t="s">
        <v>126</v>
      </c>
      <c r="L7" s="254" t="s">
        <v>246</v>
      </c>
      <c r="M7" s="254" t="s">
        <v>366</v>
      </c>
      <c r="N7" s="256" t="s">
        <v>3232</v>
      </c>
      <c r="O7" s="257" t="s">
        <v>1</v>
      </c>
      <c r="P7" s="257" t="s">
        <v>121</v>
      </c>
      <c r="Q7" s="257" t="s">
        <v>241</v>
      </c>
      <c r="R7" s="257" t="s">
        <v>361</v>
      </c>
    </row>
    <row r="8" spans="1:18" ht="47.25" x14ac:dyDescent="0.25">
      <c r="A8" s="252" t="s">
        <v>1474</v>
      </c>
      <c r="B8" s="252" t="str">
        <f>HLOOKUP('Getting Started'!H$2,E:I,ROW(),FALSE)</f>
        <v>Facilities and Safety</v>
      </c>
      <c r="C8" s="252" t="str">
        <f>HLOOKUP('Getting Started'!H$2,J:N,ROW(),FALSE)</f>
        <v>Have the action points in this action plan from the Facility &amp; Safety Assessment been fulfilled on or before the deadline?</v>
      </c>
      <c r="D8" s="252" t="s">
        <v>506</v>
      </c>
      <c r="E8" s="255" t="s">
        <v>510</v>
      </c>
      <c r="F8" s="255" t="s">
        <v>1391</v>
      </c>
      <c r="G8" s="255" t="s">
        <v>1392</v>
      </c>
      <c r="H8" s="255" t="s">
        <v>1393</v>
      </c>
      <c r="I8" s="254"/>
      <c r="J8" s="254" t="s">
        <v>7</v>
      </c>
      <c r="K8" s="254" t="s">
        <v>127</v>
      </c>
      <c r="L8" s="254" t="s">
        <v>247</v>
      </c>
      <c r="M8" s="254" t="s">
        <v>367</v>
      </c>
      <c r="N8" s="256" t="s">
        <v>3233</v>
      </c>
      <c r="O8" s="257" t="s">
        <v>1</v>
      </c>
      <c r="P8" s="257" t="s">
        <v>121</v>
      </c>
      <c r="Q8" s="257" t="s">
        <v>241</v>
      </c>
      <c r="R8" s="257" t="s">
        <v>361</v>
      </c>
    </row>
    <row r="9" spans="1:18" ht="47.25" x14ac:dyDescent="0.25">
      <c r="A9" s="252" t="s">
        <v>1475</v>
      </c>
      <c r="B9" s="252" t="str">
        <f>HLOOKUP('Getting Started'!H$2,E:I,ROW(),FALSE)</f>
        <v>Facilities and Safety</v>
      </c>
      <c r="C9" s="252" t="str">
        <f>HLOOKUP('Getting Started'!H$2,J:N,ROW(),FALSE)</f>
        <v>Have completed action points from the Facility &amp; Safety Assessment been signed and dated for completion?</v>
      </c>
      <c r="D9" s="252" t="s">
        <v>506</v>
      </c>
      <c r="E9" s="255" t="s">
        <v>510</v>
      </c>
      <c r="F9" s="255" t="s">
        <v>1391</v>
      </c>
      <c r="G9" s="255" t="s">
        <v>1392</v>
      </c>
      <c r="H9" s="255" t="s">
        <v>1393</v>
      </c>
      <c r="I9" s="254"/>
      <c r="J9" s="254" t="s">
        <v>8</v>
      </c>
      <c r="K9" s="254" t="s">
        <v>128</v>
      </c>
      <c r="L9" s="254" t="s">
        <v>248</v>
      </c>
      <c r="M9" s="254" t="s">
        <v>368</v>
      </c>
      <c r="N9" s="256" t="s">
        <v>3234</v>
      </c>
      <c r="O9" s="257" t="s">
        <v>1</v>
      </c>
      <c r="P9" s="257" t="s">
        <v>121</v>
      </c>
      <c r="Q9" s="257" t="s">
        <v>241</v>
      </c>
      <c r="R9" s="257" t="s">
        <v>361</v>
      </c>
    </row>
    <row r="10" spans="1:18" ht="47.25" x14ac:dyDescent="0.25">
      <c r="A10" s="252" t="s">
        <v>1476</v>
      </c>
      <c r="B10" s="252" t="str">
        <f>HLOOKUP('Getting Started'!H$2,E:I,ROW(),FALSE)</f>
        <v>Facilities and Safety</v>
      </c>
      <c r="C10" s="252" t="str">
        <f>HLOOKUP('Getting Started'!H$2,J:N,ROW(),FALSE)</f>
        <v>Does the laboratory have a procedure for processing and disposal of the different types of waste produced?</v>
      </c>
      <c r="D10" s="252" t="s">
        <v>506</v>
      </c>
      <c r="E10" s="255" t="s">
        <v>510</v>
      </c>
      <c r="F10" s="255" t="s">
        <v>1391</v>
      </c>
      <c r="G10" s="255" t="s">
        <v>1392</v>
      </c>
      <c r="H10" s="255" t="s">
        <v>1393</v>
      </c>
      <c r="I10" s="254"/>
      <c r="J10" s="254" t="s">
        <v>9</v>
      </c>
      <c r="K10" s="254" t="s">
        <v>129</v>
      </c>
      <c r="L10" s="254" t="s">
        <v>249</v>
      </c>
      <c r="M10" s="254" t="s">
        <v>369</v>
      </c>
      <c r="N10" s="256" t="s">
        <v>3235</v>
      </c>
      <c r="O10" s="257" t="s">
        <v>1</v>
      </c>
      <c r="P10" s="257" t="s">
        <v>121</v>
      </c>
      <c r="Q10" s="257" t="s">
        <v>241</v>
      </c>
      <c r="R10" s="257" t="s">
        <v>361</v>
      </c>
    </row>
    <row r="11" spans="1:18" ht="47.25" x14ac:dyDescent="0.25">
      <c r="A11" s="252" t="s">
        <v>1477</v>
      </c>
      <c r="B11" s="252" t="str">
        <f>HLOOKUP('Getting Started'!H$2,E:I,ROW(),FALSE)</f>
        <v>Facilities and Safety</v>
      </c>
      <c r="C11" s="252" t="str">
        <f>HLOOKUP('Getting Started'!H$2,J:N,ROW(),FALSE)</f>
        <v>Does the laboratory demonstrably adhere to procedures for processing and disposal of different types of waste produced?</v>
      </c>
      <c r="D11" s="252" t="s">
        <v>506</v>
      </c>
      <c r="E11" s="255" t="s">
        <v>510</v>
      </c>
      <c r="F11" s="255" t="s">
        <v>1391</v>
      </c>
      <c r="G11" s="255" t="s">
        <v>1392</v>
      </c>
      <c r="H11" s="255" t="s">
        <v>1393</v>
      </c>
      <c r="I11" s="254"/>
      <c r="J11" s="254" t="s">
        <v>10</v>
      </c>
      <c r="K11" s="254" t="s">
        <v>130</v>
      </c>
      <c r="L11" s="254" t="s">
        <v>250</v>
      </c>
      <c r="M11" s="254" t="s">
        <v>370</v>
      </c>
      <c r="N11" s="256" t="s">
        <v>3236</v>
      </c>
      <c r="O11" s="257" t="s">
        <v>1</v>
      </c>
      <c r="P11" s="257" t="s">
        <v>121</v>
      </c>
      <c r="Q11" s="257" t="s">
        <v>241</v>
      </c>
      <c r="R11" s="257" t="s">
        <v>361</v>
      </c>
    </row>
    <row r="12" spans="1:18" ht="31.5" x14ac:dyDescent="0.25">
      <c r="A12" s="252" t="s">
        <v>1478</v>
      </c>
      <c r="B12" s="252" t="str">
        <f>HLOOKUP('Getting Started'!H$2,E:I,ROW(),FALSE)</f>
        <v>Facilities and Safety</v>
      </c>
      <c r="C12" s="252" t="str">
        <f>HLOOKUP('Getting Started'!H$2,J:N,ROW(),FALSE)</f>
        <v>Are up-to-date guidelines present on safe disposal of waste?</v>
      </c>
      <c r="D12" s="252" t="s">
        <v>506</v>
      </c>
      <c r="E12" s="255" t="s">
        <v>510</v>
      </c>
      <c r="F12" s="255" t="s">
        <v>1391</v>
      </c>
      <c r="G12" s="255" t="s">
        <v>1392</v>
      </c>
      <c r="H12" s="255" t="s">
        <v>1393</v>
      </c>
      <c r="I12" s="254"/>
      <c r="J12" s="254" t="s">
        <v>11</v>
      </c>
      <c r="K12" s="254" t="s">
        <v>131</v>
      </c>
      <c r="L12" s="254" t="s">
        <v>251</v>
      </c>
      <c r="M12" s="254" t="s">
        <v>371</v>
      </c>
      <c r="N12" s="256" t="s">
        <v>3237</v>
      </c>
      <c r="O12" s="257" t="s">
        <v>1</v>
      </c>
      <c r="P12" s="257" t="s">
        <v>121</v>
      </c>
      <c r="Q12" s="257" t="s">
        <v>241</v>
      </c>
      <c r="R12" s="257" t="s">
        <v>361</v>
      </c>
    </row>
    <row r="13" spans="1:18" ht="47.25" x14ac:dyDescent="0.25">
      <c r="A13" s="252" t="s">
        <v>1479</v>
      </c>
      <c r="B13" s="252" t="str">
        <f>HLOOKUP('Getting Started'!H$2,E:I,ROW(),FALSE)</f>
        <v>Facilities and Safety</v>
      </c>
      <c r="C13" s="252" t="str">
        <f>HLOOKUP('Getting Started'!H$2,J:N,ROW(),FALSE)</f>
        <v>Does lab staff adhere to guidelines on safe disposal of waste?</v>
      </c>
      <c r="D13" s="252" t="s">
        <v>506</v>
      </c>
      <c r="E13" s="255" t="s">
        <v>510</v>
      </c>
      <c r="F13" s="255" t="s">
        <v>1391</v>
      </c>
      <c r="G13" s="255" t="s">
        <v>1392</v>
      </c>
      <c r="H13" s="255" t="s">
        <v>1393</v>
      </c>
      <c r="I13" s="254"/>
      <c r="J13" s="254" t="s">
        <v>12</v>
      </c>
      <c r="K13" s="254" t="s">
        <v>132</v>
      </c>
      <c r="L13" s="254" t="s">
        <v>252</v>
      </c>
      <c r="M13" s="254" t="s">
        <v>372</v>
      </c>
      <c r="N13" s="256" t="s">
        <v>3238</v>
      </c>
      <c r="O13" s="257" t="s">
        <v>1</v>
      </c>
      <c r="P13" s="257" t="s">
        <v>121</v>
      </c>
      <c r="Q13" s="257" t="s">
        <v>241</v>
      </c>
      <c r="R13" s="257" t="s">
        <v>361</v>
      </c>
    </row>
    <row r="14" spans="1:18" ht="47.25" x14ac:dyDescent="0.25">
      <c r="A14" s="252" t="s">
        <v>1480</v>
      </c>
      <c r="B14" s="252" t="str">
        <f>HLOOKUP('Getting Started'!H$2,E:I,ROW(),FALSE)</f>
        <v>Facilities and Safety</v>
      </c>
      <c r="C14" s="252" t="str">
        <f>HLOOKUP('Getting Started'!H$2,J:N,ROW(),FALSE)</f>
        <v>Is potentially infectious waste safely and securely stored before incineration?</v>
      </c>
      <c r="D14" s="252" t="s">
        <v>506</v>
      </c>
      <c r="E14" s="255" t="s">
        <v>510</v>
      </c>
      <c r="F14" s="255" t="s">
        <v>1391</v>
      </c>
      <c r="G14" s="255" t="s">
        <v>1392</v>
      </c>
      <c r="H14" s="255" t="s">
        <v>1393</v>
      </c>
      <c r="I14" s="254"/>
      <c r="J14" s="254" t="s">
        <v>13</v>
      </c>
      <c r="K14" s="254" t="s">
        <v>133</v>
      </c>
      <c r="L14" s="254" t="s">
        <v>253</v>
      </c>
      <c r="M14" s="254" t="s">
        <v>373</v>
      </c>
      <c r="N14" s="256" t="s">
        <v>3239</v>
      </c>
      <c r="O14" s="257" t="s">
        <v>1</v>
      </c>
      <c r="P14" s="257" t="s">
        <v>121</v>
      </c>
      <c r="Q14" s="257" t="s">
        <v>241</v>
      </c>
      <c r="R14" s="257" t="s">
        <v>361</v>
      </c>
    </row>
    <row r="15" spans="1:18" ht="31.5" x14ac:dyDescent="0.25">
      <c r="A15" s="252" t="s">
        <v>1481</v>
      </c>
      <c r="B15" s="252" t="str">
        <f>HLOOKUP('Getting Started'!H$2,E:I,ROW(),FALSE)</f>
        <v>Facilities and Safety</v>
      </c>
      <c r="C15" s="252" t="str">
        <f>HLOOKUP('Getting Started'!H$2,J:N,ROW(),FALSE)</f>
        <v>Is potentially infectious material properly incinerated?</v>
      </c>
      <c r="D15" s="252" t="s">
        <v>506</v>
      </c>
      <c r="E15" s="255" t="s">
        <v>510</v>
      </c>
      <c r="F15" s="255" t="s">
        <v>1391</v>
      </c>
      <c r="G15" s="255" t="s">
        <v>1392</v>
      </c>
      <c r="H15" s="255" t="s">
        <v>1393</v>
      </c>
      <c r="I15" s="254"/>
      <c r="J15" s="254" t="s">
        <v>14</v>
      </c>
      <c r="K15" s="254" t="s">
        <v>134</v>
      </c>
      <c r="L15" s="254" t="s">
        <v>254</v>
      </c>
      <c r="M15" s="254" t="s">
        <v>374</v>
      </c>
      <c r="N15" s="256" t="s">
        <v>3240</v>
      </c>
      <c r="O15" s="257" t="s">
        <v>1</v>
      </c>
      <c r="P15" s="257" t="s">
        <v>121</v>
      </c>
      <c r="Q15" s="257" t="s">
        <v>241</v>
      </c>
      <c r="R15" s="257" t="s">
        <v>361</v>
      </c>
    </row>
    <row r="16" spans="1:18" ht="47.25" x14ac:dyDescent="0.25">
      <c r="A16" s="252" t="s">
        <v>1482</v>
      </c>
      <c r="B16" s="252" t="str">
        <f>HLOOKUP('Getting Started'!H$2,E:I,ROW(),FALSE)</f>
        <v>Facilities and Safety</v>
      </c>
      <c r="C16" s="252" t="str">
        <f>HLOOKUP('Getting Started'!H$2,J:N,ROW(),FALSE)</f>
        <v>Are sharps securely and safely incinerated without the risk for needle accidents?</v>
      </c>
      <c r="D16" s="252" t="s">
        <v>506</v>
      </c>
      <c r="E16" s="255" t="s">
        <v>510</v>
      </c>
      <c r="F16" s="255" t="s">
        <v>1391</v>
      </c>
      <c r="G16" s="255" t="s">
        <v>1392</v>
      </c>
      <c r="H16" s="255" t="s">
        <v>1393</v>
      </c>
      <c r="I16" s="254"/>
      <c r="J16" s="254" t="s">
        <v>15</v>
      </c>
      <c r="K16" s="254" t="s">
        <v>135</v>
      </c>
      <c r="L16" s="254" t="s">
        <v>255</v>
      </c>
      <c r="M16" s="254" t="s">
        <v>375</v>
      </c>
      <c r="N16" s="256" t="s">
        <v>3241</v>
      </c>
      <c r="O16" s="257" t="s">
        <v>1</v>
      </c>
      <c r="P16" s="257" t="s">
        <v>121</v>
      </c>
      <c r="Q16" s="257" t="s">
        <v>241</v>
      </c>
      <c r="R16" s="257" t="s">
        <v>361</v>
      </c>
    </row>
    <row r="17" spans="1:18" ht="30" x14ac:dyDescent="0.25">
      <c r="A17" s="252" t="s">
        <v>1483</v>
      </c>
      <c r="B17" s="252" t="str">
        <f>HLOOKUP('Getting Started'!H$2,E:I,ROW(),FALSE)</f>
        <v>Facilities and Safety</v>
      </c>
      <c r="C17" s="252" t="str">
        <f>HLOOKUP('Getting Started'!H$2,J:N,ROW(),FALSE)</f>
        <v>Is the area around the fire pit/incinerator free from clutter?</v>
      </c>
      <c r="D17" s="252" t="s">
        <v>506</v>
      </c>
      <c r="E17" s="255" t="s">
        <v>510</v>
      </c>
      <c r="F17" s="255" t="s">
        <v>1391</v>
      </c>
      <c r="G17" s="255" t="s">
        <v>1392</v>
      </c>
      <c r="H17" s="255" t="s">
        <v>1393</v>
      </c>
      <c r="I17" s="254"/>
      <c r="J17" s="254" t="s">
        <v>16</v>
      </c>
      <c r="K17" s="254" t="s">
        <v>136</v>
      </c>
      <c r="L17" s="254" t="s">
        <v>256</v>
      </c>
      <c r="M17" s="254" t="s">
        <v>376</v>
      </c>
      <c r="N17" s="256" t="s">
        <v>3242</v>
      </c>
      <c r="O17" s="257" t="s">
        <v>1</v>
      </c>
      <c r="P17" s="257" t="s">
        <v>121</v>
      </c>
      <c r="Q17" s="257" t="s">
        <v>241</v>
      </c>
      <c r="R17" s="257" t="s">
        <v>361</v>
      </c>
    </row>
    <row r="18" spans="1:18" ht="31.5" x14ac:dyDescent="0.25">
      <c r="A18" s="252" t="s">
        <v>1484</v>
      </c>
      <c r="B18" s="252" t="str">
        <f>HLOOKUP('Getting Started'!H$2,E:I,ROW(),FALSE)</f>
        <v>Facilities and Safety</v>
      </c>
      <c r="C18" s="252" t="str">
        <f>HLOOKUP('Getting Started'!H$2,J:N,ROW(),FALSE)</f>
        <v>Is infectious glassware for re-use autoclaved correctly?</v>
      </c>
      <c r="D18" s="252" t="s">
        <v>506</v>
      </c>
      <c r="E18" s="255" t="s">
        <v>510</v>
      </c>
      <c r="F18" s="255" t="s">
        <v>1391</v>
      </c>
      <c r="G18" s="255" t="s">
        <v>1392</v>
      </c>
      <c r="H18" s="255" t="s">
        <v>1393</v>
      </c>
      <c r="I18" s="254"/>
      <c r="J18" s="254" t="s">
        <v>17</v>
      </c>
      <c r="K18" s="254" t="s">
        <v>137</v>
      </c>
      <c r="L18" s="254" t="s">
        <v>257</v>
      </c>
      <c r="M18" s="254" t="s">
        <v>377</v>
      </c>
      <c r="N18" s="256" t="s">
        <v>3243</v>
      </c>
      <c r="O18" s="257" t="s">
        <v>1</v>
      </c>
      <c r="P18" s="257" t="s">
        <v>121</v>
      </c>
      <c r="Q18" s="257" t="s">
        <v>241</v>
      </c>
      <c r="R18" s="257" t="s">
        <v>361</v>
      </c>
    </row>
    <row r="19" spans="1:18" ht="31.5" x14ac:dyDescent="0.25">
      <c r="A19" s="252" t="s">
        <v>1485</v>
      </c>
      <c r="B19" s="252" t="str">
        <f>HLOOKUP('Getting Started'!H$2,E:I,ROW(),FALSE)</f>
        <v>Facilities and Safety</v>
      </c>
      <c r="C19" s="252" t="str">
        <f>HLOOKUP('Getting Started'!H$2,J:N,ROW(),FALSE)</f>
        <v>Are separate, clearly distinguishable containers present for different types of chemical waste?</v>
      </c>
      <c r="D19" s="252" t="s">
        <v>506</v>
      </c>
      <c r="E19" s="255" t="s">
        <v>510</v>
      </c>
      <c r="F19" s="255" t="s">
        <v>1391</v>
      </c>
      <c r="G19" s="255" t="s">
        <v>1392</v>
      </c>
      <c r="H19" s="255" t="s">
        <v>1393</v>
      </c>
      <c r="I19" s="254"/>
      <c r="J19" s="254" t="s">
        <v>18</v>
      </c>
      <c r="K19" s="254" t="s">
        <v>138</v>
      </c>
      <c r="L19" s="254" t="s">
        <v>258</v>
      </c>
      <c r="M19" s="254" t="s">
        <v>378</v>
      </c>
      <c r="N19" s="256" t="s">
        <v>3244</v>
      </c>
      <c r="O19" s="257" t="s">
        <v>1</v>
      </c>
      <c r="P19" s="257" t="s">
        <v>121</v>
      </c>
      <c r="Q19" s="257" t="s">
        <v>241</v>
      </c>
      <c r="R19" s="257" t="s">
        <v>361</v>
      </c>
    </row>
    <row r="20" spans="1:18" ht="24" x14ac:dyDescent="0.25">
      <c r="A20" s="252" t="s">
        <v>1486</v>
      </c>
      <c r="B20" s="252" t="str">
        <f>HLOOKUP('Getting Started'!H$2,E:I,ROW(),FALSE)</f>
        <v>Facilities and Safety</v>
      </c>
      <c r="C20" s="252" t="str">
        <f>HLOOKUP('Getting Started'!H$2,J:N,ROW(),FALSE)</f>
        <v>Is chemical waste processed correctly?</v>
      </c>
      <c r="D20" s="252" t="s">
        <v>506</v>
      </c>
      <c r="E20" s="255" t="s">
        <v>510</v>
      </c>
      <c r="F20" s="255" t="s">
        <v>1391</v>
      </c>
      <c r="G20" s="255" t="s">
        <v>1392</v>
      </c>
      <c r="H20" s="255" t="s">
        <v>1393</v>
      </c>
      <c r="I20" s="254"/>
      <c r="J20" s="254" t="s">
        <v>19</v>
      </c>
      <c r="K20" s="254" t="s">
        <v>139</v>
      </c>
      <c r="L20" s="254" t="s">
        <v>259</v>
      </c>
      <c r="M20" s="254" t="s">
        <v>379</v>
      </c>
      <c r="N20" s="256" t="s">
        <v>3245</v>
      </c>
      <c r="O20" s="257" t="s">
        <v>1</v>
      </c>
      <c r="P20" s="257" t="s">
        <v>121</v>
      </c>
      <c r="Q20" s="257" t="s">
        <v>241</v>
      </c>
      <c r="R20" s="257" t="s">
        <v>361</v>
      </c>
    </row>
    <row r="21" spans="1:18" ht="47.25" x14ac:dyDescent="0.25">
      <c r="A21" s="252" t="s">
        <v>1487</v>
      </c>
      <c r="B21" s="252" t="str">
        <f>HLOOKUP('Getting Started'!H$2,E:I,ROW(),FALSE)</f>
        <v>Facilities and Safety</v>
      </c>
      <c r="C21" s="252" t="str">
        <f>HLOOKUP('Getting Started'!H$2,J:N,ROW(),FALSE)</f>
        <v>Are trashcans for (bio)hazardous waste clearly distinguishable to prevent confusion with the bins for normal waste?</v>
      </c>
      <c r="D21" s="252" t="s">
        <v>506</v>
      </c>
      <c r="E21" s="255" t="s">
        <v>510</v>
      </c>
      <c r="F21" s="255" t="s">
        <v>1391</v>
      </c>
      <c r="G21" s="255" t="s">
        <v>1392</v>
      </c>
      <c r="H21" s="255" t="s">
        <v>1393</v>
      </c>
      <c r="I21" s="254"/>
      <c r="J21" s="254" t="s">
        <v>20</v>
      </c>
      <c r="K21" s="254" t="s">
        <v>140</v>
      </c>
      <c r="L21" s="254" t="s">
        <v>260</v>
      </c>
      <c r="M21" s="254" t="s">
        <v>380</v>
      </c>
      <c r="N21" s="256" t="s">
        <v>3246</v>
      </c>
      <c r="O21" s="257" t="s">
        <v>1</v>
      </c>
      <c r="P21" s="257" t="s">
        <v>121</v>
      </c>
      <c r="Q21" s="257" t="s">
        <v>241</v>
      </c>
      <c r="R21" s="257" t="s">
        <v>361</v>
      </c>
    </row>
    <row r="22" spans="1:18" ht="31.5" x14ac:dyDescent="0.25">
      <c r="A22" s="252" t="s">
        <v>1488</v>
      </c>
      <c r="B22" s="252" t="str">
        <f>HLOOKUP('Getting Started'!H$2,E:I,ROW(),FALSE)</f>
        <v>Facilities and Safety</v>
      </c>
      <c r="C22" s="252" t="str">
        <f>HLOOKUP('Getting Started'!H$2,J:N,ROW(),FALSE)</f>
        <v>Is normal waste processed according to local/national regulations (if applicable)?</v>
      </c>
      <c r="D22" s="252" t="s">
        <v>506</v>
      </c>
      <c r="E22" s="255" t="s">
        <v>510</v>
      </c>
      <c r="F22" s="255" t="s">
        <v>1391</v>
      </c>
      <c r="G22" s="255" t="s">
        <v>1392</v>
      </c>
      <c r="H22" s="255" t="s">
        <v>1393</v>
      </c>
      <c r="I22" s="254"/>
      <c r="J22" s="254" t="s">
        <v>21</v>
      </c>
      <c r="K22" s="254" t="s">
        <v>141</v>
      </c>
      <c r="L22" s="254" t="s">
        <v>261</v>
      </c>
      <c r="M22" s="254" t="s">
        <v>381</v>
      </c>
      <c r="N22" s="256" t="s">
        <v>3247</v>
      </c>
      <c r="O22" s="257" t="s">
        <v>1</v>
      </c>
      <c r="P22" s="257" t="s">
        <v>121</v>
      </c>
      <c r="Q22" s="257" t="s">
        <v>241</v>
      </c>
      <c r="R22" s="257" t="s">
        <v>361</v>
      </c>
    </row>
    <row r="23" spans="1:18" ht="31.5" x14ac:dyDescent="0.25">
      <c r="A23" s="252" t="s">
        <v>1489</v>
      </c>
      <c r="B23" s="252" t="str">
        <f>HLOOKUP('Getting Started'!H$2,E:I,ROW(),FALSE)</f>
        <v>Facilities and Safety</v>
      </c>
      <c r="C23" s="252" t="str">
        <f>HLOOKUP('Getting Started'!H$2,J:N,ROW(),FALSE)</f>
        <v>Is an up-to-date Biosafety Manual present in the laboratory?</v>
      </c>
      <c r="D23" s="252" t="s">
        <v>506</v>
      </c>
      <c r="E23" s="255" t="s">
        <v>510</v>
      </c>
      <c r="F23" s="255" t="s">
        <v>1391</v>
      </c>
      <c r="G23" s="255" t="s">
        <v>1392</v>
      </c>
      <c r="H23" s="255" t="s">
        <v>1393</v>
      </c>
      <c r="I23" s="254"/>
      <c r="J23" s="254" t="s">
        <v>22</v>
      </c>
      <c r="K23" s="254" t="s">
        <v>142</v>
      </c>
      <c r="L23" s="254" t="s">
        <v>262</v>
      </c>
      <c r="M23" s="254" t="s">
        <v>382</v>
      </c>
      <c r="N23" s="256" t="s">
        <v>3248</v>
      </c>
      <c r="O23" s="257" t="s">
        <v>1</v>
      </c>
      <c r="P23" s="257" t="s">
        <v>121</v>
      </c>
      <c r="Q23" s="257" t="s">
        <v>241</v>
      </c>
      <c r="R23" s="257" t="s">
        <v>361</v>
      </c>
    </row>
    <row r="24" spans="1:18" ht="63" x14ac:dyDescent="0.25">
      <c r="A24" s="252" t="s">
        <v>1490</v>
      </c>
      <c r="B24" s="252" t="str">
        <f>HLOOKUP('Getting Started'!H$2,E:I,ROW(),FALSE)</f>
        <v>Facilities and Safety</v>
      </c>
      <c r="C24" s="252" t="str">
        <f>HLOOKUP('Getting Started'!H$2,J:N,ROW(),FALSE)</f>
        <v>Does the biological safety manual have a logical structure with table of contents, an introduction and a title page clearly stating the words “Biosafety Manual”?</v>
      </c>
      <c r="D24" s="252" t="s">
        <v>506</v>
      </c>
      <c r="E24" s="255" t="s">
        <v>510</v>
      </c>
      <c r="F24" s="255" t="s">
        <v>1391</v>
      </c>
      <c r="G24" s="255" t="s">
        <v>1392</v>
      </c>
      <c r="H24" s="255" t="s">
        <v>1393</v>
      </c>
      <c r="I24" s="254"/>
      <c r="J24" s="254" t="s">
        <v>23</v>
      </c>
      <c r="K24" s="254" t="s">
        <v>143</v>
      </c>
      <c r="L24" s="254" t="s">
        <v>263</v>
      </c>
      <c r="M24" s="254" t="s">
        <v>383</v>
      </c>
      <c r="N24" s="256" t="s">
        <v>3249</v>
      </c>
      <c r="O24" s="257" t="s">
        <v>1</v>
      </c>
      <c r="P24" s="257" t="s">
        <v>121</v>
      </c>
      <c r="Q24" s="257" t="s">
        <v>241</v>
      </c>
      <c r="R24" s="257" t="s">
        <v>361</v>
      </c>
    </row>
    <row r="25" spans="1:18" ht="47.25" x14ac:dyDescent="0.25">
      <c r="A25" s="252" t="s">
        <v>1491</v>
      </c>
      <c r="B25" s="252" t="str">
        <f>HLOOKUP('Getting Started'!H$2,E:I,ROW(),FALSE)</f>
        <v>Facilities and Safety</v>
      </c>
      <c r="C25" s="252" t="str">
        <f>HLOOKUP('Getting Started'!H$2,J:N,ROW(),FALSE)</f>
        <v>Does the Biosafety Manual contain general safety rules for working in the laboratory with human material?</v>
      </c>
      <c r="D25" s="252" t="s">
        <v>506</v>
      </c>
      <c r="E25" s="255" t="s">
        <v>510</v>
      </c>
      <c r="F25" s="255" t="s">
        <v>1391</v>
      </c>
      <c r="G25" s="255" t="s">
        <v>1392</v>
      </c>
      <c r="H25" s="255" t="s">
        <v>1393</v>
      </c>
      <c r="I25" s="254"/>
      <c r="J25" s="254" t="s">
        <v>24</v>
      </c>
      <c r="K25" s="254" t="s">
        <v>144</v>
      </c>
      <c r="L25" s="254" t="s">
        <v>264</v>
      </c>
      <c r="M25" s="254" t="s">
        <v>384</v>
      </c>
      <c r="N25" s="256" t="s">
        <v>3250</v>
      </c>
      <c r="O25" s="257" t="s">
        <v>1</v>
      </c>
      <c r="P25" s="257" t="s">
        <v>121</v>
      </c>
      <c r="Q25" s="257" t="s">
        <v>241</v>
      </c>
      <c r="R25" s="257" t="s">
        <v>361</v>
      </c>
    </row>
    <row r="26" spans="1:18" ht="31.5" x14ac:dyDescent="0.25">
      <c r="A26" s="252" t="s">
        <v>1492</v>
      </c>
      <c r="B26" s="252" t="str">
        <f>HLOOKUP('Getting Started'!H$2,E:I,ROW(),FALSE)</f>
        <v>Facilities and Safety</v>
      </c>
      <c r="C26" s="252" t="str">
        <f>HLOOKUP('Getting Started'!H$2,J:N,ROW(),FALSE)</f>
        <v>Does the Biosafety Manual contain preventive safety procedures?</v>
      </c>
      <c r="D26" s="252" t="s">
        <v>506</v>
      </c>
      <c r="E26" s="255" t="s">
        <v>510</v>
      </c>
      <c r="F26" s="255" t="s">
        <v>1391</v>
      </c>
      <c r="G26" s="255" t="s">
        <v>1392</v>
      </c>
      <c r="H26" s="255" t="s">
        <v>1393</v>
      </c>
      <c r="I26" s="254"/>
      <c r="J26" s="254" t="s">
        <v>25</v>
      </c>
      <c r="K26" s="254" t="s">
        <v>145</v>
      </c>
      <c r="L26" s="254" t="s">
        <v>265</v>
      </c>
      <c r="M26" s="254" t="s">
        <v>385</v>
      </c>
      <c r="N26" s="256" t="s">
        <v>3251</v>
      </c>
      <c r="O26" s="257" t="s">
        <v>1</v>
      </c>
      <c r="P26" s="257" t="s">
        <v>121</v>
      </c>
      <c r="Q26" s="257" t="s">
        <v>241</v>
      </c>
      <c r="R26" s="257" t="s">
        <v>361</v>
      </c>
    </row>
    <row r="27" spans="1:18" ht="31.5" x14ac:dyDescent="0.25">
      <c r="A27" s="252" t="s">
        <v>1493</v>
      </c>
      <c r="B27" s="252" t="str">
        <f>HLOOKUP('Getting Started'!H$2,E:I,ROW(),FALSE)</f>
        <v>Facilities and Safety</v>
      </c>
      <c r="C27" s="252" t="str">
        <f>HLOOKUP('Getting Started'!H$2,J:N,ROW(),FALSE)</f>
        <v>Does the Biosafety Manual contain procedures for emergency situations?</v>
      </c>
      <c r="D27" s="252" t="s">
        <v>506</v>
      </c>
      <c r="E27" s="255" t="s">
        <v>510</v>
      </c>
      <c r="F27" s="255" t="s">
        <v>1391</v>
      </c>
      <c r="G27" s="255" t="s">
        <v>1392</v>
      </c>
      <c r="H27" s="255" t="s">
        <v>1393</v>
      </c>
      <c r="I27" s="254"/>
      <c r="J27" s="254" t="s">
        <v>26</v>
      </c>
      <c r="K27" s="254" t="s">
        <v>146</v>
      </c>
      <c r="L27" s="254" t="s">
        <v>266</v>
      </c>
      <c r="M27" s="254" t="s">
        <v>386</v>
      </c>
      <c r="N27" s="256" t="s">
        <v>3252</v>
      </c>
      <c r="O27" s="257" t="s">
        <v>1</v>
      </c>
      <c r="P27" s="257" t="s">
        <v>121</v>
      </c>
      <c r="Q27" s="257" t="s">
        <v>241</v>
      </c>
      <c r="R27" s="257" t="s">
        <v>361</v>
      </c>
    </row>
    <row r="28" spans="1:18" ht="47.25" x14ac:dyDescent="0.25">
      <c r="A28" s="252" t="s">
        <v>1494</v>
      </c>
      <c r="B28" s="252" t="str">
        <f>HLOOKUP('Getting Started'!H$2,E:I,ROW(),FALSE)</f>
        <v>Facilities and Safety</v>
      </c>
      <c r="C28" s="252" t="str">
        <f>HLOOKUP('Getting Started'!H$2,J:N,ROW(),FALSE)</f>
        <v>Are the Biosafety Manual chapters signed by the author, reviewer and Laboratory Management?</v>
      </c>
      <c r="D28" s="252" t="s">
        <v>506</v>
      </c>
      <c r="E28" s="255" t="s">
        <v>510</v>
      </c>
      <c r="F28" s="255" t="s">
        <v>1391</v>
      </c>
      <c r="G28" s="255" t="s">
        <v>1392</v>
      </c>
      <c r="H28" s="255" t="s">
        <v>1393</v>
      </c>
      <c r="I28" s="254"/>
      <c r="J28" s="254" t="s">
        <v>27</v>
      </c>
      <c r="K28" s="254" t="s">
        <v>147</v>
      </c>
      <c r="L28" s="254" t="s">
        <v>267</v>
      </c>
      <c r="M28" s="254" t="s">
        <v>387</v>
      </c>
      <c r="N28" s="256" t="s">
        <v>3253</v>
      </c>
      <c r="O28" s="257" t="s">
        <v>1</v>
      </c>
      <c r="P28" s="257" t="s">
        <v>121</v>
      </c>
      <c r="Q28" s="257" t="s">
        <v>241</v>
      </c>
      <c r="R28" s="257" t="s">
        <v>361</v>
      </c>
    </row>
    <row r="29" spans="1:18" ht="38.25" x14ac:dyDescent="0.25">
      <c r="A29" s="252" t="s">
        <v>1495</v>
      </c>
      <c r="B29" s="252" t="str">
        <f>HLOOKUP('Getting Started'!H$2,E:I,ROW(),FALSE)</f>
        <v>Facilities and Safety</v>
      </c>
      <c r="C29" s="252" t="str">
        <f>HLOOKUP('Getting Started'!H$2,J:N,ROW(),FALSE)</f>
        <v>Is the Biosafety Manual easily accessible for all staff members at a logical location?</v>
      </c>
      <c r="D29" s="252" t="s">
        <v>506</v>
      </c>
      <c r="E29" s="255" t="s">
        <v>510</v>
      </c>
      <c r="F29" s="255" t="s">
        <v>1391</v>
      </c>
      <c r="G29" s="255" t="s">
        <v>1392</v>
      </c>
      <c r="H29" s="255" t="s">
        <v>1393</v>
      </c>
      <c r="I29" s="254"/>
      <c r="J29" s="254" t="s">
        <v>28</v>
      </c>
      <c r="K29" s="254" t="s">
        <v>148</v>
      </c>
      <c r="L29" s="254" t="s">
        <v>268</v>
      </c>
      <c r="M29" s="254" t="s">
        <v>388</v>
      </c>
      <c r="N29" s="256" t="s">
        <v>3254</v>
      </c>
      <c r="O29" s="257" t="s">
        <v>1</v>
      </c>
      <c r="P29" s="257" t="s">
        <v>121</v>
      </c>
      <c r="Q29" s="257" t="s">
        <v>241</v>
      </c>
      <c r="R29" s="257" t="s">
        <v>361</v>
      </c>
    </row>
    <row r="30" spans="1:18" ht="31.5" x14ac:dyDescent="0.25">
      <c r="A30" s="252" t="s">
        <v>1496</v>
      </c>
      <c r="B30" s="252" t="str">
        <f>HLOOKUP('Getting Started'!H$2,E:I,ROW(),FALSE)</f>
        <v>Facilities and Safety</v>
      </c>
      <c r="C30" s="252" t="str">
        <f>HLOOKUP('Getting Started'!H$2,J:N,ROW(),FALSE)</f>
        <v>Is the Biosafety Manual read and signed by all staff members?</v>
      </c>
      <c r="D30" s="252" t="s">
        <v>506</v>
      </c>
      <c r="E30" s="255" t="s">
        <v>510</v>
      </c>
      <c r="F30" s="255" t="s">
        <v>1391</v>
      </c>
      <c r="G30" s="255" t="s">
        <v>1392</v>
      </c>
      <c r="H30" s="255" t="s">
        <v>1393</v>
      </c>
      <c r="I30" s="254"/>
      <c r="J30" s="254" t="s">
        <v>29</v>
      </c>
      <c r="K30" s="254" t="s">
        <v>149</v>
      </c>
      <c r="L30" s="254" t="s">
        <v>269</v>
      </c>
      <c r="M30" s="254" t="s">
        <v>389</v>
      </c>
      <c r="N30" s="256" t="s">
        <v>3255</v>
      </c>
      <c r="O30" s="257" t="s">
        <v>1</v>
      </c>
      <c r="P30" s="257" t="s">
        <v>121</v>
      </c>
      <c r="Q30" s="257" t="s">
        <v>241</v>
      </c>
      <c r="R30" s="257" t="s">
        <v>361</v>
      </c>
    </row>
    <row r="31" spans="1:18" ht="31.5" x14ac:dyDescent="0.25">
      <c r="A31" s="252" t="s">
        <v>1497</v>
      </c>
      <c r="B31" s="252" t="str">
        <f>HLOOKUP('Getting Started'!H$2,E:I,ROW(),FALSE)</f>
        <v>Facilities and Safety</v>
      </c>
      <c r="C31" s="252" t="str">
        <f>HLOOKUP('Getting Started'!H$2,J:N,ROW(),FALSE)</f>
        <v>Is an SOP present describing how to clean the laboratory building?</v>
      </c>
      <c r="D31" s="252" t="s">
        <v>506</v>
      </c>
      <c r="E31" s="255" t="s">
        <v>510</v>
      </c>
      <c r="F31" s="255" t="s">
        <v>1391</v>
      </c>
      <c r="G31" s="255" t="s">
        <v>1392</v>
      </c>
      <c r="H31" s="255" t="s">
        <v>1393</v>
      </c>
      <c r="I31" s="254"/>
      <c r="J31" s="254" t="s">
        <v>30</v>
      </c>
      <c r="K31" s="254" t="s">
        <v>150</v>
      </c>
      <c r="L31" s="254" t="s">
        <v>270</v>
      </c>
      <c r="M31" s="254" t="s">
        <v>390</v>
      </c>
      <c r="N31" s="256" t="s">
        <v>3256</v>
      </c>
      <c r="O31" s="257" t="s">
        <v>1</v>
      </c>
      <c r="P31" s="257" t="s">
        <v>121</v>
      </c>
      <c r="Q31" s="257" t="s">
        <v>241</v>
      </c>
      <c r="R31" s="257" t="s">
        <v>361</v>
      </c>
    </row>
    <row r="32" spans="1:18" ht="47.25" x14ac:dyDescent="0.25">
      <c r="A32" s="252" t="s">
        <v>1498</v>
      </c>
      <c r="B32" s="252" t="str">
        <f>HLOOKUP('Getting Started'!H$2,E:I,ROW(),FALSE)</f>
        <v>Facilities and Safety</v>
      </c>
      <c r="C32" s="252" t="str">
        <f>HLOOKUP('Getting Started'!H$2,J:N,ROW(),FALSE)</f>
        <v>Does the SOP on cleaning of the laboratory building include a section with specific guidelines for cleaning laboratory rooms?</v>
      </c>
      <c r="D32" s="252" t="s">
        <v>506</v>
      </c>
      <c r="E32" s="255" t="s">
        <v>510</v>
      </c>
      <c r="F32" s="255" t="s">
        <v>1391</v>
      </c>
      <c r="G32" s="255" t="s">
        <v>1392</v>
      </c>
      <c r="H32" s="255" t="s">
        <v>1393</v>
      </c>
      <c r="I32" s="254"/>
      <c r="J32" s="254" t="s">
        <v>31</v>
      </c>
      <c r="K32" s="254" t="s">
        <v>151</v>
      </c>
      <c r="L32" s="254" t="s">
        <v>271</v>
      </c>
      <c r="M32" s="254" t="s">
        <v>391</v>
      </c>
      <c r="N32" s="256" t="s">
        <v>3257</v>
      </c>
      <c r="O32" s="257" t="s">
        <v>1</v>
      </c>
      <c r="P32" s="257" t="s">
        <v>121</v>
      </c>
      <c r="Q32" s="257" t="s">
        <v>241</v>
      </c>
      <c r="R32" s="257" t="s">
        <v>361</v>
      </c>
    </row>
    <row r="33" spans="1:18" ht="24" x14ac:dyDescent="0.25">
      <c r="A33" s="252" t="s">
        <v>1499</v>
      </c>
      <c r="B33" s="252" t="str">
        <f>HLOOKUP('Getting Started'!H$2,E:I,ROW(),FALSE)</f>
        <v>Facilities and Safety</v>
      </c>
      <c r="C33" s="252" t="str">
        <f>HLOOKUP('Getting Started'!H$2,J:N,ROW(),FALSE)</f>
        <v>Is a cleaning schedule present?</v>
      </c>
      <c r="D33" s="252" t="s">
        <v>506</v>
      </c>
      <c r="E33" s="255" t="s">
        <v>510</v>
      </c>
      <c r="F33" s="255" t="s">
        <v>1391</v>
      </c>
      <c r="G33" s="255" t="s">
        <v>1392</v>
      </c>
      <c r="H33" s="255" t="s">
        <v>1393</v>
      </c>
      <c r="I33" s="254"/>
      <c r="J33" s="254" t="s">
        <v>32</v>
      </c>
      <c r="K33" s="254" t="s">
        <v>152</v>
      </c>
      <c r="L33" s="254" t="s">
        <v>272</v>
      </c>
      <c r="M33" s="254" t="s">
        <v>392</v>
      </c>
      <c r="N33" s="256" t="s">
        <v>3258</v>
      </c>
      <c r="O33" s="257" t="s">
        <v>1</v>
      </c>
      <c r="P33" s="257" t="s">
        <v>121</v>
      </c>
      <c r="Q33" s="257" t="s">
        <v>241</v>
      </c>
      <c r="R33" s="257" t="s">
        <v>361</v>
      </c>
    </row>
    <row r="34" spans="1:18" ht="31.5" x14ac:dyDescent="0.25">
      <c r="A34" s="252" t="s">
        <v>1500</v>
      </c>
      <c r="B34" s="252" t="str">
        <f>HLOOKUP('Getting Started'!H$2,E:I,ROW(),FALSE)</f>
        <v>Facilities and Safety</v>
      </c>
      <c r="C34" s="252" t="str">
        <f>HLOOKUP('Getting Started'!H$2,J:N,ROW(),FALSE)</f>
        <v>Does the cleaning schedule show what should be cleaned by who and when?</v>
      </c>
      <c r="D34" s="252" t="s">
        <v>506</v>
      </c>
      <c r="E34" s="255" t="s">
        <v>510</v>
      </c>
      <c r="F34" s="255" t="s">
        <v>1391</v>
      </c>
      <c r="G34" s="255" t="s">
        <v>1392</v>
      </c>
      <c r="H34" s="255" t="s">
        <v>1393</v>
      </c>
      <c r="I34" s="254"/>
      <c r="J34" s="254" t="s">
        <v>33</v>
      </c>
      <c r="K34" s="254" t="s">
        <v>153</v>
      </c>
      <c r="L34" s="254" t="s">
        <v>273</v>
      </c>
      <c r="M34" s="254" t="s">
        <v>393</v>
      </c>
      <c r="N34" s="256" t="s">
        <v>3259</v>
      </c>
      <c r="O34" s="257" t="s">
        <v>1</v>
      </c>
      <c r="P34" s="257" t="s">
        <v>121</v>
      </c>
      <c r="Q34" s="257" t="s">
        <v>241</v>
      </c>
      <c r="R34" s="257" t="s">
        <v>361</v>
      </c>
    </row>
    <row r="35" spans="1:18" ht="24" x14ac:dyDescent="0.25">
      <c r="A35" s="252" t="s">
        <v>1501</v>
      </c>
      <c r="B35" s="252" t="str">
        <f>HLOOKUP('Getting Started'!H$2,E:I,ROW(),FALSE)</f>
        <v>Facilities and Safety</v>
      </c>
      <c r="C35" s="252" t="str">
        <f>HLOOKUP('Getting Started'!H$2,J:N,ROW(),FALSE)</f>
        <v>Is the laboratory cleaned on a regular basis?</v>
      </c>
      <c r="D35" s="252" t="s">
        <v>506</v>
      </c>
      <c r="E35" s="255" t="s">
        <v>510</v>
      </c>
      <c r="F35" s="255" t="s">
        <v>1391</v>
      </c>
      <c r="G35" s="255" t="s">
        <v>1392</v>
      </c>
      <c r="H35" s="255" t="s">
        <v>1393</v>
      </c>
      <c r="I35" s="254"/>
      <c r="J35" s="254" t="s">
        <v>34</v>
      </c>
      <c r="K35" s="254" t="s">
        <v>154</v>
      </c>
      <c r="L35" s="254" t="s">
        <v>274</v>
      </c>
      <c r="M35" s="254" t="s">
        <v>394</v>
      </c>
      <c r="N35" s="256" t="s">
        <v>3260</v>
      </c>
      <c r="O35" s="257" t="s">
        <v>1</v>
      </c>
      <c r="P35" s="257" t="s">
        <v>121</v>
      </c>
      <c r="Q35" s="257" t="s">
        <v>241</v>
      </c>
      <c r="R35" s="257" t="s">
        <v>361</v>
      </c>
    </row>
    <row r="36" spans="1:18" ht="31.5" x14ac:dyDescent="0.25">
      <c r="A36" s="252" t="s">
        <v>1502</v>
      </c>
      <c r="B36" s="252" t="str">
        <f>HLOOKUP('Getting Started'!H$2,E:I,ROW(),FALSE)</f>
        <v>Facilities and Safety</v>
      </c>
      <c r="C36" s="252" t="str">
        <f>HLOOKUP('Getting Started'!H$2,J:N,ROW(),FALSE)</f>
        <v>Are there spill kits present in adequate numbers and are these kits complete</v>
      </c>
      <c r="D36" s="252" t="s">
        <v>506</v>
      </c>
      <c r="E36" s="255" t="s">
        <v>510</v>
      </c>
      <c r="F36" s="255" t="s">
        <v>1391</v>
      </c>
      <c r="G36" s="255" t="s">
        <v>1392</v>
      </c>
      <c r="H36" s="255" t="s">
        <v>1393</v>
      </c>
      <c r="I36" s="254"/>
      <c r="J36" s="254" t="s">
        <v>35</v>
      </c>
      <c r="K36" s="254" t="s">
        <v>155</v>
      </c>
      <c r="L36" s="254" t="s">
        <v>275</v>
      </c>
      <c r="M36" s="254" t="s">
        <v>395</v>
      </c>
      <c r="N36" s="256" t="s">
        <v>3261</v>
      </c>
      <c r="O36" s="257" t="s">
        <v>1</v>
      </c>
      <c r="P36" s="257" t="s">
        <v>121</v>
      </c>
      <c r="Q36" s="257" t="s">
        <v>241</v>
      </c>
      <c r="R36" s="257" t="s">
        <v>361</v>
      </c>
    </row>
    <row r="37" spans="1:18" ht="31.5" x14ac:dyDescent="0.25">
      <c r="A37" s="252" t="s">
        <v>1503</v>
      </c>
      <c r="B37" s="252" t="str">
        <f>HLOOKUP('Getting Started'!H$2,E:I,ROW(),FALSE)</f>
        <v>Facilities and Safety</v>
      </c>
      <c r="C37" s="252" t="str">
        <f>HLOOKUP('Getting Started'!H$2,J:N,ROW(),FALSE)</f>
        <v>Is there an SOP that provides procedures for dealing with the different types of spills?</v>
      </c>
      <c r="D37" s="252" t="s">
        <v>506</v>
      </c>
      <c r="E37" s="255" t="s">
        <v>510</v>
      </c>
      <c r="F37" s="255" t="s">
        <v>1391</v>
      </c>
      <c r="G37" s="255" t="s">
        <v>1392</v>
      </c>
      <c r="H37" s="255" t="s">
        <v>1393</v>
      </c>
      <c r="I37" s="254"/>
      <c r="J37" s="254" t="s">
        <v>36</v>
      </c>
      <c r="K37" s="254" t="s">
        <v>156</v>
      </c>
      <c r="L37" s="254" t="s">
        <v>276</v>
      </c>
      <c r="M37" s="254" t="s">
        <v>396</v>
      </c>
      <c r="N37" s="256" t="s">
        <v>3262</v>
      </c>
      <c r="O37" s="257" t="s">
        <v>1</v>
      </c>
      <c r="P37" s="257" t="s">
        <v>121</v>
      </c>
      <c r="Q37" s="257" t="s">
        <v>241</v>
      </c>
      <c r="R37" s="257" t="s">
        <v>361</v>
      </c>
    </row>
    <row r="38" spans="1:18" ht="25.5" x14ac:dyDescent="0.25">
      <c r="A38" s="252" t="s">
        <v>1504</v>
      </c>
      <c r="B38" s="252" t="str">
        <f>HLOOKUP('Getting Started'!H$2,E:I,ROW(),FALSE)</f>
        <v>Facilities and Safety</v>
      </c>
      <c r="C38" s="252" t="str">
        <f>HLOOKUP('Getting Started'!H$2,J:N,ROW(),FALSE)</f>
        <v>Are first aid providers present in the laboratory?</v>
      </c>
      <c r="D38" s="252" t="s">
        <v>506</v>
      </c>
      <c r="E38" s="255" t="s">
        <v>510</v>
      </c>
      <c r="F38" s="255" t="s">
        <v>1391</v>
      </c>
      <c r="G38" s="255" t="s">
        <v>1392</v>
      </c>
      <c r="H38" s="255" t="s">
        <v>1393</v>
      </c>
      <c r="I38" s="254"/>
      <c r="J38" s="254" t="s">
        <v>37</v>
      </c>
      <c r="K38" s="254" t="s">
        <v>157</v>
      </c>
      <c r="L38" s="254" t="s">
        <v>277</v>
      </c>
      <c r="M38" s="254" t="s">
        <v>397</v>
      </c>
      <c r="N38" s="256" t="s">
        <v>3263</v>
      </c>
      <c r="O38" s="257" t="s">
        <v>1</v>
      </c>
      <c r="P38" s="257" t="s">
        <v>121</v>
      </c>
      <c r="Q38" s="257" t="s">
        <v>241</v>
      </c>
      <c r="R38" s="257" t="s">
        <v>361</v>
      </c>
    </row>
    <row r="39" spans="1:18" ht="31.5" x14ac:dyDescent="0.25">
      <c r="A39" s="252" t="s">
        <v>1505</v>
      </c>
      <c r="B39" s="252" t="str">
        <f>HLOOKUP('Getting Started'!H$2,E:I,ROW(),FALSE)</f>
        <v>Facilities and Safety</v>
      </c>
      <c r="C39" s="252" t="str">
        <f>HLOOKUP('Getting Started'!H$2,J:N,ROW(),FALSE)</f>
        <v>Are first aid kits present and placed at accessible locations?</v>
      </c>
      <c r="D39" s="252" t="s">
        <v>506</v>
      </c>
      <c r="E39" s="255" t="s">
        <v>510</v>
      </c>
      <c r="F39" s="255" t="s">
        <v>1391</v>
      </c>
      <c r="G39" s="255" t="s">
        <v>1392</v>
      </c>
      <c r="H39" s="255" t="s">
        <v>1393</v>
      </c>
      <c r="I39" s="254"/>
      <c r="J39" s="254" t="s">
        <v>38</v>
      </c>
      <c r="K39" s="254" t="s">
        <v>158</v>
      </c>
      <c r="L39" s="254" t="s">
        <v>278</v>
      </c>
      <c r="M39" s="254" t="s">
        <v>398</v>
      </c>
      <c r="N39" s="256" t="s">
        <v>3264</v>
      </c>
      <c r="O39" s="257" t="s">
        <v>1</v>
      </c>
      <c r="P39" s="257" t="s">
        <v>121</v>
      </c>
      <c r="Q39" s="257" t="s">
        <v>241</v>
      </c>
      <c r="R39" s="257" t="s">
        <v>361</v>
      </c>
    </row>
    <row r="40" spans="1:18" ht="47.25" x14ac:dyDescent="0.25">
      <c r="A40" s="252" t="s">
        <v>1507</v>
      </c>
      <c r="B40" s="252" t="str">
        <f>HLOOKUP('Getting Started'!H$2,E:I,ROW(),FALSE)</f>
        <v>Organization</v>
      </c>
      <c r="C40" s="252" t="str">
        <f>HLOOKUP('Getting Started'!H$2,J:N,ROW(),FALSE)</f>
        <v>Is the implementation of the quality management system coordinated through a Quality Project Team?</v>
      </c>
      <c r="D40" s="252" t="s">
        <v>506</v>
      </c>
      <c r="E40" s="255" t="s">
        <v>511</v>
      </c>
      <c r="F40" s="255" t="s">
        <v>1397</v>
      </c>
      <c r="G40" s="255" t="s">
        <v>1398</v>
      </c>
      <c r="H40" s="255" t="s">
        <v>1399</v>
      </c>
      <c r="I40" s="254"/>
      <c r="J40" s="254" t="s">
        <v>39</v>
      </c>
      <c r="K40" s="254" t="s">
        <v>159</v>
      </c>
      <c r="L40" s="254" t="s">
        <v>279</v>
      </c>
      <c r="M40" s="254" t="s">
        <v>399</v>
      </c>
      <c r="N40" s="256" t="s">
        <v>3265</v>
      </c>
      <c r="O40" s="257" t="s">
        <v>1</v>
      </c>
      <c r="P40" s="257" t="s">
        <v>121</v>
      </c>
      <c r="Q40" s="257" t="s">
        <v>241</v>
      </c>
      <c r="R40" s="257" t="s">
        <v>361</v>
      </c>
    </row>
    <row r="41" spans="1:18" ht="47.25" x14ac:dyDescent="0.25">
      <c r="A41" s="252" t="s">
        <v>1508</v>
      </c>
      <c r="B41" s="252" t="str">
        <f>HLOOKUP('Getting Started'!H$2,E:I,ROW(),FALSE)</f>
        <v>Organization</v>
      </c>
      <c r="C41" s="252" t="str">
        <f>HLOOKUP('Getting Started'!H$2,J:N,ROW(),FALSE)</f>
        <v>Does the laboratory have a Quality Focal Point to which staff can turn to for information about the quality management system?</v>
      </c>
      <c r="D41" s="252" t="s">
        <v>506</v>
      </c>
      <c r="E41" s="255" t="s">
        <v>511</v>
      </c>
      <c r="F41" s="255" t="s">
        <v>1397</v>
      </c>
      <c r="G41" s="255" t="s">
        <v>1398</v>
      </c>
      <c r="H41" s="255" t="s">
        <v>1399</v>
      </c>
      <c r="I41" s="254"/>
      <c r="J41" s="254" t="s">
        <v>40</v>
      </c>
      <c r="K41" s="254" t="s">
        <v>160</v>
      </c>
      <c r="L41" s="254" t="s">
        <v>280</v>
      </c>
      <c r="M41" s="254" t="s">
        <v>400</v>
      </c>
      <c r="N41" s="256" t="s">
        <v>3266</v>
      </c>
      <c r="O41" s="257" t="s">
        <v>1</v>
      </c>
      <c r="P41" s="257" t="s">
        <v>121</v>
      </c>
      <c r="Q41" s="257" t="s">
        <v>241</v>
      </c>
      <c r="R41" s="257" t="s">
        <v>361</v>
      </c>
    </row>
    <row r="42" spans="1:18" ht="63" x14ac:dyDescent="0.25">
      <c r="A42" s="252" t="s">
        <v>1509</v>
      </c>
      <c r="B42" s="252" t="str">
        <f>HLOOKUP('Getting Started'!H$2,E:I,ROW(),FALSE)</f>
        <v>Organization</v>
      </c>
      <c r="C42" s="252" t="str">
        <f>HLOOKUP('Getting Started'!H$2,J:N,ROW(),FALSE)</f>
        <v>Are Quality Project Team meetings held on a regular basis?
The presence of minutes serve as prove for this.</v>
      </c>
      <c r="D42" s="252" t="s">
        <v>506</v>
      </c>
      <c r="E42" s="255" t="s">
        <v>511</v>
      </c>
      <c r="F42" s="255" t="s">
        <v>1397</v>
      </c>
      <c r="G42" s="255" t="s">
        <v>1398</v>
      </c>
      <c r="H42" s="255" t="s">
        <v>1399</v>
      </c>
      <c r="I42" s="254"/>
      <c r="J42" s="254" t="s">
        <v>1891</v>
      </c>
      <c r="K42" s="254" t="s">
        <v>1892</v>
      </c>
      <c r="L42" s="254" t="s">
        <v>1893</v>
      </c>
      <c r="M42" s="254" t="s">
        <v>1894</v>
      </c>
      <c r="N42" s="256" t="s">
        <v>3267</v>
      </c>
      <c r="O42" s="257" t="s">
        <v>1</v>
      </c>
      <c r="P42" s="257" t="s">
        <v>121</v>
      </c>
      <c r="Q42" s="257" t="s">
        <v>241</v>
      </c>
      <c r="R42" s="257" t="s">
        <v>361</v>
      </c>
    </row>
    <row r="43" spans="1:18" ht="157.5" x14ac:dyDescent="0.25">
      <c r="A43" s="252" t="s">
        <v>1510</v>
      </c>
      <c r="B43" s="252" t="str">
        <f>HLOOKUP('Getting Started'!H$2,E:I,ROW(),FALSE)</f>
        <v>Organization</v>
      </c>
      <c r="C43" s="252" t="str">
        <f>HLOOKUP('Getting Started'!H$2,J:N,ROW(),FALSE)</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43" s="252" t="s">
        <v>506</v>
      </c>
      <c r="E43" s="255" t="s">
        <v>511</v>
      </c>
      <c r="F43" s="255" t="s">
        <v>1397</v>
      </c>
      <c r="G43" s="255" t="s">
        <v>1398</v>
      </c>
      <c r="H43" s="255" t="s">
        <v>1399</v>
      </c>
      <c r="I43" s="254"/>
      <c r="J43" s="254" t="s">
        <v>1895</v>
      </c>
      <c r="K43" s="254" t="s">
        <v>1896</v>
      </c>
      <c r="L43" s="254" t="s">
        <v>1897</v>
      </c>
      <c r="M43" s="254" t="s">
        <v>1898</v>
      </c>
      <c r="N43" s="256" t="s">
        <v>3268</v>
      </c>
      <c r="O43" s="257" t="s">
        <v>1</v>
      </c>
      <c r="P43" s="257" t="s">
        <v>121</v>
      </c>
      <c r="Q43" s="257" t="s">
        <v>241</v>
      </c>
      <c r="R43" s="257" t="s">
        <v>361</v>
      </c>
    </row>
    <row r="44" spans="1:18" ht="38.25" x14ac:dyDescent="0.25">
      <c r="A44" s="252" t="s">
        <v>1511</v>
      </c>
      <c r="B44" s="252" t="str">
        <f>HLOOKUP('Getting Started'!H$2,E:I,ROW(),FALSE)</f>
        <v>Organization</v>
      </c>
      <c r="C44" s="252" t="str">
        <f>HLOOKUP('Getting Started'!H$2,J:N,ROW(),FALSE)</f>
        <v>Does the laboratory make use of action plans with SMART formulated action points?</v>
      </c>
      <c r="D44" s="252" t="s">
        <v>506</v>
      </c>
      <c r="E44" s="255" t="s">
        <v>511</v>
      </c>
      <c r="F44" s="255" t="s">
        <v>1397</v>
      </c>
      <c r="G44" s="255" t="s">
        <v>1398</v>
      </c>
      <c r="H44" s="255" t="s">
        <v>1399</v>
      </c>
      <c r="I44" s="254"/>
      <c r="J44" s="254" t="s">
        <v>41</v>
      </c>
      <c r="K44" s="254" t="s">
        <v>161</v>
      </c>
      <c r="L44" s="254" t="s">
        <v>281</v>
      </c>
      <c r="M44" s="254" t="s">
        <v>401</v>
      </c>
      <c r="N44" s="256" t="s">
        <v>3269</v>
      </c>
      <c r="O44" s="257" t="s">
        <v>1</v>
      </c>
      <c r="P44" s="257" t="s">
        <v>121</v>
      </c>
      <c r="Q44" s="257" t="s">
        <v>241</v>
      </c>
      <c r="R44" s="257" t="s">
        <v>361</v>
      </c>
    </row>
    <row r="45" spans="1:18" ht="78.75" x14ac:dyDescent="0.25">
      <c r="A45" s="252" t="s">
        <v>1512</v>
      </c>
      <c r="B45" s="252" t="str">
        <f>HLOOKUP('Getting Started'!H$2,E:I,ROW(),FALSE)</f>
        <v>Organization</v>
      </c>
      <c r="C45" s="252" t="str">
        <f>HLOOKUP('Getting Started'!H$2,J:N,ROW(),FALSE)</f>
        <v>Are action plans all stored together in one folder, with a logical structure (e.g. completed action plans in the back, open action plans in the front, sorted on date, etc.)?</v>
      </c>
      <c r="D45" s="252" t="s">
        <v>506</v>
      </c>
      <c r="E45" s="255" t="s">
        <v>511</v>
      </c>
      <c r="F45" s="255" t="s">
        <v>1397</v>
      </c>
      <c r="G45" s="255" t="s">
        <v>1398</v>
      </c>
      <c r="H45" s="255" t="s">
        <v>1399</v>
      </c>
      <c r="I45" s="254"/>
      <c r="J45" s="254" t="s">
        <v>42</v>
      </c>
      <c r="K45" s="254" t="s">
        <v>162</v>
      </c>
      <c r="L45" s="254" t="s">
        <v>282</v>
      </c>
      <c r="M45" s="254" t="s">
        <v>402</v>
      </c>
      <c r="N45" s="256" t="s">
        <v>3270</v>
      </c>
      <c r="O45" s="257" t="s">
        <v>1</v>
      </c>
      <c r="P45" s="257" t="s">
        <v>121</v>
      </c>
      <c r="Q45" s="257" t="s">
        <v>241</v>
      </c>
      <c r="R45" s="257" t="s">
        <v>361</v>
      </c>
    </row>
    <row r="46" spans="1:18" ht="94.5" x14ac:dyDescent="0.25">
      <c r="A46" s="252" t="s">
        <v>1513</v>
      </c>
      <c r="B46" s="252" t="str">
        <f>HLOOKUP('Getting Started'!H$2,E:I,ROW(),FALSE)</f>
        <v>Organization</v>
      </c>
      <c r="C46" s="252" t="str">
        <f>HLOOKUP('Getting Started'!H$2,J:N,ROW(),FALSE)</f>
        <v>Is the completion of action points and action plans checked on a monthly basis and, if necessary, followed-up?
I.e. do you see action points that have not been completed while their deadline has passed?</v>
      </c>
      <c r="D46" s="252" t="s">
        <v>506</v>
      </c>
      <c r="E46" s="255" t="s">
        <v>511</v>
      </c>
      <c r="F46" s="255" t="s">
        <v>1397</v>
      </c>
      <c r="G46" s="255" t="s">
        <v>1398</v>
      </c>
      <c r="H46" s="255" t="s">
        <v>1399</v>
      </c>
      <c r="I46" s="254"/>
      <c r="J46" s="254" t="s">
        <v>2017</v>
      </c>
      <c r="K46" s="254" t="s">
        <v>2018</v>
      </c>
      <c r="L46" s="254" t="s">
        <v>2019</v>
      </c>
      <c r="M46" s="254" t="s">
        <v>2020</v>
      </c>
      <c r="N46" s="256" t="s">
        <v>3271</v>
      </c>
      <c r="O46" s="257" t="s">
        <v>1</v>
      </c>
      <c r="P46" s="257" t="s">
        <v>121</v>
      </c>
      <c r="Q46" s="257" t="s">
        <v>241</v>
      </c>
      <c r="R46" s="257" t="s">
        <v>361</v>
      </c>
    </row>
    <row r="47" spans="1:18" ht="31.5" x14ac:dyDescent="0.25">
      <c r="A47" s="252" t="s">
        <v>1514</v>
      </c>
      <c r="B47" s="252" t="str">
        <f>HLOOKUP('Getting Started'!H$2,E:I,ROW(),FALSE)</f>
        <v>Organization</v>
      </c>
      <c r="C47" s="252" t="str">
        <f>HLOOKUP('Getting Started'!H$2,J:N,ROW(),FALSE)</f>
        <v>Are staff meetings held regularly (weekly)?</v>
      </c>
      <c r="D47" s="252" t="s">
        <v>506</v>
      </c>
      <c r="E47" s="255" t="s">
        <v>511</v>
      </c>
      <c r="F47" s="255" t="s">
        <v>1397</v>
      </c>
      <c r="G47" s="255" t="s">
        <v>1398</v>
      </c>
      <c r="H47" s="255" t="s">
        <v>1399</v>
      </c>
      <c r="I47" s="254"/>
      <c r="J47" s="254" t="s">
        <v>43</v>
      </c>
      <c r="K47" s="254" t="s">
        <v>163</v>
      </c>
      <c r="L47" s="254" t="s">
        <v>283</v>
      </c>
      <c r="M47" s="254" t="s">
        <v>403</v>
      </c>
      <c r="N47" s="256" t="s">
        <v>3272</v>
      </c>
      <c r="O47" s="257" t="s">
        <v>1</v>
      </c>
      <c r="P47" s="257" t="s">
        <v>121</v>
      </c>
      <c r="Q47" s="257" t="s">
        <v>241</v>
      </c>
      <c r="R47" s="257" t="s">
        <v>361</v>
      </c>
    </row>
    <row r="48" spans="1:18" ht="31.5" x14ac:dyDescent="0.25">
      <c r="A48" s="252" t="s">
        <v>1515</v>
      </c>
      <c r="B48" s="252" t="str">
        <f>HLOOKUP('Getting Started'!H$2,E:I,ROW(),FALSE)</f>
        <v>Organization</v>
      </c>
      <c r="C48" s="252" t="str">
        <f>HLOOKUP('Getting Started'!H$2,J:N,ROW(),FALSE)</f>
        <v>Are minutes made of weekly staff meetings?</v>
      </c>
      <c r="D48" s="252" t="s">
        <v>506</v>
      </c>
      <c r="E48" s="255" t="s">
        <v>511</v>
      </c>
      <c r="F48" s="255" t="s">
        <v>1397</v>
      </c>
      <c r="G48" s="255" t="s">
        <v>1398</v>
      </c>
      <c r="H48" s="255" t="s">
        <v>1399</v>
      </c>
      <c r="I48" s="254"/>
      <c r="J48" s="254" t="s">
        <v>44</v>
      </c>
      <c r="K48" s="254" t="s">
        <v>164</v>
      </c>
      <c r="L48" s="254" t="s">
        <v>284</v>
      </c>
      <c r="M48" s="254" t="s">
        <v>404</v>
      </c>
      <c r="N48" s="256" t="s">
        <v>3273</v>
      </c>
      <c r="O48" s="257" t="s">
        <v>1</v>
      </c>
      <c r="P48" s="257" t="s">
        <v>121</v>
      </c>
      <c r="Q48" s="257" t="s">
        <v>241</v>
      </c>
      <c r="R48" s="257" t="s">
        <v>361</v>
      </c>
    </row>
    <row r="49" spans="1:18" ht="63" x14ac:dyDescent="0.25">
      <c r="A49" s="252" t="s">
        <v>1516</v>
      </c>
      <c r="B49" s="252" t="str">
        <f>HLOOKUP('Getting Started'!H$2,E:I,ROW(),FALSE)</f>
        <v>Organization</v>
      </c>
      <c r="C49" s="252" t="str">
        <f>HLOOKUP('Getting Started'!H$2,J:N,ROW(),FALSE)</f>
        <v>Do the minutes of weekly staff meetings include a summary of discussions, SMART action points and the agenda for next week?</v>
      </c>
      <c r="D49" s="252" t="s">
        <v>506</v>
      </c>
      <c r="E49" s="255" t="s">
        <v>511</v>
      </c>
      <c r="F49" s="255" t="s">
        <v>1397</v>
      </c>
      <c r="G49" s="255" t="s">
        <v>1398</v>
      </c>
      <c r="H49" s="255" t="s">
        <v>1399</v>
      </c>
      <c r="I49" s="254"/>
      <c r="J49" s="254" t="s">
        <v>45</v>
      </c>
      <c r="K49" s="254" t="s">
        <v>165</v>
      </c>
      <c r="L49" s="254" t="s">
        <v>285</v>
      </c>
      <c r="M49" s="254" t="s">
        <v>405</v>
      </c>
      <c r="N49" s="256" t="s">
        <v>3274</v>
      </c>
      <c r="O49" s="257" t="s">
        <v>1</v>
      </c>
      <c r="P49" s="257" t="s">
        <v>121</v>
      </c>
      <c r="Q49" s="257" t="s">
        <v>241</v>
      </c>
      <c r="R49" s="257" t="s">
        <v>361</v>
      </c>
    </row>
    <row r="50" spans="1:18" ht="38.25" x14ac:dyDescent="0.25">
      <c r="A50" s="252" t="s">
        <v>1517</v>
      </c>
      <c r="B50" s="252" t="str">
        <f>HLOOKUP('Getting Started'!H$2,E:I,ROW(),FALSE)</f>
        <v>Organization</v>
      </c>
      <c r="C50" s="252" t="str">
        <f>HLOOKUP('Getting Started'!H$2,J:N,ROW(),FALSE)</f>
        <v>Are the minutes of weekly staff meetings stored in a well-organized way?</v>
      </c>
      <c r="D50" s="252" t="s">
        <v>506</v>
      </c>
      <c r="E50" s="255" t="s">
        <v>511</v>
      </c>
      <c r="F50" s="255" t="s">
        <v>1397</v>
      </c>
      <c r="G50" s="255" t="s">
        <v>1398</v>
      </c>
      <c r="H50" s="255" t="s">
        <v>1399</v>
      </c>
      <c r="I50" s="254"/>
      <c r="J50" s="254" t="s">
        <v>46</v>
      </c>
      <c r="K50" s="254" t="s">
        <v>166</v>
      </c>
      <c r="L50" s="254" t="s">
        <v>286</v>
      </c>
      <c r="M50" s="254" t="s">
        <v>406</v>
      </c>
      <c r="N50" s="256" t="s">
        <v>3275</v>
      </c>
      <c r="O50" s="257" t="s">
        <v>1</v>
      </c>
      <c r="P50" s="257" t="s">
        <v>121</v>
      </c>
      <c r="Q50" s="257" t="s">
        <v>241</v>
      </c>
      <c r="R50" s="257" t="s">
        <v>361</v>
      </c>
    </row>
    <row r="51" spans="1:18" ht="25.5" x14ac:dyDescent="0.25">
      <c r="A51" s="252" t="s">
        <v>1518</v>
      </c>
      <c r="B51" s="252" t="str">
        <f>HLOOKUP('Getting Started'!H$2,E:I,ROW(),FALSE)</f>
        <v>Organization</v>
      </c>
      <c r="C51" s="252" t="str">
        <f>HLOOKUP('Getting Started'!H$2,J:N,ROW(),FALSE)</f>
        <v>Has a Biosafety Officer been appointed?</v>
      </c>
      <c r="D51" s="252" t="s">
        <v>506</v>
      </c>
      <c r="E51" s="255" t="s">
        <v>511</v>
      </c>
      <c r="F51" s="255" t="s">
        <v>1397</v>
      </c>
      <c r="G51" s="255" t="s">
        <v>1398</v>
      </c>
      <c r="H51" s="255" t="s">
        <v>1399</v>
      </c>
      <c r="I51" s="254"/>
      <c r="J51" s="254" t="s">
        <v>47</v>
      </c>
      <c r="K51" s="254" t="s">
        <v>167</v>
      </c>
      <c r="L51" s="254" t="s">
        <v>287</v>
      </c>
      <c r="M51" s="254" t="s">
        <v>407</v>
      </c>
      <c r="N51" s="256" t="s">
        <v>3276</v>
      </c>
      <c r="O51" s="257" t="s">
        <v>1</v>
      </c>
      <c r="P51" s="257" t="s">
        <v>121</v>
      </c>
      <c r="Q51" s="257" t="s">
        <v>241</v>
      </c>
      <c r="R51" s="257" t="s">
        <v>361</v>
      </c>
    </row>
    <row r="52" spans="1:18" ht="31.5" x14ac:dyDescent="0.25">
      <c r="A52" s="252" t="s">
        <v>1519</v>
      </c>
      <c r="B52" s="252" t="str">
        <f>HLOOKUP('Getting Started'!H$2,E:I,ROW(),FALSE)</f>
        <v>Organization</v>
      </c>
      <c r="C52" s="252" t="str">
        <f>HLOOKUP('Getting Started'!H$2,J:N,ROW(),FALSE)</f>
        <v>Is there a description of the tasks and responsibilities of the Biosafety Officer?</v>
      </c>
      <c r="D52" s="252" t="s">
        <v>506</v>
      </c>
      <c r="E52" s="255" t="s">
        <v>511</v>
      </c>
      <c r="F52" s="255" t="s">
        <v>1397</v>
      </c>
      <c r="G52" s="255" t="s">
        <v>1398</v>
      </c>
      <c r="H52" s="255" t="s">
        <v>1399</v>
      </c>
      <c r="I52" s="254"/>
      <c r="J52" s="254" t="s">
        <v>48</v>
      </c>
      <c r="K52" s="254" t="s">
        <v>168</v>
      </c>
      <c r="L52" s="254" t="s">
        <v>288</v>
      </c>
      <c r="M52" s="254" t="s">
        <v>408</v>
      </c>
      <c r="N52" s="256" t="s">
        <v>3277</v>
      </c>
      <c r="O52" s="257" t="s">
        <v>1</v>
      </c>
      <c r="P52" s="257" t="s">
        <v>121</v>
      </c>
      <c r="Q52" s="257" t="s">
        <v>241</v>
      </c>
      <c r="R52" s="257" t="s">
        <v>361</v>
      </c>
    </row>
    <row r="53" spans="1:18" ht="31.5" x14ac:dyDescent="0.25">
      <c r="A53" s="252" t="s">
        <v>1520</v>
      </c>
      <c r="B53" s="252" t="str">
        <f>HLOOKUP('Getting Started'!H$2,E:I,ROW(),FALSE)</f>
        <v>Organization</v>
      </c>
      <c r="C53" s="252" t="str">
        <f>HLOOKUP('Getting Started'!H$2,J:N,ROW(),FALSE)</f>
        <v>Do all the staff members know who the Biosafety Officer is?</v>
      </c>
      <c r="D53" s="252" t="s">
        <v>506</v>
      </c>
      <c r="E53" s="255" t="s">
        <v>511</v>
      </c>
      <c r="F53" s="255" t="s">
        <v>1397</v>
      </c>
      <c r="G53" s="255" t="s">
        <v>1398</v>
      </c>
      <c r="H53" s="255" t="s">
        <v>1399</v>
      </c>
      <c r="I53" s="254"/>
      <c r="J53" s="254" t="s">
        <v>49</v>
      </c>
      <c r="K53" s="254" t="s">
        <v>169</v>
      </c>
      <c r="L53" s="254" t="s">
        <v>289</v>
      </c>
      <c r="M53" s="254" t="s">
        <v>409</v>
      </c>
      <c r="N53" s="256" t="s">
        <v>3278</v>
      </c>
      <c r="O53" s="257" t="s">
        <v>1</v>
      </c>
      <c r="P53" s="257" t="s">
        <v>121</v>
      </c>
      <c r="Q53" s="257" t="s">
        <v>241</v>
      </c>
      <c r="R53" s="257" t="s">
        <v>361</v>
      </c>
    </row>
    <row r="54" spans="1:18" ht="31.5" x14ac:dyDescent="0.25">
      <c r="A54" s="252" t="s">
        <v>1521</v>
      </c>
      <c r="B54" s="252" t="str">
        <f>HLOOKUP('Getting Started'!H$2,E:I,ROW(),FALSE)</f>
        <v>Organization</v>
      </c>
      <c r="C54" s="252" t="str">
        <f>HLOOKUP('Getting Started'!H$2,J:N,ROW(),FALSE)</f>
        <v>Do all the staff members know the function of the Biosafety Officer?</v>
      </c>
      <c r="D54" s="252" t="s">
        <v>506</v>
      </c>
      <c r="E54" s="255" t="s">
        <v>511</v>
      </c>
      <c r="F54" s="255" t="s">
        <v>1397</v>
      </c>
      <c r="G54" s="255" t="s">
        <v>1398</v>
      </c>
      <c r="H54" s="255" t="s">
        <v>1399</v>
      </c>
      <c r="I54" s="254"/>
      <c r="J54" s="254" t="s">
        <v>50</v>
      </c>
      <c r="K54" s="254" t="s">
        <v>170</v>
      </c>
      <c r="L54" s="254" t="s">
        <v>290</v>
      </c>
      <c r="M54" s="254" t="s">
        <v>410</v>
      </c>
      <c r="N54" s="256" t="s">
        <v>3279</v>
      </c>
      <c r="O54" s="257" t="s">
        <v>1</v>
      </c>
      <c r="P54" s="257" t="s">
        <v>121</v>
      </c>
      <c r="Q54" s="257" t="s">
        <v>241</v>
      </c>
      <c r="R54" s="257" t="s">
        <v>361</v>
      </c>
    </row>
    <row r="55" spans="1:18" ht="15.75" x14ac:dyDescent="0.25">
      <c r="A55" s="252" t="s">
        <v>1522</v>
      </c>
      <c r="B55" s="252" t="str">
        <f>HLOOKUP('Getting Started'!H$2,E:I,ROW(),FALSE)</f>
        <v>Organization</v>
      </c>
      <c r="C55" s="252" t="str">
        <f>HLOOKUP('Getting Started'!H$2,J:N,ROW(),FALSE)</f>
        <v>Has an Equipment Officer been appointed?</v>
      </c>
      <c r="D55" s="252" t="s">
        <v>506</v>
      </c>
      <c r="E55" s="255" t="s">
        <v>511</v>
      </c>
      <c r="F55" s="255" t="s">
        <v>1397</v>
      </c>
      <c r="G55" s="255" t="s">
        <v>1398</v>
      </c>
      <c r="H55" s="255" t="s">
        <v>1399</v>
      </c>
      <c r="I55" s="254"/>
      <c r="J55" s="254" t="s">
        <v>51</v>
      </c>
      <c r="K55" s="254" t="s">
        <v>171</v>
      </c>
      <c r="L55" s="254" t="s">
        <v>291</v>
      </c>
      <c r="M55" s="254" t="s">
        <v>411</v>
      </c>
      <c r="N55" s="256" t="s">
        <v>3280</v>
      </c>
      <c r="O55" s="257" t="s">
        <v>1</v>
      </c>
      <c r="P55" s="257" t="s">
        <v>121</v>
      </c>
      <c r="Q55" s="257" t="s">
        <v>241</v>
      </c>
      <c r="R55" s="257" t="s">
        <v>361</v>
      </c>
    </row>
    <row r="56" spans="1:18" ht="47.25" x14ac:dyDescent="0.25">
      <c r="A56" s="252" t="s">
        <v>1523</v>
      </c>
      <c r="B56" s="252" t="str">
        <f>HLOOKUP('Getting Started'!H$2,E:I,ROW(),FALSE)</f>
        <v>Organization</v>
      </c>
      <c r="C56" s="252" t="str">
        <f>HLOOKUP('Getting Started'!H$2,J:N,ROW(),FALSE)</f>
        <v>Is the Equipment Officer trained in calibration and technical maintenance of equipment (if necessary)?</v>
      </c>
      <c r="D56" s="252" t="s">
        <v>506</v>
      </c>
      <c r="E56" s="255" t="s">
        <v>511</v>
      </c>
      <c r="F56" s="255" t="s">
        <v>1397</v>
      </c>
      <c r="G56" s="255" t="s">
        <v>1398</v>
      </c>
      <c r="H56" s="255" t="s">
        <v>1399</v>
      </c>
      <c r="I56" s="254"/>
      <c r="J56" s="254" t="s">
        <v>52</v>
      </c>
      <c r="K56" s="254" t="s">
        <v>172</v>
      </c>
      <c r="L56" s="254" t="s">
        <v>292</v>
      </c>
      <c r="M56" s="254" t="s">
        <v>412</v>
      </c>
      <c r="N56" s="256" t="s">
        <v>3281</v>
      </c>
      <c r="O56" s="257" t="s">
        <v>1</v>
      </c>
      <c r="P56" s="257" t="s">
        <v>121</v>
      </c>
      <c r="Q56" s="257" t="s">
        <v>241</v>
      </c>
      <c r="R56" s="257" t="s">
        <v>361</v>
      </c>
    </row>
    <row r="57" spans="1:18" ht="47.25" x14ac:dyDescent="0.25">
      <c r="A57" s="252" t="s">
        <v>1524</v>
      </c>
      <c r="B57" s="252" t="str">
        <f>HLOOKUP('Getting Started'!H$2,E:I,ROW(),FALSE)</f>
        <v>Organization</v>
      </c>
      <c r="C57" s="252" t="str">
        <f>HLOOKUP('Getting Started'!H$2,J:N,ROW(),FALSE)</f>
        <v>Is the Equipment Officer protected against overburdening of work by allocating tasks of his/her former work to other staff members (if necessary)?</v>
      </c>
      <c r="D57" s="252" t="s">
        <v>506</v>
      </c>
      <c r="E57" s="255" t="s">
        <v>511</v>
      </c>
      <c r="F57" s="255" t="s">
        <v>1397</v>
      </c>
      <c r="G57" s="255" t="s">
        <v>1398</v>
      </c>
      <c r="H57" s="255" t="s">
        <v>1399</v>
      </c>
      <c r="I57" s="254"/>
      <c r="J57" s="254" t="s">
        <v>53</v>
      </c>
      <c r="K57" s="254" t="s">
        <v>173</v>
      </c>
      <c r="L57" s="254" t="s">
        <v>293</v>
      </c>
      <c r="M57" s="254" t="s">
        <v>413</v>
      </c>
      <c r="N57" s="256" t="s">
        <v>480</v>
      </c>
      <c r="O57" s="257" t="s">
        <v>1</v>
      </c>
      <c r="P57" s="257" t="s">
        <v>121</v>
      </c>
      <c r="Q57" s="257" t="s">
        <v>241</v>
      </c>
      <c r="R57" s="257" t="s">
        <v>361</v>
      </c>
    </row>
    <row r="58" spans="1:18" ht="51" x14ac:dyDescent="0.25">
      <c r="A58" s="252" t="s">
        <v>1525</v>
      </c>
      <c r="B58" s="252" t="str">
        <f>HLOOKUP('Getting Started'!H$2,E:I,ROW(),FALSE)</f>
        <v>Organization</v>
      </c>
      <c r="C58" s="252" t="str">
        <f>HLOOKUP('Getting Started'!H$2,J:N,ROW(),FALSE)</f>
        <v>Does the laboratory have a designated person who is responsible for monitoring stocks and ordering supplies and reagents (called a â€œStock Officerâ€)?</v>
      </c>
      <c r="D58" s="252" t="s">
        <v>506</v>
      </c>
      <c r="E58" s="255" t="s">
        <v>511</v>
      </c>
      <c r="F58" s="255" t="s">
        <v>1397</v>
      </c>
      <c r="G58" s="255" t="s">
        <v>1398</v>
      </c>
      <c r="H58" s="255" t="s">
        <v>1399</v>
      </c>
      <c r="I58" s="254"/>
      <c r="J58" s="254" t="s">
        <v>54</v>
      </c>
      <c r="K58" s="254" t="s">
        <v>174</v>
      </c>
      <c r="L58" s="254" t="s">
        <v>294</v>
      </c>
      <c r="M58" s="254" t="s">
        <v>414</v>
      </c>
      <c r="N58" s="256" t="s">
        <v>481</v>
      </c>
      <c r="O58" s="257" t="s">
        <v>1</v>
      </c>
      <c r="P58" s="257" t="s">
        <v>121</v>
      </c>
      <c r="Q58" s="257" t="s">
        <v>241</v>
      </c>
      <c r="R58" s="257" t="s">
        <v>361</v>
      </c>
    </row>
    <row r="59" spans="1:18" ht="31.5" x14ac:dyDescent="0.25">
      <c r="A59" s="252" t="s">
        <v>1526</v>
      </c>
      <c r="B59" s="252" t="str">
        <f>HLOOKUP('Getting Started'!H$2,E:I,ROW(),FALSE)</f>
        <v>Organization</v>
      </c>
      <c r="C59" s="252" t="str">
        <f>HLOOKUP('Getting Started'!H$2,J:N,ROW(),FALSE)</f>
        <v>Are all laboratory staff members aware of the existence of the position of Stock Officer?</v>
      </c>
      <c r="D59" s="252" t="s">
        <v>506</v>
      </c>
      <c r="E59" s="255" t="s">
        <v>511</v>
      </c>
      <c r="F59" s="255" t="s">
        <v>1397</v>
      </c>
      <c r="G59" s="255" t="s">
        <v>1398</v>
      </c>
      <c r="H59" s="255" t="s">
        <v>1399</v>
      </c>
      <c r="I59" s="254"/>
      <c r="J59" s="254" t="s">
        <v>55</v>
      </c>
      <c r="K59" s="254" t="s">
        <v>175</v>
      </c>
      <c r="L59" s="254" t="s">
        <v>295</v>
      </c>
      <c r="M59" s="254" t="s">
        <v>415</v>
      </c>
      <c r="N59" s="256" t="s">
        <v>482</v>
      </c>
      <c r="O59" s="257" t="s">
        <v>1</v>
      </c>
      <c r="P59" s="257" t="s">
        <v>121</v>
      </c>
      <c r="Q59" s="257" t="s">
        <v>241</v>
      </c>
      <c r="R59" s="257" t="s">
        <v>361</v>
      </c>
    </row>
    <row r="60" spans="1:18" ht="31.5" x14ac:dyDescent="0.25">
      <c r="A60" s="252" t="s">
        <v>1527</v>
      </c>
      <c r="B60" s="252" t="str">
        <f>HLOOKUP('Getting Started'!H$2,E:I,ROW(),FALSE)</f>
        <v>Organization</v>
      </c>
      <c r="C60" s="252" t="str">
        <f>HLOOKUP('Getting Started'!H$2,J:N,ROW(),FALSE)</f>
        <v>Do all laboratory staff members know who the Stock Officer is?</v>
      </c>
      <c r="D60" s="252" t="s">
        <v>506</v>
      </c>
      <c r="E60" s="255" t="s">
        <v>511</v>
      </c>
      <c r="F60" s="255" t="s">
        <v>1397</v>
      </c>
      <c r="G60" s="255" t="s">
        <v>1398</v>
      </c>
      <c r="H60" s="255" t="s">
        <v>1399</v>
      </c>
      <c r="I60" s="254"/>
      <c r="J60" s="254" t="s">
        <v>56</v>
      </c>
      <c r="K60" s="254" t="s">
        <v>176</v>
      </c>
      <c r="L60" s="254" t="s">
        <v>296</v>
      </c>
      <c r="M60" s="254" t="s">
        <v>416</v>
      </c>
      <c r="N60" s="256" t="s">
        <v>3282</v>
      </c>
      <c r="O60" s="257" t="s">
        <v>1</v>
      </c>
      <c r="P60" s="257" t="s">
        <v>121</v>
      </c>
      <c r="Q60" s="257" t="s">
        <v>241</v>
      </c>
      <c r="R60" s="257" t="s">
        <v>361</v>
      </c>
    </row>
    <row r="61" spans="1:18" ht="31.5" x14ac:dyDescent="0.25">
      <c r="A61" s="252" t="s">
        <v>1528</v>
      </c>
      <c r="B61" s="252" t="str">
        <f>HLOOKUP('Getting Started'!H$2,E:I,ROW(),FALSE)</f>
        <v>Organization</v>
      </c>
      <c r="C61" s="252" t="str">
        <f>HLOOKUP('Getting Started'!H$2,J:N,ROW(),FALSE)</f>
        <v>Do all laboratory staff members know what the tasks are of the Stock Officer?</v>
      </c>
      <c r="D61" s="252" t="s">
        <v>506</v>
      </c>
      <c r="E61" s="255" t="s">
        <v>511</v>
      </c>
      <c r="F61" s="255" t="s">
        <v>1397</v>
      </c>
      <c r="G61" s="255" t="s">
        <v>1398</v>
      </c>
      <c r="H61" s="255" t="s">
        <v>1399</v>
      </c>
      <c r="I61" s="254"/>
      <c r="J61" s="254" t="s">
        <v>57</v>
      </c>
      <c r="K61" s="254" t="s">
        <v>177</v>
      </c>
      <c r="L61" s="254" t="s">
        <v>297</v>
      </c>
      <c r="M61" s="254" t="s">
        <v>417</v>
      </c>
      <c r="N61" s="256" t="s">
        <v>483</v>
      </c>
      <c r="O61" s="257" t="s">
        <v>1</v>
      </c>
      <c r="P61" s="257" t="s">
        <v>121</v>
      </c>
      <c r="Q61" s="257" t="s">
        <v>241</v>
      </c>
      <c r="R61" s="257" t="s">
        <v>361</v>
      </c>
    </row>
    <row r="62" spans="1:18" ht="63" x14ac:dyDescent="0.25">
      <c r="A62" s="252" t="s">
        <v>1529</v>
      </c>
      <c r="B62" s="252" t="str">
        <f>HLOOKUP('Getting Started'!H$2,E:I,ROW(),FALSE)</f>
        <v>Organization</v>
      </c>
      <c r="C62" s="252" t="str">
        <f>HLOOKUP('Getting Started'!H$2,J:N,ROW(),FALSE)</f>
        <v>If the laboratory is part of a bigger organization: does the laboratory have an Organizational Chart that clearly shows the position of the laboratory within the bigger organization?</v>
      </c>
      <c r="D62" s="252" t="s">
        <v>506</v>
      </c>
      <c r="E62" s="255" t="s">
        <v>511</v>
      </c>
      <c r="F62" s="255" t="s">
        <v>1397</v>
      </c>
      <c r="G62" s="255" t="s">
        <v>1398</v>
      </c>
      <c r="H62" s="255" t="s">
        <v>1399</v>
      </c>
      <c r="I62" s="254"/>
      <c r="J62" s="254" t="s">
        <v>58</v>
      </c>
      <c r="K62" s="254" t="s">
        <v>178</v>
      </c>
      <c r="L62" s="254" t="s">
        <v>298</v>
      </c>
      <c r="M62" s="254" t="s">
        <v>418</v>
      </c>
      <c r="N62" s="256" t="s">
        <v>484</v>
      </c>
      <c r="O62" s="257" t="s">
        <v>1</v>
      </c>
      <c r="P62" s="257" t="s">
        <v>121</v>
      </c>
      <c r="Q62" s="257" t="s">
        <v>241</v>
      </c>
      <c r="R62" s="257" t="s">
        <v>361</v>
      </c>
    </row>
    <row r="63" spans="1:18" ht="63" x14ac:dyDescent="0.25">
      <c r="A63" s="252" t="s">
        <v>1530</v>
      </c>
      <c r="B63" s="252" t="str">
        <f>HLOOKUP('Getting Started'!H$2,E:I,ROW(),FALSE)</f>
        <v>Organization</v>
      </c>
      <c r="C63" s="252" t="str">
        <f>HLOOKUP('Getting Started'!H$2,J:N,ROW(),FALSE)</f>
        <v>Is the Organizational Chart that shows the position of the laboratory in the bigger organization signed and dated by the management of the bigger organization?</v>
      </c>
      <c r="D63" s="252" t="s">
        <v>506</v>
      </c>
      <c r="E63" s="255" t="s">
        <v>511</v>
      </c>
      <c r="F63" s="255" t="s">
        <v>1397</v>
      </c>
      <c r="G63" s="255" t="s">
        <v>1398</v>
      </c>
      <c r="H63" s="255" t="s">
        <v>1399</v>
      </c>
      <c r="I63" s="254"/>
      <c r="J63" s="254" t="s">
        <v>59</v>
      </c>
      <c r="K63" s="254" t="s">
        <v>179</v>
      </c>
      <c r="L63" s="254" t="s">
        <v>299</v>
      </c>
      <c r="M63" s="254" t="s">
        <v>419</v>
      </c>
      <c r="N63" s="256" t="s">
        <v>3283</v>
      </c>
      <c r="O63" s="257" t="s">
        <v>1</v>
      </c>
      <c r="P63" s="257" t="s">
        <v>121</v>
      </c>
      <c r="Q63" s="257" t="s">
        <v>241</v>
      </c>
      <c r="R63" s="257" t="s">
        <v>361</v>
      </c>
    </row>
    <row r="64" spans="1:18" ht="45" x14ac:dyDescent="0.25">
      <c r="A64" s="252" t="s">
        <v>1531</v>
      </c>
      <c r="B64" s="252" t="str">
        <f>HLOOKUP('Getting Started'!H$2,E:I,ROW(),FALSE)</f>
        <v>Organization</v>
      </c>
      <c r="C64" s="252" t="str">
        <f>HLOOKUP('Getting Started'!H$2,J:N,ROW(),FALSE)</f>
        <v>Does the laboratory have an Organizational Chart showing the organization of all positions within the laboratory?</v>
      </c>
      <c r="D64" s="252" t="s">
        <v>506</v>
      </c>
      <c r="E64" s="255" t="s">
        <v>511</v>
      </c>
      <c r="F64" s="255" t="s">
        <v>1397</v>
      </c>
      <c r="G64" s="255" t="s">
        <v>1398</v>
      </c>
      <c r="H64" s="255" t="s">
        <v>1399</v>
      </c>
      <c r="I64" s="254"/>
      <c r="J64" s="254" t="s">
        <v>60</v>
      </c>
      <c r="K64" s="254" t="s">
        <v>180</v>
      </c>
      <c r="L64" s="254" t="s">
        <v>300</v>
      </c>
      <c r="M64" s="254" t="s">
        <v>420</v>
      </c>
      <c r="N64" s="256" t="s">
        <v>3284</v>
      </c>
      <c r="O64" s="257" t="s">
        <v>1</v>
      </c>
      <c r="P64" s="257" t="s">
        <v>121</v>
      </c>
      <c r="Q64" s="257" t="s">
        <v>241</v>
      </c>
      <c r="R64" s="257" t="s">
        <v>361</v>
      </c>
    </row>
    <row r="65" spans="1:18" ht="47.25" x14ac:dyDescent="0.25">
      <c r="A65" s="252" t="s">
        <v>1532</v>
      </c>
      <c r="B65" s="252" t="str">
        <f>HLOOKUP('Getting Started'!H$2,E:I,ROW(),FALSE)</f>
        <v>Organization</v>
      </c>
      <c r="C65" s="252" t="str">
        <f>HLOOKUP('Getting Started'!H$2,J:N,ROW(),FALSE)</f>
        <v>Is the chart showing the organization of positions within the laboratory signed and dated by the Laboratory Manager?</v>
      </c>
      <c r="D65" s="252" t="s">
        <v>506</v>
      </c>
      <c r="E65" s="255" t="s">
        <v>511</v>
      </c>
      <c r="F65" s="255" t="s">
        <v>1397</v>
      </c>
      <c r="G65" s="255" t="s">
        <v>1398</v>
      </c>
      <c r="H65" s="255" t="s">
        <v>1399</v>
      </c>
      <c r="I65" s="254"/>
      <c r="J65" s="254" t="s">
        <v>61</v>
      </c>
      <c r="K65" s="254" t="s">
        <v>181</v>
      </c>
      <c r="L65" s="254" t="s">
        <v>301</v>
      </c>
      <c r="M65" s="254" t="s">
        <v>421</v>
      </c>
      <c r="N65" s="256" t="s">
        <v>3285</v>
      </c>
      <c r="O65" s="257" t="s">
        <v>1</v>
      </c>
      <c r="P65" s="257" t="s">
        <v>121</v>
      </c>
      <c r="Q65" s="257" t="s">
        <v>241</v>
      </c>
      <c r="R65" s="257" t="s">
        <v>361</v>
      </c>
    </row>
    <row r="66" spans="1:18" ht="47.25" x14ac:dyDescent="0.25">
      <c r="A66" s="252" t="s">
        <v>1533</v>
      </c>
      <c r="B66" s="252" t="str">
        <f>HLOOKUP('Getting Started'!H$2,E:I,ROW(),FALSE)</f>
        <v>Organization</v>
      </c>
      <c r="C66" s="252" t="str">
        <f>HLOOKUP('Getting Started'!H$2,J:N,ROW(),FALSE)</f>
        <v>Are the Organizational Chart(s) stored in a folder that is accessible to all the staff members of the laboratory?</v>
      </c>
      <c r="D66" s="252" t="s">
        <v>506</v>
      </c>
      <c r="E66" s="255" t="s">
        <v>511</v>
      </c>
      <c r="F66" s="255" t="s">
        <v>1397</v>
      </c>
      <c r="G66" s="255" t="s">
        <v>1398</v>
      </c>
      <c r="H66" s="255" t="s">
        <v>1399</v>
      </c>
      <c r="I66" s="254"/>
      <c r="J66" s="254" t="s">
        <v>62</v>
      </c>
      <c r="K66" s="254" t="s">
        <v>182</v>
      </c>
      <c r="L66" s="254" t="s">
        <v>302</v>
      </c>
      <c r="M66" s="254" t="s">
        <v>422</v>
      </c>
      <c r="N66" s="256" t="s">
        <v>3286</v>
      </c>
      <c r="O66" s="257" t="s">
        <v>1</v>
      </c>
      <c r="P66" s="257" t="s">
        <v>121</v>
      </c>
      <c r="Q66" s="257" t="s">
        <v>241</v>
      </c>
      <c r="R66" s="257" t="s">
        <v>361</v>
      </c>
    </row>
    <row r="67" spans="1:18" ht="94.5" x14ac:dyDescent="0.25">
      <c r="A67" s="252" t="s">
        <v>1506</v>
      </c>
      <c r="B67" s="252" t="str">
        <f>HLOOKUP('Getting Started'!H$2,E:I,ROW(),FALSE)</f>
        <v>Personnel</v>
      </c>
      <c r="C67" s="252" t="str">
        <f>HLOOKUP('Getting Started'!H$2,J:N,ROW(),FALSE)</f>
        <v>Has commitment to implement a quality management system been created among laboratory staff?
Interview various staff members to find out if a meeting was held and if this was successful.</v>
      </c>
      <c r="D67" s="252" t="s">
        <v>506</v>
      </c>
      <c r="E67" s="255" t="s">
        <v>512</v>
      </c>
      <c r="F67" s="255" t="s">
        <v>512</v>
      </c>
      <c r="G67" s="255" t="s">
        <v>1400</v>
      </c>
      <c r="H67" s="255" t="s">
        <v>1401</v>
      </c>
      <c r="I67" s="254"/>
      <c r="J67" s="254" t="s">
        <v>1899</v>
      </c>
      <c r="K67" s="254" t="s">
        <v>1900</v>
      </c>
      <c r="L67" s="254" t="s">
        <v>1901</v>
      </c>
      <c r="M67" s="254" t="s">
        <v>1902</v>
      </c>
      <c r="N67" s="256" t="s">
        <v>3287</v>
      </c>
      <c r="O67" s="257" t="s">
        <v>1</v>
      </c>
      <c r="P67" s="257" t="s">
        <v>121</v>
      </c>
      <c r="Q67" s="257" t="s">
        <v>241</v>
      </c>
      <c r="R67" s="257" t="s">
        <v>361</v>
      </c>
    </row>
    <row r="68" spans="1:18" ht="47.25" x14ac:dyDescent="0.25">
      <c r="A68" s="252" t="s">
        <v>1534</v>
      </c>
      <c r="B68" s="252" t="str">
        <f>HLOOKUP('Getting Started'!H$2,E:I,ROW(),FALSE)</f>
        <v>Personnel</v>
      </c>
      <c r="C68" s="252" t="str">
        <f>HLOOKUP('Getting Started'!H$2,J:N,ROW(),FALSE)</f>
        <v>Have all staff members participated in an introductory course in quality management for medical laboratories?</v>
      </c>
      <c r="D68" s="252" t="s">
        <v>506</v>
      </c>
      <c r="E68" s="255" t="s">
        <v>512</v>
      </c>
      <c r="F68" s="255" t="s">
        <v>512</v>
      </c>
      <c r="G68" s="255" t="s">
        <v>1400</v>
      </c>
      <c r="H68" s="255" t="s">
        <v>1401</v>
      </c>
      <c r="I68" s="254"/>
      <c r="J68" s="254" t="s">
        <v>63</v>
      </c>
      <c r="K68" s="254" t="s">
        <v>183</v>
      </c>
      <c r="L68" s="254" t="s">
        <v>303</v>
      </c>
      <c r="M68" s="254" t="s">
        <v>423</v>
      </c>
      <c r="N68" s="256" t="s">
        <v>3288</v>
      </c>
      <c r="O68" s="257" t="s">
        <v>1</v>
      </c>
      <c r="P68" s="257" t="s">
        <v>121</v>
      </c>
      <c r="Q68" s="257" t="s">
        <v>241</v>
      </c>
      <c r="R68" s="257" t="s">
        <v>361</v>
      </c>
    </row>
    <row r="69" spans="1:18" ht="47.25" x14ac:dyDescent="0.25">
      <c r="A69" s="252" t="s">
        <v>1535</v>
      </c>
      <c r="B69" s="252" t="str">
        <f>HLOOKUP('Getting Started'!H$2,E:I,ROW(),FALSE)</f>
        <v>Personnel</v>
      </c>
      <c r="C69" s="252" t="str">
        <f>HLOOKUP('Getting Started'!H$2,J:N,ROW(),FALSE)</f>
        <v>Have certificates of the introductory course in quality management been stored in the Personnel Files folder?</v>
      </c>
      <c r="D69" s="252" t="s">
        <v>506</v>
      </c>
      <c r="E69" s="255" t="s">
        <v>512</v>
      </c>
      <c r="F69" s="255" t="s">
        <v>512</v>
      </c>
      <c r="G69" s="255" t="s">
        <v>1400</v>
      </c>
      <c r="H69" s="255" t="s">
        <v>1401</v>
      </c>
      <c r="I69" s="254"/>
      <c r="J69" s="254" t="s">
        <v>64</v>
      </c>
      <c r="K69" s="254" t="s">
        <v>184</v>
      </c>
      <c r="L69" s="254" t="s">
        <v>304</v>
      </c>
      <c r="M69" s="254" t="s">
        <v>424</v>
      </c>
      <c r="N69" s="256" t="s">
        <v>3289</v>
      </c>
      <c r="O69" s="257" t="s">
        <v>1</v>
      </c>
      <c r="P69" s="257" t="s">
        <v>121</v>
      </c>
      <c r="Q69" s="257" t="s">
        <v>241</v>
      </c>
      <c r="R69" s="257" t="s">
        <v>361</v>
      </c>
    </row>
    <row r="70" spans="1:18" ht="31.5" x14ac:dyDescent="0.25">
      <c r="A70" s="252" t="s">
        <v>1536</v>
      </c>
      <c r="B70" s="252" t="str">
        <f>HLOOKUP('Getting Started'!H$2,E:I,ROW(),FALSE)</f>
        <v>Personnel</v>
      </c>
      <c r="C70" s="252" t="str">
        <f>HLOOKUP('Getting Started'!H$2,J:N,ROW(),FALSE)</f>
        <v>Has the Biosafety Officer received laboratory biosafety training?</v>
      </c>
      <c r="D70" s="252" t="s">
        <v>506</v>
      </c>
      <c r="E70" s="255" t="s">
        <v>512</v>
      </c>
      <c r="F70" s="255" t="s">
        <v>512</v>
      </c>
      <c r="G70" s="255" t="s">
        <v>1400</v>
      </c>
      <c r="H70" s="255" t="s">
        <v>1401</v>
      </c>
      <c r="I70" s="254"/>
      <c r="J70" s="254" t="s">
        <v>65</v>
      </c>
      <c r="K70" s="254" t="s">
        <v>185</v>
      </c>
      <c r="L70" s="254" t="s">
        <v>305</v>
      </c>
      <c r="M70" s="254" t="s">
        <v>425</v>
      </c>
      <c r="N70" s="256" t="s">
        <v>3290</v>
      </c>
      <c r="O70" s="257" t="s">
        <v>1</v>
      </c>
      <c r="P70" s="257" t="s">
        <v>121</v>
      </c>
      <c r="Q70" s="257" t="s">
        <v>241</v>
      </c>
      <c r="R70" s="257" t="s">
        <v>361</v>
      </c>
    </row>
    <row r="71" spans="1:18" ht="47.25" x14ac:dyDescent="0.25">
      <c r="A71" s="252" t="s">
        <v>1537</v>
      </c>
      <c r="B71" s="252" t="str">
        <f>HLOOKUP('Getting Started'!H$2,E:I,ROW(),FALSE)</f>
        <v>Personnel</v>
      </c>
      <c r="C71" s="252" t="str">
        <f>HLOOKUP('Getting Started'!H$2,J:N,ROW(),FALSE)</f>
        <v>Is the certificate of the laboratory biosafety training of the Biosafety Officer stored in a folder called "Personnel Files"?</v>
      </c>
      <c r="D71" s="252" t="s">
        <v>506</v>
      </c>
      <c r="E71" s="255" t="s">
        <v>512</v>
      </c>
      <c r="F71" s="255" t="s">
        <v>512</v>
      </c>
      <c r="G71" s="255" t="s">
        <v>1400</v>
      </c>
      <c r="H71" s="255" t="s">
        <v>1401</v>
      </c>
      <c r="I71" s="254"/>
      <c r="J71" s="254" t="s">
        <v>66</v>
      </c>
      <c r="K71" s="254" t="s">
        <v>186</v>
      </c>
      <c r="L71" s="254" t="s">
        <v>306</v>
      </c>
      <c r="M71" s="254" t="s">
        <v>426</v>
      </c>
      <c r="N71" s="256" t="s">
        <v>3291</v>
      </c>
      <c r="O71" s="257" t="s">
        <v>1</v>
      </c>
      <c r="P71" s="257" t="s">
        <v>121</v>
      </c>
      <c r="Q71" s="257" t="s">
        <v>241</v>
      </c>
      <c r="R71" s="257" t="s">
        <v>361</v>
      </c>
    </row>
    <row r="72" spans="1:18" ht="47.25" x14ac:dyDescent="0.25">
      <c r="A72" s="252" t="s">
        <v>1538</v>
      </c>
      <c r="B72" s="252" t="str">
        <f>HLOOKUP('Getting Started'!H$2,E:I,ROW(),FALSE)</f>
        <v>Personnel</v>
      </c>
      <c r="C72" s="252" t="str">
        <f>HLOOKUP('Getting Started'!H$2,J:N,ROW(),FALSE)</f>
        <v>Does the laboratory have an Authorization Matrix, showing for each position in the laboratory the authorizations, responsibilities and tasks?</v>
      </c>
      <c r="D72" s="252" t="s">
        <v>506</v>
      </c>
      <c r="E72" s="255" t="s">
        <v>512</v>
      </c>
      <c r="F72" s="255" t="s">
        <v>512</v>
      </c>
      <c r="G72" s="255" t="s">
        <v>1400</v>
      </c>
      <c r="H72" s="255" t="s">
        <v>1401</v>
      </c>
      <c r="I72" s="254"/>
      <c r="J72" s="254" t="s">
        <v>67</v>
      </c>
      <c r="K72" s="254" t="s">
        <v>187</v>
      </c>
      <c r="L72" s="254" t="s">
        <v>307</v>
      </c>
      <c r="M72" s="254" t="s">
        <v>427</v>
      </c>
      <c r="N72" s="256" t="s">
        <v>3292</v>
      </c>
      <c r="O72" s="257" t="s">
        <v>1</v>
      </c>
      <c r="P72" s="257" t="s">
        <v>121</v>
      </c>
      <c r="Q72" s="257" t="s">
        <v>241</v>
      </c>
      <c r="R72" s="257" t="s">
        <v>361</v>
      </c>
    </row>
    <row r="73" spans="1:18" ht="31.5" x14ac:dyDescent="0.25">
      <c r="A73" s="252" t="s">
        <v>1539</v>
      </c>
      <c r="B73" s="252" t="str">
        <f>HLOOKUP('Getting Started'!H$2,E:I,ROW(),FALSE)</f>
        <v>Personnel</v>
      </c>
      <c r="C73" s="252" t="str">
        <f>HLOOKUP('Getting Started'!H$2,J:N,ROW(),FALSE)</f>
        <v>Is the Authorization Matrix signed and dated by the Laboratory Manager?</v>
      </c>
      <c r="D73" s="252" t="s">
        <v>506</v>
      </c>
      <c r="E73" s="255" t="s">
        <v>512</v>
      </c>
      <c r="F73" s="255" t="s">
        <v>512</v>
      </c>
      <c r="G73" s="255" t="s">
        <v>1400</v>
      </c>
      <c r="H73" s="255" t="s">
        <v>1401</v>
      </c>
      <c r="I73" s="254"/>
      <c r="J73" s="254" t="s">
        <v>68</v>
      </c>
      <c r="K73" s="254" t="s">
        <v>188</v>
      </c>
      <c r="L73" s="254" t="s">
        <v>308</v>
      </c>
      <c r="M73" s="254" t="s">
        <v>428</v>
      </c>
      <c r="N73" s="256" t="s">
        <v>3293</v>
      </c>
      <c r="O73" s="257" t="s">
        <v>1</v>
      </c>
      <c r="P73" s="257" t="s">
        <v>121</v>
      </c>
      <c r="Q73" s="257" t="s">
        <v>241</v>
      </c>
      <c r="R73" s="257" t="s">
        <v>361</v>
      </c>
    </row>
    <row r="74" spans="1:18" ht="31.5" x14ac:dyDescent="0.25">
      <c r="A74" s="252" t="s">
        <v>1540</v>
      </c>
      <c r="B74" s="252" t="str">
        <f>HLOOKUP('Getting Started'!H$2,E:I,ROW(),FALSE)</f>
        <v>Personnel</v>
      </c>
      <c r="C74" s="252" t="str">
        <f>HLOOKUP('Getting Started'!H$2,J:N,ROW(),FALSE)</f>
        <v>Is the Authorization Matrix accessible to all staff members?</v>
      </c>
      <c r="D74" s="252" t="s">
        <v>506</v>
      </c>
      <c r="E74" s="255" t="s">
        <v>512</v>
      </c>
      <c r="F74" s="255" t="s">
        <v>512</v>
      </c>
      <c r="G74" s="255" t="s">
        <v>1400</v>
      </c>
      <c r="H74" s="255" t="s">
        <v>1401</v>
      </c>
      <c r="I74" s="254"/>
      <c r="J74" s="254" t="s">
        <v>69</v>
      </c>
      <c r="K74" s="254" t="s">
        <v>189</v>
      </c>
      <c r="L74" s="254" t="s">
        <v>309</v>
      </c>
      <c r="M74" s="254" t="s">
        <v>429</v>
      </c>
      <c r="N74" s="256" t="s">
        <v>3294</v>
      </c>
      <c r="O74" s="257" t="s">
        <v>1</v>
      </c>
      <c r="P74" s="257" t="s">
        <v>121</v>
      </c>
      <c r="Q74" s="257" t="s">
        <v>241</v>
      </c>
      <c r="R74" s="257" t="s">
        <v>361</v>
      </c>
    </row>
    <row r="75" spans="1:18" ht="31.5" x14ac:dyDescent="0.25">
      <c r="A75" s="252" t="s">
        <v>1541</v>
      </c>
      <c r="B75" s="252" t="str">
        <f>HLOOKUP('Getting Started'!H$2,E:I,ROW(),FALSE)</f>
        <v>Personnel</v>
      </c>
      <c r="C75" s="252" t="str">
        <f>HLOOKUP('Getting Started'!H$2,J:N,ROW(),FALSE)</f>
        <v>Do staff members know what the Authorization Matrix is?</v>
      </c>
      <c r="D75" s="252" t="s">
        <v>506</v>
      </c>
      <c r="E75" s="255" t="s">
        <v>512</v>
      </c>
      <c r="F75" s="255" t="s">
        <v>512</v>
      </c>
      <c r="G75" s="255" t="s">
        <v>1400</v>
      </c>
      <c r="H75" s="255" t="s">
        <v>1401</v>
      </c>
      <c r="I75" s="254"/>
      <c r="J75" s="254" t="s">
        <v>70</v>
      </c>
      <c r="K75" s="254" t="s">
        <v>190</v>
      </c>
      <c r="L75" s="254" t="s">
        <v>310</v>
      </c>
      <c r="M75" s="254" t="s">
        <v>430</v>
      </c>
      <c r="N75" s="256" t="s">
        <v>3295</v>
      </c>
      <c r="O75" s="257" t="s">
        <v>1</v>
      </c>
      <c r="P75" s="257" t="s">
        <v>121</v>
      </c>
      <c r="Q75" s="257" t="s">
        <v>241</v>
      </c>
      <c r="R75" s="257" t="s">
        <v>361</v>
      </c>
    </row>
    <row r="76" spans="1:18" ht="31.5" x14ac:dyDescent="0.25">
      <c r="A76" s="252" t="s">
        <v>1542</v>
      </c>
      <c r="B76" s="252" t="str">
        <f>HLOOKUP('Getting Started'!H$2,E:I,ROW(),FALSE)</f>
        <v>Personnel</v>
      </c>
      <c r="C76" s="252" t="str">
        <f>HLOOKUP('Getting Started'!H$2,J:N,ROW(),FALSE)</f>
        <v>Are staff members able to find the Authorization Matrix?</v>
      </c>
      <c r="D76" s="252" t="s">
        <v>506</v>
      </c>
      <c r="E76" s="255" t="s">
        <v>512</v>
      </c>
      <c r="F76" s="255" t="s">
        <v>512</v>
      </c>
      <c r="G76" s="255" t="s">
        <v>1400</v>
      </c>
      <c r="H76" s="255" t="s">
        <v>1401</v>
      </c>
      <c r="I76" s="254"/>
      <c r="J76" s="254" t="s">
        <v>71</v>
      </c>
      <c r="K76" s="254" t="s">
        <v>191</v>
      </c>
      <c r="L76" s="254" t="s">
        <v>311</v>
      </c>
      <c r="M76" s="254" t="s">
        <v>431</v>
      </c>
      <c r="N76" s="256" t="s">
        <v>3296</v>
      </c>
      <c r="O76" s="257" t="s">
        <v>1</v>
      </c>
      <c r="P76" s="257" t="s">
        <v>121</v>
      </c>
      <c r="Q76" s="257" t="s">
        <v>241</v>
      </c>
      <c r="R76" s="257" t="s">
        <v>361</v>
      </c>
    </row>
    <row r="77" spans="1:18" ht="31.5" x14ac:dyDescent="0.25">
      <c r="A77" s="252" t="s">
        <v>1543</v>
      </c>
      <c r="B77" s="252" t="str">
        <f>HLOOKUP('Getting Started'!H$2,E:I,ROW(),FALSE)</f>
        <v>Personnel</v>
      </c>
      <c r="C77" s="252" t="str">
        <f>HLOOKUP('Getting Started'!H$2,J:N,ROW(),FALSE)</f>
        <v>Are staff members able to explain how the Authorization Matrix works?</v>
      </c>
      <c r="D77" s="252" t="s">
        <v>506</v>
      </c>
      <c r="E77" s="255" t="s">
        <v>512</v>
      </c>
      <c r="F77" s="255" t="s">
        <v>512</v>
      </c>
      <c r="G77" s="255" t="s">
        <v>1400</v>
      </c>
      <c r="H77" s="255" t="s">
        <v>1401</v>
      </c>
      <c r="I77" s="254"/>
      <c r="J77" s="254" t="s">
        <v>72</v>
      </c>
      <c r="K77" s="254" t="s">
        <v>192</v>
      </c>
      <c r="L77" s="254" t="s">
        <v>312</v>
      </c>
      <c r="M77" s="254" t="s">
        <v>432</v>
      </c>
      <c r="N77" s="256" t="s">
        <v>485</v>
      </c>
      <c r="O77" s="257" t="s">
        <v>1</v>
      </c>
      <c r="P77" s="257" t="s">
        <v>121</v>
      </c>
      <c r="Q77" s="257" t="s">
        <v>241</v>
      </c>
      <c r="R77" s="257" t="s">
        <v>361</v>
      </c>
    </row>
    <row r="78" spans="1:18" ht="31.5" x14ac:dyDescent="0.25">
      <c r="A78" s="252" t="s">
        <v>1544</v>
      </c>
      <c r="B78" s="252" t="str">
        <f>HLOOKUP('Getting Started'!H$2,E:I,ROW(),FALSE)</f>
        <v>Personnel</v>
      </c>
      <c r="C78" s="252" t="str">
        <f>HLOOKUP('Getting Started'!H$2,J:N,ROW(),FALSE)</f>
        <v>Does the laboratory have a job description for each position in the laboratory?</v>
      </c>
      <c r="D78" s="252" t="s">
        <v>506</v>
      </c>
      <c r="E78" s="255" t="s">
        <v>512</v>
      </c>
      <c r="F78" s="255" t="s">
        <v>512</v>
      </c>
      <c r="G78" s="255" t="s">
        <v>1400</v>
      </c>
      <c r="H78" s="255" t="s">
        <v>1401</v>
      </c>
      <c r="I78" s="254"/>
      <c r="J78" s="254" t="s">
        <v>73</v>
      </c>
      <c r="K78" s="254" t="s">
        <v>193</v>
      </c>
      <c r="L78" s="254" t="s">
        <v>313</v>
      </c>
      <c r="M78" s="254" t="s">
        <v>433</v>
      </c>
      <c r="N78" s="256" t="s">
        <v>3297</v>
      </c>
      <c r="O78" s="257" t="s">
        <v>1</v>
      </c>
      <c r="P78" s="257" t="s">
        <v>121</v>
      </c>
      <c r="Q78" s="257" t="s">
        <v>241</v>
      </c>
      <c r="R78" s="257" t="s">
        <v>361</v>
      </c>
    </row>
    <row r="79" spans="1:18" ht="63" x14ac:dyDescent="0.25">
      <c r="A79" s="252" t="s">
        <v>1545</v>
      </c>
      <c r="B79" s="252" t="str">
        <f>HLOOKUP('Getting Started'!H$2,E:I,ROW(),FALSE)</f>
        <v>Personnel</v>
      </c>
      <c r="C79" s="252" t="str">
        <f>HLOOKUP('Getting Started'!H$2,J:N,ROW(),FALSE)</f>
        <v>Does the job description for each position in the laboratory give a complete and clear impression of the tasks, responsibilities and authorities of each position?</v>
      </c>
      <c r="D79" s="252" t="s">
        <v>506</v>
      </c>
      <c r="E79" s="255" t="s">
        <v>512</v>
      </c>
      <c r="F79" s="255" t="s">
        <v>512</v>
      </c>
      <c r="G79" s="255" t="s">
        <v>1400</v>
      </c>
      <c r="H79" s="255" t="s">
        <v>1401</v>
      </c>
      <c r="I79" s="254"/>
      <c r="J79" s="254" t="s">
        <v>74</v>
      </c>
      <c r="K79" s="254" t="s">
        <v>194</v>
      </c>
      <c r="L79" s="254" t="s">
        <v>314</v>
      </c>
      <c r="M79" s="254" t="s">
        <v>434</v>
      </c>
      <c r="N79" s="256" t="s">
        <v>3298</v>
      </c>
      <c r="O79" s="257" t="s">
        <v>1</v>
      </c>
      <c r="P79" s="257" t="s">
        <v>121</v>
      </c>
      <c r="Q79" s="257" t="s">
        <v>241</v>
      </c>
      <c r="R79" s="257" t="s">
        <v>361</v>
      </c>
    </row>
    <row r="80" spans="1:18" ht="31.5" x14ac:dyDescent="0.25">
      <c r="A80" s="252" t="s">
        <v>1546</v>
      </c>
      <c r="B80" s="252" t="str">
        <f>HLOOKUP('Getting Started'!H$2,E:I,ROW(),FALSE)</f>
        <v>Personnel</v>
      </c>
      <c r="C80" s="252" t="str">
        <f>HLOOKUP('Getting Started'!H$2,J:N,ROW(),FALSE)</f>
        <v>Have Personal Job Descriptions been made for all the staff members?</v>
      </c>
      <c r="D80" s="252" t="s">
        <v>506</v>
      </c>
      <c r="E80" s="255" t="s">
        <v>512</v>
      </c>
      <c r="F80" s="255" t="s">
        <v>512</v>
      </c>
      <c r="G80" s="255" t="s">
        <v>1400</v>
      </c>
      <c r="H80" s="255" t="s">
        <v>1401</v>
      </c>
      <c r="I80" s="254"/>
      <c r="J80" s="254" t="s">
        <v>75</v>
      </c>
      <c r="K80" s="254" t="s">
        <v>195</v>
      </c>
      <c r="L80" s="254" t="s">
        <v>315</v>
      </c>
      <c r="M80" s="254" t="s">
        <v>435</v>
      </c>
      <c r="N80" s="256" t="s">
        <v>3299</v>
      </c>
      <c r="O80" s="257" t="s">
        <v>1</v>
      </c>
      <c r="P80" s="257" t="s">
        <v>121</v>
      </c>
      <c r="Q80" s="257" t="s">
        <v>241</v>
      </c>
      <c r="R80" s="257" t="s">
        <v>361</v>
      </c>
    </row>
    <row r="81" spans="1:18" ht="47.25" x14ac:dyDescent="0.25">
      <c r="A81" s="252" t="s">
        <v>1547</v>
      </c>
      <c r="B81" s="252" t="str">
        <f>HLOOKUP('Getting Started'!H$2,E:I,ROW(),FALSE)</f>
        <v>Personnel</v>
      </c>
      <c r="C81" s="252" t="str">
        <f>HLOOKUP('Getting Started'!H$2,J:N,ROW(),FALSE)</f>
        <v>Are all job descriptions (both Position Job Descriptions and Personal Job Descriptions) up to date?</v>
      </c>
      <c r="D81" s="252" t="s">
        <v>506</v>
      </c>
      <c r="E81" s="255" t="s">
        <v>512</v>
      </c>
      <c r="F81" s="255" t="s">
        <v>512</v>
      </c>
      <c r="G81" s="255" t="s">
        <v>1400</v>
      </c>
      <c r="H81" s="255" t="s">
        <v>1401</v>
      </c>
      <c r="I81" s="254"/>
      <c r="J81" s="254" t="s">
        <v>76</v>
      </c>
      <c r="K81" s="254" t="s">
        <v>196</v>
      </c>
      <c r="L81" s="254" t="s">
        <v>316</v>
      </c>
      <c r="M81" s="254" t="s">
        <v>436</v>
      </c>
      <c r="N81" s="256" t="s">
        <v>486</v>
      </c>
      <c r="O81" s="257" t="s">
        <v>1</v>
      </c>
      <c r="P81" s="257" t="s">
        <v>121</v>
      </c>
      <c r="Q81" s="257" t="s">
        <v>241</v>
      </c>
      <c r="R81" s="257" t="s">
        <v>361</v>
      </c>
    </row>
    <row r="82" spans="1:18" ht="47.25" x14ac:dyDescent="0.25">
      <c r="A82" s="252" t="s">
        <v>1548</v>
      </c>
      <c r="B82" s="252" t="str">
        <f>HLOOKUP('Getting Started'!H$2,E:I,ROW(),FALSE)</f>
        <v>Personnel</v>
      </c>
      <c r="C82" s="252" t="str">
        <f>HLOOKUP('Getting Started'!H$2,J:N,ROW(),FALSE)</f>
        <v>Are Personal Job Descriptions stored in an orderly fashion in the Personnel Files folder?</v>
      </c>
      <c r="D82" s="252" t="s">
        <v>506</v>
      </c>
      <c r="E82" s="255" t="s">
        <v>512</v>
      </c>
      <c r="F82" s="255" t="s">
        <v>512</v>
      </c>
      <c r="G82" s="255" t="s">
        <v>1400</v>
      </c>
      <c r="H82" s="255" t="s">
        <v>1401</v>
      </c>
      <c r="I82" s="254"/>
      <c r="J82" s="254" t="s">
        <v>77</v>
      </c>
      <c r="K82" s="254" t="s">
        <v>197</v>
      </c>
      <c r="L82" s="254" t="s">
        <v>317</v>
      </c>
      <c r="M82" s="254" t="s">
        <v>437</v>
      </c>
      <c r="N82" s="256" t="s">
        <v>3300</v>
      </c>
      <c r="O82" s="257" t="s">
        <v>1</v>
      </c>
      <c r="P82" s="257" t="s">
        <v>121</v>
      </c>
      <c r="Q82" s="257" t="s">
        <v>241</v>
      </c>
      <c r="R82" s="257" t="s">
        <v>361</v>
      </c>
    </row>
    <row r="83" spans="1:18" ht="90" x14ac:dyDescent="0.25">
      <c r="A83" s="252" t="s">
        <v>1549</v>
      </c>
      <c r="B83" s="252" t="str">
        <f>HLOOKUP('Getting Started'!H$2,E:I,ROW(),FALSE)</f>
        <v>Personnel</v>
      </c>
      <c r="C83" s="252" t="str">
        <f>HLOOKUP('Getting Started'!H$2,J:N,ROW(),FALSE)</f>
        <v>Have all staff members adequately been trained in the procedures they are performing?
Ask several staff members this question for the procedure they are doing at that moment and cross-check with their Personnel File.</v>
      </c>
      <c r="D83" s="252" t="s">
        <v>506</v>
      </c>
      <c r="E83" s="255" t="s">
        <v>512</v>
      </c>
      <c r="F83" s="255" t="s">
        <v>512</v>
      </c>
      <c r="G83" s="255" t="s">
        <v>1400</v>
      </c>
      <c r="H83" s="255" t="s">
        <v>1401</v>
      </c>
      <c r="I83" s="254"/>
      <c r="J83" s="254" t="s">
        <v>1903</v>
      </c>
      <c r="K83" s="254" t="s">
        <v>1904</v>
      </c>
      <c r="L83" s="254" t="s">
        <v>1905</v>
      </c>
      <c r="M83" s="254" t="s">
        <v>1906</v>
      </c>
      <c r="N83" s="256" t="s">
        <v>3301</v>
      </c>
      <c r="O83" s="257" t="s">
        <v>1</v>
      </c>
      <c r="P83" s="257" t="s">
        <v>121</v>
      </c>
      <c r="Q83" s="257" t="s">
        <v>241</v>
      </c>
      <c r="R83" s="257" t="s">
        <v>361</v>
      </c>
    </row>
    <row r="84" spans="1:18" ht="63" x14ac:dyDescent="0.25">
      <c r="A84" s="252" t="s">
        <v>1550</v>
      </c>
      <c r="B84" s="252" t="str">
        <f>HLOOKUP('Getting Started'!H$2,E:I,ROW(),FALSE)</f>
        <v>Personnel</v>
      </c>
      <c r="C84" s="252" t="str">
        <f>HLOOKUP('Getting Started'!H$2,J:N,ROW(),FALSE)</f>
        <v>Is the folder Personnel Files up-to-date; i.e. have all certificates and diplomas been collected for all staff members and been stored in the personnel files?</v>
      </c>
      <c r="D84" s="252" t="s">
        <v>506</v>
      </c>
      <c r="E84" s="255" t="s">
        <v>512</v>
      </c>
      <c r="F84" s="255" t="s">
        <v>512</v>
      </c>
      <c r="G84" s="255" t="s">
        <v>1400</v>
      </c>
      <c r="H84" s="255" t="s">
        <v>1401</v>
      </c>
      <c r="I84" s="254"/>
      <c r="J84" s="254" t="s">
        <v>78</v>
      </c>
      <c r="K84" s="254" t="s">
        <v>198</v>
      </c>
      <c r="L84" s="254" t="s">
        <v>318</v>
      </c>
      <c r="M84" s="254" t="s">
        <v>438</v>
      </c>
      <c r="N84" s="256" t="s">
        <v>3302</v>
      </c>
      <c r="O84" s="257" t="s">
        <v>1</v>
      </c>
      <c r="P84" s="257" t="s">
        <v>121</v>
      </c>
      <c r="Q84" s="257" t="s">
        <v>241</v>
      </c>
      <c r="R84" s="257" t="s">
        <v>361</v>
      </c>
    </row>
    <row r="85" spans="1:18" ht="31.5" x14ac:dyDescent="0.25">
      <c r="A85" s="252" t="s">
        <v>1551</v>
      </c>
      <c r="B85" s="252" t="str">
        <f>HLOOKUP('Getting Started'!H$2,E:I,ROW(),FALSE)</f>
        <v>Equipment</v>
      </c>
      <c r="C85" s="252" t="str">
        <f>HLOOKUP('Getting Started'!H$2,J:N,ROW(),FALSE)</f>
        <v>Does the laboratory have a clear register of all the equipment present?</v>
      </c>
      <c r="D85" s="252" t="s">
        <v>506</v>
      </c>
      <c r="E85" s="255" t="s">
        <v>513</v>
      </c>
      <c r="F85" s="255" t="s">
        <v>1388</v>
      </c>
      <c r="G85" s="255" t="s">
        <v>1389</v>
      </c>
      <c r="H85" s="255" t="s">
        <v>1390</v>
      </c>
      <c r="I85" s="254"/>
      <c r="J85" s="254" t="s">
        <v>79</v>
      </c>
      <c r="K85" s="254" t="s">
        <v>199</v>
      </c>
      <c r="L85" s="254" t="s">
        <v>319</v>
      </c>
      <c r="M85" s="254" t="s">
        <v>439</v>
      </c>
      <c r="N85" s="256" t="s">
        <v>487</v>
      </c>
      <c r="O85" s="257" t="s">
        <v>1</v>
      </c>
      <c r="P85" s="257" t="s">
        <v>121</v>
      </c>
      <c r="Q85" s="257" t="s">
        <v>241</v>
      </c>
      <c r="R85" s="257" t="s">
        <v>361</v>
      </c>
    </row>
    <row r="86" spans="1:18" ht="31.5" x14ac:dyDescent="0.25">
      <c r="A86" s="252" t="s">
        <v>1552</v>
      </c>
      <c r="B86" s="252" t="str">
        <f>HLOOKUP('Getting Started'!H$2,E:I,ROW(),FALSE)</f>
        <v>Equipment</v>
      </c>
      <c r="C86" s="252" t="str">
        <f>HLOOKUP('Getting Started'!H$2,J:N,ROW(),FALSE)</f>
        <v>Does the equipment register contain the following details for each piece of equipment? (tick off)</v>
      </c>
      <c r="D86" s="252" t="s">
        <v>506</v>
      </c>
      <c r="E86" s="255" t="s">
        <v>513</v>
      </c>
      <c r="F86" s="255" t="s">
        <v>1388</v>
      </c>
      <c r="G86" s="255" t="s">
        <v>1389</v>
      </c>
      <c r="H86" s="255" t="s">
        <v>1390</v>
      </c>
      <c r="I86" s="254"/>
      <c r="J86" s="254" t="s">
        <v>80</v>
      </c>
      <c r="K86" s="254" t="s">
        <v>200</v>
      </c>
      <c r="L86" s="254" t="s">
        <v>320</v>
      </c>
      <c r="M86" s="254" t="s">
        <v>440</v>
      </c>
      <c r="N86" s="256" t="s">
        <v>3303</v>
      </c>
      <c r="O86" s="301" t="s">
        <v>1</v>
      </c>
      <c r="P86" s="300" t="s">
        <v>121</v>
      </c>
      <c r="Q86" s="301" t="s">
        <v>241</v>
      </c>
      <c r="R86" s="301" t="s">
        <v>361</v>
      </c>
    </row>
    <row r="87" spans="1:18" ht="15.75" x14ac:dyDescent="0.25">
      <c r="A87" s="252" t="s">
        <v>1907</v>
      </c>
      <c r="B87" s="252" t="str">
        <f>HLOOKUP('Getting Started'!H$2,E:I,ROW(),FALSE)</f>
        <v>Equipment</v>
      </c>
      <c r="C87" s="252" t="str">
        <f>HLOOKUP('Getting Started'!H$2,J:N,ROW(),FALSE)</f>
        <v>Identity</v>
      </c>
      <c r="D87" s="252" t="s">
        <v>506</v>
      </c>
      <c r="E87" s="255" t="s">
        <v>513</v>
      </c>
      <c r="F87" s="255" t="s">
        <v>1388</v>
      </c>
      <c r="G87" s="255" t="s">
        <v>1389</v>
      </c>
      <c r="H87" s="255" t="s">
        <v>1390</v>
      </c>
      <c r="I87" s="254"/>
      <c r="J87" s="254" t="s">
        <v>81</v>
      </c>
      <c r="K87" s="254" t="s">
        <v>201</v>
      </c>
      <c r="L87" s="254" t="s">
        <v>321</v>
      </c>
      <c r="M87" s="254" t="s">
        <v>441</v>
      </c>
      <c r="N87" s="256" t="s">
        <v>488</v>
      </c>
      <c r="O87" s="301"/>
      <c r="P87" s="300"/>
      <c r="Q87" s="301"/>
      <c r="R87" s="301"/>
    </row>
    <row r="88" spans="1:18" ht="15.75" x14ac:dyDescent="0.25">
      <c r="A88" s="252" t="s">
        <v>1908</v>
      </c>
      <c r="B88" s="252" t="str">
        <f>HLOOKUP('Getting Started'!H$2,E:I,ROW(),FALSE)</f>
        <v>Equipment</v>
      </c>
      <c r="C88" s="252" t="str">
        <f>HLOOKUP('Getting Started'!H$2,J:N,ROW(),FALSE)</f>
        <v>Label</v>
      </c>
      <c r="D88" s="252" t="s">
        <v>506</v>
      </c>
      <c r="E88" s="255" t="s">
        <v>513</v>
      </c>
      <c r="F88" s="255" t="s">
        <v>1388</v>
      </c>
      <c r="G88" s="255" t="s">
        <v>1389</v>
      </c>
      <c r="H88" s="255" t="s">
        <v>1390</v>
      </c>
      <c r="I88" s="254"/>
      <c r="J88" s="254" t="s">
        <v>82</v>
      </c>
      <c r="K88" s="254" t="s">
        <v>202</v>
      </c>
      <c r="L88" s="254" t="s">
        <v>322</v>
      </c>
      <c r="M88" s="254" t="s">
        <v>442</v>
      </c>
      <c r="N88" s="256" t="s">
        <v>489</v>
      </c>
      <c r="O88" s="301"/>
      <c r="P88" s="300"/>
      <c r="Q88" s="301"/>
      <c r="R88" s="301"/>
    </row>
    <row r="89" spans="1:18" ht="15.75" x14ac:dyDescent="0.25">
      <c r="A89" s="252" t="s">
        <v>1909</v>
      </c>
      <c r="B89" s="252" t="str">
        <f>HLOOKUP('Getting Started'!H$2,E:I,ROW(),FALSE)</f>
        <v>Equipment</v>
      </c>
      <c r="C89" s="252" t="str">
        <f>HLOOKUP('Getting Started'!H$2,J:N,ROW(),FALSE)</f>
        <v>Serial number</v>
      </c>
      <c r="D89" s="252" t="s">
        <v>506</v>
      </c>
      <c r="E89" s="255" t="s">
        <v>513</v>
      </c>
      <c r="F89" s="255" t="s">
        <v>1388</v>
      </c>
      <c r="G89" s="255" t="s">
        <v>1389</v>
      </c>
      <c r="H89" s="255" t="s">
        <v>1390</v>
      </c>
      <c r="I89" s="254"/>
      <c r="J89" s="254" t="s">
        <v>83</v>
      </c>
      <c r="K89" s="254" t="s">
        <v>203</v>
      </c>
      <c r="L89" s="254" t="s">
        <v>323</v>
      </c>
      <c r="M89" s="254" t="s">
        <v>443</v>
      </c>
      <c r="N89" s="256" t="s">
        <v>490</v>
      </c>
      <c r="O89" s="301"/>
      <c r="P89" s="300"/>
      <c r="Q89" s="301"/>
      <c r="R89" s="301"/>
    </row>
    <row r="90" spans="1:18" ht="15.75" x14ac:dyDescent="0.25">
      <c r="A90" s="252" t="s">
        <v>1910</v>
      </c>
      <c r="B90" s="252" t="str">
        <f>HLOOKUP('Getting Started'!H$2,E:I,ROW(),FALSE)</f>
        <v>Equipment</v>
      </c>
      <c r="C90" s="252" t="str">
        <f>HLOOKUP('Getting Started'!H$2,J:N,ROW(),FALSE)</f>
        <v>Manufacturer name</v>
      </c>
      <c r="D90" s="252" t="s">
        <v>506</v>
      </c>
      <c r="E90" s="255" t="s">
        <v>513</v>
      </c>
      <c r="F90" s="255" t="s">
        <v>1388</v>
      </c>
      <c r="G90" s="255" t="s">
        <v>1389</v>
      </c>
      <c r="H90" s="255" t="s">
        <v>1390</v>
      </c>
      <c r="I90" s="254"/>
      <c r="J90" s="254" t="s">
        <v>84</v>
      </c>
      <c r="K90" s="254" t="s">
        <v>204</v>
      </c>
      <c r="L90" s="254" t="s">
        <v>324</v>
      </c>
      <c r="M90" s="254" t="s">
        <v>444</v>
      </c>
      <c r="N90" s="256" t="s">
        <v>491</v>
      </c>
      <c r="O90" s="301"/>
      <c r="P90" s="300"/>
      <c r="Q90" s="301"/>
      <c r="R90" s="301"/>
    </row>
    <row r="91" spans="1:18" ht="31.5" x14ac:dyDescent="0.25">
      <c r="A91" s="252" t="s">
        <v>1911</v>
      </c>
      <c r="B91" s="252" t="str">
        <f>HLOOKUP('Getting Started'!H$2,E:I,ROW(),FALSE)</f>
        <v>Equipment</v>
      </c>
      <c r="C91" s="252" t="str">
        <f>HLOOKUP('Getting Started'!H$2,J:N,ROW(),FALSE)</f>
        <v>Manufacturer’s contact person and contact details</v>
      </c>
      <c r="D91" s="252" t="s">
        <v>506</v>
      </c>
      <c r="E91" s="255" t="s">
        <v>513</v>
      </c>
      <c r="F91" s="255" t="s">
        <v>1388</v>
      </c>
      <c r="G91" s="255" t="s">
        <v>1389</v>
      </c>
      <c r="H91" s="255" t="s">
        <v>1390</v>
      </c>
      <c r="I91" s="254"/>
      <c r="J91" s="254" t="s">
        <v>85</v>
      </c>
      <c r="K91" s="254" t="s">
        <v>205</v>
      </c>
      <c r="L91" s="254" t="s">
        <v>325</v>
      </c>
      <c r="M91" s="254" t="s">
        <v>445</v>
      </c>
      <c r="N91" s="256" t="s">
        <v>3304</v>
      </c>
      <c r="O91" s="301"/>
      <c r="P91" s="300"/>
      <c r="Q91" s="301"/>
      <c r="R91" s="301"/>
    </row>
    <row r="92" spans="1:18" ht="15.75" x14ac:dyDescent="0.25">
      <c r="A92" s="252" t="s">
        <v>1912</v>
      </c>
      <c r="B92" s="252" t="str">
        <f>HLOOKUP('Getting Started'!H$2,E:I,ROW(),FALSE)</f>
        <v>Equipment</v>
      </c>
      <c r="C92" s="252" t="str">
        <f>HLOOKUP('Getting Started'!H$2,J:N,ROW(),FALSE)</f>
        <v>Service provider name</v>
      </c>
      <c r="D92" s="252" t="s">
        <v>506</v>
      </c>
      <c r="E92" s="255" t="s">
        <v>513</v>
      </c>
      <c r="F92" s="255" t="s">
        <v>1388</v>
      </c>
      <c r="G92" s="255" t="s">
        <v>1389</v>
      </c>
      <c r="H92" s="255" t="s">
        <v>1390</v>
      </c>
      <c r="I92" s="254"/>
      <c r="J92" s="254" t="s">
        <v>86</v>
      </c>
      <c r="K92" s="254" t="s">
        <v>206</v>
      </c>
      <c r="L92" s="254" t="s">
        <v>326</v>
      </c>
      <c r="M92" s="254" t="s">
        <v>446</v>
      </c>
      <c r="N92" s="256" t="s">
        <v>492</v>
      </c>
      <c r="O92" s="301"/>
      <c r="P92" s="300"/>
      <c r="Q92" s="301"/>
      <c r="R92" s="301"/>
    </row>
    <row r="93" spans="1:18" ht="31.5" x14ac:dyDescent="0.25">
      <c r="A93" s="252" t="s">
        <v>1913</v>
      </c>
      <c r="B93" s="252" t="str">
        <f>HLOOKUP('Getting Started'!H$2,E:I,ROW(),FALSE)</f>
        <v>Equipment</v>
      </c>
      <c r="C93" s="252" t="str">
        <f>HLOOKUP('Getting Started'!H$2,J:N,ROW(),FALSE)</f>
        <v>Service provider’s contact person and contact details</v>
      </c>
      <c r="D93" s="252" t="s">
        <v>506</v>
      </c>
      <c r="E93" s="255" t="s">
        <v>513</v>
      </c>
      <c r="F93" s="255" t="s">
        <v>1388</v>
      </c>
      <c r="G93" s="255" t="s">
        <v>1389</v>
      </c>
      <c r="H93" s="255" t="s">
        <v>1390</v>
      </c>
      <c r="I93" s="254"/>
      <c r="J93" s="254" t="s">
        <v>87</v>
      </c>
      <c r="K93" s="254" t="s">
        <v>207</v>
      </c>
      <c r="L93" s="254" t="s">
        <v>327</v>
      </c>
      <c r="M93" s="254" t="s">
        <v>447</v>
      </c>
      <c r="N93" s="256" t="s">
        <v>3305</v>
      </c>
      <c r="O93" s="301"/>
      <c r="P93" s="300"/>
      <c r="Q93" s="301"/>
      <c r="R93" s="301"/>
    </row>
    <row r="94" spans="1:18" ht="15.75" x14ac:dyDescent="0.25">
      <c r="A94" s="252" t="s">
        <v>1914</v>
      </c>
      <c r="B94" s="252" t="str">
        <f>HLOOKUP('Getting Started'!H$2,E:I,ROW(),FALSE)</f>
        <v>Equipment</v>
      </c>
      <c r="C94" s="252" t="str">
        <f>HLOOKUP('Getting Started'!H$2,J:N,ROW(),FALSE)</f>
        <v>Date of purchase</v>
      </c>
      <c r="D94" s="252" t="s">
        <v>506</v>
      </c>
      <c r="E94" s="255" t="s">
        <v>513</v>
      </c>
      <c r="F94" s="255" t="s">
        <v>1388</v>
      </c>
      <c r="G94" s="255" t="s">
        <v>1389</v>
      </c>
      <c r="H94" s="255" t="s">
        <v>1390</v>
      </c>
      <c r="I94" s="254"/>
      <c r="J94" s="254" t="s">
        <v>88</v>
      </c>
      <c r="K94" s="254" t="s">
        <v>208</v>
      </c>
      <c r="L94" s="254" t="s">
        <v>328</v>
      </c>
      <c r="M94" s="254" t="s">
        <v>448</v>
      </c>
      <c r="N94" s="256" t="s">
        <v>493</v>
      </c>
      <c r="O94" s="301"/>
      <c r="P94" s="300"/>
      <c r="Q94" s="301"/>
      <c r="R94" s="301"/>
    </row>
    <row r="95" spans="1:18" ht="15.75" x14ac:dyDescent="0.25">
      <c r="A95" s="252" t="s">
        <v>1915</v>
      </c>
      <c r="B95" s="252" t="str">
        <f>HLOOKUP('Getting Started'!H$2,E:I,ROW(),FALSE)</f>
        <v>Equipment</v>
      </c>
      <c r="C95" s="252" t="str">
        <f>HLOOKUP('Getting Started'!H$2,J:N,ROW(),FALSE)</f>
        <v>Date of putting into service</v>
      </c>
      <c r="D95" s="252" t="s">
        <v>506</v>
      </c>
      <c r="E95" s="255" t="s">
        <v>513</v>
      </c>
      <c r="F95" s="255" t="s">
        <v>1388</v>
      </c>
      <c r="G95" s="255" t="s">
        <v>1389</v>
      </c>
      <c r="H95" s="255" t="s">
        <v>1390</v>
      </c>
      <c r="I95" s="254"/>
      <c r="J95" s="254" t="s">
        <v>89</v>
      </c>
      <c r="K95" s="254" t="s">
        <v>209</v>
      </c>
      <c r="L95" s="254" t="s">
        <v>329</v>
      </c>
      <c r="M95" s="254" t="s">
        <v>449</v>
      </c>
      <c r="N95" s="256" t="s">
        <v>3306</v>
      </c>
      <c r="O95" s="301"/>
      <c r="P95" s="300"/>
      <c r="Q95" s="301"/>
      <c r="R95" s="301"/>
    </row>
    <row r="96" spans="1:18" ht="15.75" x14ac:dyDescent="0.25">
      <c r="A96" s="252" t="s">
        <v>1916</v>
      </c>
      <c r="B96" s="252" t="str">
        <f>HLOOKUP('Getting Started'!H$2,E:I,ROW(),FALSE)</f>
        <v>Equipment</v>
      </c>
      <c r="C96" s="252" t="str">
        <f>HLOOKUP('Getting Started'!H$2,J:N,ROW(),FALSE)</f>
        <v>Location</v>
      </c>
      <c r="D96" s="252" t="s">
        <v>506</v>
      </c>
      <c r="E96" s="255" t="s">
        <v>513</v>
      </c>
      <c r="F96" s="255" t="s">
        <v>1388</v>
      </c>
      <c r="G96" s="255" t="s">
        <v>1389</v>
      </c>
      <c r="H96" s="255" t="s">
        <v>1390</v>
      </c>
      <c r="I96" s="254"/>
      <c r="J96" s="254" t="s">
        <v>90</v>
      </c>
      <c r="K96" s="254" t="s">
        <v>210</v>
      </c>
      <c r="L96" s="254" t="s">
        <v>330</v>
      </c>
      <c r="M96" s="254" t="s">
        <v>450</v>
      </c>
      <c r="N96" s="256" t="s">
        <v>494</v>
      </c>
      <c r="O96" s="301"/>
      <c r="P96" s="300"/>
      <c r="Q96" s="301"/>
      <c r="R96" s="301"/>
    </row>
    <row r="97" spans="1:18" ht="15.75" x14ac:dyDescent="0.25">
      <c r="A97" s="252" t="s">
        <v>1917</v>
      </c>
      <c r="B97" s="252" t="str">
        <f>HLOOKUP('Getting Started'!H$2,E:I,ROW(),FALSE)</f>
        <v>Equipment</v>
      </c>
      <c r="C97" s="252" t="str">
        <f>HLOOKUP('Getting Started'!H$2,J:N,ROW(),FALSE)</f>
        <v>Condition</v>
      </c>
      <c r="D97" s="252" t="s">
        <v>506</v>
      </c>
      <c r="E97" s="255" t="s">
        <v>513</v>
      </c>
      <c r="F97" s="255" t="s">
        <v>1388</v>
      </c>
      <c r="G97" s="255" t="s">
        <v>1389</v>
      </c>
      <c r="H97" s="255" t="s">
        <v>1390</v>
      </c>
      <c r="I97" s="254"/>
      <c r="J97" s="254" t="s">
        <v>91</v>
      </c>
      <c r="K97" s="254" t="s">
        <v>211</v>
      </c>
      <c r="L97" s="254" t="s">
        <v>331</v>
      </c>
      <c r="M97" s="254" t="s">
        <v>451</v>
      </c>
      <c r="N97" s="256" t="s">
        <v>495</v>
      </c>
      <c r="O97" s="301"/>
      <c r="P97" s="300"/>
      <c r="Q97" s="301"/>
      <c r="R97" s="301"/>
    </row>
    <row r="98" spans="1:18" ht="15.75" x14ac:dyDescent="0.25">
      <c r="A98" s="252" t="s">
        <v>1918</v>
      </c>
      <c r="B98" s="252" t="str">
        <f>HLOOKUP('Getting Started'!H$2,E:I,ROW(),FALSE)</f>
        <v>Equipment</v>
      </c>
      <c r="C98" s="252" t="str">
        <f>HLOOKUP('Getting Started'!H$2,J:N,ROW(),FALSE)</f>
        <v>Frequency of maintenance</v>
      </c>
      <c r="D98" s="252" t="s">
        <v>506</v>
      </c>
      <c r="E98" s="255" t="s">
        <v>513</v>
      </c>
      <c r="F98" s="255" t="s">
        <v>1388</v>
      </c>
      <c r="G98" s="255" t="s">
        <v>1389</v>
      </c>
      <c r="H98" s="255" t="s">
        <v>1390</v>
      </c>
      <c r="I98" s="254"/>
      <c r="J98" s="254" t="s">
        <v>92</v>
      </c>
      <c r="K98" s="254" t="s">
        <v>212</v>
      </c>
      <c r="L98" s="254" t="s">
        <v>332</v>
      </c>
      <c r="M98" s="254" t="s">
        <v>452</v>
      </c>
      <c r="N98" s="256" t="s">
        <v>496</v>
      </c>
      <c r="O98" s="301"/>
      <c r="P98" s="300"/>
      <c r="Q98" s="301"/>
      <c r="R98" s="301"/>
    </row>
    <row r="99" spans="1:18" ht="15.75" x14ac:dyDescent="0.25">
      <c r="A99" s="252" t="s">
        <v>1919</v>
      </c>
      <c r="B99" s="252" t="str">
        <f>HLOOKUP('Getting Started'!H$2,E:I,ROW(),FALSE)</f>
        <v>Equipment</v>
      </c>
      <c r="C99" s="252" t="str">
        <f>HLOOKUP('Getting Started'!H$2,J:N,ROW(),FALSE)</f>
        <v>Date of previous maintenance</v>
      </c>
      <c r="D99" s="252" t="s">
        <v>506</v>
      </c>
      <c r="E99" s="255" t="s">
        <v>513</v>
      </c>
      <c r="F99" s="255" t="s">
        <v>1388</v>
      </c>
      <c r="G99" s="255" t="s">
        <v>1389</v>
      </c>
      <c r="H99" s="255" t="s">
        <v>1390</v>
      </c>
      <c r="I99" s="254"/>
      <c r="J99" s="254" t="s">
        <v>93</v>
      </c>
      <c r="K99" s="254" t="s">
        <v>213</v>
      </c>
      <c r="L99" s="254" t="s">
        <v>333</v>
      </c>
      <c r="M99" s="254" t="s">
        <v>453</v>
      </c>
      <c r="N99" s="256" t="s">
        <v>497</v>
      </c>
      <c r="O99" s="301"/>
      <c r="P99" s="300"/>
      <c r="Q99" s="301"/>
      <c r="R99" s="301"/>
    </row>
    <row r="100" spans="1:18" ht="15.75" x14ac:dyDescent="0.25">
      <c r="A100" s="252" t="s">
        <v>1920</v>
      </c>
      <c r="B100" s="252" t="str">
        <f>HLOOKUP('Getting Started'!H$2,E:I,ROW(),FALSE)</f>
        <v>Equipment</v>
      </c>
      <c r="C100" s="252" t="str">
        <f>HLOOKUP('Getting Started'!H$2,J:N,ROW(),FALSE)</f>
        <v>Date of next scheduled maintenance</v>
      </c>
      <c r="D100" s="252" t="s">
        <v>506</v>
      </c>
      <c r="E100" s="255" t="s">
        <v>513</v>
      </c>
      <c r="F100" s="255" t="s">
        <v>1388</v>
      </c>
      <c r="G100" s="255" t="s">
        <v>1389</v>
      </c>
      <c r="H100" s="255" t="s">
        <v>1390</v>
      </c>
      <c r="I100" s="254"/>
      <c r="J100" s="254" t="s">
        <v>94</v>
      </c>
      <c r="K100" s="254" t="s">
        <v>214</v>
      </c>
      <c r="L100" s="254" t="s">
        <v>334</v>
      </c>
      <c r="M100" s="254" t="s">
        <v>454</v>
      </c>
      <c r="N100" s="256" t="s">
        <v>498</v>
      </c>
      <c r="O100" s="301"/>
      <c r="P100" s="300"/>
      <c r="Q100" s="301"/>
      <c r="R100" s="301"/>
    </row>
    <row r="101" spans="1:18" ht="15.75" x14ac:dyDescent="0.25">
      <c r="A101" s="252" t="s">
        <v>1921</v>
      </c>
      <c r="B101" s="252" t="str">
        <f>HLOOKUP('Getting Started'!H$2,E:I,ROW(),FALSE)</f>
        <v>Equipment</v>
      </c>
      <c r="C101" s="252" t="str">
        <f>HLOOKUP('Getting Started'!H$2,J:N,ROW(),FALSE)</f>
        <v>Remarks</v>
      </c>
      <c r="D101" s="252" t="s">
        <v>506</v>
      </c>
      <c r="E101" s="255" t="s">
        <v>513</v>
      </c>
      <c r="F101" s="255" t="s">
        <v>1388</v>
      </c>
      <c r="G101" s="255" t="s">
        <v>1389</v>
      </c>
      <c r="H101" s="255" t="s">
        <v>1390</v>
      </c>
      <c r="I101" s="254"/>
      <c r="J101" s="254" t="s">
        <v>95</v>
      </c>
      <c r="K101" s="254" t="s">
        <v>215</v>
      </c>
      <c r="L101" s="254" t="s">
        <v>335</v>
      </c>
      <c r="M101" s="254" t="s">
        <v>455</v>
      </c>
      <c r="N101" s="256" t="s">
        <v>499</v>
      </c>
      <c r="O101" s="301"/>
      <c r="P101" s="300"/>
      <c r="Q101" s="301"/>
      <c r="R101" s="301"/>
    </row>
    <row r="102" spans="1:18" ht="25.5" x14ac:dyDescent="0.25">
      <c r="A102" s="252" t="s">
        <v>1553</v>
      </c>
      <c r="B102" s="252" t="str">
        <f>HLOOKUP('Getting Started'!H$2,E:I,ROW(),FALSE)</f>
        <v>Equipment</v>
      </c>
      <c r="C102" s="252" t="str">
        <f>HLOOKUP('Getting Started'!H$2,J:N,ROW(),FALSE)</f>
        <v>Is all critical equipment functional?</v>
      </c>
      <c r="D102" s="252" t="s">
        <v>506</v>
      </c>
      <c r="E102" s="255" t="s">
        <v>513</v>
      </c>
      <c r="F102" s="255" t="s">
        <v>1388</v>
      </c>
      <c r="G102" s="255" t="s">
        <v>1389</v>
      </c>
      <c r="H102" s="255" t="s">
        <v>1390</v>
      </c>
      <c r="I102" s="254"/>
      <c r="J102" s="254" t="s">
        <v>96</v>
      </c>
      <c r="K102" s="254" t="s">
        <v>216</v>
      </c>
      <c r="L102" s="254" t="s">
        <v>336</v>
      </c>
      <c r="M102" s="254" t="s">
        <v>456</v>
      </c>
      <c r="N102" s="256" t="s">
        <v>3307</v>
      </c>
      <c r="O102" s="257" t="s">
        <v>1</v>
      </c>
      <c r="P102" s="257" t="s">
        <v>121</v>
      </c>
      <c r="Q102" s="257" t="s">
        <v>241</v>
      </c>
      <c r="R102" s="257" t="s">
        <v>361</v>
      </c>
    </row>
    <row r="103" spans="1:18" ht="45" x14ac:dyDescent="0.25">
      <c r="A103" s="252" t="s">
        <v>1554</v>
      </c>
      <c r="B103" s="252" t="str">
        <f>HLOOKUP('Getting Started'!H$2,E:I,ROW(),FALSE)</f>
        <v>Equipment</v>
      </c>
      <c r="C103" s="252" t="str">
        <f>HLOOKUP('Getting Started'!H$2,J:N,ROW(),FALSE)</f>
        <v>Has the laboratory identified critical needs for specific pieces of equipment that must be present in order for the piece of equipment to function?</v>
      </c>
      <c r="D103" s="252" t="s">
        <v>506</v>
      </c>
      <c r="E103" s="255" t="s">
        <v>513</v>
      </c>
      <c r="F103" s="255" t="s">
        <v>1388</v>
      </c>
      <c r="G103" s="255" t="s">
        <v>1389</v>
      </c>
      <c r="H103" s="255" t="s">
        <v>1390</v>
      </c>
      <c r="I103" s="254"/>
      <c r="J103" s="254" t="s">
        <v>97</v>
      </c>
      <c r="K103" s="254" t="s">
        <v>217</v>
      </c>
      <c r="L103" s="254" t="s">
        <v>337</v>
      </c>
      <c r="M103" s="254" t="s">
        <v>457</v>
      </c>
      <c r="N103" s="256" t="s">
        <v>3308</v>
      </c>
      <c r="O103" s="257" t="s">
        <v>1</v>
      </c>
      <c r="P103" s="257" t="s">
        <v>121</v>
      </c>
      <c r="Q103" s="257" t="s">
        <v>241</v>
      </c>
      <c r="R103" s="257" t="s">
        <v>361</v>
      </c>
    </row>
    <row r="104" spans="1:18" ht="31.5" x14ac:dyDescent="0.25">
      <c r="A104" s="252" t="s">
        <v>1555</v>
      </c>
      <c r="B104" s="252" t="str">
        <f>HLOOKUP('Getting Started'!H$2,E:I,ROW(),FALSE)</f>
        <v>Equipment</v>
      </c>
      <c r="C104" s="252" t="str">
        <f>HLOOKUP('Getting Started'!H$2,J:N,ROW(),FALSE)</f>
        <v>Are SOPs present for all pieces of equipment?</v>
      </c>
      <c r="D104" s="252" t="s">
        <v>506</v>
      </c>
      <c r="E104" s="255" t="s">
        <v>513</v>
      </c>
      <c r="F104" s="255" t="s">
        <v>1388</v>
      </c>
      <c r="G104" s="255" t="s">
        <v>1389</v>
      </c>
      <c r="H104" s="255" t="s">
        <v>1390</v>
      </c>
      <c r="I104" s="254"/>
      <c r="J104" s="254" t="s">
        <v>98</v>
      </c>
      <c r="K104" s="254" t="s">
        <v>218</v>
      </c>
      <c r="L104" s="254" t="s">
        <v>338</v>
      </c>
      <c r="M104" s="254" t="s">
        <v>458</v>
      </c>
      <c r="N104" s="256" t="s">
        <v>3309</v>
      </c>
      <c r="O104" s="257" t="s">
        <v>1</v>
      </c>
      <c r="P104" s="257" t="s">
        <v>121</v>
      </c>
      <c r="Q104" s="257" t="s">
        <v>241</v>
      </c>
      <c r="R104" s="257" t="s">
        <v>361</v>
      </c>
    </row>
    <row r="105" spans="1:18" ht="47.25" x14ac:dyDescent="0.25">
      <c r="A105" s="252" t="s">
        <v>1556</v>
      </c>
      <c r="B105" s="252" t="str">
        <f>HLOOKUP('Getting Started'!H$2,E:I,ROW(),FALSE)</f>
        <v>Equipment</v>
      </c>
      <c r="C105" s="252" t="str">
        <f>HLOOKUP('Getting Started'!H$2,J:N,ROW(),FALSE)</f>
        <v>Are Equipment SOPs written in accordance with the procedure described in the Master SOP?</v>
      </c>
      <c r="D105" s="252" t="s">
        <v>506</v>
      </c>
      <c r="E105" s="255" t="s">
        <v>513</v>
      </c>
      <c r="F105" s="255" t="s">
        <v>1388</v>
      </c>
      <c r="G105" s="255" t="s">
        <v>1389</v>
      </c>
      <c r="H105" s="255" t="s">
        <v>1390</v>
      </c>
      <c r="I105" s="254"/>
      <c r="J105" s="254" t="s">
        <v>99</v>
      </c>
      <c r="K105" s="254" t="s">
        <v>219</v>
      </c>
      <c r="L105" s="254" t="s">
        <v>339</v>
      </c>
      <c r="M105" s="254" t="s">
        <v>459</v>
      </c>
      <c r="N105" s="256" t="s">
        <v>3310</v>
      </c>
      <c r="O105" s="257" t="s">
        <v>1</v>
      </c>
      <c r="P105" s="257" t="s">
        <v>121</v>
      </c>
      <c r="Q105" s="257" t="s">
        <v>241</v>
      </c>
      <c r="R105" s="257" t="s">
        <v>361</v>
      </c>
    </row>
    <row r="106" spans="1:18" ht="51" x14ac:dyDescent="0.25">
      <c r="A106" s="252" t="s">
        <v>1557</v>
      </c>
      <c r="B106" s="252" t="str">
        <f>HLOOKUP('Getting Started'!H$2,E:I,ROW(),FALSE)</f>
        <v>Equipment</v>
      </c>
      <c r="C106" s="252" t="str">
        <f>HLOOKUP('Getting Started'!H$2,J:N,ROW(),FALSE)</f>
        <v>Are Equipment SOPs stored at a logical location (near the equipment they have been written for), accessible to all staff members?</v>
      </c>
      <c r="D106" s="252" t="s">
        <v>506</v>
      </c>
      <c r="E106" s="255" t="s">
        <v>513</v>
      </c>
      <c r="F106" s="255" t="s">
        <v>1388</v>
      </c>
      <c r="G106" s="255" t="s">
        <v>1389</v>
      </c>
      <c r="H106" s="255" t="s">
        <v>1390</v>
      </c>
      <c r="I106" s="254"/>
      <c r="J106" s="254" t="s">
        <v>100</v>
      </c>
      <c r="K106" s="254" t="s">
        <v>220</v>
      </c>
      <c r="L106" s="254" t="s">
        <v>340</v>
      </c>
      <c r="M106" s="254" t="s">
        <v>460</v>
      </c>
      <c r="N106" s="256" t="s">
        <v>3311</v>
      </c>
      <c r="O106" s="257" t="s">
        <v>1</v>
      </c>
      <c r="P106" s="257" t="s">
        <v>121</v>
      </c>
      <c r="Q106" s="257" t="s">
        <v>241</v>
      </c>
      <c r="R106" s="257" t="s">
        <v>361</v>
      </c>
    </row>
    <row r="107" spans="1:18" ht="31.5" x14ac:dyDescent="0.25">
      <c r="A107" s="252" t="s">
        <v>1558</v>
      </c>
      <c r="B107" s="252" t="str">
        <f>HLOOKUP('Getting Started'!H$2,E:I,ROW(),FALSE)</f>
        <v>Equipment</v>
      </c>
      <c r="C107" s="252" t="str">
        <f>HLOOKUP('Getting Started'!H$2,J:N,ROW(),FALSE)</f>
        <v>Have staff members demonstrably read the SOPs that are relevant for them?</v>
      </c>
      <c r="D107" s="252" t="s">
        <v>506</v>
      </c>
      <c r="E107" s="255" t="s">
        <v>513</v>
      </c>
      <c r="F107" s="255" t="s">
        <v>1388</v>
      </c>
      <c r="G107" s="255" t="s">
        <v>1389</v>
      </c>
      <c r="H107" s="255" t="s">
        <v>1390</v>
      </c>
      <c r="I107" s="254"/>
      <c r="J107" s="254" t="s">
        <v>101</v>
      </c>
      <c r="K107" s="254" t="s">
        <v>221</v>
      </c>
      <c r="L107" s="254" t="s">
        <v>341</v>
      </c>
      <c r="M107" s="254" t="s">
        <v>461</v>
      </c>
      <c r="N107" s="256" t="s">
        <v>3312</v>
      </c>
      <c r="O107" s="257" t="s">
        <v>1</v>
      </c>
      <c r="P107" s="257" t="s">
        <v>121</v>
      </c>
      <c r="Q107" s="257" t="s">
        <v>241</v>
      </c>
      <c r="R107" s="257" t="s">
        <v>361</v>
      </c>
    </row>
    <row r="108" spans="1:18" ht="90" x14ac:dyDescent="0.25">
      <c r="A108" s="252" t="s">
        <v>1559</v>
      </c>
      <c r="B108" s="252" t="str">
        <f>HLOOKUP('Getting Started'!H$2,E:I,ROW(),FALSE)</f>
        <v>Puchasing and Inventory</v>
      </c>
      <c r="C108" s="252" t="str">
        <f>HLOOKUP('Getting Started'!H$2,J:N,ROW(),FALSE)</f>
        <v>Are all items available in the laboratory stock recorded in a Stock Inventory Register?
Take a sample by checking for two or three supplies in the stock if their Stock Cards are in the Stock Inventory Register and check if the Stock Cards are up-to-date.</v>
      </c>
      <c r="D108" s="252" t="s">
        <v>506</v>
      </c>
      <c r="E108" s="255" t="s">
        <v>514</v>
      </c>
      <c r="F108" s="255" t="s">
        <v>1926</v>
      </c>
      <c r="G108" s="255" t="s">
        <v>1406</v>
      </c>
      <c r="H108" s="255" t="s">
        <v>1407</v>
      </c>
      <c r="I108" s="254"/>
      <c r="J108" s="254" t="s">
        <v>1922</v>
      </c>
      <c r="K108" s="254" t="s">
        <v>1923</v>
      </c>
      <c r="L108" s="254" t="s">
        <v>1924</v>
      </c>
      <c r="M108" s="254" t="s">
        <v>1925</v>
      </c>
      <c r="N108" s="256" t="s">
        <v>3313</v>
      </c>
      <c r="O108" s="257" t="s">
        <v>1</v>
      </c>
      <c r="P108" s="257" t="s">
        <v>121</v>
      </c>
      <c r="Q108" s="257" t="s">
        <v>241</v>
      </c>
      <c r="R108" s="257" t="s">
        <v>361</v>
      </c>
    </row>
    <row r="109" spans="1:18" ht="48" x14ac:dyDescent="0.25">
      <c r="A109" s="252" t="s">
        <v>1560</v>
      </c>
      <c r="B109" s="252" t="str">
        <f>HLOOKUP('Getting Started'!H$2,E:I,ROW(),FALSE)</f>
        <v>Puchasing and Inventory</v>
      </c>
      <c r="C109" s="252" t="str">
        <f>HLOOKUP('Getting Started'!H$2,J:N,ROW(),FALSE)</f>
        <v>Is the stock register in accordance with the actual stock (i.e. is it up-to-date)?</v>
      </c>
      <c r="D109" s="252" t="s">
        <v>506</v>
      </c>
      <c r="E109" s="255" t="s">
        <v>514</v>
      </c>
      <c r="F109" s="255" t="s">
        <v>1926</v>
      </c>
      <c r="G109" s="255" t="s">
        <v>1406</v>
      </c>
      <c r="H109" s="255" t="s">
        <v>1407</v>
      </c>
      <c r="I109" s="254"/>
      <c r="J109" s="254" t="s">
        <v>102</v>
      </c>
      <c r="K109" s="254" t="s">
        <v>222</v>
      </c>
      <c r="L109" s="254" t="s">
        <v>342</v>
      </c>
      <c r="M109" s="254" t="s">
        <v>462</v>
      </c>
      <c r="N109" s="256" t="s">
        <v>500</v>
      </c>
      <c r="O109" s="257" t="s">
        <v>1</v>
      </c>
      <c r="P109" s="257" t="s">
        <v>121</v>
      </c>
      <c r="Q109" s="257" t="s">
        <v>241</v>
      </c>
      <c r="R109" s="257" t="s">
        <v>361</v>
      </c>
    </row>
    <row r="110" spans="1:18" ht="63.75" x14ac:dyDescent="0.25">
      <c r="A110" s="252" t="s">
        <v>1561</v>
      </c>
      <c r="B110" s="252" t="str">
        <f>HLOOKUP('Getting Started'!H$2,E:I,ROW(),FALSE)</f>
        <v>Puchasing and Inventory</v>
      </c>
      <c r="C110" s="252" t="str">
        <f>HLOOKUP('Getting Started'!H$2,J:N,ROW(),FALSE)</f>
        <v>Do staff members know the correct procedure of taking items from the stock?
Take a sample by asking random staff members.</v>
      </c>
      <c r="D110" s="252" t="s">
        <v>506</v>
      </c>
      <c r="E110" s="255" t="s">
        <v>514</v>
      </c>
      <c r="F110" s="255" t="s">
        <v>1926</v>
      </c>
      <c r="G110" s="255" t="s">
        <v>1406</v>
      </c>
      <c r="H110" s="255" t="s">
        <v>1407</v>
      </c>
      <c r="I110" s="254"/>
      <c r="J110" s="254" t="s">
        <v>1880</v>
      </c>
      <c r="K110" s="254" t="s">
        <v>1881</v>
      </c>
      <c r="L110" s="254" t="s">
        <v>1882</v>
      </c>
      <c r="M110" s="254" t="s">
        <v>1883</v>
      </c>
      <c r="N110" s="256" t="s">
        <v>3314</v>
      </c>
      <c r="O110" s="257" t="s">
        <v>1</v>
      </c>
      <c r="P110" s="257" t="s">
        <v>121</v>
      </c>
      <c r="Q110" s="257" t="s">
        <v>241</v>
      </c>
      <c r="R110" s="257" t="s">
        <v>361</v>
      </c>
    </row>
    <row r="111" spans="1:18" ht="31.5" x14ac:dyDescent="0.25">
      <c r="A111" s="252" t="s">
        <v>1562</v>
      </c>
      <c r="B111" s="252" t="str">
        <f>HLOOKUP('Getting Started'!H$2,E:I,ROW(),FALSE)</f>
        <v>Process Management</v>
      </c>
      <c r="C111" s="252" t="str">
        <f>HLOOKUP('Getting Started'!H$2,J:N,ROW(),FALSE)</f>
        <v>Does the laboratory have a Request Form that includes at least the following details (tick off):</v>
      </c>
      <c r="D111" s="252" t="s">
        <v>506</v>
      </c>
      <c r="E111" s="255" t="s">
        <v>515</v>
      </c>
      <c r="F111" s="255" t="s">
        <v>1402</v>
      </c>
      <c r="G111" s="255" t="s">
        <v>1403</v>
      </c>
      <c r="H111" s="255" t="s">
        <v>1404</v>
      </c>
      <c r="I111" s="254"/>
      <c r="J111" s="254" t="s">
        <v>103</v>
      </c>
      <c r="K111" s="254" t="s">
        <v>223</v>
      </c>
      <c r="L111" s="254" t="s">
        <v>343</v>
      </c>
      <c r="M111" s="254" t="s">
        <v>463</v>
      </c>
      <c r="N111" s="256" t="s">
        <v>3315</v>
      </c>
      <c r="O111" s="301" t="s">
        <v>1</v>
      </c>
      <c r="P111" s="300" t="s">
        <v>121</v>
      </c>
      <c r="Q111" s="301" t="s">
        <v>241</v>
      </c>
      <c r="R111" s="301" t="s">
        <v>361</v>
      </c>
    </row>
    <row r="112" spans="1:18" ht="31.5" x14ac:dyDescent="0.25">
      <c r="A112" s="252" t="s">
        <v>1927</v>
      </c>
      <c r="B112" s="252" t="str">
        <f>HLOOKUP('Getting Started'!H$2,E:I,ROW(),FALSE)</f>
        <v>Process Management</v>
      </c>
      <c r="C112" s="252" t="str">
        <f>HLOOKUP('Getting Started'!H$2,J:N,ROW(),FALSE)</f>
        <v>Patient details (name, address, telephone number, birth date, gender, etc.)</v>
      </c>
      <c r="D112" s="252" t="s">
        <v>506</v>
      </c>
      <c r="E112" s="255" t="s">
        <v>515</v>
      </c>
      <c r="F112" s="255" t="s">
        <v>1402</v>
      </c>
      <c r="G112" s="255" t="s">
        <v>1403</v>
      </c>
      <c r="H112" s="255" t="s">
        <v>1404</v>
      </c>
      <c r="I112" s="254"/>
      <c r="J112" s="254" t="s">
        <v>104</v>
      </c>
      <c r="K112" s="254" t="s">
        <v>224</v>
      </c>
      <c r="L112" s="254" t="s">
        <v>344</v>
      </c>
      <c r="M112" s="254" t="s">
        <v>464</v>
      </c>
      <c r="N112" s="256" t="s">
        <v>501</v>
      </c>
      <c r="O112" s="301"/>
      <c r="P112" s="300"/>
      <c r="Q112" s="301"/>
      <c r="R112" s="301"/>
    </row>
    <row r="113" spans="1:18" ht="24" x14ac:dyDescent="0.25">
      <c r="A113" s="252" t="s">
        <v>1928</v>
      </c>
      <c r="B113" s="252" t="str">
        <f>HLOOKUP('Getting Started'!H$2,E:I,ROW(),FALSE)</f>
        <v>Process Management</v>
      </c>
      <c r="C113" s="252" t="str">
        <f>HLOOKUP('Getting Started'!H$2,J:N,ROW(),FALSE)</f>
        <v>Requester details</v>
      </c>
      <c r="D113" s="252" t="s">
        <v>506</v>
      </c>
      <c r="E113" s="255" t="s">
        <v>515</v>
      </c>
      <c r="F113" s="255" t="s">
        <v>1402</v>
      </c>
      <c r="G113" s="255" t="s">
        <v>1403</v>
      </c>
      <c r="H113" s="255" t="s">
        <v>1404</v>
      </c>
      <c r="I113" s="254"/>
      <c r="J113" s="254" t="s">
        <v>105</v>
      </c>
      <c r="K113" s="254" t="s">
        <v>225</v>
      </c>
      <c r="L113" s="254" t="s">
        <v>345</v>
      </c>
      <c r="M113" s="254" t="s">
        <v>465</v>
      </c>
      <c r="N113" s="256" t="s">
        <v>502</v>
      </c>
      <c r="O113" s="301"/>
      <c r="P113" s="300"/>
      <c r="Q113" s="301"/>
      <c r="R113" s="301"/>
    </row>
    <row r="114" spans="1:18" ht="24" x14ac:dyDescent="0.25">
      <c r="A114" s="252" t="s">
        <v>1929</v>
      </c>
      <c r="B114" s="252" t="str">
        <f>HLOOKUP('Getting Started'!H$2,E:I,ROW(),FALSE)</f>
        <v>Process Management</v>
      </c>
      <c r="C114" s="252" t="str">
        <f>HLOOKUP('Getting Started'!H$2,J:N,ROW(),FALSE)</f>
        <v>Type of primary sample</v>
      </c>
      <c r="D114" s="252" t="s">
        <v>506</v>
      </c>
      <c r="E114" s="255" t="s">
        <v>515</v>
      </c>
      <c r="F114" s="255" t="s">
        <v>1402</v>
      </c>
      <c r="G114" s="255" t="s">
        <v>1403</v>
      </c>
      <c r="H114" s="255" t="s">
        <v>1404</v>
      </c>
      <c r="I114" s="254"/>
      <c r="J114" s="254" t="s">
        <v>106</v>
      </c>
      <c r="K114" s="254" t="s">
        <v>226</v>
      </c>
      <c r="L114" s="254" t="s">
        <v>346</v>
      </c>
      <c r="M114" s="254" t="s">
        <v>466</v>
      </c>
      <c r="N114" s="256" t="s">
        <v>3316</v>
      </c>
      <c r="O114" s="301"/>
      <c r="P114" s="300"/>
      <c r="Q114" s="301"/>
      <c r="R114" s="301"/>
    </row>
    <row r="115" spans="1:18" ht="24" x14ac:dyDescent="0.25">
      <c r="A115" s="252" t="s">
        <v>1930</v>
      </c>
      <c r="B115" s="252" t="str">
        <f>HLOOKUP('Getting Started'!H$2,E:I,ROW(),FALSE)</f>
        <v>Process Management</v>
      </c>
      <c r="C115" s="252" t="str">
        <f>HLOOKUP('Getting Started'!H$2,J:N,ROW(),FALSE)</f>
        <v>Examination(s) requested</v>
      </c>
      <c r="D115" s="252" t="s">
        <v>506</v>
      </c>
      <c r="E115" s="255" t="s">
        <v>515</v>
      </c>
      <c r="F115" s="255" t="s">
        <v>1402</v>
      </c>
      <c r="G115" s="255" t="s">
        <v>1403</v>
      </c>
      <c r="H115" s="255" t="s">
        <v>1404</v>
      </c>
      <c r="I115" s="254"/>
      <c r="J115" s="254" t="s">
        <v>107</v>
      </c>
      <c r="K115" s="254" t="s">
        <v>227</v>
      </c>
      <c r="L115" s="254" t="s">
        <v>347</v>
      </c>
      <c r="M115" s="254" t="s">
        <v>467</v>
      </c>
      <c r="N115" s="256" t="s">
        <v>504</v>
      </c>
      <c r="O115" s="301"/>
      <c r="P115" s="300"/>
      <c r="Q115" s="301"/>
      <c r="R115" s="301"/>
    </row>
    <row r="116" spans="1:18" ht="31.5" x14ac:dyDescent="0.25">
      <c r="A116" s="252" t="s">
        <v>1931</v>
      </c>
      <c r="B116" s="252" t="str">
        <f>HLOOKUP('Getting Started'!H$2,E:I,ROW(),FALSE)</f>
        <v>Process Management</v>
      </c>
      <c r="C116" s="252" t="str">
        <f>HLOOKUP('Getting Started'!H$2,J:N,ROW(),FALSE)</f>
        <v>Clinical information relevant to the laboratory (HIV status, CD4 count, etc)</v>
      </c>
      <c r="D116" s="252" t="s">
        <v>506</v>
      </c>
      <c r="E116" s="255" t="s">
        <v>515</v>
      </c>
      <c r="F116" s="255" t="s">
        <v>1402</v>
      </c>
      <c r="G116" s="255" t="s">
        <v>1403</v>
      </c>
      <c r="H116" s="255" t="s">
        <v>1404</v>
      </c>
      <c r="I116" s="254"/>
      <c r="J116" s="254" t="s">
        <v>108</v>
      </c>
      <c r="K116" s="254" t="s">
        <v>228</v>
      </c>
      <c r="L116" s="254" t="s">
        <v>348</v>
      </c>
      <c r="M116" s="254" t="s">
        <v>468</v>
      </c>
      <c r="N116" s="256" t="s">
        <v>505</v>
      </c>
      <c r="O116" s="301"/>
      <c r="P116" s="300"/>
      <c r="Q116" s="301"/>
      <c r="R116" s="301"/>
    </row>
    <row r="117" spans="1:18" ht="24" x14ac:dyDescent="0.25">
      <c r="A117" s="252" t="s">
        <v>1932</v>
      </c>
      <c r="B117" s="252" t="str">
        <f>HLOOKUP('Getting Started'!H$2,E:I,ROW(),FALSE)</f>
        <v>Process Management</v>
      </c>
      <c r="C117" s="252" t="str">
        <f>HLOOKUP('Getting Started'!H$2,J:N,ROW(),FALSE)</f>
        <v>Date, time and place of sample collection</v>
      </c>
      <c r="D117" s="252" t="s">
        <v>506</v>
      </c>
      <c r="E117" s="255" t="s">
        <v>515</v>
      </c>
      <c r="F117" s="255" t="s">
        <v>1402</v>
      </c>
      <c r="G117" s="255" t="s">
        <v>1403</v>
      </c>
      <c r="H117" s="255" t="s">
        <v>1404</v>
      </c>
      <c r="I117" s="254"/>
      <c r="J117" s="254" t="s">
        <v>109</v>
      </c>
      <c r="K117" s="254" t="s">
        <v>229</v>
      </c>
      <c r="L117" s="254" t="s">
        <v>349</v>
      </c>
      <c r="M117" s="254" t="s">
        <v>469</v>
      </c>
      <c r="N117" s="256" t="s">
        <v>3317</v>
      </c>
      <c r="O117" s="301"/>
      <c r="P117" s="300"/>
      <c r="Q117" s="301"/>
      <c r="R117" s="301"/>
    </row>
    <row r="118" spans="1:18" ht="31.5" x14ac:dyDescent="0.25">
      <c r="A118" s="252" t="s">
        <v>1933</v>
      </c>
      <c r="B118" s="252" t="str">
        <f>HLOOKUP('Getting Started'!H$2,E:I,ROW(),FALSE)</f>
        <v>Process Management</v>
      </c>
      <c r="C118" s="252" t="str">
        <f>HLOOKUP('Getting Started'!H$2,J:N,ROW(),FALSE)</f>
        <v>Date and time of receipt of the sample at the laboratory</v>
      </c>
      <c r="D118" s="252" t="s">
        <v>506</v>
      </c>
      <c r="E118" s="255" t="s">
        <v>515</v>
      </c>
      <c r="F118" s="255" t="s">
        <v>1402</v>
      </c>
      <c r="G118" s="255" t="s">
        <v>1403</v>
      </c>
      <c r="H118" s="255" t="s">
        <v>1404</v>
      </c>
      <c r="I118" s="254"/>
      <c r="J118" s="254" t="s">
        <v>110</v>
      </c>
      <c r="K118" s="254" t="s">
        <v>230</v>
      </c>
      <c r="L118" s="254" t="s">
        <v>350</v>
      </c>
      <c r="M118" s="254" t="s">
        <v>470</v>
      </c>
      <c r="N118" s="256" t="s">
        <v>3318</v>
      </c>
      <c r="O118" s="301"/>
      <c r="P118" s="300"/>
      <c r="Q118" s="301"/>
      <c r="R118" s="301"/>
    </row>
    <row r="119" spans="1:18" ht="25.5" x14ac:dyDescent="0.25">
      <c r="A119" s="252" t="s">
        <v>1563</v>
      </c>
      <c r="B119" s="252" t="str">
        <f>HLOOKUP('Getting Started'!H$2,E:I,ROW(),FALSE)</f>
        <v>Process Management</v>
      </c>
      <c r="C119" s="252" t="str">
        <f>HLOOKUP('Getting Started'!H$2,J:N,ROW(),FALSE)</f>
        <v>Is the Request Form for Laboratory Testing clear?</v>
      </c>
      <c r="D119" s="252" t="s">
        <v>506</v>
      </c>
      <c r="E119" s="255" t="s">
        <v>515</v>
      </c>
      <c r="F119" s="255" t="s">
        <v>1402</v>
      </c>
      <c r="G119" s="255" t="s">
        <v>1403</v>
      </c>
      <c r="H119" s="255" t="s">
        <v>1404</v>
      </c>
      <c r="I119" s="254"/>
      <c r="J119" s="254" t="s">
        <v>111</v>
      </c>
      <c r="K119" s="254" t="s">
        <v>231</v>
      </c>
      <c r="L119" s="254" t="s">
        <v>351</v>
      </c>
      <c r="M119" s="254" t="s">
        <v>471</v>
      </c>
      <c r="N119" s="256" t="s">
        <v>3319</v>
      </c>
      <c r="O119" s="257" t="s">
        <v>1</v>
      </c>
      <c r="P119" s="257" t="s">
        <v>121</v>
      </c>
      <c r="Q119" s="257" t="s">
        <v>241</v>
      </c>
      <c r="R119" s="257" t="s">
        <v>361</v>
      </c>
    </row>
    <row r="120" spans="1:18" ht="38.25" x14ac:dyDescent="0.25">
      <c r="A120" s="252" t="s">
        <v>1564</v>
      </c>
      <c r="B120" s="252" t="str">
        <f>HLOOKUP('Getting Started'!H$2,E:I,ROW(),FALSE)</f>
        <v>Process Management</v>
      </c>
      <c r="C120" s="252" t="str">
        <f>HLOOKUP('Getting Started'!H$2,J:N,ROW(),FALSE)</f>
        <v>Does the Request Form for Laboratory Testing provide clear guidance on how it should be filled-out?</v>
      </c>
      <c r="D120" s="252" t="s">
        <v>506</v>
      </c>
      <c r="E120" s="255" t="s">
        <v>515</v>
      </c>
      <c r="F120" s="255" t="s">
        <v>1402</v>
      </c>
      <c r="G120" s="255" t="s">
        <v>1403</v>
      </c>
      <c r="H120" s="255" t="s">
        <v>1404</v>
      </c>
      <c r="I120" s="254"/>
      <c r="J120" s="254" t="s">
        <v>112</v>
      </c>
      <c r="K120" s="254" t="s">
        <v>232</v>
      </c>
      <c r="L120" s="254" t="s">
        <v>352</v>
      </c>
      <c r="M120" s="254" t="s">
        <v>472</v>
      </c>
      <c r="N120" s="256" t="s">
        <v>3320</v>
      </c>
      <c r="O120" s="257" t="s">
        <v>1</v>
      </c>
      <c r="P120" s="257" t="s">
        <v>121</v>
      </c>
      <c r="Q120" s="257" t="s">
        <v>241</v>
      </c>
      <c r="R120" s="257" t="s">
        <v>361</v>
      </c>
    </row>
    <row r="121" spans="1:18" ht="47.25" x14ac:dyDescent="0.25">
      <c r="A121" s="252" t="s">
        <v>1565</v>
      </c>
      <c r="B121" s="252" t="str">
        <f>HLOOKUP('Getting Started'!H$2,E:I,ROW(),FALSE)</f>
        <v>Process Management</v>
      </c>
      <c r="C121" s="252" t="str">
        <f>HLOOKUP('Getting Started'!H$2,J:N,ROW(),FALSE)</f>
        <v>Has the laboratory identified and listed all the tests performed to determine which SOPs need to be written?</v>
      </c>
      <c r="D121" s="252" t="s">
        <v>506</v>
      </c>
      <c r="E121" s="255" t="s">
        <v>515</v>
      </c>
      <c r="F121" s="255" t="s">
        <v>1402</v>
      </c>
      <c r="G121" s="255" t="s">
        <v>1403</v>
      </c>
      <c r="H121" s="255" t="s">
        <v>1404</v>
      </c>
      <c r="I121" s="254"/>
      <c r="J121" s="254" t="s">
        <v>113</v>
      </c>
      <c r="K121" s="254" t="s">
        <v>233</v>
      </c>
      <c r="L121" s="254" t="s">
        <v>353</v>
      </c>
      <c r="M121" s="254" t="s">
        <v>473</v>
      </c>
      <c r="N121" s="256" t="s">
        <v>3321</v>
      </c>
      <c r="O121" s="257" t="s">
        <v>1</v>
      </c>
      <c r="P121" s="257" t="s">
        <v>121</v>
      </c>
      <c r="Q121" s="257" t="s">
        <v>241</v>
      </c>
      <c r="R121" s="257" t="s">
        <v>361</v>
      </c>
    </row>
    <row r="122" spans="1:18" ht="31.5" x14ac:dyDescent="0.25">
      <c r="A122" s="252" t="s">
        <v>1566</v>
      </c>
      <c r="B122" s="252" t="str">
        <f>HLOOKUP('Getting Started'!H$2,E:I,ROW(),FALSE)</f>
        <v>Process Management</v>
      </c>
      <c r="C122" s="252" t="str">
        <f>HLOOKUP('Getting Started'!H$2,J:N,ROW(),FALSE)</f>
        <v>Have SOPs been written for all the tests routinely performed at the laboratory?</v>
      </c>
      <c r="D122" s="252" t="s">
        <v>506</v>
      </c>
      <c r="E122" s="255" t="s">
        <v>515</v>
      </c>
      <c r="F122" s="255" t="s">
        <v>1402</v>
      </c>
      <c r="G122" s="255" t="s">
        <v>1403</v>
      </c>
      <c r="H122" s="255" t="s">
        <v>1404</v>
      </c>
      <c r="I122" s="254"/>
      <c r="J122" s="254" t="s">
        <v>114</v>
      </c>
      <c r="K122" s="254" t="s">
        <v>234</v>
      </c>
      <c r="L122" s="254" t="s">
        <v>354</v>
      </c>
      <c r="M122" s="254" t="s">
        <v>474</v>
      </c>
      <c r="N122" s="256" t="s">
        <v>3322</v>
      </c>
      <c r="O122" s="257" t="s">
        <v>1</v>
      </c>
      <c r="P122" s="257" t="s">
        <v>121</v>
      </c>
      <c r="Q122" s="257" t="s">
        <v>241</v>
      </c>
      <c r="R122" s="257" t="s">
        <v>361</v>
      </c>
    </row>
    <row r="123" spans="1:18" ht="47.25" x14ac:dyDescent="0.25">
      <c r="A123" s="252" t="s">
        <v>1567</v>
      </c>
      <c r="B123" s="252" t="str">
        <f>HLOOKUP('Getting Started'!H$2,E:I,ROW(),FALSE)</f>
        <v>Process Management</v>
      </c>
      <c r="C123" s="252" t="str">
        <f>HLOOKUP('Getting Started'!H$2,J:N,ROW(),FALSE)</f>
        <v>Have all SOPs been written according to the procedures described in the Master SOP?</v>
      </c>
      <c r="D123" s="252" t="s">
        <v>506</v>
      </c>
      <c r="E123" s="255" t="s">
        <v>515</v>
      </c>
      <c r="F123" s="255" t="s">
        <v>1402</v>
      </c>
      <c r="G123" s="255" t="s">
        <v>1403</v>
      </c>
      <c r="H123" s="255" t="s">
        <v>1404</v>
      </c>
      <c r="I123" s="254"/>
      <c r="J123" s="254" t="s">
        <v>115</v>
      </c>
      <c r="K123" s="254" t="s">
        <v>235</v>
      </c>
      <c r="L123" s="254" t="s">
        <v>355</v>
      </c>
      <c r="M123" s="254" t="s">
        <v>475</v>
      </c>
      <c r="N123" s="256" t="s">
        <v>3323</v>
      </c>
      <c r="O123" s="257" t="s">
        <v>1</v>
      </c>
      <c r="P123" s="257" t="s">
        <v>121</v>
      </c>
      <c r="Q123" s="257" t="s">
        <v>241</v>
      </c>
      <c r="R123" s="257" t="s">
        <v>361</v>
      </c>
    </row>
    <row r="124" spans="1:18" ht="47.25" x14ac:dyDescent="0.25">
      <c r="A124" s="252" t="s">
        <v>1568</v>
      </c>
      <c r="B124" s="252" t="str">
        <f>HLOOKUP('Getting Started'!H$2,E:I,ROW(),FALSE)</f>
        <v>Process Management</v>
      </c>
      <c r="C124" s="252" t="str">
        <f>HLOOKUP('Getting Started'!H$2,J:N,ROW(),FALSE)</f>
        <v>Do all SOPs have the same structure and lay-out, complying with the guidelines of the Master SOP?</v>
      </c>
      <c r="D124" s="252" t="s">
        <v>506</v>
      </c>
      <c r="E124" s="255" t="s">
        <v>515</v>
      </c>
      <c r="F124" s="255" t="s">
        <v>1402</v>
      </c>
      <c r="G124" s="255" t="s">
        <v>1403</v>
      </c>
      <c r="H124" s="255" t="s">
        <v>1404</v>
      </c>
      <c r="I124" s="254"/>
      <c r="J124" s="254" t="s">
        <v>116</v>
      </c>
      <c r="K124" s="254" t="s">
        <v>236</v>
      </c>
      <c r="L124" s="254" t="s">
        <v>356</v>
      </c>
      <c r="M124" s="254" t="s">
        <v>476</v>
      </c>
      <c r="N124" s="256" t="s">
        <v>3324</v>
      </c>
      <c r="O124" s="257" t="s">
        <v>1</v>
      </c>
      <c r="P124" s="257" t="s">
        <v>121</v>
      </c>
      <c r="Q124" s="257" t="s">
        <v>241</v>
      </c>
      <c r="R124" s="257" t="s">
        <v>361</v>
      </c>
    </row>
    <row r="125" spans="1:18" ht="31.5" x14ac:dyDescent="0.25">
      <c r="A125" s="252" t="s">
        <v>1569</v>
      </c>
      <c r="B125" s="252" t="str">
        <f>HLOOKUP('Getting Started'!H$2,E:I,ROW(),FALSE)</f>
        <v>Documents and records</v>
      </c>
      <c r="C125" s="252" t="str">
        <f>HLOOKUP('Getting Started'!H$2,J:N,ROW(),FALSE)</f>
        <v>Does the laboratory have a Master SOP that explains how to write SOPs?</v>
      </c>
      <c r="D125" s="252" t="s">
        <v>506</v>
      </c>
      <c r="E125" s="255" t="s">
        <v>516</v>
      </c>
      <c r="F125" s="255" t="s">
        <v>1385</v>
      </c>
      <c r="G125" s="255" t="s">
        <v>1386</v>
      </c>
      <c r="H125" s="255" t="s">
        <v>1387</v>
      </c>
      <c r="I125" s="254"/>
      <c r="J125" s="254" t="s">
        <v>117</v>
      </c>
      <c r="K125" s="254" t="s">
        <v>237</v>
      </c>
      <c r="L125" s="254" t="s">
        <v>357</v>
      </c>
      <c r="M125" s="254" t="s">
        <v>477</v>
      </c>
      <c r="N125" s="256" t="s">
        <v>3325</v>
      </c>
      <c r="O125" s="257" t="s">
        <v>1</v>
      </c>
      <c r="P125" s="257" t="s">
        <v>121</v>
      </c>
      <c r="Q125" s="257" t="s">
        <v>241</v>
      </c>
      <c r="R125" s="257" t="s">
        <v>361</v>
      </c>
    </row>
    <row r="126" spans="1:18" ht="63" x14ac:dyDescent="0.25">
      <c r="A126" s="252" t="s">
        <v>1570</v>
      </c>
      <c r="B126" s="252" t="str">
        <f>HLOOKUP('Getting Started'!H$2,E:I,ROW(),FALSE)</f>
        <v>Documents and records</v>
      </c>
      <c r="C126" s="252" t="str">
        <f>HLOOKUP('Getting Started'!H$2,J:N,ROW(),FALSE)</f>
        <v>Does the Master SOP have different sections on how to write Analysis SOPs, Equipment SOPs and Procedure SOPs?</v>
      </c>
      <c r="D126" s="252" t="s">
        <v>506</v>
      </c>
      <c r="E126" s="255" t="s">
        <v>516</v>
      </c>
      <c r="F126" s="255" t="s">
        <v>1385</v>
      </c>
      <c r="G126" s="255" t="s">
        <v>1386</v>
      </c>
      <c r="H126" s="255" t="s">
        <v>1387</v>
      </c>
      <c r="I126" s="254"/>
      <c r="J126" s="254" t="s">
        <v>118</v>
      </c>
      <c r="K126" s="254" t="s">
        <v>238</v>
      </c>
      <c r="L126" s="254" t="s">
        <v>358</v>
      </c>
      <c r="M126" s="254" t="s">
        <v>478</v>
      </c>
      <c r="N126" s="256" t="s">
        <v>3326</v>
      </c>
      <c r="O126" s="257" t="s">
        <v>1</v>
      </c>
      <c r="P126" s="257" t="s">
        <v>121</v>
      </c>
      <c r="Q126" s="257" t="s">
        <v>241</v>
      </c>
      <c r="R126" s="257" t="s">
        <v>361</v>
      </c>
    </row>
    <row r="127" spans="1:18" ht="78.75" x14ac:dyDescent="0.25">
      <c r="A127" s="252" t="s">
        <v>1571</v>
      </c>
      <c r="B127" s="252" t="str">
        <f>HLOOKUP('Getting Started'!H$2,E:I,ROW(),FALSE)</f>
        <v>Assessment</v>
      </c>
      <c r="C127" s="252" t="str">
        <f>HLOOKUP('Getting Started'!H$2,J:N,ROW(),FALSE)</f>
        <v>Has a Baseline Assessment of the laboratory been conducted to gain information on where some elements of a quality management system may be already in place and functioning, or where there are gaps that need to be addressed?</v>
      </c>
      <c r="D127" s="252" t="s">
        <v>506</v>
      </c>
      <c r="E127" s="255" t="s">
        <v>517</v>
      </c>
      <c r="F127" s="255" t="s">
        <v>1379</v>
      </c>
      <c r="G127" s="255" t="s">
        <v>1380</v>
      </c>
      <c r="H127" s="255" t="s">
        <v>1381</v>
      </c>
      <c r="I127" s="254"/>
      <c r="J127" s="254" t="s">
        <v>119</v>
      </c>
      <c r="K127" s="254" t="s">
        <v>239</v>
      </c>
      <c r="L127" s="254" t="s">
        <v>359</v>
      </c>
      <c r="M127" s="254" t="s">
        <v>479</v>
      </c>
      <c r="N127" s="256" t="s">
        <v>3327</v>
      </c>
      <c r="O127" s="257" t="s">
        <v>1</v>
      </c>
      <c r="P127" s="257" t="s">
        <v>121</v>
      </c>
      <c r="Q127" s="257" t="s">
        <v>241</v>
      </c>
      <c r="R127" s="257" t="s">
        <v>361</v>
      </c>
    </row>
    <row r="128" spans="1:18" ht="31.5" x14ac:dyDescent="0.25">
      <c r="A128" s="252" t="s">
        <v>1572</v>
      </c>
      <c r="B128" s="252" t="str">
        <f>HLOOKUP('Getting Started'!H$2,E:I,ROW(),FALSE)</f>
        <v>Facilities and Safety</v>
      </c>
      <c r="C128" s="252" t="str">
        <f>HLOOKUP('Getting Started'!H$2,J:N,ROW(),FALSE)</f>
        <v>Is access to the laboratory facility controlled against unauthorized persons?</v>
      </c>
      <c r="D128" s="252" t="s">
        <v>507</v>
      </c>
      <c r="E128" s="255" t="s">
        <v>510</v>
      </c>
      <c r="F128" s="255" t="s">
        <v>1391</v>
      </c>
      <c r="G128" s="255" t="s">
        <v>1392</v>
      </c>
      <c r="H128" s="255" t="s">
        <v>1393</v>
      </c>
      <c r="I128" s="254"/>
      <c r="J128" s="254" t="s">
        <v>518</v>
      </c>
      <c r="K128" s="252"/>
      <c r="L128" s="252"/>
      <c r="N128" s="256" t="s">
        <v>3328</v>
      </c>
      <c r="O128" s="258" t="s">
        <v>1</v>
      </c>
    </row>
    <row r="129" spans="1:15" ht="47.25" x14ac:dyDescent="0.25">
      <c r="A129" s="252" t="s">
        <v>1573</v>
      </c>
      <c r="B129" s="252" t="str">
        <f>HLOOKUP('Getting Started'!H$2,E:I,ROW(),FALSE)</f>
        <v>Facilities and Safety</v>
      </c>
      <c r="C129" s="252" t="str">
        <f>HLOOKUP('Getting Started'!H$2,J:N,ROW(),FALSE)</f>
        <v>Can the access control system, protecting the laboratory from unauthorized access, be overridden in case of an emergency such as fire?</v>
      </c>
      <c r="D129" s="252" t="s">
        <v>507</v>
      </c>
      <c r="E129" s="255" t="s">
        <v>510</v>
      </c>
      <c r="F129" s="255" t="s">
        <v>1391</v>
      </c>
      <c r="G129" s="255" t="s">
        <v>1392</v>
      </c>
      <c r="H129" s="255" t="s">
        <v>1393</v>
      </c>
      <c r="I129" s="254"/>
      <c r="J129" s="254" t="s">
        <v>519</v>
      </c>
      <c r="K129" s="252"/>
      <c r="L129" s="252"/>
      <c r="N129" s="256" t="s">
        <v>3329</v>
      </c>
      <c r="O129" s="258" t="s">
        <v>1</v>
      </c>
    </row>
    <row r="130" spans="1:15" ht="31.5" x14ac:dyDescent="0.25">
      <c r="A130" s="252" t="s">
        <v>1574</v>
      </c>
      <c r="B130" s="252" t="str">
        <f>HLOOKUP('Getting Started'!H$2,E:I,ROW(),FALSE)</f>
        <v>Facilities and Safety</v>
      </c>
      <c r="C130" s="252" t="str">
        <f>HLOOKUP('Getting Started'!H$2,J:N,ROW(),FALSE)</f>
        <v>Are primary sample collection facilities separated from the laboratory rooms?</v>
      </c>
      <c r="D130" s="252" t="s">
        <v>507</v>
      </c>
      <c r="E130" s="255" t="s">
        <v>510</v>
      </c>
      <c r="F130" s="255" t="s">
        <v>1391</v>
      </c>
      <c r="G130" s="255" t="s">
        <v>1392</v>
      </c>
      <c r="H130" s="255" t="s">
        <v>1393</v>
      </c>
      <c r="I130" s="254"/>
      <c r="J130" s="254" t="s">
        <v>520</v>
      </c>
      <c r="K130" s="252"/>
      <c r="L130" s="252"/>
      <c r="N130" s="256" t="s">
        <v>3330</v>
      </c>
      <c r="O130" s="258" t="s">
        <v>1</v>
      </c>
    </row>
    <row r="131" spans="1:15" ht="31.5" x14ac:dyDescent="0.25">
      <c r="A131" s="252" t="s">
        <v>1575</v>
      </c>
      <c r="B131" s="252" t="str">
        <f>HLOOKUP('Getting Started'!H$2,E:I,ROW(),FALSE)</f>
        <v>Facilities and Safety</v>
      </c>
      <c r="C131" s="252" t="str">
        <f>HLOOKUP('Getting Started'!H$2,J:N,ROW(),FALSE)</f>
        <v>Is the sample processing room separated from the room where PCR is performed?</v>
      </c>
      <c r="D131" s="252" t="s">
        <v>507</v>
      </c>
      <c r="E131" s="255" t="s">
        <v>510</v>
      </c>
      <c r="F131" s="255" t="s">
        <v>1391</v>
      </c>
      <c r="G131" s="255" t="s">
        <v>1392</v>
      </c>
      <c r="H131" s="255" t="s">
        <v>1393</v>
      </c>
      <c r="I131" s="254"/>
      <c r="J131" s="254" t="s">
        <v>521</v>
      </c>
      <c r="K131" s="252"/>
      <c r="L131" s="252"/>
      <c r="N131" s="256" t="s">
        <v>3331</v>
      </c>
      <c r="O131" s="258" t="s">
        <v>1</v>
      </c>
    </row>
    <row r="132" spans="1:15" ht="31.5" x14ac:dyDescent="0.25">
      <c r="A132" s="252" t="s">
        <v>1576</v>
      </c>
      <c r="B132" s="252" t="str">
        <f>HLOOKUP('Getting Started'!H$2,E:I,ROW(),FALSE)</f>
        <v>Facilities and Safety</v>
      </c>
      <c r="C132" s="252" t="str">
        <f>HLOOKUP('Getting Started'!H$2,J:N,ROW(),FALSE)</f>
        <v>Are laboratory rooms where incompatible procedures are being undertaken separated from each other?</v>
      </c>
      <c r="D132" s="252" t="s">
        <v>507</v>
      </c>
      <c r="E132" s="255" t="s">
        <v>510</v>
      </c>
      <c r="F132" s="255" t="s">
        <v>1391</v>
      </c>
      <c r="G132" s="255" t="s">
        <v>1392</v>
      </c>
      <c r="H132" s="255" t="s">
        <v>1393</v>
      </c>
      <c r="I132" s="254"/>
      <c r="J132" s="254" t="s">
        <v>522</v>
      </c>
      <c r="K132" s="252"/>
      <c r="L132" s="252"/>
      <c r="N132" s="256" t="s">
        <v>3332</v>
      </c>
      <c r="O132" s="258" t="s">
        <v>1</v>
      </c>
    </row>
    <row r="133" spans="1:15" ht="47.25" x14ac:dyDescent="0.25">
      <c r="A133" s="252" t="s">
        <v>1577</v>
      </c>
      <c r="B133" s="252" t="str">
        <f>HLOOKUP('Getting Started'!H$2,E:I,ROW(),FALSE)</f>
        <v>Facilities and Safety</v>
      </c>
      <c r="C133" s="252" t="str">
        <f>HLOOKUP('Getting Started'!H$2,J:N,ROW(),FALSE)</f>
        <v>Are rooms for cleaning of laboratory glassware and tools separated from the laboratory rooms?</v>
      </c>
      <c r="D133" s="252" t="s">
        <v>507</v>
      </c>
      <c r="E133" s="255" t="s">
        <v>510</v>
      </c>
      <c r="F133" s="255" t="s">
        <v>1391</v>
      </c>
      <c r="G133" s="255" t="s">
        <v>1392</v>
      </c>
      <c r="H133" s="255" t="s">
        <v>1393</v>
      </c>
      <c r="I133" s="254"/>
      <c r="J133" s="254" t="s">
        <v>523</v>
      </c>
      <c r="K133" s="252"/>
      <c r="L133" s="252"/>
      <c r="N133" s="256" t="s">
        <v>3333</v>
      </c>
      <c r="O133" s="258" t="s">
        <v>1</v>
      </c>
    </row>
    <row r="134" spans="1:15" ht="63" x14ac:dyDescent="0.25">
      <c r="A134" s="252" t="s">
        <v>1578</v>
      </c>
      <c r="B134" s="252" t="str">
        <f>HLOOKUP('Getting Started'!H$2,E:I,ROW(),FALSE)</f>
        <v>Facilities and Safety</v>
      </c>
      <c r="C134" s="252" t="str">
        <f>HLOOKUP('Getting Started'!H$2,J:N,ROW(),FALSE)</f>
        <v>Are the rooms designed and furnished in a logical way enabling a unidirectional workflow and preventing unnecessary movements of people through the rooms?</v>
      </c>
      <c r="D134" s="252" t="s">
        <v>507</v>
      </c>
      <c r="E134" s="255" t="s">
        <v>510</v>
      </c>
      <c r="F134" s="255" t="s">
        <v>1391</v>
      </c>
      <c r="G134" s="255" t="s">
        <v>1392</v>
      </c>
      <c r="H134" s="255" t="s">
        <v>1393</v>
      </c>
      <c r="I134" s="254"/>
      <c r="J134" s="254" t="s">
        <v>524</v>
      </c>
      <c r="K134" s="252"/>
      <c r="L134" s="252"/>
      <c r="N134" s="256" t="s">
        <v>3334</v>
      </c>
      <c r="O134" s="258" t="s">
        <v>1</v>
      </c>
    </row>
    <row r="135" spans="1:15" ht="31.5" x14ac:dyDescent="0.25">
      <c r="A135" s="252" t="s">
        <v>1579</v>
      </c>
      <c r="B135" s="252" t="str">
        <f>HLOOKUP('Getting Started'!H$2,E:I,ROW(),FALSE)</f>
        <v>Facilities and Safety</v>
      </c>
      <c r="C135" s="252" t="str">
        <f>HLOOKUP('Getting Started'!H$2,J:N,ROW(),FALSE)</f>
        <v>Is office space separated from laboratory rooms?</v>
      </c>
      <c r="D135" s="252" t="s">
        <v>507</v>
      </c>
      <c r="E135" s="255" t="s">
        <v>510</v>
      </c>
      <c r="F135" s="255" t="s">
        <v>1391</v>
      </c>
      <c r="G135" s="255" t="s">
        <v>1392</v>
      </c>
      <c r="H135" s="255" t="s">
        <v>1393</v>
      </c>
      <c r="I135" s="254"/>
      <c r="J135" s="254" t="s">
        <v>525</v>
      </c>
      <c r="K135" s="252"/>
      <c r="L135" s="252"/>
      <c r="N135" s="256" t="s">
        <v>3335</v>
      </c>
      <c r="O135" s="258" t="s">
        <v>1</v>
      </c>
    </row>
    <row r="136" spans="1:15" ht="31.5" x14ac:dyDescent="0.25">
      <c r="A136" s="252" t="s">
        <v>1580</v>
      </c>
      <c r="B136" s="252" t="str">
        <f>HLOOKUP('Getting Started'!H$2,E:I,ROW(),FALSE)</f>
        <v>Facilities and Safety</v>
      </c>
      <c r="C136" s="252" t="str">
        <f>HLOOKUP('Getting Started'!H$2,J:N,ROW(),FALSE)</f>
        <v>Is there a dedicated area for breaks/lunches?</v>
      </c>
      <c r="D136" s="252" t="s">
        <v>507</v>
      </c>
      <c r="E136" s="255" t="s">
        <v>510</v>
      </c>
      <c r="F136" s="255" t="s">
        <v>1391</v>
      </c>
      <c r="G136" s="255" t="s">
        <v>1392</v>
      </c>
      <c r="H136" s="255" t="s">
        <v>1393</v>
      </c>
      <c r="I136" s="254"/>
      <c r="J136" s="254" t="s">
        <v>526</v>
      </c>
      <c r="K136" s="252"/>
      <c r="L136" s="252"/>
      <c r="N136" s="256" t="s">
        <v>3336</v>
      </c>
      <c r="O136" s="258" t="s">
        <v>1</v>
      </c>
    </row>
    <row r="137" spans="1:15" ht="47.25" x14ac:dyDescent="0.25">
      <c r="A137" s="252" t="s">
        <v>1581</v>
      </c>
      <c r="B137" s="252" t="str">
        <f>HLOOKUP('Getting Started'!H$2,E:I,ROW(),FALSE)</f>
        <v>Facilities and Safety</v>
      </c>
      <c r="C137" s="252" t="str">
        <f>HLOOKUP('Getting Started'!H$2,J:N,ROW(),FALSE)</f>
        <v>Is communication to outside the laboratory rooms possible without leaving the room?</v>
      </c>
      <c r="D137" s="252" t="s">
        <v>507</v>
      </c>
      <c r="E137" s="255" t="s">
        <v>510</v>
      </c>
      <c r="F137" s="255" t="s">
        <v>1391</v>
      </c>
      <c r="G137" s="255" t="s">
        <v>1392</v>
      </c>
      <c r="H137" s="255" t="s">
        <v>1393</v>
      </c>
      <c r="I137" s="254"/>
      <c r="J137" s="254" t="s">
        <v>527</v>
      </c>
      <c r="K137" s="252"/>
      <c r="L137" s="252"/>
      <c r="N137" s="256" t="s">
        <v>3337</v>
      </c>
      <c r="O137" s="258" t="s">
        <v>1</v>
      </c>
    </row>
    <row r="138" spans="1:15" ht="31.5" x14ac:dyDescent="0.25">
      <c r="A138" s="252" t="s">
        <v>1582</v>
      </c>
      <c r="B138" s="252" t="str">
        <f>HLOOKUP('Getting Started'!H$2,E:I,ROW(),FALSE)</f>
        <v>Facilities and Safety</v>
      </c>
      <c r="C138" s="252" t="str">
        <f>HLOOKUP('Getting Started'!H$2,J:N,ROW(),FALSE)</f>
        <v>Are emergency numbers available near telephones and clearly visible?</v>
      </c>
      <c r="D138" s="252" t="s">
        <v>507</v>
      </c>
      <c r="E138" s="255" t="s">
        <v>510</v>
      </c>
      <c r="F138" s="255" t="s">
        <v>1391</v>
      </c>
      <c r="G138" s="255" t="s">
        <v>1392</v>
      </c>
      <c r="H138" s="255" t="s">
        <v>1393</v>
      </c>
      <c r="I138" s="254"/>
      <c r="J138" s="254" t="s">
        <v>528</v>
      </c>
      <c r="K138" s="252"/>
      <c r="L138" s="252"/>
      <c r="N138" s="256" t="s">
        <v>3338</v>
      </c>
      <c r="O138" s="258" t="s">
        <v>1</v>
      </c>
    </row>
    <row r="139" spans="1:15" ht="31.5" x14ac:dyDescent="0.25">
      <c r="A139" s="252" t="s">
        <v>1583</v>
      </c>
      <c r="B139" s="252" t="str">
        <f>HLOOKUP('Getting Started'!H$2,E:I,ROW(),FALSE)</f>
        <v>Facilities and Safety</v>
      </c>
      <c r="C139" s="252" t="str">
        <f>HLOOKUP('Getting Started'!H$2,J:N,ROW(),FALSE)</f>
        <v>Is the use of mobile phones forbidden inside all laboratory rooms?</v>
      </c>
      <c r="D139" s="252" t="s">
        <v>507</v>
      </c>
      <c r="E139" s="255" t="s">
        <v>510</v>
      </c>
      <c r="F139" s="255" t="s">
        <v>1391</v>
      </c>
      <c r="G139" s="255" t="s">
        <v>1392</v>
      </c>
      <c r="H139" s="255" t="s">
        <v>1393</v>
      </c>
      <c r="I139" s="254"/>
      <c r="J139" s="254" t="s">
        <v>529</v>
      </c>
      <c r="K139" s="252"/>
      <c r="L139" s="252"/>
      <c r="N139" s="256" t="s">
        <v>3339</v>
      </c>
      <c r="O139" s="258" t="s">
        <v>1</v>
      </c>
    </row>
    <row r="140" spans="1:15" ht="47.25" x14ac:dyDescent="0.25">
      <c r="A140" s="252" t="s">
        <v>1584</v>
      </c>
      <c r="B140" s="252" t="str">
        <f>HLOOKUP('Getting Started'!H$2,E:I,ROW(),FALSE)</f>
        <v>Facilities and Safety</v>
      </c>
      <c r="C140" s="252" t="str">
        <f>HLOOKUP('Getting Started'!H$2,J:N,ROW(),FALSE)</f>
        <v>Is continuing delivery of electricity guaranteed through a working generator and/or Uninterrupted Power Supply (UPS) system in case of a power failure?</v>
      </c>
      <c r="D140" s="252" t="s">
        <v>507</v>
      </c>
      <c r="E140" s="255" t="s">
        <v>510</v>
      </c>
      <c r="F140" s="255" t="s">
        <v>1391</v>
      </c>
      <c r="G140" s="255" t="s">
        <v>1392</v>
      </c>
      <c r="H140" s="255" t="s">
        <v>1393</v>
      </c>
      <c r="I140" s="254"/>
      <c r="J140" s="254" t="s">
        <v>530</v>
      </c>
      <c r="K140" s="252"/>
      <c r="L140" s="252"/>
      <c r="N140" s="256" t="s">
        <v>3340</v>
      </c>
      <c r="O140" s="258" t="s">
        <v>1</v>
      </c>
    </row>
    <row r="141" spans="1:15" ht="31.5" x14ac:dyDescent="0.25">
      <c r="A141" s="252" t="s">
        <v>1585</v>
      </c>
      <c r="B141" s="252" t="str">
        <f>HLOOKUP('Getting Started'!H$2,E:I,ROW(),FALSE)</f>
        <v>Facilities and Safety</v>
      </c>
      <c r="C141" s="252" t="str">
        <f>HLOOKUP('Getting Started'!H$2,J:N,ROW(),FALSE)</f>
        <v>Is all the essential/critical equipment locked onto the generator?</v>
      </c>
      <c r="D141" s="252" t="s">
        <v>507</v>
      </c>
      <c r="E141" s="255" t="s">
        <v>510</v>
      </c>
      <c r="F141" s="255" t="s">
        <v>1391</v>
      </c>
      <c r="G141" s="255" t="s">
        <v>1392</v>
      </c>
      <c r="H141" s="255" t="s">
        <v>1393</v>
      </c>
      <c r="I141" s="254"/>
      <c r="J141" s="254" t="s">
        <v>531</v>
      </c>
      <c r="K141" s="252"/>
      <c r="L141" s="252"/>
      <c r="N141" s="256" t="s">
        <v>3341</v>
      </c>
      <c r="O141" s="258" t="s">
        <v>1</v>
      </c>
    </row>
    <row r="142" spans="1:15" ht="63" x14ac:dyDescent="0.25">
      <c r="A142" s="252" t="s">
        <v>1586</v>
      </c>
      <c r="B142" s="252" t="str">
        <f>HLOOKUP('Getting Started'!H$2,E:I,ROW(),FALSE)</f>
        <v>Facilities and Safety</v>
      </c>
      <c r="C142" s="252" t="str">
        <f>HLOOKUP('Getting Started'!H$2,J:N,ROW(),FALSE)</f>
        <v>Is an indicator placed in relevant rooms for monitoring the air flow and preventing that pathogens are blown towards the staff working in the laboratory.</v>
      </c>
      <c r="D142" s="252" t="s">
        <v>507</v>
      </c>
      <c r="E142" s="255" t="s">
        <v>510</v>
      </c>
      <c r="F142" s="255" t="s">
        <v>1391</v>
      </c>
      <c r="G142" s="255" t="s">
        <v>1392</v>
      </c>
      <c r="H142" s="255" t="s">
        <v>1393</v>
      </c>
      <c r="I142" s="254"/>
      <c r="J142" s="254" t="s">
        <v>532</v>
      </c>
      <c r="K142" s="252"/>
      <c r="L142" s="252"/>
      <c r="N142" s="256" t="s">
        <v>3342</v>
      </c>
      <c r="O142" s="258" t="s">
        <v>1</v>
      </c>
    </row>
    <row r="143" spans="1:15" ht="78.75" x14ac:dyDescent="0.25">
      <c r="A143" s="252" t="s">
        <v>1587</v>
      </c>
      <c r="B143" s="252" t="str">
        <f>HLOOKUP('Getting Started'!H$2,E:I,ROW(),FALSE)</f>
        <v>Facilities and Safety</v>
      </c>
      <c r="C143" s="252" t="str">
        <f>HLOOKUP('Getting Started'!H$2,J:N,ROW(),FALSE)</f>
        <v>Are all hazardous materials in the laboratory registered?
Take a sample by identifying some hazardous materials and looking them up in the register.</v>
      </c>
      <c r="D143" s="252" t="s">
        <v>507</v>
      </c>
      <c r="E143" s="255" t="s">
        <v>510</v>
      </c>
      <c r="F143" s="255" t="s">
        <v>1391</v>
      </c>
      <c r="G143" s="255" t="s">
        <v>1392</v>
      </c>
      <c r="H143" s="255" t="s">
        <v>1393</v>
      </c>
      <c r="I143" s="254"/>
      <c r="J143" s="254" t="s">
        <v>2285</v>
      </c>
      <c r="K143" s="252"/>
      <c r="L143" s="252"/>
      <c r="N143" s="256" t="s">
        <v>3343</v>
      </c>
      <c r="O143" s="258" t="s">
        <v>1</v>
      </c>
    </row>
    <row r="144" spans="1:15" ht="63" x14ac:dyDescent="0.25">
      <c r="A144" s="252" t="s">
        <v>1588</v>
      </c>
      <c r="B144" s="252" t="str">
        <f>HLOOKUP('Getting Started'!H$2,E:I,ROW(),FALSE)</f>
        <v>Facilities and Safety</v>
      </c>
      <c r="C144" s="252" t="str">
        <f>HLOOKUP('Getting Started'!H$2,J:N,ROW(),FALSE)</f>
        <v>Is the Hazardous Material Register up to date?
Take a sample by comparing the amount of several materials as noted in the register and in reality.</v>
      </c>
      <c r="D144" s="252" t="s">
        <v>507</v>
      </c>
      <c r="E144" s="255" t="s">
        <v>510</v>
      </c>
      <c r="F144" s="255" t="s">
        <v>1391</v>
      </c>
      <c r="G144" s="255" t="s">
        <v>1392</v>
      </c>
      <c r="H144" s="255" t="s">
        <v>1393</v>
      </c>
      <c r="I144" s="254"/>
      <c r="J144" s="254" t="s">
        <v>2286</v>
      </c>
      <c r="K144" s="252"/>
      <c r="L144" s="252"/>
      <c r="N144" s="256" t="s">
        <v>3344</v>
      </c>
      <c r="O144" s="258" t="s">
        <v>1</v>
      </c>
    </row>
    <row r="145" spans="1:15" ht="63" x14ac:dyDescent="0.25">
      <c r="A145" s="252" t="s">
        <v>1589</v>
      </c>
      <c r="B145" s="252" t="str">
        <f>HLOOKUP('Getting Started'!H$2,E:I,ROW(),FALSE)</f>
        <v>Facilities and Safety</v>
      </c>
      <c r="C145" s="252" t="str">
        <f>HLOOKUP('Getting Started'!H$2,J:N,ROW(),FALSE)</f>
        <v>Are MSDS Sheets present for all hazardous materials in the laboratory?
Take a sample and check.</v>
      </c>
      <c r="D145" s="252" t="s">
        <v>507</v>
      </c>
      <c r="E145" s="255" t="s">
        <v>510</v>
      </c>
      <c r="F145" s="255" t="s">
        <v>1391</v>
      </c>
      <c r="G145" s="255" t="s">
        <v>1392</v>
      </c>
      <c r="H145" s="255" t="s">
        <v>1393</v>
      </c>
      <c r="I145" s="254"/>
      <c r="J145" s="254" t="s">
        <v>2287</v>
      </c>
      <c r="K145" s="252"/>
      <c r="L145" s="252"/>
      <c r="N145" s="256" t="s">
        <v>3345</v>
      </c>
      <c r="O145" s="258" t="s">
        <v>1</v>
      </c>
    </row>
    <row r="146" spans="1:15" ht="31.5" x14ac:dyDescent="0.25">
      <c r="A146" s="252" t="s">
        <v>1590</v>
      </c>
      <c r="B146" s="252" t="str">
        <f>HLOOKUP('Getting Started'!H$2,E:I,ROW(),FALSE)</f>
        <v>Facilities and Safety</v>
      </c>
      <c r="C146" s="252" t="str">
        <f>HLOOKUP('Getting Started'!H$2,J:N,ROW(),FALSE)</f>
        <v>Have critical environmental/equipment parameters been identified?</v>
      </c>
      <c r="D146" s="252" t="s">
        <v>507</v>
      </c>
      <c r="E146" s="255" t="s">
        <v>510</v>
      </c>
      <c r="F146" s="255" t="s">
        <v>1391</v>
      </c>
      <c r="G146" s="255" t="s">
        <v>1392</v>
      </c>
      <c r="H146" s="255" t="s">
        <v>1393</v>
      </c>
      <c r="I146" s="254"/>
      <c r="J146" s="254" t="s">
        <v>533</v>
      </c>
      <c r="K146" s="252"/>
      <c r="L146" s="252"/>
      <c r="N146" s="256" t="s">
        <v>3346</v>
      </c>
      <c r="O146" s="258" t="s">
        <v>1</v>
      </c>
    </row>
    <row r="147" spans="1:15" ht="31.5" x14ac:dyDescent="0.25">
      <c r="A147" s="252" t="s">
        <v>1591</v>
      </c>
      <c r="B147" s="252" t="str">
        <f>HLOOKUP('Getting Started'!H$2,E:I,ROW(),FALSE)</f>
        <v>Facilities and Safety</v>
      </c>
      <c r="C147" s="252" t="str">
        <f>HLOOKUP('Getting Started'!H$2,J:N,ROW(),FALSE)</f>
        <v>Are all critical environmental/equipment parameters monitored adequately?</v>
      </c>
      <c r="D147" s="252" t="s">
        <v>507</v>
      </c>
      <c r="E147" s="255" t="s">
        <v>510</v>
      </c>
      <c r="F147" s="255" t="s">
        <v>1391</v>
      </c>
      <c r="G147" s="255" t="s">
        <v>1392</v>
      </c>
      <c r="H147" s="255" t="s">
        <v>1393</v>
      </c>
      <c r="I147" s="254"/>
      <c r="J147" s="254" t="s">
        <v>534</v>
      </c>
      <c r="K147" s="252"/>
      <c r="L147" s="252"/>
      <c r="N147" s="256" t="s">
        <v>3347</v>
      </c>
      <c r="O147" s="258" t="s">
        <v>1</v>
      </c>
    </row>
    <row r="148" spans="1:15" ht="31.5" x14ac:dyDescent="0.25">
      <c r="A148" s="252" t="s">
        <v>1592</v>
      </c>
      <c r="B148" s="252" t="str">
        <f>HLOOKUP('Getting Started'!H$2,E:I,ROW(),FALSE)</f>
        <v>Facilities and Safety</v>
      </c>
      <c r="C148" s="252" t="str">
        <f>HLOOKUP('Getting Started'!H$2,J:N,ROW(),FALSE)</f>
        <v>Are all Critical Parameter Log Sheets filled out completely and up-to-date?</v>
      </c>
      <c r="D148" s="252" t="s">
        <v>507</v>
      </c>
      <c r="E148" s="255" t="s">
        <v>510</v>
      </c>
      <c r="F148" s="255" t="s">
        <v>1391</v>
      </c>
      <c r="G148" s="255" t="s">
        <v>1392</v>
      </c>
      <c r="H148" s="255" t="s">
        <v>1393</v>
      </c>
      <c r="I148" s="254"/>
      <c r="J148" s="254" t="s">
        <v>535</v>
      </c>
      <c r="K148" s="252"/>
      <c r="L148" s="252"/>
      <c r="N148" s="256" t="s">
        <v>3348</v>
      </c>
      <c r="O148" s="258" t="s">
        <v>1</v>
      </c>
    </row>
    <row r="149" spans="1:15" ht="31.5" x14ac:dyDescent="0.25">
      <c r="A149" s="252" t="s">
        <v>1593</v>
      </c>
      <c r="B149" s="252" t="str">
        <f>HLOOKUP('Getting Started'!H$2,E:I,ROW(),FALSE)</f>
        <v>Facilities and Safety</v>
      </c>
      <c r="C149" s="252" t="str">
        <f>HLOOKUP('Getting Started'!H$2,J:N,ROW(),FALSE)</f>
        <v>Are all Critical Parameter Log Sheets placed at a logical location?</v>
      </c>
      <c r="D149" s="252" t="s">
        <v>507</v>
      </c>
      <c r="E149" s="255" t="s">
        <v>510</v>
      </c>
      <c r="F149" s="255" t="s">
        <v>1391</v>
      </c>
      <c r="G149" s="255" t="s">
        <v>1392</v>
      </c>
      <c r="H149" s="255" t="s">
        <v>1393</v>
      </c>
      <c r="I149" s="254"/>
      <c r="J149" s="254" t="s">
        <v>536</v>
      </c>
      <c r="K149" s="252"/>
      <c r="L149" s="252"/>
      <c r="N149" s="256" t="s">
        <v>3349</v>
      </c>
      <c r="O149" s="258" t="s">
        <v>1</v>
      </c>
    </row>
    <row r="150" spans="1:15" ht="15.75" x14ac:dyDescent="0.25">
      <c r="A150" s="252" t="s">
        <v>1594</v>
      </c>
      <c r="B150" s="252" t="str">
        <f>HLOOKUP('Getting Started'!H$2,E:I,ROW(),FALSE)</f>
        <v>Organization</v>
      </c>
      <c r="C150" s="252" t="str">
        <f>HLOOKUP('Getting Started'!H$2,J:N,ROW(),FALSE)</f>
        <v>Has a Quality Officer been appointed?</v>
      </c>
      <c r="D150" s="252" t="s">
        <v>507</v>
      </c>
      <c r="E150" s="255" t="s">
        <v>511</v>
      </c>
      <c r="F150" s="255" t="s">
        <v>1397</v>
      </c>
      <c r="G150" s="255" t="s">
        <v>1398</v>
      </c>
      <c r="H150" s="255" t="s">
        <v>1399</v>
      </c>
      <c r="I150" s="254"/>
      <c r="J150" s="254" t="s">
        <v>537</v>
      </c>
      <c r="K150" s="252"/>
      <c r="L150" s="252"/>
      <c r="N150" s="256" t="s">
        <v>3350</v>
      </c>
      <c r="O150" s="258" t="s">
        <v>1</v>
      </c>
    </row>
    <row r="151" spans="1:15" ht="31.5" x14ac:dyDescent="0.25">
      <c r="A151" s="252" t="s">
        <v>1595</v>
      </c>
      <c r="B151" s="252" t="str">
        <f>HLOOKUP('Getting Started'!H$2,E:I,ROW(),FALSE)</f>
        <v>Organization</v>
      </c>
      <c r="C151" s="252" t="str">
        <f>HLOOKUP('Getting Started'!H$2,J:N,ROW(),FALSE)</f>
        <v>Is the position of Quality Officer visible, at the right place, in the Organizational Chart?</v>
      </c>
      <c r="D151" s="252" t="s">
        <v>507</v>
      </c>
      <c r="E151" s="255" t="s">
        <v>511</v>
      </c>
      <c r="F151" s="255" t="s">
        <v>1397</v>
      </c>
      <c r="G151" s="255" t="s">
        <v>1398</v>
      </c>
      <c r="H151" s="255" t="s">
        <v>1399</v>
      </c>
      <c r="I151" s="254"/>
      <c r="J151" s="254" t="s">
        <v>538</v>
      </c>
      <c r="K151" s="252"/>
      <c r="L151" s="252"/>
      <c r="N151" s="256" t="s">
        <v>3351</v>
      </c>
      <c r="O151" s="258" t="s">
        <v>1</v>
      </c>
    </row>
    <row r="152" spans="1:15" ht="31.5" x14ac:dyDescent="0.25">
      <c r="A152" s="252" t="s">
        <v>1596</v>
      </c>
      <c r="B152" s="252" t="str">
        <f>HLOOKUP('Getting Started'!H$2,E:I,ROW(),FALSE)</f>
        <v>Organization</v>
      </c>
      <c r="C152" s="252" t="str">
        <f>HLOOKUP('Getting Started'!H$2,J:N,ROW(),FALSE)</f>
        <v>Does the laboratory have a job description of the position of Quality Officer?</v>
      </c>
      <c r="D152" s="252" t="s">
        <v>507</v>
      </c>
      <c r="E152" s="255" t="s">
        <v>511</v>
      </c>
      <c r="F152" s="255" t="s">
        <v>1397</v>
      </c>
      <c r="G152" s="255" t="s">
        <v>1398</v>
      </c>
      <c r="H152" s="255" t="s">
        <v>1399</v>
      </c>
      <c r="I152" s="254"/>
      <c r="J152" s="254" t="s">
        <v>539</v>
      </c>
      <c r="K152" s="252"/>
      <c r="L152" s="252"/>
      <c r="N152" s="256" t="s">
        <v>3352</v>
      </c>
      <c r="O152" s="258" t="s">
        <v>1</v>
      </c>
    </row>
    <row r="153" spans="1:15" ht="31.5" x14ac:dyDescent="0.25">
      <c r="A153" s="252" t="s">
        <v>1597</v>
      </c>
      <c r="B153" s="252" t="str">
        <f>HLOOKUP('Getting Started'!H$2,E:I,ROW(),FALSE)</f>
        <v>Organization</v>
      </c>
      <c r="C153" s="252" t="str">
        <f>HLOOKUP('Getting Started'!H$2,J:N,ROW(),FALSE)</f>
        <v>Is the position of Quality Officer included in the Authorization Matrix?</v>
      </c>
      <c r="D153" s="252" t="s">
        <v>507</v>
      </c>
      <c r="E153" s="255" t="s">
        <v>511</v>
      </c>
      <c r="F153" s="255" t="s">
        <v>1397</v>
      </c>
      <c r="G153" s="255" t="s">
        <v>1398</v>
      </c>
      <c r="H153" s="255" t="s">
        <v>1399</v>
      </c>
      <c r="I153" s="254"/>
      <c r="J153" s="254" t="s">
        <v>540</v>
      </c>
      <c r="K153" s="252"/>
      <c r="L153" s="252"/>
      <c r="N153" s="256" t="s">
        <v>3353</v>
      </c>
      <c r="O153" s="258" t="s">
        <v>1</v>
      </c>
    </row>
    <row r="154" spans="1:15" ht="78.75" x14ac:dyDescent="0.25">
      <c r="A154" s="252" t="s">
        <v>1598</v>
      </c>
      <c r="B154" s="252" t="str">
        <f>HLOOKUP('Getting Started'!H$2,E:I,ROW(),FALSE)</f>
        <v>Organization</v>
      </c>
      <c r="C154" s="252" t="str">
        <f>HLOOKUP('Getting Started'!H$2,J:N,ROW(),FALSE)</f>
        <v>Do the Quality Officer and Laboratory Manager have regular bilateral meetings to discuss proceedings?
Ask the Quality Officer.</v>
      </c>
      <c r="D154" s="252" t="s">
        <v>507</v>
      </c>
      <c r="E154" s="255" t="s">
        <v>511</v>
      </c>
      <c r="F154" s="255" t="s">
        <v>1397</v>
      </c>
      <c r="G154" s="255" t="s">
        <v>1398</v>
      </c>
      <c r="H154" s="255" t="s">
        <v>1399</v>
      </c>
      <c r="I154" s="254"/>
      <c r="J154" s="254" t="s">
        <v>2315</v>
      </c>
      <c r="K154" s="252"/>
      <c r="L154" s="252"/>
      <c r="N154" s="256" t="s">
        <v>3354</v>
      </c>
      <c r="O154" s="258" t="s">
        <v>1</v>
      </c>
    </row>
    <row r="155" spans="1:15" ht="47.25" x14ac:dyDescent="0.25">
      <c r="A155" s="252" t="s">
        <v>1599</v>
      </c>
      <c r="B155" s="252" t="str">
        <f>HLOOKUP('Getting Started'!H$2,E:I,ROW(),FALSE)</f>
        <v>Organization</v>
      </c>
      <c r="C155" s="252" t="str">
        <f>HLOOKUP('Getting Started'!H$2,J:N,ROW(),FALSE)</f>
        <v>If a staff member was appointed as Quality Officer, has his former position been filled by a new/another staff member if necessary?</v>
      </c>
      <c r="D155" s="252" t="s">
        <v>507</v>
      </c>
      <c r="E155" s="255" t="s">
        <v>511</v>
      </c>
      <c r="F155" s="255" t="s">
        <v>1397</v>
      </c>
      <c r="G155" s="255" t="s">
        <v>1398</v>
      </c>
      <c r="H155" s="255" t="s">
        <v>1399</v>
      </c>
      <c r="I155" s="254"/>
      <c r="J155" s="254" t="s">
        <v>541</v>
      </c>
      <c r="K155" s="252"/>
      <c r="L155" s="252"/>
      <c r="N155" s="256" t="s">
        <v>3355</v>
      </c>
      <c r="O155" s="258" t="s">
        <v>1</v>
      </c>
    </row>
    <row r="156" spans="1:15" ht="31.5" x14ac:dyDescent="0.25">
      <c r="A156" s="252" t="s">
        <v>1600</v>
      </c>
      <c r="B156" s="252" t="str">
        <f>HLOOKUP('Getting Started'!H$2,E:I,ROW(),FALSE)</f>
        <v>Organization</v>
      </c>
      <c r="C156" s="252" t="str">
        <f>HLOOKUP('Getting Started'!H$2,J:N,ROW(),FALSE)</f>
        <v>Has the laboratory manager been trained in principles of change management?</v>
      </c>
      <c r="D156" s="252" t="s">
        <v>507</v>
      </c>
      <c r="E156" s="255" t="s">
        <v>511</v>
      </c>
      <c r="F156" s="255" t="s">
        <v>1397</v>
      </c>
      <c r="G156" s="255" t="s">
        <v>1398</v>
      </c>
      <c r="H156" s="255" t="s">
        <v>1399</v>
      </c>
      <c r="I156" s="254"/>
      <c r="J156" s="254" t="s">
        <v>542</v>
      </c>
      <c r="K156" s="252"/>
      <c r="L156" s="252"/>
      <c r="N156" s="259" t="s">
        <v>3356</v>
      </c>
      <c r="O156" s="258" t="s">
        <v>1</v>
      </c>
    </row>
    <row r="157" spans="1:15" ht="31.5" x14ac:dyDescent="0.25">
      <c r="A157" s="252" t="s">
        <v>1601</v>
      </c>
      <c r="B157" s="252" t="str">
        <f>HLOOKUP('Getting Started'!H$2,E:I,ROW(),FALSE)</f>
        <v>Organization</v>
      </c>
      <c r="C157" s="252" t="str">
        <f>HLOOKUP('Getting Started'!H$2,J:N,ROW(),FALSE)</f>
        <v>Does the laboratory have an up-to-date routine work schedule?</v>
      </c>
      <c r="D157" s="252" t="s">
        <v>507</v>
      </c>
      <c r="E157" s="255" t="s">
        <v>511</v>
      </c>
      <c r="F157" s="255" t="s">
        <v>1397</v>
      </c>
      <c r="G157" s="255" t="s">
        <v>1398</v>
      </c>
      <c r="H157" s="255" t="s">
        <v>1399</v>
      </c>
      <c r="I157" s="254"/>
      <c r="J157" s="254" t="s">
        <v>543</v>
      </c>
      <c r="K157" s="252"/>
      <c r="L157" s="252"/>
      <c r="N157" s="256" t="s">
        <v>3357</v>
      </c>
      <c r="O157" s="258" t="s">
        <v>1</v>
      </c>
    </row>
    <row r="158" spans="1:15" ht="31.5" x14ac:dyDescent="0.25">
      <c r="A158" s="252" t="s">
        <v>1602</v>
      </c>
      <c r="B158" s="252" t="str">
        <f>HLOOKUP('Getting Started'!H$2,E:I,ROW(),FALSE)</f>
        <v>Organization</v>
      </c>
      <c r="C158" s="252" t="str">
        <f>HLOOKUP('Getting Started'!H$2,J:N,ROW(),FALSE)</f>
        <v>Is this Daily Routine Work Schedule placed at a visible location accessible to all staff?</v>
      </c>
      <c r="D158" s="252" t="s">
        <v>507</v>
      </c>
      <c r="E158" s="255" t="s">
        <v>511</v>
      </c>
      <c r="F158" s="255" t="s">
        <v>1397</v>
      </c>
      <c r="G158" s="255" t="s">
        <v>1398</v>
      </c>
      <c r="H158" s="255" t="s">
        <v>1399</v>
      </c>
      <c r="I158" s="254"/>
      <c r="J158" s="254" t="s">
        <v>544</v>
      </c>
      <c r="K158" s="252"/>
      <c r="L158" s="252"/>
      <c r="N158" s="256" t="s">
        <v>3358</v>
      </c>
      <c r="O158" s="258" t="s">
        <v>1</v>
      </c>
    </row>
    <row r="159" spans="1:15" ht="75" x14ac:dyDescent="0.25">
      <c r="A159" s="252" t="s">
        <v>1603</v>
      </c>
      <c r="B159" s="252" t="str">
        <f>HLOOKUP('Getting Started'!H$2,E:I,ROW(),FALSE)</f>
        <v>Organization</v>
      </c>
      <c r="C159" s="252" t="str">
        <f>HLOOKUP('Getting Started'!H$2,J:N,ROW(),FALSE)</f>
        <v>Do all staff members know where to find the Daily Routine Work Schedule?
Take a sample by asking this question to several staff members.</v>
      </c>
      <c r="D159" s="252" t="s">
        <v>507</v>
      </c>
      <c r="E159" s="255" t="s">
        <v>511</v>
      </c>
      <c r="F159" s="255" t="s">
        <v>1397</v>
      </c>
      <c r="G159" s="255" t="s">
        <v>1398</v>
      </c>
      <c r="H159" s="255" t="s">
        <v>1399</v>
      </c>
      <c r="I159" s="254"/>
      <c r="J159" s="254" t="s">
        <v>2316</v>
      </c>
      <c r="K159" s="252"/>
      <c r="L159" s="252"/>
      <c r="N159" s="259" t="s">
        <v>3359</v>
      </c>
      <c r="O159" s="258" t="s">
        <v>1</v>
      </c>
    </row>
    <row r="160" spans="1:15" ht="31.5" x14ac:dyDescent="0.25">
      <c r="A160" s="252" t="s">
        <v>1604</v>
      </c>
      <c r="B160" s="252" t="str">
        <f>HLOOKUP('Getting Started'!H$2,E:I,ROW(),FALSE)</f>
        <v>Organization</v>
      </c>
      <c r="C160" s="252" t="str">
        <f>HLOOKUP('Getting Started'!H$2,J:N,ROW(),FALSE)</f>
        <v>Is the laboratory legally identifiable?</v>
      </c>
      <c r="D160" s="252" t="s">
        <v>507</v>
      </c>
      <c r="E160" s="255" t="s">
        <v>511</v>
      </c>
      <c r="F160" s="255" t="s">
        <v>1397</v>
      </c>
      <c r="G160" s="255" t="s">
        <v>1398</v>
      </c>
      <c r="H160" s="255" t="s">
        <v>1399</v>
      </c>
      <c r="I160" s="254"/>
      <c r="J160" s="254" t="s">
        <v>545</v>
      </c>
      <c r="K160" s="252"/>
      <c r="L160" s="252"/>
      <c r="N160" s="256" t="s">
        <v>3360</v>
      </c>
      <c r="O160" s="258" t="s">
        <v>1</v>
      </c>
    </row>
    <row r="161" spans="1:15" ht="31.5" x14ac:dyDescent="0.25">
      <c r="A161" s="252" t="s">
        <v>1605</v>
      </c>
      <c r="B161" s="252" t="str">
        <f>HLOOKUP('Getting Started'!H$2,E:I,ROW(),FALSE)</f>
        <v>Organization</v>
      </c>
      <c r="C161" s="252" t="str">
        <f>HLOOKUP('Getting Started'!H$2,J:N,ROW(),FALSE)</f>
        <v>Is the laboratory and its status recognized by the appropriate authorities?</v>
      </c>
      <c r="D161" s="252" t="s">
        <v>507</v>
      </c>
      <c r="E161" s="255" t="s">
        <v>511</v>
      </c>
      <c r="F161" s="255" t="s">
        <v>1397</v>
      </c>
      <c r="G161" s="255" t="s">
        <v>1398</v>
      </c>
      <c r="H161" s="255" t="s">
        <v>1399</v>
      </c>
      <c r="I161" s="254"/>
      <c r="J161" s="254" t="s">
        <v>546</v>
      </c>
      <c r="K161" s="252"/>
      <c r="L161" s="252"/>
      <c r="N161" s="256" t="s">
        <v>3361</v>
      </c>
      <c r="O161" s="258" t="s">
        <v>1</v>
      </c>
    </row>
    <row r="162" spans="1:15" ht="15.75" x14ac:dyDescent="0.25">
      <c r="A162" s="252" t="s">
        <v>1606</v>
      </c>
      <c r="B162" s="252" t="str">
        <f>HLOOKUP('Getting Started'!H$2,E:I,ROW(),FALSE)</f>
        <v>Organization</v>
      </c>
      <c r="C162" s="252" t="str">
        <f>HLOOKUP('Getting Started'!H$2,J:N,ROW(),FALSE)</f>
        <v>Are the Organizational Charts up-to-date?</v>
      </c>
      <c r="D162" s="252" t="s">
        <v>507</v>
      </c>
      <c r="E162" s="255" t="s">
        <v>511</v>
      </c>
      <c r="F162" s="255" t="s">
        <v>1397</v>
      </c>
      <c r="G162" s="255" t="s">
        <v>1398</v>
      </c>
      <c r="H162" s="255" t="s">
        <v>1399</v>
      </c>
      <c r="I162" s="254"/>
      <c r="J162" s="254" t="s">
        <v>547</v>
      </c>
      <c r="K162" s="252"/>
      <c r="L162" s="252"/>
      <c r="N162" s="256" t="s">
        <v>3362</v>
      </c>
      <c r="O162" s="258" t="s">
        <v>1</v>
      </c>
    </row>
    <row r="163" spans="1:15" ht="31.5" x14ac:dyDescent="0.25">
      <c r="A163" s="252" t="s">
        <v>1607</v>
      </c>
      <c r="B163" s="252" t="str">
        <f>HLOOKUP('Getting Started'!H$2,E:I,ROW(),FALSE)</f>
        <v>Organization</v>
      </c>
      <c r="C163" s="252" t="str">
        <f>HLOOKUP('Getting Started'!H$2,J:N,ROW(),FALSE)</f>
        <v>Are the Organizational Charts signed and dated by the appropriate management?</v>
      </c>
      <c r="D163" s="252" t="s">
        <v>507</v>
      </c>
      <c r="E163" s="255" t="s">
        <v>511</v>
      </c>
      <c r="F163" s="255" t="s">
        <v>1397</v>
      </c>
      <c r="G163" s="255" t="s">
        <v>1398</v>
      </c>
      <c r="H163" s="255" t="s">
        <v>1399</v>
      </c>
      <c r="I163" s="254"/>
      <c r="J163" s="254" t="s">
        <v>548</v>
      </c>
      <c r="K163" s="252"/>
      <c r="L163" s="252"/>
      <c r="N163" s="256" t="s">
        <v>3363</v>
      </c>
      <c r="O163" s="258" t="s">
        <v>1</v>
      </c>
    </row>
    <row r="164" spans="1:15" ht="31.5" x14ac:dyDescent="0.25">
      <c r="A164" s="252" t="s">
        <v>1608</v>
      </c>
      <c r="B164" s="252" t="str">
        <f>HLOOKUP('Getting Started'!H$2,E:I,ROW(),FALSE)</f>
        <v>Personnel</v>
      </c>
      <c r="C164" s="252" t="str">
        <f>HLOOKUP('Getting Started'!H$2,J:N,ROW(),FALSE)</f>
        <v>Has an SOP for Competency Assessment been developed?</v>
      </c>
      <c r="D164" s="252" t="s">
        <v>507</v>
      </c>
      <c r="E164" s="255" t="s">
        <v>512</v>
      </c>
      <c r="F164" s="255" t="s">
        <v>512</v>
      </c>
      <c r="G164" s="255" t="s">
        <v>1400</v>
      </c>
      <c r="H164" s="255" t="s">
        <v>1401</v>
      </c>
      <c r="I164" s="254"/>
      <c r="J164" s="254" t="s">
        <v>549</v>
      </c>
      <c r="K164" s="252"/>
      <c r="L164" s="252"/>
      <c r="N164" s="256" t="s">
        <v>3364</v>
      </c>
      <c r="O164" s="258" t="s">
        <v>1</v>
      </c>
    </row>
    <row r="165" spans="1:15" ht="45" x14ac:dyDescent="0.25">
      <c r="A165" s="252" t="s">
        <v>1609</v>
      </c>
      <c r="B165" s="252" t="str">
        <f>HLOOKUP('Getting Started'!H$2,E:I,ROW(),FALSE)</f>
        <v>Personnel</v>
      </c>
      <c r="C165" s="252" t="str">
        <f>HLOOKUP('Getting Started'!H$2,J:N,ROW(),FALSE)</f>
        <v>Does this SOP contain one or more standardized form(s) that must be used to record the findings of the assessment?</v>
      </c>
      <c r="D165" s="252" t="s">
        <v>507</v>
      </c>
      <c r="E165" s="255" t="s">
        <v>512</v>
      </c>
      <c r="F165" s="255" t="s">
        <v>512</v>
      </c>
      <c r="G165" s="255" t="s">
        <v>1400</v>
      </c>
      <c r="H165" s="255" t="s">
        <v>1401</v>
      </c>
      <c r="I165" s="254"/>
      <c r="J165" s="254" t="s">
        <v>550</v>
      </c>
      <c r="K165" s="252"/>
      <c r="L165" s="252"/>
      <c r="N165" s="256" t="s">
        <v>3365</v>
      </c>
      <c r="O165" s="258" t="s">
        <v>1</v>
      </c>
    </row>
    <row r="166" spans="1:15" ht="31.5" x14ac:dyDescent="0.25">
      <c r="A166" s="252" t="s">
        <v>1610</v>
      </c>
      <c r="B166" s="252" t="str">
        <f>HLOOKUP('Getting Started'!H$2,E:I,ROW(),FALSE)</f>
        <v>Personnel</v>
      </c>
      <c r="C166" s="252" t="str">
        <f>HLOOKUP('Getting Started'!H$2,J:N,ROW(),FALSE)</f>
        <v>Are competency assessments done annually for each staff member?</v>
      </c>
      <c r="D166" s="252" t="s">
        <v>507</v>
      </c>
      <c r="E166" s="255" t="s">
        <v>512</v>
      </c>
      <c r="F166" s="255" t="s">
        <v>512</v>
      </c>
      <c r="G166" s="255" t="s">
        <v>1400</v>
      </c>
      <c r="H166" s="255" t="s">
        <v>1401</v>
      </c>
      <c r="I166" s="254"/>
      <c r="J166" s="254" t="s">
        <v>551</v>
      </c>
      <c r="K166" s="252"/>
      <c r="L166" s="252"/>
      <c r="N166" s="256" t="s">
        <v>3366</v>
      </c>
      <c r="O166" s="258" t="s">
        <v>1</v>
      </c>
    </row>
    <row r="167" spans="1:15" ht="31.5" x14ac:dyDescent="0.25">
      <c r="A167" s="252" t="s">
        <v>1611</v>
      </c>
      <c r="B167" s="252" t="str">
        <f>HLOOKUP('Getting Started'!H$2,E:I,ROW(),FALSE)</f>
        <v>Personnel</v>
      </c>
      <c r="C167" s="252" t="str">
        <f>HLOOKUP('Getting Started'!H$2,J:N,ROW(),FALSE)</f>
        <v>Is a report made of each competency assessment?</v>
      </c>
      <c r="D167" s="252" t="s">
        <v>507</v>
      </c>
      <c r="E167" s="255" t="s">
        <v>512</v>
      </c>
      <c r="F167" s="255" t="s">
        <v>512</v>
      </c>
      <c r="G167" s="255" t="s">
        <v>1400</v>
      </c>
      <c r="H167" s="255" t="s">
        <v>1401</v>
      </c>
      <c r="I167" s="254"/>
      <c r="J167" s="254" t="s">
        <v>552</v>
      </c>
      <c r="K167" s="252"/>
      <c r="L167" s="252"/>
      <c r="N167" s="256" t="s">
        <v>3367</v>
      </c>
      <c r="O167" s="258" t="s">
        <v>1</v>
      </c>
    </row>
    <row r="168" spans="1:15" ht="60" x14ac:dyDescent="0.25">
      <c r="A168" s="252" t="s">
        <v>1612</v>
      </c>
      <c r="B168" s="252" t="str">
        <f>HLOOKUP('Getting Started'!H$2,E:I,ROW(),FALSE)</f>
        <v>Personnel</v>
      </c>
      <c r="C168" s="252" t="str">
        <f>HLOOKUP('Getting Started'!H$2,J:N,ROW(),FALSE)</f>
        <v>Are the points for improvement described in the report of a competency assessment, including with a description of the strategy on how to improve these points?</v>
      </c>
      <c r="D168" s="252" t="s">
        <v>507</v>
      </c>
      <c r="E168" s="255" t="s">
        <v>512</v>
      </c>
      <c r="F168" s="255" t="s">
        <v>512</v>
      </c>
      <c r="G168" s="255" t="s">
        <v>1400</v>
      </c>
      <c r="H168" s="255" t="s">
        <v>1401</v>
      </c>
      <c r="I168" s="254"/>
      <c r="J168" s="254" t="s">
        <v>553</v>
      </c>
      <c r="K168" s="252"/>
      <c r="L168" s="252"/>
      <c r="N168" s="256" t="s">
        <v>3368</v>
      </c>
      <c r="O168" s="258" t="s">
        <v>1</v>
      </c>
    </row>
    <row r="169" spans="1:15" ht="31.5" x14ac:dyDescent="0.25">
      <c r="A169" s="252" t="s">
        <v>1613</v>
      </c>
      <c r="B169" s="252" t="str">
        <f>HLOOKUP('Getting Started'!H$2,E:I,ROW(),FALSE)</f>
        <v>Personnel</v>
      </c>
      <c r="C169" s="252" t="str">
        <f>HLOOKUP('Getting Started'!H$2,J:N,ROW(),FALSE)</f>
        <v>Are the reports of the competency assessments stored in the personnel files?</v>
      </c>
      <c r="D169" s="252" t="s">
        <v>507</v>
      </c>
      <c r="E169" s="255" t="s">
        <v>512</v>
      </c>
      <c r="F169" s="255" t="s">
        <v>512</v>
      </c>
      <c r="G169" s="255" t="s">
        <v>1400</v>
      </c>
      <c r="H169" s="255" t="s">
        <v>1401</v>
      </c>
      <c r="I169" s="254"/>
      <c r="J169" s="254" t="s">
        <v>554</v>
      </c>
      <c r="K169" s="252"/>
      <c r="L169" s="252"/>
      <c r="N169" s="256" t="s">
        <v>3369</v>
      </c>
      <c r="O169" s="258" t="s">
        <v>1</v>
      </c>
    </row>
    <row r="170" spans="1:15" ht="47.25" x14ac:dyDescent="0.25">
      <c r="A170" s="252" t="s">
        <v>1614</v>
      </c>
      <c r="B170" s="252" t="str">
        <f>HLOOKUP('Getting Started'!H$2,E:I,ROW(),FALSE)</f>
        <v>Personnel</v>
      </c>
      <c r="C170" s="252" t="str">
        <f>HLOOKUP('Getting Started'!H$2,J:N,ROW(),FALSE)</f>
        <v>If training needs are identified during competency assessment, is the staff member send to the appropriate training?</v>
      </c>
      <c r="D170" s="252" t="s">
        <v>507</v>
      </c>
      <c r="E170" s="255" t="s">
        <v>512</v>
      </c>
      <c r="F170" s="255" t="s">
        <v>512</v>
      </c>
      <c r="G170" s="255" t="s">
        <v>1400</v>
      </c>
      <c r="H170" s="255" t="s">
        <v>1401</v>
      </c>
      <c r="I170" s="254"/>
      <c r="J170" s="254" t="s">
        <v>555</v>
      </c>
      <c r="K170" s="252"/>
      <c r="L170" s="252"/>
      <c r="N170" s="256" t="s">
        <v>3370</v>
      </c>
      <c r="O170" s="258" t="s">
        <v>1</v>
      </c>
    </row>
    <row r="171" spans="1:15" ht="31.5" x14ac:dyDescent="0.25">
      <c r="A171" s="252" t="s">
        <v>1615</v>
      </c>
      <c r="B171" s="252" t="str">
        <f>HLOOKUP('Getting Started'!H$2,E:I,ROW(),FALSE)</f>
        <v>Personnel</v>
      </c>
      <c r="C171" s="252" t="str">
        <f>HLOOKUP('Getting Started'!H$2,J:N,ROW(),FALSE)</f>
        <v>Is the competency of the Laboratory Manager annually assessed?</v>
      </c>
      <c r="D171" s="252" t="s">
        <v>507</v>
      </c>
      <c r="E171" s="255" t="s">
        <v>512</v>
      </c>
      <c r="F171" s="255" t="s">
        <v>512</v>
      </c>
      <c r="G171" s="255" t="s">
        <v>1400</v>
      </c>
      <c r="H171" s="255" t="s">
        <v>1401</v>
      </c>
      <c r="I171" s="254"/>
      <c r="J171" s="254" t="s">
        <v>556</v>
      </c>
      <c r="K171" s="252"/>
      <c r="L171" s="252"/>
      <c r="N171" s="256" t="s">
        <v>3371</v>
      </c>
      <c r="O171" s="258" t="s">
        <v>1</v>
      </c>
    </row>
    <row r="172" spans="1:15" ht="31.5" x14ac:dyDescent="0.25">
      <c r="A172" s="252" t="s">
        <v>1616</v>
      </c>
      <c r="B172" s="252" t="str">
        <f>HLOOKUP('Getting Started'!H$2,E:I,ROW(),FALSE)</f>
        <v>Personnel</v>
      </c>
      <c r="C172" s="252" t="str">
        <f>HLOOKUP('Getting Started'!H$2,J:N,ROW(),FALSE)</f>
        <v>Does the laboratory have an induction program for new staff?</v>
      </c>
      <c r="D172" s="252" t="s">
        <v>507</v>
      </c>
      <c r="E172" s="255" t="s">
        <v>512</v>
      </c>
      <c r="F172" s="255" t="s">
        <v>512</v>
      </c>
      <c r="G172" s="255" t="s">
        <v>1400</v>
      </c>
      <c r="H172" s="255" t="s">
        <v>1401</v>
      </c>
      <c r="I172" s="254"/>
      <c r="J172" s="254" t="s">
        <v>557</v>
      </c>
      <c r="K172" s="252"/>
      <c r="L172" s="252"/>
      <c r="N172" s="256" t="s">
        <v>3372</v>
      </c>
      <c r="O172" s="258" t="s">
        <v>1</v>
      </c>
    </row>
    <row r="173" spans="1:15" ht="31.5" x14ac:dyDescent="0.25">
      <c r="A173" s="252" t="s">
        <v>1617</v>
      </c>
      <c r="B173" s="252" t="str">
        <f>HLOOKUP('Getting Started'!H$2,E:I,ROW(),FALSE)</f>
        <v>Personnel</v>
      </c>
      <c r="C173" s="252" t="str">
        <f>HLOOKUP('Getting Started'!H$2,J:N,ROW(),FALSE)</f>
        <v>Is the procedure of the induction program documented in an SOP?</v>
      </c>
      <c r="D173" s="252" t="s">
        <v>507</v>
      </c>
      <c r="E173" s="255" t="s">
        <v>512</v>
      </c>
      <c r="F173" s="255" t="s">
        <v>512</v>
      </c>
      <c r="G173" s="255" t="s">
        <v>1400</v>
      </c>
      <c r="H173" s="255" t="s">
        <v>1401</v>
      </c>
      <c r="I173" s="254"/>
      <c r="J173" s="254" t="s">
        <v>558</v>
      </c>
      <c r="K173" s="252"/>
      <c r="L173" s="252"/>
      <c r="N173" s="256" t="s">
        <v>3373</v>
      </c>
      <c r="O173" s="258" t="s">
        <v>1</v>
      </c>
    </row>
    <row r="174" spans="1:15" ht="47.25" x14ac:dyDescent="0.25">
      <c r="A174" s="252" t="s">
        <v>1618</v>
      </c>
      <c r="B174" s="252" t="str">
        <f>HLOOKUP('Getting Started'!H$2,E:I,ROW(),FALSE)</f>
        <v>Personnel</v>
      </c>
      <c r="C174" s="252" t="str">
        <f>HLOOKUP('Getting Started'!H$2,J:N,ROW(),FALSE)</f>
        <v>Does the SOP for Induction of New Personnel include a checklist for verifying correct completion of the program?</v>
      </c>
      <c r="D174" s="252" t="s">
        <v>507</v>
      </c>
      <c r="E174" s="255" t="s">
        <v>512</v>
      </c>
      <c r="F174" s="255" t="s">
        <v>512</v>
      </c>
      <c r="G174" s="255" t="s">
        <v>1400</v>
      </c>
      <c r="H174" s="255" t="s">
        <v>1401</v>
      </c>
      <c r="I174" s="254"/>
      <c r="J174" s="254" t="s">
        <v>559</v>
      </c>
      <c r="K174" s="252"/>
      <c r="L174" s="252"/>
      <c r="N174" s="256" t="s">
        <v>3374</v>
      </c>
      <c r="O174" s="258" t="s">
        <v>1</v>
      </c>
    </row>
    <row r="175" spans="1:15" ht="47.25" x14ac:dyDescent="0.25">
      <c r="A175" s="252" t="s">
        <v>1619</v>
      </c>
      <c r="B175" s="252" t="str">
        <f>HLOOKUP('Getting Started'!H$2,E:I,ROW(),FALSE)</f>
        <v>Personnel</v>
      </c>
      <c r="C175" s="252" t="str">
        <f>HLOOKUP('Getting Started'!H$2,J:N,ROW(),FALSE)</f>
        <v>Are completed checklists stored at a logical location (e.g. in the personnel file of the new staff member)?</v>
      </c>
      <c r="D175" s="252" t="s">
        <v>507</v>
      </c>
      <c r="E175" s="255" t="s">
        <v>512</v>
      </c>
      <c r="F175" s="255" t="s">
        <v>512</v>
      </c>
      <c r="G175" s="255" t="s">
        <v>1400</v>
      </c>
      <c r="H175" s="255" t="s">
        <v>1401</v>
      </c>
      <c r="I175" s="254"/>
      <c r="J175" s="254" t="s">
        <v>560</v>
      </c>
      <c r="K175" s="252"/>
      <c r="L175" s="252"/>
      <c r="N175" s="256" t="s">
        <v>3375</v>
      </c>
      <c r="O175" s="258" t="s">
        <v>1</v>
      </c>
    </row>
    <row r="176" spans="1:15" ht="31.5" x14ac:dyDescent="0.25">
      <c r="A176" s="252" t="s">
        <v>1620</v>
      </c>
      <c r="B176" s="252" t="str">
        <f>HLOOKUP('Getting Started'!H$2,E:I,ROW(),FALSE)</f>
        <v>Personnel</v>
      </c>
      <c r="C176" s="252" t="str">
        <f>HLOOKUP('Getting Started'!H$2,J:N,ROW(),FALSE)</f>
        <v>Are performance appraisals performed for all staff members at least once per two years?</v>
      </c>
      <c r="D176" s="252" t="s">
        <v>507</v>
      </c>
      <c r="E176" s="255" t="s">
        <v>512</v>
      </c>
      <c r="F176" s="255" t="s">
        <v>512</v>
      </c>
      <c r="G176" s="255" t="s">
        <v>1400</v>
      </c>
      <c r="H176" s="255" t="s">
        <v>1401</v>
      </c>
      <c r="I176" s="254"/>
      <c r="J176" s="254" t="s">
        <v>561</v>
      </c>
      <c r="K176" s="252"/>
      <c r="L176" s="252"/>
      <c r="N176" s="256" t="s">
        <v>3376</v>
      </c>
      <c r="O176" s="258" t="s">
        <v>1</v>
      </c>
    </row>
    <row r="177" spans="1:15" ht="78.75" x14ac:dyDescent="0.25">
      <c r="A177" s="252" t="s">
        <v>1621</v>
      </c>
      <c r="B177" s="252" t="str">
        <f>HLOOKUP('Getting Started'!H$2,E:I,ROW(),FALSE)</f>
        <v>Personnel</v>
      </c>
      <c r="C177" s="252" t="str">
        <f>HLOOKUP('Getting Started'!H$2,J:N,ROW(),FALSE)</f>
        <v>Are findings of performance appraisals discussed with staff members that were assessed to find the root cause and come to a good approach on eliminating this root cause and improving performance?</v>
      </c>
      <c r="D177" s="252" t="s">
        <v>507</v>
      </c>
      <c r="E177" s="255" t="s">
        <v>512</v>
      </c>
      <c r="F177" s="255" t="s">
        <v>512</v>
      </c>
      <c r="G177" s="255" t="s">
        <v>1400</v>
      </c>
      <c r="H177" s="255" t="s">
        <v>1401</v>
      </c>
      <c r="I177" s="254"/>
      <c r="J177" s="254" t="s">
        <v>562</v>
      </c>
      <c r="K177" s="252"/>
      <c r="L177" s="252"/>
      <c r="N177" s="256" t="s">
        <v>3377</v>
      </c>
      <c r="O177" s="258" t="s">
        <v>1</v>
      </c>
    </row>
    <row r="178" spans="1:15" ht="94.5" x14ac:dyDescent="0.25">
      <c r="A178" s="252" t="s">
        <v>1622</v>
      </c>
      <c r="B178" s="252" t="str">
        <f>HLOOKUP('Getting Started'!H$2,E:I,ROW(),FALSE)</f>
        <v>Personnel</v>
      </c>
      <c r="C178" s="252" t="str">
        <f>HLOOKUP('Getting Started'!H$2,J:N,ROW(),FALSE)</f>
        <v>Are findings of performance appraisals recorded, including the identification of root causes behind poor performance and the approach chosen to eliminate these and improve performance?</v>
      </c>
      <c r="D178" s="252" t="s">
        <v>507</v>
      </c>
      <c r="E178" s="255" t="s">
        <v>512</v>
      </c>
      <c r="F178" s="255" t="s">
        <v>512</v>
      </c>
      <c r="G178" s="255" t="s">
        <v>1400</v>
      </c>
      <c r="H178" s="255" t="s">
        <v>1401</v>
      </c>
      <c r="I178" s="254"/>
      <c r="J178" s="254" t="s">
        <v>563</v>
      </c>
      <c r="K178" s="252"/>
      <c r="L178" s="252"/>
      <c r="N178" s="256" t="s">
        <v>3378</v>
      </c>
      <c r="O178" s="258" t="s">
        <v>1</v>
      </c>
    </row>
    <row r="179" spans="1:15" ht="15.75" x14ac:dyDescent="0.25">
      <c r="A179" s="252" t="s">
        <v>1623</v>
      </c>
      <c r="B179" s="252" t="str">
        <f>HLOOKUP('Getting Started'!H$2,E:I,ROW(),FALSE)</f>
        <v>Personnel</v>
      </c>
      <c r="C179" s="252" t="str">
        <f>HLOOKUP('Getting Started'!H$2,J:N,ROW(),FALSE)</f>
        <v>Is a personnel file present of each staff member?</v>
      </c>
      <c r="D179" s="252" t="s">
        <v>507</v>
      </c>
      <c r="E179" s="255" t="s">
        <v>512</v>
      </c>
      <c r="F179" s="255" t="s">
        <v>512</v>
      </c>
      <c r="G179" s="255" t="s">
        <v>1400</v>
      </c>
      <c r="H179" s="255" t="s">
        <v>1401</v>
      </c>
      <c r="I179" s="254"/>
      <c r="J179" s="254" t="s">
        <v>564</v>
      </c>
      <c r="K179" s="252"/>
      <c r="L179" s="252"/>
      <c r="N179" s="256" t="s">
        <v>3379</v>
      </c>
      <c r="O179" s="258" t="s">
        <v>1</v>
      </c>
    </row>
    <row r="180" spans="1:15" ht="47.25" x14ac:dyDescent="0.25">
      <c r="A180" s="252" t="s">
        <v>1624</v>
      </c>
      <c r="B180" s="252" t="str">
        <f>HLOOKUP('Getting Started'!H$2,E:I,ROW(),FALSE)</f>
        <v>Personnel</v>
      </c>
      <c r="C180" s="252" t="str">
        <f>HLOOKUP('Getting Started'!H$2,J:N,ROW(),FALSE)</f>
        <v>Are all the records described in ISO 15189:2012 article 5.1.9 (ISO 15189:2007 5.1.2) present in the personnel file of each staff member?</v>
      </c>
      <c r="D180" s="252" t="s">
        <v>507</v>
      </c>
      <c r="E180" s="255" t="s">
        <v>512</v>
      </c>
      <c r="F180" s="255" t="s">
        <v>512</v>
      </c>
      <c r="G180" s="255" t="s">
        <v>1400</v>
      </c>
      <c r="H180" s="255" t="s">
        <v>1401</v>
      </c>
      <c r="I180" s="254"/>
      <c r="J180" s="254" t="s">
        <v>565</v>
      </c>
      <c r="K180" s="252"/>
      <c r="L180" s="252"/>
      <c r="N180" s="256" t="s">
        <v>3380</v>
      </c>
      <c r="O180" s="258" t="s">
        <v>1</v>
      </c>
    </row>
    <row r="181" spans="1:15" ht="31.5" x14ac:dyDescent="0.25">
      <c r="A181" s="252" t="s">
        <v>1625</v>
      </c>
      <c r="B181" s="252" t="str">
        <f>HLOOKUP('Getting Started'!H$2,E:I,ROW(),FALSE)</f>
        <v>Personnel</v>
      </c>
      <c r="C181" s="252" t="str">
        <f>HLOOKUP('Getting Started'!H$2,J:N,ROW(),FALSE)</f>
        <v>Are the personnel files structured in an orderly fashion?</v>
      </c>
      <c r="D181" s="252" t="s">
        <v>507</v>
      </c>
      <c r="E181" s="255" t="s">
        <v>512</v>
      </c>
      <c r="F181" s="255" t="s">
        <v>512</v>
      </c>
      <c r="G181" s="255" t="s">
        <v>1400</v>
      </c>
      <c r="H181" s="255" t="s">
        <v>1401</v>
      </c>
      <c r="I181" s="254"/>
      <c r="J181" s="254" t="s">
        <v>566</v>
      </c>
      <c r="K181" s="252"/>
      <c r="L181" s="252"/>
      <c r="N181" s="256" t="s">
        <v>3381</v>
      </c>
      <c r="O181" s="258" t="s">
        <v>1</v>
      </c>
    </row>
    <row r="182" spans="1:15" ht="47.25" x14ac:dyDescent="0.25">
      <c r="A182" s="252" t="s">
        <v>1626</v>
      </c>
      <c r="B182" s="252" t="str">
        <f>HLOOKUP('Getting Started'!H$2,E:I,ROW(),FALSE)</f>
        <v>Personnel</v>
      </c>
      <c r="C182" s="252" t="str">
        <f>HLOOKUP('Getting Started'!H$2,J:N,ROW(),FALSE)</f>
        <v>Is the Personnel Files folder stored in a locked cabinet that is only accessible to the Laboratory Manager and the secretary?</v>
      </c>
      <c r="D182" s="252" t="s">
        <v>507</v>
      </c>
      <c r="E182" s="255" t="s">
        <v>512</v>
      </c>
      <c r="F182" s="255" t="s">
        <v>512</v>
      </c>
      <c r="G182" s="255" t="s">
        <v>1400</v>
      </c>
      <c r="H182" s="255" t="s">
        <v>1401</v>
      </c>
      <c r="I182" s="254"/>
      <c r="J182" s="254" t="s">
        <v>567</v>
      </c>
      <c r="K182" s="252"/>
      <c r="L182" s="252"/>
      <c r="N182" s="256" t="s">
        <v>3382</v>
      </c>
      <c r="O182" s="258" t="s">
        <v>1</v>
      </c>
    </row>
    <row r="183" spans="1:15" ht="45" x14ac:dyDescent="0.25">
      <c r="A183" s="252" t="s">
        <v>1627</v>
      </c>
      <c r="B183" s="252" t="str">
        <f>HLOOKUP('Getting Started'!H$2,E:I,ROW(),FALSE)</f>
        <v>Equipment</v>
      </c>
      <c r="C183" s="252" t="str">
        <f>HLOOKUP('Getting Started'!H$2,J:N,ROW(),FALSE)</f>
        <v>Does the laboratory have a standardized, documented procedure for procurement and reception of new equipment?</v>
      </c>
      <c r="D183" s="252" t="s">
        <v>507</v>
      </c>
      <c r="E183" s="255" t="s">
        <v>513</v>
      </c>
      <c r="F183" s="255" t="s">
        <v>1388</v>
      </c>
      <c r="G183" s="255" t="s">
        <v>1389</v>
      </c>
      <c r="H183" s="255" t="s">
        <v>1390</v>
      </c>
      <c r="I183" s="254"/>
      <c r="J183" s="254" t="s">
        <v>568</v>
      </c>
      <c r="K183" s="252"/>
      <c r="L183" s="252"/>
      <c r="N183" s="256" t="s">
        <v>3383</v>
      </c>
      <c r="O183" s="258" t="s">
        <v>1</v>
      </c>
    </row>
    <row r="184" spans="1:15" ht="47.25" x14ac:dyDescent="0.25">
      <c r="A184" s="252" t="s">
        <v>1628</v>
      </c>
      <c r="B184" s="252" t="str">
        <f>HLOOKUP('Getting Started'!H$2,E:I,ROW(),FALSE)</f>
        <v>Equipment</v>
      </c>
      <c r="C184" s="252" t="str">
        <f>HLOOKUP('Getting Started'!H$2,J:N,ROW(),FALSE)</f>
        <v>Does the laboratory have a standardized, documented procedure for acceptance or rejection of donated equipment?</v>
      </c>
      <c r="D184" s="252" t="s">
        <v>507</v>
      </c>
      <c r="E184" s="255" t="s">
        <v>513</v>
      </c>
      <c r="F184" s="255" t="s">
        <v>1388</v>
      </c>
      <c r="G184" s="255" t="s">
        <v>1389</v>
      </c>
      <c r="H184" s="255" t="s">
        <v>1390</v>
      </c>
      <c r="I184" s="254"/>
      <c r="J184" s="254" t="s">
        <v>569</v>
      </c>
      <c r="K184" s="252"/>
      <c r="L184" s="252"/>
      <c r="N184" s="256" t="s">
        <v>3384</v>
      </c>
      <c r="O184" s="258" t="s">
        <v>1</v>
      </c>
    </row>
    <row r="185" spans="1:15" ht="63" x14ac:dyDescent="0.25">
      <c r="A185" s="252" t="s">
        <v>1629</v>
      </c>
      <c r="B185" s="252" t="str">
        <f>HLOOKUP('Getting Started'!H$2,E:I,ROW(),FALSE)</f>
        <v>Equipment</v>
      </c>
      <c r="C185" s="252" t="str">
        <f>HLOOKUP('Getting Started'!H$2,J:N,ROW(),FALSE)</f>
        <v>Is the SOP for Procurement and Reception of Equipment stored at a logical location, accessible to all staff members?</v>
      </c>
      <c r="D185" s="252" t="s">
        <v>507</v>
      </c>
      <c r="E185" s="255" t="s">
        <v>513</v>
      </c>
      <c r="F185" s="255" t="s">
        <v>1388</v>
      </c>
      <c r="G185" s="255" t="s">
        <v>1389</v>
      </c>
      <c r="H185" s="255" t="s">
        <v>1390</v>
      </c>
      <c r="I185" s="254"/>
      <c r="J185" s="254" t="s">
        <v>570</v>
      </c>
      <c r="K185" s="252"/>
      <c r="L185" s="252"/>
      <c r="N185" s="256" t="s">
        <v>3385</v>
      </c>
      <c r="O185" s="258" t="s">
        <v>1</v>
      </c>
    </row>
    <row r="186" spans="1:15" ht="47.25" x14ac:dyDescent="0.25">
      <c r="A186" s="252" t="s">
        <v>1630</v>
      </c>
      <c r="B186" s="252" t="str">
        <f>HLOOKUP('Getting Started'!H$2,E:I,ROW(),FALSE)</f>
        <v>Equipment</v>
      </c>
      <c r="C186" s="252" t="str">
        <f>HLOOKUP('Getting Started'!H$2,J:N,ROW(),FALSE)</f>
        <v>Is the SOP for Procurement and Reception of Equipment demonstrably reviewed and verified by fellow staff members?</v>
      </c>
      <c r="D186" s="252" t="s">
        <v>507</v>
      </c>
      <c r="E186" s="255" t="s">
        <v>513</v>
      </c>
      <c r="F186" s="255" t="s">
        <v>1388</v>
      </c>
      <c r="G186" s="255" t="s">
        <v>1389</v>
      </c>
      <c r="H186" s="255" t="s">
        <v>1390</v>
      </c>
      <c r="I186" s="254"/>
      <c r="J186" s="254" t="s">
        <v>571</v>
      </c>
      <c r="K186" s="252"/>
      <c r="L186" s="252"/>
      <c r="N186" s="256" t="s">
        <v>3386</v>
      </c>
      <c r="O186" s="258" t="s">
        <v>1</v>
      </c>
    </row>
    <row r="187" spans="1:15" ht="47.25" x14ac:dyDescent="0.25">
      <c r="A187" s="252" t="s">
        <v>1631</v>
      </c>
      <c r="B187" s="252" t="str">
        <f>HLOOKUP('Getting Started'!H$2,E:I,ROW(),FALSE)</f>
        <v>Equipment</v>
      </c>
      <c r="C187" s="252" t="str">
        <f>HLOOKUP('Getting Started'!H$2,J:N,ROW(),FALSE)</f>
        <v>Is the SOP for Procurement and Reception of Equipment demonstrably authorized by laboratory management?</v>
      </c>
      <c r="D187" s="252" t="s">
        <v>507</v>
      </c>
      <c r="E187" s="255" t="s">
        <v>513</v>
      </c>
      <c r="F187" s="255" t="s">
        <v>1388</v>
      </c>
      <c r="G187" s="255" t="s">
        <v>1389</v>
      </c>
      <c r="H187" s="255" t="s">
        <v>1390</v>
      </c>
      <c r="I187" s="254"/>
      <c r="J187" s="254" t="s">
        <v>572</v>
      </c>
      <c r="K187" s="252"/>
      <c r="L187" s="252"/>
      <c r="N187" s="256" t="s">
        <v>3387</v>
      </c>
      <c r="O187" s="258" t="s">
        <v>1</v>
      </c>
    </row>
    <row r="188" spans="1:15" ht="47.25" x14ac:dyDescent="0.25">
      <c r="A188" s="252" t="s">
        <v>1632</v>
      </c>
      <c r="B188" s="252" t="str">
        <f>HLOOKUP('Getting Started'!H$2,E:I,ROW(),FALSE)</f>
        <v>Equipment</v>
      </c>
      <c r="C188" s="252" t="str">
        <f>HLOOKUP('Getting Started'!H$2,J:N,ROW(),FALSE)</f>
        <v>Are all technical and managerial staff members aware of the existence of the SOP and do they know when to use it?</v>
      </c>
      <c r="D188" s="252" t="s">
        <v>507</v>
      </c>
      <c r="E188" s="255" t="s">
        <v>513</v>
      </c>
      <c r="F188" s="255" t="s">
        <v>1388</v>
      </c>
      <c r="G188" s="255" t="s">
        <v>1389</v>
      </c>
      <c r="H188" s="255" t="s">
        <v>1390</v>
      </c>
      <c r="I188" s="254"/>
      <c r="J188" s="254" t="s">
        <v>573</v>
      </c>
      <c r="K188" s="252"/>
      <c r="L188" s="252"/>
      <c r="N188" s="256" t="s">
        <v>3388</v>
      </c>
      <c r="O188" s="258" t="s">
        <v>1</v>
      </c>
    </row>
    <row r="189" spans="1:15" ht="31.5" x14ac:dyDescent="0.25">
      <c r="A189" s="252" t="s">
        <v>1633</v>
      </c>
      <c r="B189" s="252" t="str">
        <f>HLOOKUP('Getting Started'!H$2,E:I,ROW(),FALSE)</f>
        <v>Equipment</v>
      </c>
      <c r="C189" s="252" t="str">
        <f>HLOOKUP('Getting Started'!H$2,J:N,ROW(),FALSE)</f>
        <v>Has all equipment in the laboratory been labeled?</v>
      </c>
      <c r="D189" s="252" t="s">
        <v>507</v>
      </c>
      <c r="E189" s="255" t="s">
        <v>513</v>
      </c>
      <c r="F189" s="255" t="s">
        <v>1388</v>
      </c>
      <c r="G189" s="255" t="s">
        <v>1389</v>
      </c>
      <c r="H189" s="255" t="s">
        <v>1390</v>
      </c>
      <c r="I189" s="254"/>
      <c r="J189" s="254" t="s">
        <v>574</v>
      </c>
      <c r="K189" s="252"/>
      <c r="L189" s="252"/>
      <c r="N189" s="260" t="s">
        <v>3389</v>
      </c>
      <c r="O189" s="258" t="s">
        <v>1</v>
      </c>
    </row>
    <row r="190" spans="1:15" ht="15.75" x14ac:dyDescent="0.25">
      <c r="A190" s="252" t="s">
        <v>1634</v>
      </c>
      <c r="B190" s="252" t="str">
        <f>HLOOKUP('Getting Started'!H$2,E:I,ROW(),FALSE)</f>
        <v>Equipment</v>
      </c>
      <c r="C190" s="252" t="str">
        <f>HLOOKUP('Getting Started'!H$2,J:N,ROW(),FALSE)</f>
        <v>Do the equipment labels include the following data:</v>
      </c>
      <c r="D190" s="252" t="s">
        <v>507</v>
      </c>
      <c r="E190" s="255" t="s">
        <v>513</v>
      </c>
      <c r="F190" s="255" t="s">
        <v>1388</v>
      </c>
      <c r="G190" s="255" t="s">
        <v>1389</v>
      </c>
      <c r="H190" s="255" t="s">
        <v>1390</v>
      </c>
      <c r="I190" s="254"/>
      <c r="J190" s="254" t="s">
        <v>575</v>
      </c>
      <c r="K190" s="252"/>
      <c r="L190" s="252"/>
      <c r="N190" s="256" t="s">
        <v>3390</v>
      </c>
      <c r="O190" s="300" t="s">
        <v>1</v>
      </c>
    </row>
    <row r="191" spans="1:15" ht="15.75" x14ac:dyDescent="0.25">
      <c r="A191" s="252" t="s">
        <v>2354</v>
      </c>
      <c r="B191" s="252" t="str">
        <f>HLOOKUP('Getting Started'!H$2,E:I,ROW(),FALSE)</f>
        <v>Equipment</v>
      </c>
      <c r="C191" s="252" t="str">
        <f>HLOOKUP('Getting Started'!H$2,J:N,ROW(),FALSE)</f>
        <v>Equipment code</v>
      </c>
      <c r="D191" s="252" t="s">
        <v>507</v>
      </c>
      <c r="E191" s="255" t="s">
        <v>513</v>
      </c>
      <c r="F191" s="255" t="s">
        <v>1388</v>
      </c>
      <c r="G191" s="255" t="s">
        <v>1389</v>
      </c>
      <c r="H191" s="255" t="s">
        <v>1390</v>
      </c>
      <c r="I191" s="254"/>
      <c r="J191" s="254" t="s">
        <v>576</v>
      </c>
      <c r="K191" s="252"/>
      <c r="L191" s="252"/>
      <c r="N191" s="256" t="s">
        <v>3391</v>
      </c>
      <c r="O191" s="300"/>
    </row>
    <row r="192" spans="1:15" ht="15.75" x14ac:dyDescent="0.25">
      <c r="A192" s="252" t="s">
        <v>2355</v>
      </c>
      <c r="B192" s="252" t="str">
        <f>HLOOKUP('Getting Started'!H$2,E:I,ROW(),FALSE)</f>
        <v>Equipment</v>
      </c>
      <c r="C192" s="252" t="str">
        <f>HLOOKUP('Getting Started'!H$2,J:N,ROW(),FALSE)</f>
        <v>Date of last service/calibration</v>
      </c>
      <c r="D192" s="252" t="s">
        <v>507</v>
      </c>
      <c r="E192" s="255" t="s">
        <v>513</v>
      </c>
      <c r="F192" s="255" t="s">
        <v>1388</v>
      </c>
      <c r="G192" s="255" t="s">
        <v>1389</v>
      </c>
      <c r="H192" s="255" t="s">
        <v>1390</v>
      </c>
      <c r="I192" s="254"/>
      <c r="J192" s="254" t="s">
        <v>577</v>
      </c>
      <c r="K192" s="252"/>
      <c r="L192" s="252"/>
      <c r="N192" s="256" t="s">
        <v>3392</v>
      </c>
      <c r="O192" s="300"/>
    </row>
    <row r="193" spans="1:15" ht="15.75" x14ac:dyDescent="0.25">
      <c r="A193" s="252" t="s">
        <v>2356</v>
      </c>
      <c r="B193" s="252" t="str">
        <f>HLOOKUP('Getting Started'!H$2,E:I,ROW(),FALSE)</f>
        <v>Equipment</v>
      </c>
      <c r="C193" s="252" t="str">
        <f>HLOOKUP('Getting Started'!H$2,J:N,ROW(),FALSE)</f>
        <v>Date of next service/calibration</v>
      </c>
      <c r="D193" s="252" t="s">
        <v>507</v>
      </c>
      <c r="E193" s="255" t="s">
        <v>513</v>
      </c>
      <c r="F193" s="255" t="s">
        <v>1388</v>
      </c>
      <c r="G193" s="255" t="s">
        <v>1389</v>
      </c>
      <c r="H193" s="255" t="s">
        <v>1390</v>
      </c>
      <c r="I193" s="254"/>
      <c r="J193" s="254" t="s">
        <v>578</v>
      </c>
      <c r="K193" s="252"/>
      <c r="L193" s="252"/>
      <c r="N193" s="256" t="s">
        <v>3393</v>
      </c>
      <c r="O193" s="300"/>
    </row>
    <row r="194" spans="1:15" ht="47.25" x14ac:dyDescent="0.25">
      <c r="A194" s="252" t="s">
        <v>1635</v>
      </c>
      <c r="B194" s="252" t="str">
        <f>HLOOKUP('Getting Started'!H$2,E:I,ROW(),FALSE)</f>
        <v>Equipment</v>
      </c>
      <c r="C194" s="252" t="str">
        <f>HLOOKUP('Getting Started'!H$2,J:N,ROW(),FALSE)</f>
        <v>Are the equipment labels resistant to fluids, chemicals, light, and other daily factors causing wear and tear of the labels?</v>
      </c>
      <c r="D194" s="252" t="s">
        <v>507</v>
      </c>
      <c r="E194" s="255" t="s">
        <v>513</v>
      </c>
      <c r="F194" s="255" t="s">
        <v>1388</v>
      </c>
      <c r="G194" s="255" t="s">
        <v>1389</v>
      </c>
      <c r="H194" s="255" t="s">
        <v>1390</v>
      </c>
      <c r="I194" s="254"/>
      <c r="J194" s="254" t="s">
        <v>579</v>
      </c>
      <c r="K194" s="252"/>
      <c r="L194" s="252"/>
      <c r="N194" s="256" t="s">
        <v>3394</v>
      </c>
      <c r="O194" s="258" t="s">
        <v>1</v>
      </c>
    </row>
    <row r="195" spans="1:15" ht="47.25" x14ac:dyDescent="0.25">
      <c r="A195" s="252" t="s">
        <v>1636</v>
      </c>
      <c r="B195" s="252" t="str">
        <f>HLOOKUP('Getting Started'!H$2,E:I,ROW(),FALSE)</f>
        <v>Equipment</v>
      </c>
      <c r="C195" s="252" t="str">
        <f>HLOOKUP('Getting Started'!H$2,J:N,ROW(),FALSE)</f>
        <v>Is it documented who is responsible for each piece of equipment and who is authorized to use the equipment?</v>
      </c>
      <c r="D195" s="252" t="s">
        <v>507</v>
      </c>
      <c r="E195" s="255" t="s">
        <v>513</v>
      </c>
      <c r="F195" s="255" t="s">
        <v>1388</v>
      </c>
      <c r="G195" s="255" t="s">
        <v>1389</v>
      </c>
      <c r="H195" s="255" t="s">
        <v>1390</v>
      </c>
      <c r="I195" s="254"/>
      <c r="J195" s="254" t="s">
        <v>580</v>
      </c>
      <c r="K195" s="252"/>
      <c r="L195" s="252"/>
      <c r="N195" s="256" t="s">
        <v>3395</v>
      </c>
      <c r="O195" s="258" t="s">
        <v>1</v>
      </c>
    </row>
    <row r="196" spans="1:15" ht="63" x14ac:dyDescent="0.25">
      <c r="A196" s="252" t="s">
        <v>1637</v>
      </c>
      <c r="B196" s="252" t="str">
        <f>HLOOKUP('Getting Started'!H$2,E:I,ROW(),FALSE)</f>
        <v>Equipment</v>
      </c>
      <c r="C196" s="252" t="str">
        <f>HLOOKUP('Getting Started'!H$2,J:N,ROW(),FALSE)</f>
        <v>Do staff members who are responsible for a piece of equipment know their responsibilities?
Take a sample by asking such a staff member.</v>
      </c>
      <c r="D196" s="252" t="s">
        <v>507</v>
      </c>
      <c r="E196" s="255" t="s">
        <v>513</v>
      </c>
      <c r="F196" s="255" t="s">
        <v>1388</v>
      </c>
      <c r="G196" s="255" t="s">
        <v>1389</v>
      </c>
      <c r="H196" s="255" t="s">
        <v>1390</v>
      </c>
      <c r="I196" s="254"/>
      <c r="J196" s="254" t="s">
        <v>2363</v>
      </c>
      <c r="K196" s="252"/>
      <c r="L196" s="252"/>
      <c r="N196" s="256" t="s">
        <v>3396</v>
      </c>
      <c r="O196" s="258" t="s">
        <v>1</v>
      </c>
    </row>
    <row r="197" spans="1:15" ht="31.5" x14ac:dyDescent="0.25">
      <c r="A197" s="252" t="s">
        <v>1638</v>
      </c>
      <c r="B197" s="252" t="str">
        <f>HLOOKUP('Getting Started'!H$2,E:I,ROW(),FALSE)</f>
        <v>Equipment</v>
      </c>
      <c r="C197" s="252" t="str">
        <f>HLOOKUP('Getting Started'!H$2,J:N,ROW(),FALSE)</f>
        <v>Are staff members authorized for use of a piece of equipment properly instructed/trained?</v>
      </c>
      <c r="D197" s="252" t="s">
        <v>507</v>
      </c>
      <c r="E197" s="255" t="s">
        <v>513</v>
      </c>
      <c r="F197" s="255" t="s">
        <v>1388</v>
      </c>
      <c r="G197" s="255" t="s">
        <v>1389</v>
      </c>
      <c r="H197" s="255" t="s">
        <v>1390</v>
      </c>
      <c r="I197" s="254"/>
      <c r="J197" s="254" t="s">
        <v>581</v>
      </c>
      <c r="K197" s="252"/>
      <c r="L197" s="252"/>
      <c r="N197" s="256" t="s">
        <v>3397</v>
      </c>
      <c r="O197" s="258" t="s">
        <v>1</v>
      </c>
    </row>
    <row r="198" spans="1:15" ht="60" x14ac:dyDescent="0.25">
      <c r="A198" s="252" t="s">
        <v>1639</v>
      </c>
      <c r="B198" s="252" t="str">
        <f>HLOOKUP('Getting Started'!H$2,E:I,ROW(),FALSE)</f>
        <v>Equipment</v>
      </c>
      <c r="C198" s="252" t="str">
        <f>HLOOKUP('Getting Started'!H$2,J:N,ROW(),FALSE)</f>
        <v>Does the laboratory have a Maintenance Log Sheet for each piece of equipment that shows what maintenance has been performed at which moment to which piece of equipment?</v>
      </c>
      <c r="D198" s="252" t="s">
        <v>507</v>
      </c>
      <c r="E198" s="255" t="s">
        <v>513</v>
      </c>
      <c r="F198" s="255" t="s">
        <v>1388</v>
      </c>
      <c r="G198" s="255" t="s">
        <v>1389</v>
      </c>
      <c r="H198" s="255" t="s">
        <v>1390</v>
      </c>
      <c r="I198" s="254"/>
      <c r="J198" s="254" t="s">
        <v>582</v>
      </c>
      <c r="K198" s="252"/>
      <c r="L198" s="252"/>
      <c r="N198" s="256" t="s">
        <v>3398</v>
      </c>
      <c r="O198" s="258" t="s">
        <v>1</v>
      </c>
    </row>
    <row r="199" spans="1:15" ht="47.25" x14ac:dyDescent="0.25">
      <c r="A199" s="252" t="s">
        <v>1640</v>
      </c>
      <c r="B199" s="252" t="str">
        <f>HLOOKUP('Getting Started'!H$2,E:I,ROW(),FALSE)</f>
        <v>Equipment</v>
      </c>
      <c r="C199" s="252" t="str">
        <f>HLOOKUP('Getting Started'!H$2,J:N,ROW(),FALSE)</f>
        <v>Does the laboratory use log sheets to record usage of specific pieces of equipment where necessary?</v>
      </c>
      <c r="D199" s="252" t="s">
        <v>507</v>
      </c>
      <c r="E199" s="255" t="s">
        <v>513</v>
      </c>
      <c r="F199" s="255" t="s">
        <v>1388</v>
      </c>
      <c r="G199" s="255" t="s">
        <v>1389</v>
      </c>
      <c r="H199" s="255" t="s">
        <v>1390</v>
      </c>
      <c r="I199" s="254"/>
      <c r="J199" s="254" t="s">
        <v>583</v>
      </c>
      <c r="K199" s="252"/>
      <c r="L199" s="252"/>
      <c r="N199" s="256" t="s">
        <v>3399</v>
      </c>
      <c r="O199" s="258" t="s">
        <v>1</v>
      </c>
    </row>
    <row r="200" spans="1:15" ht="47.25" x14ac:dyDescent="0.25">
      <c r="A200" s="252" t="s">
        <v>1641</v>
      </c>
      <c r="B200" s="252" t="str">
        <f>HLOOKUP('Getting Started'!H$2,E:I,ROW(),FALSE)</f>
        <v>Equipment</v>
      </c>
      <c r="C200" s="252" t="str">
        <f>HLOOKUP('Getting Started'!H$2,J:N,ROW(),FALSE)</f>
        <v>Do staff members know how and when to fill out Usage Log Sheets/log books for each piece of equipment?</v>
      </c>
      <c r="D200" s="252" t="s">
        <v>507</v>
      </c>
      <c r="E200" s="255" t="s">
        <v>513</v>
      </c>
      <c r="F200" s="255" t="s">
        <v>1388</v>
      </c>
      <c r="G200" s="255" t="s">
        <v>1389</v>
      </c>
      <c r="H200" s="255" t="s">
        <v>1390</v>
      </c>
      <c r="I200" s="254"/>
      <c r="J200" s="254" t="s">
        <v>584</v>
      </c>
      <c r="K200" s="252"/>
      <c r="L200" s="252"/>
      <c r="N200" s="256" t="s">
        <v>3400</v>
      </c>
      <c r="O200" s="258" t="s">
        <v>1</v>
      </c>
    </row>
    <row r="201" spans="1:15" ht="47.25" x14ac:dyDescent="0.25">
      <c r="A201" s="252" t="s">
        <v>1642</v>
      </c>
      <c r="B201" s="252" t="str">
        <f>HLOOKUP('Getting Started'!H$2,E:I,ROW(),FALSE)</f>
        <v>Equipment</v>
      </c>
      <c r="C201" s="252" t="str">
        <f>HLOOKUP('Getting Started'!H$2,J:N,ROW(),FALSE)</f>
        <v>Are the Usage Log Sheets placed near the piece of equipment they have been developed for?</v>
      </c>
      <c r="D201" s="252" t="s">
        <v>507</v>
      </c>
      <c r="E201" s="255" t="s">
        <v>513</v>
      </c>
      <c r="F201" s="255" t="s">
        <v>1388</v>
      </c>
      <c r="G201" s="255" t="s">
        <v>1389</v>
      </c>
      <c r="H201" s="255" t="s">
        <v>1390</v>
      </c>
      <c r="I201" s="254"/>
      <c r="J201" s="254" t="s">
        <v>585</v>
      </c>
      <c r="K201" s="252"/>
      <c r="L201" s="252"/>
      <c r="N201" s="256" t="s">
        <v>3401</v>
      </c>
      <c r="O201" s="258" t="s">
        <v>1</v>
      </c>
    </row>
    <row r="202" spans="1:15" ht="47.25" x14ac:dyDescent="0.25">
      <c r="A202" s="252" t="s">
        <v>1643</v>
      </c>
      <c r="B202" s="252" t="str">
        <f>HLOOKUP('Getting Started'!H$2,E:I,ROW(),FALSE)</f>
        <v>Equipment</v>
      </c>
      <c r="C202" s="252" t="str">
        <f>HLOOKUP('Getting Started'!H$2,J:N,ROW(),FALSE)</f>
        <v>Are Maintenance Log Sheets of equipment stored orderly in the Equipment Archive?</v>
      </c>
      <c r="D202" s="252" t="s">
        <v>507</v>
      </c>
      <c r="E202" s="255" t="s">
        <v>513</v>
      </c>
      <c r="F202" s="255" t="s">
        <v>1388</v>
      </c>
      <c r="G202" s="255" t="s">
        <v>1389</v>
      </c>
      <c r="H202" s="255" t="s">
        <v>1390</v>
      </c>
      <c r="I202" s="254"/>
      <c r="J202" s="254" t="s">
        <v>586</v>
      </c>
      <c r="K202" s="252"/>
      <c r="L202" s="252"/>
      <c r="N202" s="256" t="s">
        <v>3402</v>
      </c>
      <c r="O202" s="258" t="s">
        <v>1</v>
      </c>
    </row>
    <row r="203" spans="1:15" ht="78.75" x14ac:dyDescent="0.25">
      <c r="A203" s="252" t="s">
        <v>1644</v>
      </c>
      <c r="B203" s="252" t="str">
        <f>HLOOKUP('Getting Started'!H$2,E:I,ROW(),FALSE)</f>
        <v>Equipment</v>
      </c>
      <c r="C203" s="252" t="str">
        <f>HLOOKUP('Getting Started'!H$2,J:N,ROW(),FALSE)</f>
        <v>Does the laboratory have an Equipment Archive that contains all the documents and records needed for each piece of equipment as listed in ISO 15189:2007 article 5.3.4 or ISO 15189:2012 article 5.3.1.7?</v>
      </c>
      <c r="D203" s="252" t="s">
        <v>507</v>
      </c>
      <c r="E203" s="255" t="s">
        <v>513</v>
      </c>
      <c r="F203" s="255" t="s">
        <v>1388</v>
      </c>
      <c r="G203" s="255" t="s">
        <v>1389</v>
      </c>
      <c r="H203" s="255" t="s">
        <v>1390</v>
      </c>
      <c r="I203" s="254"/>
      <c r="J203" s="254" t="s">
        <v>587</v>
      </c>
      <c r="K203" s="252"/>
      <c r="L203" s="252"/>
      <c r="N203" s="256" t="s">
        <v>3403</v>
      </c>
      <c r="O203" s="258" t="s">
        <v>1</v>
      </c>
    </row>
    <row r="204" spans="1:15" ht="31.5" x14ac:dyDescent="0.25">
      <c r="A204" s="252" t="s">
        <v>1645</v>
      </c>
      <c r="B204" s="252" t="str">
        <f>HLOOKUP('Getting Started'!H$2,E:I,ROW(),FALSE)</f>
        <v>Equipment</v>
      </c>
      <c r="C204" s="252" t="str">
        <f>HLOOKUP('Getting Started'!H$2,J:N,ROW(),FALSE)</f>
        <v>Does the laboratory have a documented procedure that describes the following:</v>
      </c>
      <c r="D204" s="252" t="s">
        <v>507</v>
      </c>
      <c r="E204" s="255" t="s">
        <v>513</v>
      </c>
      <c r="F204" s="255" t="s">
        <v>1388</v>
      </c>
      <c r="G204" s="255" t="s">
        <v>1389</v>
      </c>
      <c r="H204" s="255" t="s">
        <v>1390</v>
      </c>
      <c r="I204" s="254"/>
      <c r="J204" s="254" t="s">
        <v>588</v>
      </c>
      <c r="K204" s="252"/>
      <c r="L204" s="252"/>
      <c r="N204" s="256" t="s">
        <v>3404</v>
      </c>
      <c r="O204" s="300" t="s">
        <v>1</v>
      </c>
    </row>
    <row r="205" spans="1:15" ht="31.5" x14ac:dyDescent="0.25">
      <c r="A205" s="252" t="s">
        <v>2380</v>
      </c>
      <c r="B205" s="252" t="str">
        <f>HLOOKUP('Getting Started'!H$2,E:I,ROW(),FALSE)</f>
        <v>Equipment</v>
      </c>
      <c r="C205" s="252" t="str">
        <f>HLOOKUP('Getting Started'!H$2,J:N,ROW(),FALSE)</f>
        <v>Activities that need to be undertaken when new equipment is introduced in the laboratory</v>
      </c>
      <c r="D205" s="252" t="s">
        <v>507</v>
      </c>
      <c r="E205" s="255" t="s">
        <v>513</v>
      </c>
      <c r="F205" s="255" t="s">
        <v>1388</v>
      </c>
      <c r="G205" s="255" t="s">
        <v>1389</v>
      </c>
      <c r="H205" s="255" t="s">
        <v>1390</v>
      </c>
      <c r="I205" s="254"/>
      <c r="J205" s="254" t="s">
        <v>589</v>
      </c>
      <c r="K205" s="252"/>
      <c r="L205" s="252"/>
      <c r="N205" s="256" t="s">
        <v>3405</v>
      </c>
      <c r="O205" s="300"/>
    </row>
    <row r="206" spans="1:15" ht="31.5" x14ac:dyDescent="0.25">
      <c r="A206" s="252" t="s">
        <v>2381</v>
      </c>
      <c r="B206" s="252" t="str">
        <f>HLOOKUP('Getting Started'!H$2,E:I,ROW(),FALSE)</f>
        <v>Equipment</v>
      </c>
      <c r="C206" s="252" t="str">
        <f>HLOOKUP('Getting Started'!H$2,J:N,ROW(),FALSE)</f>
        <v>The required measures for ensuring maintenance and calibration of the piece of equipment</v>
      </c>
      <c r="D206" s="252" t="s">
        <v>507</v>
      </c>
      <c r="E206" s="255" t="s">
        <v>513</v>
      </c>
      <c r="F206" s="255" t="s">
        <v>1388</v>
      </c>
      <c r="G206" s="255" t="s">
        <v>1389</v>
      </c>
      <c r="H206" s="255" t="s">
        <v>1390</v>
      </c>
      <c r="I206" s="254"/>
      <c r="J206" s="254" t="s">
        <v>590</v>
      </c>
      <c r="K206" s="252"/>
      <c r="L206" s="252"/>
      <c r="N206" s="256" t="s">
        <v>3406</v>
      </c>
      <c r="O206" s="300"/>
    </row>
    <row r="207" spans="1:15" ht="31.5" x14ac:dyDescent="0.25">
      <c r="A207" s="252" t="s">
        <v>2382</v>
      </c>
      <c r="B207" s="252" t="str">
        <f>HLOOKUP('Getting Started'!H$2,E:I,ROW(),FALSE)</f>
        <v>Equipment</v>
      </c>
      <c r="C207" s="252" t="str">
        <f>HLOOKUP('Getting Started'!H$2,J:N,ROW(),FALSE)</f>
        <v>Ensuring presence of the SOP for maintenance and use of the piece of equipment</v>
      </c>
      <c r="D207" s="252" t="s">
        <v>507</v>
      </c>
      <c r="E207" s="255" t="s">
        <v>513</v>
      </c>
      <c r="F207" s="255" t="s">
        <v>1388</v>
      </c>
      <c r="G207" s="255" t="s">
        <v>1389</v>
      </c>
      <c r="H207" s="255" t="s">
        <v>1390</v>
      </c>
      <c r="I207" s="254"/>
      <c r="J207" s="254" t="s">
        <v>591</v>
      </c>
      <c r="K207" s="252"/>
      <c r="L207" s="252"/>
      <c r="N207" s="256" t="s">
        <v>3407</v>
      </c>
      <c r="O207" s="300"/>
    </row>
    <row r="208" spans="1:15" ht="31.5" x14ac:dyDescent="0.25">
      <c r="A208" s="252" t="s">
        <v>1646</v>
      </c>
      <c r="B208" s="252" t="str">
        <f>HLOOKUP('Getting Started'!H$2,E:I,ROW(),FALSE)</f>
        <v>Equipment</v>
      </c>
      <c r="C208" s="252" t="str">
        <f>HLOOKUP('Getting Started'!H$2,J:N,ROW(),FALSE)</f>
        <v>Are Bench Aids used for various pieces of equipment?</v>
      </c>
      <c r="D208" s="252" t="s">
        <v>507</v>
      </c>
      <c r="E208" s="255" t="s">
        <v>513</v>
      </c>
      <c r="F208" s="255" t="s">
        <v>1388</v>
      </c>
      <c r="G208" s="255" t="s">
        <v>1389</v>
      </c>
      <c r="H208" s="255" t="s">
        <v>1390</v>
      </c>
      <c r="I208" s="254"/>
      <c r="J208" s="254" t="s">
        <v>592</v>
      </c>
      <c r="K208" s="252"/>
      <c r="L208" s="252"/>
      <c r="N208" s="256" t="s">
        <v>3408</v>
      </c>
      <c r="O208" s="258" t="s">
        <v>1</v>
      </c>
    </row>
    <row r="209" spans="1:15" ht="31.5" x14ac:dyDescent="0.25">
      <c r="A209" s="252" t="s">
        <v>1647</v>
      </c>
      <c r="B209" s="252" t="str">
        <f>HLOOKUP('Getting Started'!H$2,E:I,ROW(),FALSE)</f>
        <v>Equipment</v>
      </c>
      <c r="C209" s="252" t="str">
        <f>HLOOKUP('Getting Started'!H$2,J:N,ROW(),FALSE)</f>
        <v>Are these Bench Aids in accordance with the SOPs for equipment?</v>
      </c>
      <c r="D209" s="252" t="s">
        <v>507</v>
      </c>
      <c r="E209" s="255" t="s">
        <v>513</v>
      </c>
      <c r="F209" s="255" t="s">
        <v>1388</v>
      </c>
      <c r="G209" s="255" t="s">
        <v>1389</v>
      </c>
      <c r="H209" s="255" t="s">
        <v>1390</v>
      </c>
      <c r="I209" s="254"/>
      <c r="J209" s="254" t="s">
        <v>593</v>
      </c>
      <c r="K209" s="252"/>
      <c r="L209" s="252"/>
      <c r="N209" s="256" t="s">
        <v>3409</v>
      </c>
      <c r="O209" s="258" t="s">
        <v>1</v>
      </c>
    </row>
    <row r="210" spans="1:15" ht="31.5" x14ac:dyDescent="0.25">
      <c r="A210" s="252" t="s">
        <v>1648</v>
      </c>
      <c r="B210" s="252" t="str">
        <f>HLOOKUP('Getting Started'!H$2,E:I,ROW(),FALSE)</f>
        <v>Equipment</v>
      </c>
      <c r="C210" s="252" t="str">
        <f>HLOOKUP('Getting Started'!H$2,J:N,ROW(),FALSE)</f>
        <v>Is the method of maintenance and calibration of equipment documented?</v>
      </c>
      <c r="D210" s="252" t="s">
        <v>507</v>
      </c>
      <c r="E210" s="255" t="s">
        <v>513</v>
      </c>
      <c r="F210" s="255" t="s">
        <v>1388</v>
      </c>
      <c r="G210" s="255" t="s">
        <v>1389</v>
      </c>
      <c r="H210" s="255" t="s">
        <v>1390</v>
      </c>
      <c r="I210" s="254"/>
      <c r="J210" s="254" t="s">
        <v>594</v>
      </c>
      <c r="K210" s="252"/>
      <c r="L210" s="252"/>
      <c r="N210" s="256" t="s">
        <v>3410</v>
      </c>
      <c r="O210" s="258" t="s">
        <v>1</v>
      </c>
    </row>
    <row r="211" spans="1:15" ht="47.25" x14ac:dyDescent="0.25">
      <c r="A211" s="252" t="s">
        <v>1649</v>
      </c>
      <c r="B211" s="252" t="str">
        <f>HLOOKUP('Getting Started'!H$2,E:I,ROW(),FALSE)</f>
        <v>Equipment</v>
      </c>
      <c r="C211" s="252" t="str">
        <f>HLOOKUP('Getting Started'!H$2,J:N,ROW(),FALSE)</f>
        <v>Is the budget needed for the maintenance and calibration of equipment calculated and documented?</v>
      </c>
      <c r="D211" s="252" t="s">
        <v>507</v>
      </c>
      <c r="E211" s="255" t="s">
        <v>513</v>
      </c>
      <c r="F211" s="255" t="s">
        <v>1388</v>
      </c>
      <c r="G211" s="255" t="s">
        <v>1389</v>
      </c>
      <c r="H211" s="255" t="s">
        <v>1390</v>
      </c>
      <c r="I211" s="254"/>
      <c r="J211" s="254" t="s">
        <v>595</v>
      </c>
      <c r="K211" s="252"/>
      <c r="L211" s="252"/>
      <c r="N211" s="256" t="s">
        <v>3411</v>
      </c>
      <c r="O211" s="258" t="s">
        <v>1</v>
      </c>
    </row>
    <row r="212" spans="1:15" ht="31.5" x14ac:dyDescent="0.25">
      <c r="A212" s="252" t="s">
        <v>1650</v>
      </c>
      <c r="B212" s="252" t="str">
        <f>HLOOKUP('Getting Started'!H$2,E:I,ROW(),FALSE)</f>
        <v>Equipment</v>
      </c>
      <c r="C212" s="252" t="str">
        <f>HLOOKUP('Getting Started'!H$2,J:N,ROW(),FALSE)</f>
        <v>Have funds been identified for annual maintenance and calibration of equipment?</v>
      </c>
      <c r="D212" s="252" t="s">
        <v>507</v>
      </c>
      <c r="E212" s="255" t="s">
        <v>513</v>
      </c>
      <c r="F212" s="255" t="s">
        <v>1388</v>
      </c>
      <c r="G212" s="255" t="s">
        <v>1389</v>
      </c>
      <c r="H212" s="255" t="s">
        <v>1390</v>
      </c>
      <c r="I212" s="254"/>
      <c r="J212" s="254" t="s">
        <v>596</v>
      </c>
      <c r="K212" s="252"/>
      <c r="L212" s="252"/>
      <c r="N212" s="256" t="s">
        <v>3412</v>
      </c>
      <c r="O212" s="258" t="s">
        <v>1</v>
      </c>
    </row>
    <row r="213" spans="1:15" ht="45" x14ac:dyDescent="0.25">
      <c r="A213" s="252" t="s">
        <v>1651</v>
      </c>
      <c r="B213" s="252" t="str">
        <f>HLOOKUP('Getting Started'!H$2,E:I,ROW(),FALSE)</f>
        <v>Equipment</v>
      </c>
      <c r="C213" s="252" t="str">
        <f>HLOOKUP('Getting Started'!H$2,J:N,ROW(),FALSE)</f>
        <v>Have funds been identified for training of a staff member for internal maintenance and calibration of equipment?</v>
      </c>
      <c r="D213" s="252" t="s">
        <v>507</v>
      </c>
      <c r="E213" s="255" t="s">
        <v>513</v>
      </c>
      <c r="F213" s="255" t="s">
        <v>1388</v>
      </c>
      <c r="G213" s="255" t="s">
        <v>1389</v>
      </c>
      <c r="H213" s="255" t="s">
        <v>1390</v>
      </c>
      <c r="I213" s="254"/>
      <c r="J213" s="254" t="s">
        <v>597</v>
      </c>
      <c r="K213" s="252"/>
      <c r="L213" s="252"/>
      <c r="N213" s="256" t="s">
        <v>3413</v>
      </c>
      <c r="O213" s="258" t="s">
        <v>1</v>
      </c>
    </row>
    <row r="214" spans="1:15" ht="31.5" x14ac:dyDescent="0.25">
      <c r="A214" s="252" t="s">
        <v>1652</v>
      </c>
      <c r="B214" s="252" t="str">
        <f>HLOOKUP('Getting Started'!H$2,E:I,ROW(),FALSE)</f>
        <v>Equipment</v>
      </c>
      <c r="C214" s="252" t="str">
        <f>HLOOKUP('Getting Started'!H$2,J:N,ROW(),FALSE)</f>
        <v>Is a preventive maintenance program in place for all pieces of equipment?</v>
      </c>
      <c r="D214" s="252" t="s">
        <v>507</v>
      </c>
      <c r="E214" s="255" t="s">
        <v>513</v>
      </c>
      <c r="F214" s="255" t="s">
        <v>1388</v>
      </c>
      <c r="G214" s="255" t="s">
        <v>1389</v>
      </c>
      <c r="H214" s="255" t="s">
        <v>1390</v>
      </c>
      <c r="I214" s="254"/>
      <c r="J214" s="254" t="s">
        <v>598</v>
      </c>
      <c r="K214" s="252"/>
      <c r="L214" s="252"/>
      <c r="N214" s="256" t="s">
        <v>3414</v>
      </c>
      <c r="O214" s="258" t="s">
        <v>1</v>
      </c>
    </row>
    <row r="215" spans="1:15" ht="105" x14ac:dyDescent="0.25">
      <c r="A215" s="252" t="s">
        <v>1653</v>
      </c>
      <c r="B215" s="252" t="str">
        <f>HLOOKUP('Getting Started'!H$2,E:I,ROW(),FALSE)</f>
        <v>Equipment</v>
      </c>
      <c r="C215" s="252" t="str">
        <f>HLOOKUP('Getting Started'!H$2,J:N,ROW(),FALSE)</f>
        <v>Does the laboratory demonstrably adhere to this program?
Compare maintenance records for a piece of equipment from the equipment file with the dates this maintenance was planned in the Equipment Maintenance Schedule.</v>
      </c>
      <c r="D215" s="252" t="s">
        <v>507</v>
      </c>
      <c r="E215" s="255" t="s">
        <v>513</v>
      </c>
      <c r="F215" s="255" t="s">
        <v>1388</v>
      </c>
      <c r="G215" s="255" t="s">
        <v>1389</v>
      </c>
      <c r="H215" s="255" t="s">
        <v>1390</v>
      </c>
      <c r="I215" s="254"/>
      <c r="J215" s="254" t="s">
        <v>2364</v>
      </c>
      <c r="K215" s="252"/>
      <c r="L215" s="252"/>
      <c r="N215" s="256" t="s">
        <v>3415</v>
      </c>
      <c r="O215" s="258" t="s">
        <v>1</v>
      </c>
    </row>
    <row r="216" spans="1:15" ht="31.5" x14ac:dyDescent="0.25">
      <c r="A216" s="252" t="s">
        <v>1654</v>
      </c>
      <c r="B216" s="252" t="str">
        <f>HLOOKUP('Getting Started'!H$2,E:I,ROW(),FALSE)</f>
        <v>Equipment</v>
      </c>
      <c r="C216" s="252" t="str">
        <f>HLOOKUP('Getting Started'!H$2,J:N,ROW(),FALSE)</f>
        <v>Is the procedure for ensuring equipment maintenance standardized in an SOP?</v>
      </c>
      <c r="D216" s="252" t="s">
        <v>507</v>
      </c>
      <c r="E216" s="255" t="s">
        <v>513</v>
      </c>
      <c r="F216" s="255" t="s">
        <v>1388</v>
      </c>
      <c r="G216" s="255" t="s">
        <v>1389</v>
      </c>
      <c r="H216" s="255" t="s">
        <v>1390</v>
      </c>
      <c r="I216" s="254"/>
      <c r="J216" s="254" t="s">
        <v>599</v>
      </c>
      <c r="K216" s="252"/>
      <c r="L216" s="252"/>
      <c r="N216" s="256" t="s">
        <v>3416</v>
      </c>
      <c r="O216" s="258" t="s">
        <v>1</v>
      </c>
    </row>
    <row r="217" spans="1:15" ht="63" x14ac:dyDescent="0.25">
      <c r="A217" s="252" t="s">
        <v>1655</v>
      </c>
      <c r="B217" s="252" t="str">
        <f>HLOOKUP('Getting Started'!H$2,E:I,ROW(),FALSE)</f>
        <v>Equipment</v>
      </c>
      <c r="C217" s="252" t="str">
        <f>HLOOKUP('Getting Started'!H$2,J:N,ROW(),FALSE)</f>
        <v>Does the laboratory have an SOP for Equipment Repair, including a clear procedure for disinfection and clear labeling the equipment as “defect”?</v>
      </c>
      <c r="D217" s="252" t="s">
        <v>507</v>
      </c>
      <c r="E217" s="255" t="s">
        <v>513</v>
      </c>
      <c r="F217" s="255" t="s">
        <v>1388</v>
      </c>
      <c r="G217" s="255" t="s">
        <v>1389</v>
      </c>
      <c r="H217" s="255" t="s">
        <v>1390</v>
      </c>
      <c r="I217" s="254"/>
      <c r="J217" s="254" t="s">
        <v>600</v>
      </c>
      <c r="K217" s="252"/>
      <c r="L217" s="252"/>
      <c r="N217" s="256" t="s">
        <v>3417</v>
      </c>
      <c r="O217" s="258" t="s">
        <v>1</v>
      </c>
    </row>
    <row r="218" spans="1:15" ht="78.75" x14ac:dyDescent="0.25">
      <c r="A218" s="252" t="s">
        <v>1656</v>
      </c>
      <c r="B218" s="252" t="str">
        <f>HLOOKUP('Getting Started'!H$2,E:I,ROW(),FALSE)</f>
        <v>Equipment</v>
      </c>
      <c r="C218" s="252" t="str">
        <f>HLOOKUP('Getting Started'!H$2,J:N,ROW(),FALSE)</f>
        <v>Does the laboratory have an SOP explaining the procedure to be followed for ensuring validation of adequate functioning of equipment when it is returned into service after repair?</v>
      </c>
      <c r="D218" s="252" t="s">
        <v>507</v>
      </c>
      <c r="E218" s="255" t="s">
        <v>513</v>
      </c>
      <c r="F218" s="255" t="s">
        <v>1388</v>
      </c>
      <c r="G218" s="255" t="s">
        <v>1389</v>
      </c>
      <c r="H218" s="255" t="s">
        <v>1390</v>
      </c>
      <c r="I218" s="254"/>
      <c r="J218" s="254" t="s">
        <v>601</v>
      </c>
      <c r="K218" s="252"/>
      <c r="L218" s="252"/>
      <c r="N218" s="256" t="s">
        <v>3418</v>
      </c>
      <c r="O218" s="258" t="s">
        <v>1</v>
      </c>
    </row>
    <row r="219" spans="1:15" ht="48" x14ac:dyDescent="0.25">
      <c r="A219" s="252" t="s">
        <v>1657</v>
      </c>
      <c r="B219" s="252" t="str">
        <f>HLOOKUP('Getting Started'!H$2,E:I,ROW(),FALSE)</f>
        <v>Puchasing and Inventory</v>
      </c>
      <c r="C219" s="252" t="str">
        <f>HLOOKUP('Getting Started'!H$2,J:N,ROW(),FALSE)</f>
        <v>Does the laboratory have an overview of all the items in stock?</v>
      </c>
      <c r="D219" s="252" t="s">
        <v>507</v>
      </c>
      <c r="E219" s="255" t="s">
        <v>514</v>
      </c>
      <c r="F219" s="255" t="s">
        <v>1405</v>
      </c>
      <c r="G219" s="255" t="s">
        <v>1406</v>
      </c>
      <c r="H219" s="255" t="s">
        <v>1407</v>
      </c>
      <c r="I219" s="254"/>
      <c r="J219" s="254" t="s">
        <v>602</v>
      </c>
      <c r="K219" s="252"/>
      <c r="L219" s="252"/>
      <c r="N219" s="256" t="s">
        <v>3419</v>
      </c>
      <c r="O219" s="258" t="s">
        <v>1</v>
      </c>
    </row>
    <row r="220" spans="1:15" ht="48" x14ac:dyDescent="0.25">
      <c r="A220" s="252" t="s">
        <v>1658</v>
      </c>
      <c r="B220" s="252" t="str">
        <f>HLOOKUP('Getting Started'!H$2,E:I,ROW(),FALSE)</f>
        <v>Puchasing and Inventory</v>
      </c>
      <c r="C220" s="252" t="str">
        <f>HLOOKUP('Getting Started'!H$2,J:N,ROW(),FALSE)</f>
        <v>Has the laboratory formulated key specification for each item in stock?</v>
      </c>
      <c r="D220" s="252" t="s">
        <v>507</v>
      </c>
      <c r="E220" s="255" t="s">
        <v>514</v>
      </c>
      <c r="F220" s="255" t="s">
        <v>1405</v>
      </c>
      <c r="G220" s="255" t="s">
        <v>1406</v>
      </c>
      <c r="H220" s="255" t="s">
        <v>1407</v>
      </c>
      <c r="I220" s="254"/>
      <c r="J220" s="254" t="s">
        <v>603</v>
      </c>
      <c r="K220" s="252"/>
      <c r="L220" s="252"/>
      <c r="N220" s="256" t="s">
        <v>3420</v>
      </c>
      <c r="O220" s="258" t="s">
        <v>1</v>
      </c>
    </row>
    <row r="221" spans="1:15" ht="48" x14ac:dyDescent="0.25">
      <c r="A221" s="252" t="s">
        <v>1659</v>
      </c>
      <c r="B221" s="252" t="str">
        <f>HLOOKUP('Getting Started'!H$2,E:I,ROW(),FALSE)</f>
        <v>Puchasing and Inventory</v>
      </c>
      <c r="C221" s="252" t="str">
        <f>HLOOKUP('Getting Started'!H$2,J:N,ROW(),FALSE)</f>
        <v>Does the laboratory have an Inventory Control Register that contains the following details:</v>
      </c>
      <c r="D221" s="252" t="s">
        <v>507</v>
      </c>
      <c r="E221" s="255" t="s">
        <v>514</v>
      </c>
      <c r="F221" s="255" t="s">
        <v>1405</v>
      </c>
      <c r="G221" s="255" t="s">
        <v>1406</v>
      </c>
      <c r="H221" s="255" t="s">
        <v>1407</v>
      </c>
      <c r="I221" s="254"/>
      <c r="J221" s="254" t="s">
        <v>604</v>
      </c>
      <c r="K221" s="252"/>
      <c r="L221" s="252"/>
      <c r="N221" s="256" t="s">
        <v>3421</v>
      </c>
      <c r="O221" s="300" t="s">
        <v>1</v>
      </c>
    </row>
    <row r="222" spans="1:15" ht="48" x14ac:dyDescent="0.25">
      <c r="A222" s="252" t="s">
        <v>2396</v>
      </c>
      <c r="B222" s="252" t="str">
        <f>HLOOKUP('Getting Started'!H$2,E:I,ROW(),FALSE)</f>
        <v>Puchasing and Inventory</v>
      </c>
      <c r="C222" s="252" t="str">
        <f>HLOOKUP('Getting Started'!H$2,J:N,ROW(),FALSE)</f>
        <v>Names of all the items in stock</v>
      </c>
      <c r="D222" s="252" t="s">
        <v>507</v>
      </c>
      <c r="E222" s="255" t="s">
        <v>514</v>
      </c>
      <c r="F222" s="255" t="s">
        <v>1405</v>
      </c>
      <c r="G222" s="255" t="s">
        <v>1406</v>
      </c>
      <c r="H222" s="255" t="s">
        <v>1407</v>
      </c>
      <c r="I222" s="254"/>
      <c r="J222" s="254" t="s">
        <v>605</v>
      </c>
      <c r="K222" s="252"/>
      <c r="L222" s="252"/>
      <c r="N222" s="256" t="s">
        <v>3422</v>
      </c>
      <c r="O222" s="300"/>
    </row>
    <row r="223" spans="1:15" ht="48" x14ac:dyDescent="0.25">
      <c r="A223" s="252" t="s">
        <v>2397</v>
      </c>
      <c r="B223" s="252" t="str">
        <f>HLOOKUP('Getting Started'!H$2,E:I,ROW(),FALSE)</f>
        <v>Puchasing and Inventory</v>
      </c>
      <c r="C223" s="252" t="str">
        <f>HLOOKUP('Getting Started'!H$2,J:N,ROW(),FALSE)</f>
        <v>The number of units of each item currently in stock</v>
      </c>
      <c r="D223" s="252" t="s">
        <v>507</v>
      </c>
      <c r="E223" s="255" t="s">
        <v>514</v>
      </c>
      <c r="F223" s="255" t="s">
        <v>1405</v>
      </c>
      <c r="G223" s="255" t="s">
        <v>1406</v>
      </c>
      <c r="H223" s="255" t="s">
        <v>1407</v>
      </c>
      <c r="I223" s="254"/>
      <c r="J223" s="254" t="s">
        <v>606</v>
      </c>
      <c r="K223" s="252"/>
      <c r="L223" s="252"/>
      <c r="N223" s="256" t="s">
        <v>3423</v>
      </c>
      <c r="O223" s="300"/>
    </row>
    <row r="224" spans="1:15" ht="48" x14ac:dyDescent="0.25">
      <c r="A224" s="252" t="s">
        <v>2398</v>
      </c>
      <c r="B224" s="252" t="str">
        <f>HLOOKUP('Getting Started'!H$2,E:I,ROW(),FALSE)</f>
        <v>Puchasing and Inventory</v>
      </c>
      <c r="C224" s="252" t="str">
        <f>HLOOKUP('Getting Started'!H$2,J:N,ROW(),FALSE)</f>
        <v>The average number of units used per day of each item</v>
      </c>
      <c r="D224" s="252" t="s">
        <v>507</v>
      </c>
      <c r="E224" s="255" t="s">
        <v>514</v>
      </c>
      <c r="F224" s="255" t="s">
        <v>1405</v>
      </c>
      <c r="G224" s="255" t="s">
        <v>1406</v>
      </c>
      <c r="H224" s="255" t="s">
        <v>1407</v>
      </c>
      <c r="I224" s="254"/>
      <c r="J224" s="254" t="s">
        <v>607</v>
      </c>
      <c r="K224" s="252"/>
      <c r="L224" s="252"/>
      <c r="N224" s="256" t="s">
        <v>3424</v>
      </c>
      <c r="O224" s="300"/>
    </row>
    <row r="225" spans="1:15" ht="48" x14ac:dyDescent="0.25">
      <c r="A225" s="252" t="s">
        <v>2399</v>
      </c>
      <c r="B225" s="252" t="str">
        <f>HLOOKUP('Getting Started'!H$2,E:I,ROW(),FALSE)</f>
        <v>Puchasing and Inventory</v>
      </c>
      <c r="C225" s="252" t="str">
        <f>HLOOKUP('Getting Started'!H$2,J:N,ROW(),FALSE)</f>
        <v>The minimum stock level of each item for which a new order must be made</v>
      </c>
      <c r="D225" s="252" t="s">
        <v>507</v>
      </c>
      <c r="E225" s="255" t="s">
        <v>514</v>
      </c>
      <c r="F225" s="255" t="s">
        <v>1405</v>
      </c>
      <c r="G225" s="255" t="s">
        <v>1406</v>
      </c>
      <c r="H225" s="255" t="s">
        <v>1407</v>
      </c>
      <c r="I225" s="254"/>
      <c r="J225" s="254" t="s">
        <v>608</v>
      </c>
      <c r="K225" s="252"/>
      <c r="L225" s="252"/>
      <c r="N225" s="256" t="s">
        <v>3425</v>
      </c>
      <c r="O225" s="300"/>
    </row>
    <row r="226" spans="1:15" ht="48" x14ac:dyDescent="0.25">
      <c r="A226" s="252" t="s">
        <v>2400</v>
      </c>
      <c r="B226" s="252" t="str">
        <f>HLOOKUP('Getting Started'!H$2,E:I,ROW(),FALSE)</f>
        <v>Puchasing and Inventory</v>
      </c>
      <c r="C226" s="252" t="str">
        <f>HLOOKUP('Getting Started'!H$2,J:N,ROW(),FALSE)</f>
        <v>Of each item the average number of days before orders arrive at the laboratory</v>
      </c>
      <c r="D226" s="252" t="s">
        <v>507</v>
      </c>
      <c r="E226" s="255" t="s">
        <v>514</v>
      </c>
      <c r="F226" s="255" t="s">
        <v>1405</v>
      </c>
      <c r="G226" s="255" t="s">
        <v>1406</v>
      </c>
      <c r="H226" s="255" t="s">
        <v>1407</v>
      </c>
      <c r="I226" s="254"/>
      <c r="J226" s="254" t="s">
        <v>609</v>
      </c>
      <c r="K226" s="252"/>
      <c r="L226" s="252"/>
      <c r="N226" s="256" t="s">
        <v>3426</v>
      </c>
      <c r="O226" s="300"/>
    </row>
    <row r="227" spans="1:15" ht="48" x14ac:dyDescent="0.25">
      <c r="A227" s="252" t="s">
        <v>2401</v>
      </c>
      <c r="B227" s="252" t="str">
        <f>HLOOKUP('Getting Started'!H$2,E:I,ROW(),FALSE)</f>
        <v>Puchasing and Inventory</v>
      </c>
      <c r="C227" s="252" t="str">
        <f>HLOOKUP('Getting Started'!H$2,J:N,ROW(),FALSE)</f>
        <v>The supplier details of each item</v>
      </c>
      <c r="D227" s="252" t="s">
        <v>507</v>
      </c>
      <c r="E227" s="255" t="s">
        <v>514</v>
      </c>
      <c r="F227" s="255" t="s">
        <v>1405</v>
      </c>
      <c r="G227" s="255" t="s">
        <v>1406</v>
      </c>
      <c r="H227" s="255" t="s">
        <v>1407</v>
      </c>
      <c r="I227" s="254"/>
      <c r="J227" s="254" t="s">
        <v>610</v>
      </c>
      <c r="K227" s="252"/>
      <c r="L227" s="252"/>
      <c r="N227" s="256" t="s">
        <v>3427</v>
      </c>
      <c r="O227" s="300"/>
    </row>
    <row r="228" spans="1:15" ht="48" x14ac:dyDescent="0.25">
      <c r="A228" s="252" t="s">
        <v>2402</v>
      </c>
      <c r="B228" s="252" t="str">
        <f>HLOOKUP('Getting Started'!H$2,E:I,ROW(),FALSE)</f>
        <v>Puchasing and Inventory</v>
      </c>
      <c r="C228" s="252" t="str">
        <f>HLOOKUP('Getting Started'!H$2,J:N,ROW(),FALSE)</f>
        <v>The key specifications of each item</v>
      </c>
      <c r="D228" s="252" t="s">
        <v>507</v>
      </c>
      <c r="E228" s="255" t="s">
        <v>514</v>
      </c>
      <c r="F228" s="255" t="s">
        <v>1405</v>
      </c>
      <c r="G228" s="255" t="s">
        <v>1406</v>
      </c>
      <c r="H228" s="255" t="s">
        <v>1407</v>
      </c>
      <c r="I228" s="254"/>
      <c r="J228" s="254" t="s">
        <v>611</v>
      </c>
      <c r="K228" s="252"/>
      <c r="L228" s="252"/>
      <c r="N228" s="256" t="s">
        <v>3428</v>
      </c>
      <c r="O228" s="300"/>
    </row>
    <row r="229" spans="1:15" ht="63" x14ac:dyDescent="0.25">
      <c r="A229" s="252" t="s">
        <v>1660</v>
      </c>
      <c r="B229" s="252" t="str">
        <f>HLOOKUP('Getting Started'!H$2,E:I,ROW(),FALSE)</f>
        <v>Puchasing and Inventory</v>
      </c>
      <c r="C229" s="252" t="str">
        <f>HLOOKUP('Getting Started'!H$2,J:N,ROW(),FALSE)</f>
        <v>Is the Inventory Control Register kept up to date by counting the items in stock and comparing this with the number of items shown in the register?</v>
      </c>
      <c r="D229" s="252" t="s">
        <v>507</v>
      </c>
      <c r="E229" s="255" t="s">
        <v>514</v>
      </c>
      <c r="F229" s="255" t="s">
        <v>1405</v>
      </c>
      <c r="G229" s="255" t="s">
        <v>1406</v>
      </c>
      <c r="H229" s="255" t="s">
        <v>1407</v>
      </c>
      <c r="I229" s="254"/>
      <c r="J229" s="254" t="s">
        <v>612</v>
      </c>
      <c r="K229" s="252"/>
      <c r="L229" s="252"/>
      <c r="N229" s="256" t="s">
        <v>3429</v>
      </c>
      <c r="O229" s="258" t="s">
        <v>1</v>
      </c>
    </row>
    <row r="230" spans="1:15" ht="78.75" x14ac:dyDescent="0.25">
      <c r="A230" s="252" t="s">
        <v>1661</v>
      </c>
      <c r="B230" s="252" t="str">
        <f>HLOOKUP('Getting Started'!H$2,E:I,ROW(),FALSE)</f>
        <v>Puchasing and Inventory</v>
      </c>
      <c r="C230" s="252" t="str">
        <f>HLOOKUP('Getting Started'!H$2,J:N,ROW(),FALSE)</f>
        <v>Does the laboratory routinely perform acceptance tests on newly delivered products before they are taken into service?
Ask for evidence.</v>
      </c>
      <c r="D230" s="252" t="s">
        <v>507</v>
      </c>
      <c r="E230" s="255" t="s">
        <v>514</v>
      </c>
      <c r="F230" s="255" t="s">
        <v>1405</v>
      </c>
      <c r="G230" s="255" t="s">
        <v>1406</v>
      </c>
      <c r="H230" s="255" t="s">
        <v>1407</v>
      </c>
      <c r="I230" s="254"/>
      <c r="J230" s="254" t="s">
        <v>2405</v>
      </c>
      <c r="K230" s="252"/>
      <c r="L230" s="252"/>
      <c r="N230" s="256" t="s">
        <v>3430</v>
      </c>
      <c r="O230" s="258" t="s">
        <v>1</v>
      </c>
    </row>
    <row r="231" spans="1:15" ht="48" x14ac:dyDescent="0.25">
      <c r="A231" s="252" t="s">
        <v>1662</v>
      </c>
      <c r="B231" s="252" t="str">
        <f>HLOOKUP('Getting Started'!H$2,E:I,ROW(),FALSE)</f>
        <v>Puchasing and Inventory</v>
      </c>
      <c r="C231" s="252" t="str">
        <f>HLOOKUP('Getting Started'!H$2,J:N,ROW(),FALSE)</f>
        <v>Does the laboratory have a documented procedure on selecting, ordering, acceptance testing and storing of new reagents and consumables?</v>
      </c>
      <c r="D231" s="252" t="s">
        <v>507</v>
      </c>
      <c r="E231" s="255" t="s">
        <v>514</v>
      </c>
      <c r="F231" s="255" t="s">
        <v>1405</v>
      </c>
      <c r="G231" s="255" t="s">
        <v>1406</v>
      </c>
      <c r="H231" s="255" t="s">
        <v>1407</v>
      </c>
      <c r="I231" s="254"/>
      <c r="J231" s="254" t="s">
        <v>613</v>
      </c>
      <c r="K231" s="252"/>
      <c r="L231" s="252"/>
      <c r="N231" s="256" t="s">
        <v>3431</v>
      </c>
      <c r="O231" s="258" t="s">
        <v>1</v>
      </c>
    </row>
    <row r="232" spans="1:15" ht="48" x14ac:dyDescent="0.25">
      <c r="A232" s="252" t="s">
        <v>1663</v>
      </c>
      <c r="B232" s="252" t="str">
        <f>HLOOKUP('Getting Started'!H$2,E:I,ROW(),FALSE)</f>
        <v>Puchasing and Inventory</v>
      </c>
      <c r="C232" s="252" t="str">
        <f>HLOOKUP('Getting Started'!H$2,J:N,ROW(),FALSE)</f>
        <v>Does the laboratory have a documented procedure on maintenance of the stock and inventory system?</v>
      </c>
      <c r="D232" s="252" t="s">
        <v>507</v>
      </c>
      <c r="E232" s="255" t="s">
        <v>514</v>
      </c>
      <c r="F232" s="255" t="s">
        <v>1405</v>
      </c>
      <c r="G232" s="255" t="s">
        <v>1406</v>
      </c>
      <c r="H232" s="255" t="s">
        <v>1407</v>
      </c>
      <c r="I232" s="254"/>
      <c r="J232" s="254" t="s">
        <v>614</v>
      </c>
      <c r="K232" s="252"/>
      <c r="L232" s="252"/>
      <c r="N232" s="256" t="s">
        <v>3432</v>
      </c>
      <c r="O232" s="258" t="s">
        <v>1</v>
      </c>
    </row>
    <row r="233" spans="1:15" ht="48" x14ac:dyDescent="0.25">
      <c r="A233" s="252" t="s">
        <v>1664</v>
      </c>
      <c r="B233" s="252" t="str">
        <f>HLOOKUP('Getting Started'!H$2,E:I,ROW(),FALSE)</f>
        <v>Puchasing and Inventory</v>
      </c>
      <c r="C233" s="252" t="str">
        <f>HLOOKUP('Getting Started'!H$2,J:N,ROW(),FALSE)</f>
        <v>Are all supplies stored under the right conditions in the laboratory?</v>
      </c>
      <c r="D233" s="252" t="s">
        <v>507</v>
      </c>
      <c r="E233" s="255" t="s">
        <v>514</v>
      </c>
      <c r="F233" s="255" t="s">
        <v>1405</v>
      </c>
      <c r="G233" s="255" t="s">
        <v>1406</v>
      </c>
      <c r="H233" s="255" t="s">
        <v>1407</v>
      </c>
      <c r="I233" s="254"/>
      <c r="J233" s="254" t="s">
        <v>615</v>
      </c>
      <c r="K233" s="252"/>
      <c r="L233" s="252"/>
      <c r="N233" s="256" t="s">
        <v>3433</v>
      </c>
      <c r="O233" s="258" t="s">
        <v>1</v>
      </c>
    </row>
    <row r="234" spans="1:15" ht="48" x14ac:dyDescent="0.25">
      <c r="A234" s="252" t="s">
        <v>1665</v>
      </c>
      <c r="B234" s="252" t="str">
        <f>HLOOKUP('Getting Started'!H$2,E:I,ROW(),FALSE)</f>
        <v>Puchasing and Inventory</v>
      </c>
      <c r="C234" s="252" t="str">
        <f>HLOOKUP('Getting Started'!H$2,J:N,ROW(),FALSE)</f>
        <v>Are records of supplies kept with the following details? [tick off]</v>
      </c>
      <c r="D234" s="252" t="s">
        <v>507</v>
      </c>
      <c r="E234" s="255" t="s">
        <v>514</v>
      </c>
      <c r="F234" s="255" t="s">
        <v>1405</v>
      </c>
      <c r="G234" s="255" t="s">
        <v>1406</v>
      </c>
      <c r="H234" s="255" t="s">
        <v>1407</v>
      </c>
      <c r="I234" s="254"/>
      <c r="J234" s="254" t="s">
        <v>616</v>
      </c>
      <c r="K234" s="252"/>
      <c r="L234" s="252"/>
      <c r="N234" s="256" t="s">
        <v>3434</v>
      </c>
      <c r="O234" s="300" t="s">
        <v>1</v>
      </c>
    </row>
    <row r="235" spans="1:15" ht="48" x14ac:dyDescent="0.25">
      <c r="A235" s="252" t="s">
        <v>2408</v>
      </c>
      <c r="B235" s="252" t="str">
        <f>HLOOKUP('Getting Started'!H$2,E:I,ROW(),FALSE)</f>
        <v>Puchasing and Inventory</v>
      </c>
      <c r="C235" s="252" t="str">
        <f>HLOOKUP('Getting Started'!H$2,J:N,ROW(),FALSE)</f>
        <v>Name of the supply</v>
      </c>
      <c r="D235" s="252" t="s">
        <v>507</v>
      </c>
      <c r="E235" s="255" t="s">
        <v>514</v>
      </c>
      <c r="F235" s="255" t="s">
        <v>1405</v>
      </c>
      <c r="G235" s="255" t="s">
        <v>1406</v>
      </c>
      <c r="H235" s="255" t="s">
        <v>1407</v>
      </c>
      <c r="I235" s="254"/>
      <c r="J235" s="254" t="s">
        <v>617</v>
      </c>
      <c r="K235" s="252"/>
      <c r="L235" s="252"/>
      <c r="N235" s="256" t="s">
        <v>3435</v>
      </c>
      <c r="O235" s="300"/>
    </row>
    <row r="236" spans="1:15" ht="48" x14ac:dyDescent="0.25">
      <c r="A236" s="252" t="s">
        <v>2409</v>
      </c>
      <c r="B236" s="252" t="str">
        <f>HLOOKUP('Getting Started'!H$2,E:I,ROW(),FALSE)</f>
        <v>Puchasing and Inventory</v>
      </c>
      <c r="C236" s="252" t="str">
        <f>HLOOKUP('Getting Started'!H$2,J:N,ROW(),FALSE)</f>
        <v>Preparation date/date of receipt</v>
      </c>
      <c r="D236" s="252" t="s">
        <v>507</v>
      </c>
      <c r="E236" s="255" t="s">
        <v>514</v>
      </c>
      <c r="F236" s="255" t="s">
        <v>1405</v>
      </c>
      <c r="G236" s="255" t="s">
        <v>1406</v>
      </c>
      <c r="H236" s="255" t="s">
        <v>1407</v>
      </c>
      <c r="I236" s="254"/>
      <c r="J236" s="254" t="s">
        <v>618</v>
      </c>
      <c r="K236" s="252"/>
      <c r="L236" s="252"/>
      <c r="N236" s="256" t="s">
        <v>3436</v>
      </c>
      <c r="O236" s="300"/>
    </row>
    <row r="237" spans="1:15" ht="48" x14ac:dyDescent="0.25">
      <c r="A237" s="252" t="s">
        <v>2410</v>
      </c>
      <c r="B237" s="252" t="str">
        <f>HLOOKUP('Getting Started'!H$2,E:I,ROW(),FALSE)</f>
        <v>Puchasing and Inventory</v>
      </c>
      <c r="C237" s="252" t="str">
        <f>HLOOKUP('Getting Started'!H$2,J:N,ROW(),FALSE)</f>
        <v>Whether or not acceptance criteria were met and any follow-up actions</v>
      </c>
      <c r="D237" s="252" t="s">
        <v>507</v>
      </c>
      <c r="E237" s="255" t="s">
        <v>514</v>
      </c>
      <c r="F237" s="255" t="s">
        <v>1405</v>
      </c>
      <c r="G237" s="255" t="s">
        <v>1406</v>
      </c>
      <c r="H237" s="255" t="s">
        <v>1407</v>
      </c>
      <c r="I237" s="254"/>
      <c r="J237" s="254" t="s">
        <v>619</v>
      </c>
      <c r="K237" s="252"/>
      <c r="L237" s="252"/>
      <c r="N237" s="256" t="s">
        <v>3437</v>
      </c>
      <c r="O237" s="300"/>
    </row>
    <row r="238" spans="1:15" ht="48" x14ac:dyDescent="0.25">
      <c r="A238" s="252" t="s">
        <v>2411</v>
      </c>
      <c r="B238" s="252" t="str">
        <f>HLOOKUP('Getting Started'!H$2,E:I,ROW(),FALSE)</f>
        <v>Puchasing and Inventory</v>
      </c>
      <c r="C238" s="252" t="str">
        <f>HLOOKUP('Getting Started'!H$2,J:N,ROW(),FALSE)</f>
        <v>Opening date (to be filled out when first opened)</v>
      </c>
      <c r="D238" s="252" t="s">
        <v>507</v>
      </c>
      <c r="E238" s="255" t="s">
        <v>514</v>
      </c>
      <c r="F238" s="255" t="s">
        <v>1405</v>
      </c>
      <c r="G238" s="255" t="s">
        <v>1406</v>
      </c>
      <c r="H238" s="255" t="s">
        <v>1407</v>
      </c>
      <c r="I238" s="254"/>
      <c r="J238" s="254" t="s">
        <v>620</v>
      </c>
      <c r="K238" s="252"/>
      <c r="L238" s="252"/>
      <c r="N238" s="256" t="s">
        <v>3438</v>
      </c>
      <c r="O238" s="300"/>
    </row>
    <row r="239" spans="1:15" ht="48" x14ac:dyDescent="0.25">
      <c r="A239" s="252" t="s">
        <v>2412</v>
      </c>
      <c r="B239" s="252" t="str">
        <f>HLOOKUP('Getting Started'!H$2,E:I,ROW(),FALSE)</f>
        <v>Puchasing and Inventory</v>
      </c>
      <c r="C239" s="252" t="str">
        <f>HLOOKUP('Getting Started'!H$2,J:N,ROW(),FALSE)</f>
        <v>Expiry date (can often be found on internet if not visible on supply package)</v>
      </c>
      <c r="D239" s="252" t="s">
        <v>507</v>
      </c>
      <c r="E239" s="255" t="s">
        <v>514</v>
      </c>
      <c r="F239" s="255" t="s">
        <v>1405</v>
      </c>
      <c r="G239" s="255" t="s">
        <v>1406</v>
      </c>
      <c r="H239" s="255" t="s">
        <v>1407</v>
      </c>
      <c r="I239" s="254"/>
      <c r="J239" s="254" t="s">
        <v>621</v>
      </c>
      <c r="K239" s="252"/>
      <c r="L239" s="252"/>
      <c r="N239" s="256" t="s">
        <v>3439</v>
      </c>
      <c r="O239" s="300"/>
    </row>
    <row r="240" spans="1:15" ht="48" x14ac:dyDescent="0.25">
      <c r="A240" s="252" t="s">
        <v>2413</v>
      </c>
      <c r="B240" s="252" t="str">
        <f>HLOOKUP('Getting Started'!H$2,E:I,ROW(),FALSE)</f>
        <v>Puchasing and Inventory</v>
      </c>
      <c r="C240" s="252" t="str">
        <f>HLOOKUP('Getting Started'!H$2,J:N,ROW(),FALSE)</f>
        <v>Possible safety warnings (Risk (R-) and Safety (S-) sentence numbers) if not indicated already on the supply package</v>
      </c>
      <c r="D240" s="252" t="s">
        <v>507</v>
      </c>
      <c r="E240" s="255" t="s">
        <v>514</v>
      </c>
      <c r="F240" s="255" t="s">
        <v>1405</v>
      </c>
      <c r="G240" s="255" t="s">
        <v>1406</v>
      </c>
      <c r="H240" s="255" t="s">
        <v>1407</v>
      </c>
      <c r="I240" s="254"/>
      <c r="J240" s="254" t="s">
        <v>622</v>
      </c>
      <c r="K240" s="252"/>
      <c r="L240" s="252"/>
      <c r="N240" s="256" t="s">
        <v>3440</v>
      </c>
      <c r="O240" s="300"/>
    </row>
    <row r="241" spans="1:15" ht="48" x14ac:dyDescent="0.25">
      <c r="A241" s="252" t="s">
        <v>1666</v>
      </c>
      <c r="B241" s="252" t="str">
        <f>HLOOKUP('Getting Started'!H$2,E:I,ROW(),FALSE)</f>
        <v>Puchasing and Inventory</v>
      </c>
      <c r="C241" s="252" t="str">
        <f>HLOOKUP('Getting Started'!H$2,J:N,ROW(),FALSE)</f>
        <v>Are all supplies stored such that they cannot fall from shelves or suffer damage in other ways?</v>
      </c>
      <c r="D241" s="252" t="s">
        <v>507</v>
      </c>
      <c r="E241" s="255" t="s">
        <v>514</v>
      </c>
      <c r="F241" s="255" t="s">
        <v>1405</v>
      </c>
      <c r="G241" s="255" t="s">
        <v>1406</v>
      </c>
      <c r="H241" s="255" t="s">
        <v>1407</v>
      </c>
      <c r="I241" s="254"/>
      <c r="J241" s="254" t="s">
        <v>623</v>
      </c>
      <c r="K241" s="252"/>
      <c r="L241" s="252"/>
      <c r="N241" s="256" t="s">
        <v>3441</v>
      </c>
      <c r="O241" s="258" t="s">
        <v>1</v>
      </c>
    </row>
    <row r="242" spans="1:15" ht="63" x14ac:dyDescent="0.25">
      <c r="A242" s="252" t="s">
        <v>1667</v>
      </c>
      <c r="B242" s="252" t="str">
        <f>HLOOKUP('Getting Started'!H$2,E:I,ROW(),FALSE)</f>
        <v>Puchasing and Inventory</v>
      </c>
      <c r="C242" s="252" t="str">
        <f>HLOOKUP('Getting Started'!H$2,J:N,ROW(),FALSE)</f>
        <v>In regions where earthquakes are a real risk: are supplies stored in such a way that they cannot be damaged due to an earthquake?</v>
      </c>
      <c r="D242" s="252" t="s">
        <v>507</v>
      </c>
      <c r="E242" s="255" t="s">
        <v>514</v>
      </c>
      <c r="F242" s="255" t="s">
        <v>1405</v>
      </c>
      <c r="G242" s="255" t="s">
        <v>1406</v>
      </c>
      <c r="H242" s="255" t="s">
        <v>1407</v>
      </c>
      <c r="I242" s="254"/>
      <c r="J242" s="254" t="s">
        <v>624</v>
      </c>
      <c r="K242" s="252"/>
      <c r="L242" s="252"/>
      <c r="N242" s="256" t="s">
        <v>3442</v>
      </c>
      <c r="O242" s="258" t="s">
        <v>1</v>
      </c>
    </row>
    <row r="243" spans="1:15" ht="48" x14ac:dyDescent="0.25">
      <c r="A243" s="252" t="s">
        <v>1668</v>
      </c>
      <c r="B243" s="252" t="str">
        <f>HLOOKUP('Getting Started'!H$2,E:I,ROW(),FALSE)</f>
        <v>Puchasing and Inventory</v>
      </c>
      <c r="C243" s="252" t="str">
        <f>HLOOKUP('Getting Started'!H$2,J:N,ROW(),FALSE)</f>
        <v>Are all supplies stored according to the first-in-first-out (FIFO) system?</v>
      </c>
      <c r="D243" s="252" t="s">
        <v>507</v>
      </c>
      <c r="E243" s="255" t="s">
        <v>514</v>
      </c>
      <c r="F243" s="255" t="s">
        <v>1405</v>
      </c>
      <c r="G243" s="255" t="s">
        <v>1406</v>
      </c>
      <c r="H243" s="255" t="s">
        <v>1407</v>
      </c>
      <c r="I243" s="254"/>
      <c r="J243" s="254" t="s">
        <v>625</v>
      </c>
      <c r="K243" s="252"/>
      <c r="L243" s="252"/>
      <c r="N243" s="256" t="s">
        <v>3443</v>
      </c>
      <c r="O243" s="258" t="s">
        <v>1</v>
      </c>
    </row>
    <row r="244" spans="1:15" ht="48" x14ac:dyDescent="0.25">
      <c r="A244" s="252" t="s">
        <v>1669</v>
      </c>
      <c r="B244" s="252" t="str">
        <f>HLOOKUP('Getting Started'!H$2,E:I,ROW(),FALSE)</f>
        <v>Puchasing and Inventory</v>
      </c>
      <c r="C244" s="252" t="str">
        <f>HLOOKUP('Getting Started'!H$2,J:N,ROW(),FALSE)</f>
        <v>Are all storage areas complying with the safety requirements related to the supplies stored in them?</v>
      </c>
      <c r="D244" s="252" t="s">
        <v>507</v>
      </c>
      <c r="E244" s="255" t="s">
        <v>514</v>
      </c>
      <c r="F244" s="255" t="s">
        <v>1405</v>
      </c>
      <c r="G244" s="255" t="s">
        <v>1406</v>
      </c>
      <c r="H244" s="255" t="s">
        <v>1407</v>
      </c>
      <c r="I244" s="254"/>
      <c r="J244" s="254" t="s">
        <v>626</v>
      </c>
      <c r="K244" s="252"/>
      <c r="L244" s="252"/>
      <c r="N244" s="256" t="s">
        <v>3444</v>
      </c>
      <c r="O244" s="258" t="s">
        <v>1</v>
      </c>
    </row>
    <row r="245" spans="1:15" ht="48" x14ac:dyDescent="0.25">
      <c r="A245" s="252" t="s">
        <v>1670</v>
      </c>
      <c r="B245" s="252" t="str">
        <f>HLOOKUP('Getting Started'!H$2,E:I,ROW(),FALSE)</f>
        <v>Puchasing and Inventory</v>
      </c>
      <c r="C245" s="252" t="str">
        <f>HLOOKUP('Getting Started'!H$2,J:N,ROW(),FALSE)</f>
        <v>Do storage areas protect the supplies from external influences such as humidity, light, insects, etc.?</v>
      </c>
      <c r="D245" s="252" t="s">
        <v>507</v>
      </c>
      <c r="E245" s="255" t="s">
        <v>514</v>
      </c>
      <c r="F245" s="255" t="s">
        <v>1405</v>
      </c>
      <c r="G245" s="255" t="s">
        <v>1406</v>
      </c>
      <c r="H245" s="255" t="s">
        <v>1407</v>
      </c>
      <c r="I245" s="254"/>
      <c r="J245" s="254" t="s">
        <v>627</v>
      </c>
      <c r="K245" s="252"/>
      <c r="L245" s="252"/>
      <c r="N245" s="256" t="s">
        <v>3445</v>
      </c>
      <c r="O245" s="258" t="s">
        <v>1</v>
      </c>
    </row>
    <row r="246" spans="1:15" ht="48" x14ac:dyDescent="0.25">
      <c r="A246" s="252" t="s">
        <v>1671</v>
      </c>
      <c r="B246" s="252" t="str">
        <f>HLOOKUP('Getting Started'!H$2,E:I,ROW(),FALSE)</f>
        <v>Puchasing and Inventory</v>
      </c>
      <c r="C246" s="252" t="str">
        <f>HLOOKUP('Getting Started'!H$2,J:N,ROW(),FALSE)</f>
        <v>Are all storage areas lockable to prevent unauthorized access?</v>
      </c>
      <c r="D246" s="252" t="s">
        <v>507</v>
      </c>
      <c r="E246" s="255" t="s">
        <v>514</v>
      </c>
      <c r="F246" s="255" t="s">
        <v>1405</v>
      </c>
      <c r="G246" s="255" t="s">
        <v>1406</v>
      </c>
      <c r="H246" s="255" t="s">
        <v>1407</v>
      </c>
      <c r="I246" s="254"/>
      <c r="J246" s="254" t="s">
        <v>628</v>
      </c>
      <c r="K246" s="252"/>
      <c r="L246" s="252"/>
      <c r="N246" s="256" t="s">
        <v>3446</v>
      </c>
      <c r="O246" s="258" t="s">
        <v>1</v>
      </c>
    </row>
    <row r="247" spans="1:15" ht="48" x14ac:dyDescent="0.25">
      <c r="A247" s="252" t="s">
        <v>1672</v>
      </c>
      <c r="B247" s="252" t="str">
        <f>HLOOKUP('Getting Started'!H$2,E:I,ROW(),FALSE)</f>
        <v>Puchasing and Inventory</v>
      </c>
      <c r="C247" s="252" t="str">
        <f>HLOOKUP('Getting Started'!H$2,J:N,ROW(),FALSE)</f>
        <v>Are all storage areas labeled with hazard symbols related to the supplies stored in them?</v>
      </c>
      <c r="D247" s="252" t="s">
        <v>507</v>
      </c>
      <c r="E247" s="255" t="s">
        <v>514</v>
      </c>
      <c r="F247" s="255" t="s">
        <v>1405</v>
      </c>
      <c r="G247" s="255" t="s">
        <v>1406</v>
      </c>
      <c r="H247" s="255" t="s">
        <v>1407</v>
      </c>
      <c r="I247" s="254"/>
      <c r="J247" s="254" t="s">
        <v>629</v>
      </c>
      <c r="K247" s="252"/>
      <c r="L247" s="252"/>
      <c r="N247" s="256" t="s">
        <v>3447</v>
      </c>
      <c r="O247" s="258" t="s">
        <v>1</v>
      </c>
    </row>
    <row r="248" spans="1:15" ht="48" x14ac:dyDescent="0.25">
      <c r="A248" s="252" t="s">
        <v>1673</v>
      </c>
      <c r="B248" s="252" t="str">
        <f>HLOOKUP('Getting Started'!H$2,E:I,ROW(),FALSE)</f>
        <v>Puchasing and Inventory</v>
      </c>
      <c r="C248" s="252" t="str">
        <f>HLOOKUP('Getting Started'!H$2,J:N,ROW(),FALSE)</f>
        <v>Is a list with R- and S-sentences provided on each storage area where this is relevant?</v>
      </c>
      <c r="D248" s="252" t="s">
        <v>507</v>
      </c>
      <c r="E248" s="255" t="s">
        <v>514</v>
      </c>
      <c r="F248" s="255" t="s">
        <v>1405</v>
      </c>
      <c r="G248" s="255" t="s">
        <v>1406</v>
      </c>
      <c r="H248" s="255" t="s">
        <v>1407</v>
      </c>
      <c r="I248" s="254"/>
      <c r="J248" s="254" t="s">
        <v>630</v>
      </c>
      <c r="K248" s="252"/>
      <c r="L248" s="252"/>
      <c r="N248" s="256" t="s">
        <v>3448</v>
      </c>
      <c r="O248" s="258" t="s">
        <v>1</v>
      </c>
    </row>
    <row r="249" spans="1:15" ht="63" x14ac:dyDescent="0.25">
      <c r="A249" s="252" t="s">
        <v>1674</v>
      </c>
      <c r="B249" s="252" t="str">
        <f>HLOOKUP('Getting Started'!H$2,E:I,ROW(),FALSE)</f>
        <v>Puchasing and Inventory</v>
      </c>
      <c r="C249" s="252" t="str">
        <f>HLOOKUP('Getting Started'!H$2,J:N,ROW(),FALSE)</f>
        <v>Do staff members know what R- and S-sentences are and how to find them?
Take a sample by asking some staff members.</v>
      </c>
      <c r="D249" s="252" t="s">
        <v>507</v>
      </c>
      <c r="E249" s="255" t="s">
        <v>514</v>
      </c>
      <c r="F249" s="255" t="s">
        <v>1405</v>
      </c>
      <c r="G249" s="255" t="s">
        <v>1406</v>
      </c>
      <c r="H249" s="255" t="s">
        <v>1407</v>
      </c>
      <c r="I249" s="254"/>
      <c r="J249" s="254" t="s">
        <v>2414</v>
      </c>
      <c r="K249" s="252"/>
      <c r="L249" s="252"/>
      <c r="N249" s="256" t="s">
        <v>3449</v>
      </c>
      <c r="O249" s="258" t="s">
        <v>1</v>
      </c>
    </row>
    <row r="250" spans="1:15" ht="63" x14ac:dyDescent="0.25">
      <c r="A250" s="252" t="s">
        <v>1675</v>
      </c>
      <c r="B250" s="252" t="str">
        <f>HLOOKUP('Getting Started'!H$2,E:I,ROW(),FALSE)</f>
        <v>Process Management</v>
      </c>
      <c r="C250" s="252" t="str">
        <f>HLOOKUP('Getting Started'!H$2,J:N,ROW(),FALSE)</f>
        <v>Has the laboratory formulated clear and specific sample acceptation/rejection criteria for each type of sample used by the laboratory, leaving no room for interpretation?</v>
      </c>
      <c r="D250" s="252" t="s">
        <v>507</v>
      </c>
      <c r="E250" s="255" t="s">
        <v>515</v>
      </c>
      <c r="F250" s="255" t="s">
        <v>1402</v>
      </c>
      <c r="G250" s="255" t="s">
        <v>1403</v>
      </c>
      <c r="H250" s="255" t="s">
        <v>1404</v>
      </c>
      <c r="I250" s="254"/>
      <c r="J250" s="254" t="s">
        <v>631</v>
      </c>
      <c r="K250" s="252"/>
      <c r="L250" s="252"/>
      <c r="N250" s="256" t="s">
        <v>3450</v>
      </c>
      <c r="O250" s="258" t="s">
        <v>1</v>
      </c>
    </row>
    <row r="251" spans="1:15" ht="78.75" x14ac:dyDescent="0.25">
      <c r="A251" s="252" t="s">
        <v>1676</v>
      </c>
      <c r="B251" s="252" t="str">
        <f>HLOOKUP('Getting Started'!H$2,E:I,ROW(),FALSE)</f>
        <v>Process Management</v>
      </c>
      <c r="C251" s="252" t="str">
        <f>HLOOKUP('Getting Started'!H$2,J:N,ROW(),FALSE)</f>
        <v>Does the laboratory have an SOP for Sample Collection to ensure correct collection of good quality samples for each test, protecting the safety of both the sample collector and patient as well as the privacy of the patient?</v>
      </c>
      <c r="D251" s="252" t="s">
        <v>507</v>
      </c>
      <c r="E251" s="255" t="s">
        <v>515</v>
      </c>
      <c r="F251" s="255" t="s">
        <v>1402</v>
      </c>
      <c r="G251" s="255" t="s">
        <v>1403</v>
      </c>
      <c r="H251" s="255" t="s">
        <v>1404</v>
      </c>
      <c r="I251" s="254"/>
      <c r="J251" s="254" t="s">
        <v>632</v>
      </c>
      <c r="K251" s="252"/>
      <c r="L251" s="252"/>
      <c r="N251" s="256" t="s">
        <v>3451</v>
      </c>
      <c r="O251" s="258" t="s">
        <v>1</v>
      </c>
    </row>
    <row r="252" spans="1:15" ht="31.5" x14ac:dyDescent="0.25">
      <c r="A252" s="252" t="s">
        <v>1677</v>
      </c>
      <c r="B252" s="252" t="str">
        <f>HLOOKUP('Getting Started'!H$2,E:I,ROW(),FALSE)</f>
        <v>Process Management</v>
      </c>
      <c r="C252" s="252" t="str">
        <f>HLOOKUP('Getting Started'!H$2,J:N,ROW(),FALSE)</f>
        <v>Does the SOP for Sample Collection include at least the following element? [tick-off]</v>
      </c>
      <c r="D252" s="252" t="s">
        <v>507</v>
      </c>
      <c r="E252" s="255" t="s">
        <v>515</v>
      </c>
      <c r="F252" s="255" t="s">
        <v>1402</v>
      </c>
      <c r="G252" s="255" t="s">
        <v>1403</v>
      </c>
      <c r="H252" s="255" t="s">
        <v>1404</v>
      </c>
      <c r="I252" s="254"/>
      <c r="J252" s="254" t="s">
        <v>633</v>
      </c>
      <c r="K252" s="252"/>
      <c r="L252" s="252"/>
      <c r="N252" s="256" t="s">
        <v>3452</v>
      </c>
      <c r="O252" s="300" t="s">
        <v>1</v>
      </c>
    </row>
    <row r="253" spans="1:15" ht="24" x14ac:dyDescent="0.25">
      <c r="A253" s="252" t="s">
        <v>2426</v>
      </c>
      <c r="B253" s="252" t="str">
        <f>HLOOKUP('Getting Started'!H$2,E:I,ROW(),FALSE)</f>
        <v>Process Management</v>
      </c>
      <c r="C253" s="252" t="str">
        <f>HLOOKUP('Getting Started'!H$2,J:N,ROW(),FALSE)</f>
        <v>Pre-collection:</v>
      </c>
      <c r="D253" s="252" t="s">
        <v>507</v>
      </c>
      <c r="E253" s="255" t="s">
        <v>515</v>
      </c>
      <c r="F253" s="255" t="s">
        <v>1402</v>
      </c>
      <c r="G253" s="255" t="s">
        <v>1403</v>
      </c>
      <c r="H253" s="255" t="s">
        <v>1404</v>
      </c>
      <c r="I253" s="254"/>
      <c r="J253" s="254" t="s">
        <v>634</v>
      </c>
      <c r="K253" s="252"/>
      <c r="L253" s="252"/>
      <c r="N253" s="256" t="s">
        <v>3453</v>
      </c>
      <c r="O253" s="300"/>
    </row>
    <row r="254" spans="1:15" ht="24" x14ac:dyDescent="0.25">
      <c r="A254" s="252" t="s">
        <v>2427</v>
      </c>
      <c r="B254" s="252" t="str">
        <f>HLOOKUP('Getting Started'!H$2,E:I,ROW(),FALSE)</f>
        <v>Process Management</v>
      </c>
      <c r="C254" s="252" t="str">
        <f>HLOOKUP('Getting Started'!H$2,J:N,ROW(),FALSE)</f>
        <v>Instructions for identification of the patient</v>
      </c>
      <c r="D254" s="252" t="s">
        <v>507</v>
      </c>
      <c r="E254" s="255" t="s">
        <v>515</v>
      </c>
      <c r="F254" s="255" t="s">
        <v>1402</v>
      </c>
      <c r="G254" s="255" t="s">
        <v>1403</v>
      </c>
      <c r="H254" s="255" t="s">
        <v>1404</v>
      </c>
      <c r="I254" s="254"/>
      <c r="J254" s="254" t="s">
        <v>635</v>
      </c>
      <c r="K254" s="252"/>
      <c r="L254" s="252"/>
      <c r="N254" s="256" t="s">
        <v>3454</v>
      </c>
      <c r="O254" s="300"/>
    </row>
    <row r="255" spans="1:15" ht="60" x14ac:dyDescent="0.25">
      <c r="A255" s="252" t="s">
        <v>2428</v>
      </c>
      <c r="B255" s="252" t="str">
        <f>HLOOKUP('Getting Started'!H$2,E:I,ROW(),FALSE)</f>
        <v>Process Management</v>
      </c>
      <c r="C255" s="252" t="str">
        <f>HLOOKUP('Getting Started'!H$2,J:N,ROW(),FALSE)</f>
        <v>Instructions to verify that the patient meets examination requirements (e.g. verification that the patient is sober when this is needed for laboratory testing)</v>
      </c>
      <c r="D255" s="252" t="s">
        <v>507</v>
      </c>
      <c r="E255" s="255" t="s">
        <v>515</v>
      </c>
      <c r="F255" s="255" t="s">
        <v>1402</v>
      </c>
      <c r="G255" s="255" t="s">
        <v>1403</v>
      </c>
      <c r="H255" s="255" t="s">
        <v>1404</v>
      </c>
      <c r="I255" s="254"/>
      <c r="J255" s="254" t="s">
        <v>636</v>
      </c>
      <c r="K255" s="252"/>
      <c r="L255" s="252"/>
      <c r="N255" s="256" t="s">
        <v>3455</v>
      </c>
      <c r="O255" s="300"/>
    </row>
    <row r="256" spans="1:15" ht="24" x14ac:dyDescent="0.25">
      <c r="A256" s="252" t="s">
        <v>2429</v>
      </c>
      <c r="B256" s="252" t="str">
        <f>HLOOKUP('Getting Started'!H$2,E:I,ROW(),FALSE)</f>
        <v>Process Management</v>
      </c>
      <c r="C256" s="252" t="str">
        <f>HLOOKUP('Getting Started'!H$2,J:N,ROW(),FALSE)</f>
        <v>Instructions for protecting patient safety</v>
      </c>
      <c r="D256" s="252" t="s">
        <v>507</v>
      </c>
      <c r="E256" s="255" t="s">
        <v>515</v>
      </c>
      <c r="F256" s="255" t="s">
        <v>1402</v>
      </c>
      <c r="G256" s="255" t="s">
        <v>1403</v>
      </c>
      <c r="H256" s="255" t="s">
        <v>1404</v>
      </c>
      <c r="I256" s="254"/>
      <c r="J256" s="254" t="s">
        <v>637</v>
      </c>
      <c r="K256" s="252"/>
      <c r="L256" s="252"/>
      <c r="N256" s="256" t="s">
        <v>3456</v>
      </c>
      <c r="O256" s="300"/>
    </row>
    <row r="257" spans="1:15" ht="31.5" x14ac:dyDescent="0.25">
      <c r="A257" s="252" t="s">
        <v>2430</v>
      </c>
      <c r="B257" s="252" t="str">
        <f>HLOOKUP('Getting Started'!H$2,E:I,ROW(),FALSE)</f>
        <v>Process Management</v>
      </c>
      <c r="C257" s="252" t="str">
        <f>HLOOKUP('Getting Started'!H$2,J:N,ROW(),FALSE)</f>
        <v>Instructions for protecting safety of the laboratory staff member</v>
      </c>
      <c r="D257" s="252" t="s">
        <v>507</v>
      </c>
      <c r="E257" s="255" t="s">
        <v>515</v>
      </c>
      <c r="F257" s="255" t="s">
        <v>1402</v>
      </c>
      <c r="G257" s="255" t="s">
        <v>1403</v>
      </c>
      <c r="H257" s="255" t="s">
        <v>1404</v>
      </c>
      <c r="I257" s="254"/>
      <c r="J257" s="254" t="s">
        <v>638</v>
      </c>
      <c r="K257" s="252"/>
      <c r="L257" s="252"/>
      <c r="N257" s="256" t="s">
        <v>3457</v>
      </c>
      <c r="O257" s="300"/>
    </row>
    <row r="258" spans="1:15" ht="31.5" x14ac:dyDescent="0.25">
      <c r="A258" s="252" t="s">
        <v>2431</v>
      </c>
      <c r="B258" s="252" t="str">
        <f>HLOOKUP('Getting Started'!H$2,E:I,ROW(),FALSE)</f>
        <v>Process Management</v>
      </c>
      <c r="C258" s="252" t="str">
        <f>HLOOKUP('Getting Started'!H$2,J:N,ROW(),FALSE)</f>
        <v>Instructions for protecting the privacy of the patient</v>
      </c>
      <c r="D258" s="252" t="s">
        <v>507</v>
      </c>
      <c r="E258" s="255" t="s">
        <v>515</v>
      </c>
      <c r="F258" s="255" t="s">
        <v>1402</v>
      </c>
      <c r="G258" s="255" t="s">
        <v>1403</v>
      </c>
      <c r="H258" s="255" t="s">
        <v>1404</v>
      </c>
      <c r="I258" s="254"/>
      <c r="J258" s="254" t="s">
        <v>639</v>
      </c>
      <c r="K258" s="252"/>
      <c r="L258" s="252"/>
      <c r="N258" s="256" t="s">
        <v>3458</v>
      </c>
      <c r="O258" s="300"/>
    </row>
    <row r="259" spans="1:15" ht="31.5" x14ac:dyDescent="0.25">
      <c r="A259" s="252" t="s">
        <v>2432</v>
      </c>
      <c r="B259" s="252" t="str">
        <f>HLOOKUP('Getting Started'!H$2,E:I,ROW(),FALSE)</f>
        <v>Process Management</v>
      </c>
      <c r="C259" s="252" t="str">
        <f>HLOOKUP('Getting Started'!H$2,J:N,ROW(),FALSE)</f>
        <v>Instructions for correct treatment of the patient (with respect, friendly, and polite)</v>
      </c>
      <c r="D259" s="252" t="s">
        <v>507</v>
      </c>
      <c r="E259" s="255" t="s">
        <v>515</v>
      </c>
      <c r="F259" s="255" t="s">
        <v>1402</v>
      </c>
      <c r="G259" s="255" t="s">
        <v>1403</v>
      </c>
      <c r="H259" s="255" t="s">
        <v>1404</v>
      </c>
      <c r="I259" s="254"/>
      <c r="J259" s="254" t="s">
        <v>640</v>
      </c>
      <c r="K259" s="252"/>
      <c r="L259" s="252"/>
      <c r="N259" s="256" t="s">
        <v>3459</v>
      </c>
      <c r="O259" s="300"/>
    </row>
    <row r="260" spans="1:15" ht="63" x14ac:dyDescent="0.25">
      <c r="A260" s="252" t="s">
        <v>2433</v>
      </c>
      <c r="B260" s="252" t="str">
        <f>HLOOKUP('Getting Started'!H$2,E:I,ROW(),FALSE)</f>
        <v>Process Management</v>
      </c>
      <c r="C260" s="252" t="str">
        <f>HLOOKUP('Getting Started'!H$2,J:N,ROW(),FALSE)</f>
        <v>Instructions for information provision to the patient (what is going to happen, when can the patient expect the results and where can the patient get the results)</v>
      </c>
      <c r="D260" s="252" t="s">
        <v>507</v>
      </c>
      <c r="E260" s="255" t="s">
        <v>515</v>
      </c>
      <c r="F260" s="255" t="s">
        <v>1402</v>
      </c>
      <c r="G260" s="255" t="s">
        <v>1403</v>
      </c>
      <c r="H260" s="255" t="s">
        <v>1404</v>
      </c>
      <c r="I260" s="254"/>
      <c r="J260" s="254" t="s">
        <v>641</v>
      </c>
      <c r="K260" s="252"/>
      <c r="L260" s="252"/>
      <c r="N260" s="256" t="s">
        <v>3460</v>
      </c>
      <c r="O260" s="300"/>
    </row>
    <row r="261" spans="1:15" ht="47.25" x14ac:dyDescent="0.25">
      <c r="A261" s="252" t="s">
        <v>2434</v>
      </c>
      <c r="B261" s="252" t="str">
        <f>HLOOKUP('Getting Started'!H$2,E:I,ROW(),FALSE)</f>
        <v>Process Management</v>
      </c>
      <c r="C261" s="252" t="str">
        <f>HLOOKUP('Getting Started'!H$2,J:N,ROW(),FALSE)</f>
        <v>Instructions for preparation of the patient (including provision of information to the patient on sample collection and laboratory testing)</v>
      </c>
      <c r="D261" s="252" t="s">
        <v>507</v>
      </c>
      <c r="E261" s="255" t="s">
        <v>515</v>
      </c>
      <c r="F261" s="255" t="s">
        <v>1402</v>
      </c>
      <c r="G261" s="255" t="s">
        <v>1403</v>
      </c>
      <c r="H261" s="255" t="s">
        <v>1404</v>
      </c>
      <c r="I261" s="254"/>
      <c r="J261" s="254" t="s">
        <v>642</v>
      </c>
      <c r="K261" s="252"/>
      <c r="L261" s="252"/>
      <c r="N261" s="256" t="s">
        <v>3461</v>
      </c>
      <c r="O261" s="300"/>
    </row>
    <row r="262" spans="1:15" ht="45" x14ac:dyDescent="0.25">
      <c r="A262" s="252" t="s">
        <v>2435</v>
      </c>
      <c r="B262" s="252" t="str">
        <f>HLOOKUP('Getting Started'!H$2,E:I,ROW(),FALSE)</f>
        <v>Process Management</v>
      </c>
      <c r="C262" s="252" t="str">
        <f>HLOOKUP('Getting Started'!H$2,J:N,ROW(),FALSE)</f>
        <v>Guideline for completion of the Request Form, including identification of the person collecting the sample and the patient</v>
      </c>
      <c r="D262" s="252" t="s">
        <v>507</v>
      </c>
      <c r="E262" s="255" t="s">
        <v>515</v>
      </c>
      <c r="F262" s="255" t="s">
        <v>1402</v>
      </c>
      <c r="G262" s="255" t="s">
        <v>1403</v>
      </c>
      <c r="H262" s="255" t="s">
        <v>1404</v>
      </c>
      <c r="I262" s="254"/>
      <c r="J262" s="254" t="s">
        <v>643</v>
      </c>
      <c r="K262" s="252"/>
      <c r="L262" s="252"/>
      <c r="N262" s="256" t="s">
        <v>3462</v>
      </c>
      <c r="O262" s="300"/>
    </row>
    <row r="263" spans="1:15" ht="24" x14ac:dyDescent="0.25">
      <c r="A263" s="252" t="s">
        <v>2426</v>
      </c>
      <c r="B263" s="252" t="str">
        <f>HLOOKUP('Getting Started'!H$2,E:I,ROW(),FALSE)</f>
        <v>Process Management</v>
      </c>
      <c r="C263" s="252" t="str">
        <f>HLOOKUP('Getting Started'!H$2,J:N,ROW(),FALSE)</f>
        <v>Collection:</v>
      </c>
      <c r="D263" s="252" t="s">
        <v>507</v>
      </c>
      <c r="E263" s="255" t="s">
        <v>515</v>
      </c>
      <c r="F263" s="255" t="s">
        <v>1402</v>
      </c>
      <c r="G263" s="255" t="s">
        <v>1403</v>
      </c>
      <c r="H263" s="255" t="s">
        <v>1404</v>
      </c>
      <c r="I263" s="254"/>
      <c r="J263" s="254" t="s">
        <v>644</v>
      </c>
      <c r="K263" s="252"/>
      <c r="L263" s="252"/>
      <c r="N263" s="256" t="s">
        <v>3463</v>
      </c>
      <c r="O263" s="300"/>
    </row>
    <row r="264" spans="1:15" ht="47.25" x14ac:dyDescent="0.25">
      <c r="A264" s="252" t="s">
        <v>2436</v>
      </c>
      <c r="B264" s="252" t="str">
        <f>HLOOKUP('Getting Started'!H$2,E:I,ROW(),FALSE)</f>
        <v>Process Management</v>
      </c>
      <c r="C264" s="252" t="str">
        <f>HLOOKUP('Getting Started'!H$2,J:N,ROW(),FALSE)</f>
        <v>Instructions for correct collection of the sample, including reference to sample acceptance criteria to ensure collection of a good quality sample</v>
      </c>
      <c r="D264" s="252" t="s">
        <v>507</v>
      </c>
      <c r="E264" s="255" t="s">
        <v>515</v>
      </c>
      <c r="F264" s="255" t="s">
        <v>1402</v>
      </c>
      <c r="G264" s="255" t="s">
        <v>1403</v>
      </c>
      <c r="H264" s="255" t="s">
        <v>1404</v>
      </c>
      <c r="I264" s="254"/>
      <c r="J264" s="254" t="s">
        <v>645</v>
      </c>
      <c r="K264" s="252"/>
      <c r="L264" s="252"/>
      <c r="N264" s="256" t="s">
        <v>3464</v>
      </c>
      <c r="O264" s="300"/>
    </row>
    <row r="265" spans="1:15" ht="24" x14ac:dyDescent="0.25">
      <c r="A265" s="252" t="s">
        <v>2426</v>
      </c>
      <c r="B265" s="252" t="str">
        <f>HLOOKUP('Getting Started'!H$2,E:I,ROW(),FALSE)</f>
        <v>Process Management</v>
      </c>
      <c r="C265" s="252" t="str">
        <f>HLOOKUP('Getting Started'!H$2,J:N,ROW(),FALSE)</f>
        <v>Post-collection:</v>
      </c>
      <c r="D265" s="252" t="s">
        <v>507</v>
      </c>
      <c r="E265" s="255" t="s">
        <v>515</v>
      </c>
      <c r="F265" s="255" t="s">
        <v>1402</v>
      </c>
      <c r="G265" s="255" t="s">
        <v>1403</v>
      </c>
      <c r="H265" s="255" t="s">
        <v>1404</v>
      </c>
      <c r="I265" s="254"/>
      <c r="J265" s="254" t="s">
        <v>646</v>
      </c>
      <c r="K265" s="252"/>
      <c r="L265" s="252"/>
      <c r="N265" s="256" t="s">
        <v>3465</v>
      </c>
      <c r="O265" s="300"/>
    </row>
    <row r="266" spans="1:15" ht="24" x14ac:dyDescent="0.25">
      <c r="A266" s="252" t="s">
        <v>2437</v>
      </c>
      <c r="B266" s="252" t="str">
        <f>HLOOKUP('Getting Started'!H$2,E:I,ROW(),FALSE)</f>
        <v>Process Management</v>
      </c>
      <c r="C266" s="252" t="str">
        <f>HLOOKUP('Getting Started'!H$2,J:N,ROW(),FALSE)</f>
        <v>Procedure of labeling of the sample</v>
      </c>
      <c r="D266" s="252" t="s">
        <v>507</v>
      </c>
      <c r="E266" s="255" t="s">
        <v>515</v>
      </c>
      <c r="F266" s="255" t="s">
        <v>1402</v>
      </c>
      <c r="G266" s="255" t="s">
        <v>1403</v>
      </c>
      <c r="H266" s="255" t="s">
        <v>1404</v>
      </c>
      <c r="I266" s="254"/>
      <c r="J266" s="254" t="s">
        <v>647</v>
      </c>
      <c r="K266" s="252"/>
      <c r="L266" s="252"/>
      <c r="N266" s="256" t="s">
        <v>3466</v>
      </c>
      <c r="O266" s="300"/>
    </row>
    <row r="267" spans="1:15" ht="31.5" x14ac:dyDescent="0.25">
      <c r="A267" s="252" t="s">
        <v>2438</v>
      </c>
      <c r="B267" s="252" t="str">
        <f>HLOOKUP('Getting Started'!H$2,E:I,ROW(),FALSE)</f>
        <v>Process Management</v>
      </c>
      <c r="C267" s="252" t="str">
        <f>HLOOKUP('Getting Started'!H$2,J:N,ROW(),FALSE)</f>
        <v>Requirements for correct and safe packing of the sample</v>
      </c>
      <c r="D267" s="252" t="s">
        <v>507</v>
      </c>
      <c r="E267" s="255" t="s">
        <v>515</v>
      </c>
      <c r="F267" s="255" t="s">
        <v>1402</v>
      </c>
      <c r="G267" s="255" t="s">
        <v>1403</v>
      </c>
      <c r="H267" s="255" t="s">
        <v>1404</v>
      </c>
      <c r="I267" s="254"/>
      <c r="J267" s="254" t="s">
        <v>648</v>
      </c>
      <c r="K267" s="252"/>
      <c r="L267" s="252"/>
      <c r="N267" s="256" t="s">
        <v>3467</v>
      </c>
      <c r="O267" s="300"/>
    </row>
    <row r="268" spans="1:15" ht="63" x14ac:dyDescent="0.25">
      <c r="A268" s="252" t="s">
        <v>2439</v>
      </c>
      <c r="B268" s="252" t="str">
        <f>HLOOKUP('Getting Started'!H$2,E:I,ROW(),FALSE)</f>
        <v>Process Management</v>
      </c>
      <c r="C268" s="252" t="str">
        <f>HLOOKUP('Getting Started'!H$2,J:N,ROW(),FALSE)</f>
        <v>Instructions on sample transport (including time frame and temperature interval) and proper storage conditions if the sample is not transported directly after collection</v>
      </c>
      <c r="D268" s="252" t="s">
        <v>507</v>
      </c>
      <c r="E268" s="255" t="s">
        <v>515</v>
      </c>
      <c r="F268" s="255" t="s">
        <v>1402</v>
      </c>
      <c r="G268" s="255" t="s">
        <v>1403</v>
      </c>
      <c r="H268" s="255" t="s">
        <v>1404</v>
      </c>
      <c r="I268" s="254"/>
      <c r="J268" s="254" t="s">
        <v>649</v>
      </c>
      <c r="K268" s="252"/>
      <c r="L268" s="252"/>
      <c r="N268" s="256" t="s">
        <v>3468</v>
      </c>
      <c r="O268" s="300"/>
    </row>
    <row r="269" spans="1:15" ht="31.5" x14ac:dyDescent="0.25">
      <c r="A269" s="252" t="s">
        <v>2440</v>
      </c>
      <c r="B269" s="252" t="str">
        <f>HLOOKUP('Getting Started'!H$2,E:I,ROW(),FALSE)</f>
        <v>Process Management</v>
      </c>
      <c r="C269" s="252" t="str">
        <f>HLOOKUP('Getting Started'!H$2,J:N,ROW(),FALSE)</f>
        <v>Instructions for safe disposal of materials used for collection of the sample</v>
      </c>
      <c r="D269" s="252" t="s">
        <v>507</v>
      </c>
      <c r="E269" s="255" t="s">
        <v>515</v>
      </c>
      <c r="F269" s="255" t="s">
        <v>1402</v>
      </c>
      <c r="G269" s="255" t="s">
        <v>1403</v>
      </c>
      <c r="H269" s="255" t="s">
        <v>1404</v>
      </c>
      <c r="I269" s="254"/>
      <c r="J269" s="254" t="s">
        <v>650</v>
      </c>
      <c r="K269" s="252"/>
      <c r="L269" s="252"/>
      <c r="N269" s="256" t="s">
        <v>3469</v>
      </c>
      <c r="O269" s="300"/>
    </row>
    <row r="270" spans="1:15" ht="31.5" x14ac:dyDescent="0.25">
      <c r="A270" s="252" t="s">
        <v>1678</v>
      </c>
      <c r="B270" s="252" t="str">
        <f>HLOOKUP('Getting Started'!H$2,E:I,ROW(),FALSE)</f>
        <v>Process Management</v>
      </c>
      <c r="C270" s="252" t="str">
        <f>HLOOKUP('Getting Started'!H$2,J:N,ROW(),FALSE)</f>
        <v>Does the laboratory have an SOP for Sample Reception and Processing?</v>
      </c>
      <c r="D270" s="252" t="s">
        <v>507</v>
      </c>
      <c r="E270" s="255" t="s">
        <v>515</v>
      </c>
      <c r="F270" s="255" t="s">
        <v>1402</v>
      </c>
      <c r="G270" s="255" t="s">
        <v>1403</v>
      </c>
      <c r="H270" s="255" t="s">
        <v>1404</v>
      </c>
      <c r="I270" s="254"/>
      <c r="J270" s="254" t="s">
        <v>651</v>
      </c>
      <c r="K270" s="252"/>
      <c r="L270" s="252"/>
      <c r="N270" s="256" t="s">
        <v>3470</v>
      </c>
      <c r="O270" s="258" t="s">
        <v>1</v>
      </c>
    </row>
    <row r="271" spans="1:15" ht="47.25" x14ac:dyDescent="0.25">
      <c r="A271" s="252" t="s">
        <v>1679</v>
      </c>
      <c r="B271" s="252" t="str">
        <f>HLOOKUP('Getting Started'!H$2,E:I,ROW(),FALSE)</f>
        <v>Process Management</v>
      </c>
      <c r="C271" s="252" t="str">
        <f>HLOOKUP('Getting Started'!H$2,J:N,ROW(),FALSE)</f>
        <v>Does the SOP for Sample Reception and Processing cover the following procedures:</v>
      </c>
      <c r="D271" s="252" t="s">
        <v>507</v>
      </c>
      <c r="E271" s="255" t="s">
        <v>515</v>
      </c>
      <c r="F271" s="255" t="s">
        <v>1402</v>
      </c>
      <c r="G271" s="255" t="s">
        <v>1403</v>
      </c>
      <c r="H271" s="255" t="s">
        <v>1404</v>
      </c>
      <c r="I271" s="254"/>
      <c r="J271" s="254" t="s">
        <v>652</v>
      </c>
      <c r="K271" s="252"/>
      <c r="L271" s="252"/>
      <c r="N271" s="256" t="s">
        <v>3471</v>
      </c>
      <c r="O271" s="300" t="s">
        <v>1</v>
      </c>
    </row>
    <row r="272" spans="1:15" ht="31.5" x14ac:dyDescent="0.25">
      <c r="A272" s="252" t="s">
        <v>2442</v>
      </c>
      <c r="B272" s="252" t="str">
        <f>HLOOKUP('Getting Started'!H$2,E:I,ROW(),FALSE)</f>
        <v>Process Management</v>
      </c>
      <c r="C272" s="252" t="str">
        <f>HLOOKUP('Getting Started'!H$2,J:N,ROW(),FALSE)</f>
        <v>Checking sample integrity and deciding if the sample is accepted or rejected</v>
      </c>
      <c r="D272" s="252" t="s">
        <v>507</v>
      </c>
      <c r="E272" s="255" t="s">
        <v>515</v>
      </c>
      <c r="F272" s="255" t="s">
        <v>1402</v>
      </c>
      <c r="G272" s="255" t="s">
        <v>1403</v>
      </c>
      <c r="H272" s="255" t="s">
        <v>1404</v>
      </c>
      <c r="I272" s="254"/>
      <c r="J272" s="254" t="s">
        <v>653</v>
      </c>
      <c r="K272" s="252"/>
      <c r="L272" s="252"/>
      <c r="N272" s="256" t="s">
        <v>3472</v>
      </c>
      <c r="O272" s="300"/>
    </row>
    <row r="273" spans="1:15" ht="24" x14ac:dyDescent="0.25">
      <c r="A273" s="252" t="s">
        <v>2443</v>
      </c>
      <c r="B273" s="252" t="str">
        <f>HLOOKUP('Getting Started'!H$2,E:I,ROW(),FALSE)</f>
        <v>Process Management</v>
      </c>
      <c r="C273" s="252" t="str">
        <f>HLOOKUP('Getting Started'!H$2,J:N,ROW(),FALSE)</f>
        <v>Introduction of the sample into the laboratory register</v>
      </c>
      <c r="D273" s="252" t="s">
        <v>507</v>
      </c>
      <c r="E273" s="255" t="s">
        <v>515</v>
      </c>
      <c r="F273" s="255" t="s">
        <v>1402</v>
      </c>
      <c r="G273" s="255" t="s">
        <v>1403</v>
      </c>
      <c r="H273" s="255" t="s">
        <v>1404</v>
      </c>
      <c r="I273" s="254"/>
      <c r="J273" s="254" t="s">
        <v>654</v>
      </c>
      <c r="K273" s="252"/>
      <c r="L273" s="252"/>
      <c r="N273" s="256" t="s">
        <v>3473</v>
      </c>
      <c r="O273" s="300"/>
    </row>
    <row r="274" spans="1:15" ht="24" x14ac:dyDescent="0.25">
      <c r="A274" s="252" t="s">
        <v>2444</v>
      </c>
      <c r="B274" s="252" t="str">
        <f>HLOOKUP('Getting Started'!H$2,E:I,ROW(),FALSE)</f>
        <v>Process Management</v>
      </c>
      <c r="C274" s="252" t="str">
        <f>HLOOKUP('Getting Started'!H$2,J:N,ROW(),FALSE)</f>
        <v>Sample labeling</v>
      </c>
      <c r="D274" s="252" t="s">
        <v>507</v>
      </c>
      <c r="E274" s="255" t="s">
        <v>515</v>
      </c>
      <c r="F274" s="255" t="s">
        <v>1402</v>
      </c>
      <c r="G274" s="255" t="s">
        <v>1403</v>
      </c>
      <c r="H274" s="255" t="s">
        <v>1404</v>
      </c>
      <c r="I274" s="254"/>
      <c r="J274" s="254" t="s">
        <v>655</v>
      </c>
      <c r="K274" s="252"/>
      <c r="L274" s="252"/>
      <c r="N274" s="256" t="s">
        <v>3474</v>
      </c>
      <c r="O274" s="300"/>
    </row>
    <row r="275" spans="1:15" ht="24" x14ac:dyDescent="0.25">
      <c r="A275" s="252" t="s">
        <v>2445</v>
      </c>
      <c r="B275" s="252" t="str">
        <f>HLOOKUP('Getting Started'!H$2,E:I,ROW(),FALSE)</f>
        <v>Process Management</v>
      </c>
      <c r="C275" s="252" t="str">
        <f>HLOOKUP('Getting Started'!H$2,J:N,ROW(),FALSE)</f>
        <v>Sample processing</v>
      </c>
      <c r="D275" s="252" t="s">
        <v>507</v>
      </c>
      <c r="E275" s="255" t="s">
        <v>515</v>
      </c>
      <c r="F275" s="255" t="s">
        <v>1402</v>
      </c>
      <c r="G275" s="255" t="s">
        <v>1403</v>
      </c>
      <c r="H275" s="255" t="s">
        <v>1404</v>
      </c>
      <c r="I275" s="254"/>
      <c r="J275" s="254" t="s">
        <v>656</v>
      </c>
      <c r="K275" s="252"/>
      <c r="L275" s="252"/>
      <c r="N275" s="256" t="s">
        <v>3475</v>
      </c>
      <c r="O275" s="300"/>
    </row>
    <row r="276" spans="1:15" ht="24" x14ac:dyDescent="0.25">
      <c r="A276" s="252" t="s">
        <v>2446</v>
      </c>
      <c r="B276" s="252" t="str">
        <f>HLOOKUP('Getting Started'!H$2,E:I,ROW(),FALSE)</f>
        <v>Process Management</v>
      </c>
      <c r="C276" s="252" t="str">
        <f>HLOOKUP('Getting Started'!H$2,J:N,ROW(),FALSE)</f>
        <v>Procedure for processing urgent samples</v>
      </c>
      <c r="D276" s="252" t="s">
        <v>507</v>
      </c>
      <c r="E276" s="255" t="s">
        <v>515</v>
      </c>
      <c r="F276" s="255" t="s">
        <v>1402</v>
      </c>
      <c r="G276" s="255" t="s">
        <v>1403</v>
      </c>
      <c r="H276" s="255" t="s">
        <v>1404</v>
      </c>
      <c r="I276" s="254"/>
      <c r="J276" s="254" t="s">
        <v>657</v>
      </c>
      <c r="K276" s="252"/>
      <c r="L276" s="252"/>
      <c r="N276" s="256" t="s">
        <v>3476</v>
      </c>
      <c r="O276" s="300"/>
    </row>
    <row r="277" spans="1:15" ht="24" x14ac:dyDescent="0.25">
      <c r="A277" s="252" t="s">
        <v>2447</v>
      </c>
      <c r="B277" s="252" t="str">
        <f>HLOOKUP('Getting Started'!H$2,E:I,ROW(),FALSE)</f>
        <v>Process Management</v>
      </c>
      <c r="C277" s="252" t="str">
        <f>HLOOKUP('Getting Started'!H$2,J:N,ROW(),FALSE)</f>
        <v>Procedure for dealing with verbal requests</v>
      </c>
      <c r="D277" s="252" t="s">
        <v>507</v>
      </c>
      <c r="E277" s="255" t="s">
        <v>515</v>
      </c>
      <c r="F277" s="255" t="s">
        <v>1402</v>
      </c>
      <c r="G277" s="255" t="s">
        <v>1403</v>
      </c>
      <c r="H277" s="255" t="s">
        <v>1404</v>
      </c>
      <c r="I277" s="254"/>
      <c r="J277" s="254" t="s">
        <v>658</v>
      </c>
      <c r="K277" s="252"/>
      <c r="L277" s="252"/>
      <c r="N277" s="256" t="s">
        <v>3477</v>
      </c>
      <c r="O277" s="300"/>
    </row>
    <row r="278" spans="1:15" ht="31.5" x14ac:dyDescent="0.25">
      <c r="A278" s="252" t="s">
        <v>2448</v>
      </c>
      <c r="B278" s="252" t="str">
        <f>HLOOKUP('Getting Started'!H$2,E:I,ROW(),FALSE)</f>
        <v>Process Management</v>
      </c>
      <c r="C278" s="252" t="str">
        <f>HLOOKUP('Getting Started'!H$2,J:N,ROW(),FALSE)</f>
        <v>Periodical review of required sample volumes</v>
      </c>
      <c r="D278" s="252" t="s">
        <v>507</v>
      </c>
      <c r="E278" s="255" t="s">
        <v>515</v>
      </c>
      <c r="F278" s="255" t="s">
        <v>1402</v>
      </c>
      <c r="G278" s="255" t="s">
        <v>1403</v>
      </c>
      <c r="H278" s="255" t="s">
        <v>1404</v>
      </c>
      <c r="I278" s="254"/>
      <c r="J278" s="254" t="s">
        <v>659</v>
      </c>
      <c r="K278" s="252"/>
      <c r="L278" s="252"/>
      <c r="N278" s="256" t="s">
        <v>3478</v>
      </c>
      <c r="O278" s="300"/>
    </row>
    <row r="279" spans="1:15" ht="47.25" x14ac:dyDescent="0.25">
      <c r="A279" s="252" t="s">
        <v>1680</v>
      </c>
      <c r="B279" s="252" t="str">
        <f>HLOOKUP('Getting Started'!H$2,E:I,ROW(),FALSE)</f>
        <v>Process Management</v>
      </c>
      <c r="C279" s="252" t="str">
        <f>HLOOKUP('Getting Started'!H$2,J:N,ROW(),FALSE)</f>
        <v>Has the laboratory authorized staff members for reviewing requests and deciding which examinations must be performed?</v>
      </c>
      <c r="D279" s="252" t="s">
        <v>507</v>
      </c>
      <c r="E279" s="255" t="s">
        <v>515</v>
      </c>
      <c r="F279" s="255" t="s">
        <v>1402</v>
      </c>
      <c r="G279" s="255" t="s">
        <v>1403</v>
      </c>
      <c r="H279" s="255" t="s">
        <v>1404</v>
      </c>
      <c r="I279" s="254"/>
      <c r="J279" s="254" t="s">
        <v>660</v>
      </c>
      <c r="K279" s="252"/>
      <c r="L279" s="252"/>
      <c r="N279" s="256" t="s">
        <v>3479</v>
      </c>
      <c r="O279" s="258" t="s">
        <v>1</v>
      </c>
    </row>
    <row r="280" spans="1:15" ht="31.5" x14ac:dyDescent="0.25">
      <c r="A280" s="252" t="s">
        <v>1681</v>
      </c>
      <c r="B280" s="252" t="str">
        <f>HLOOKUP('Getting Started'!H$2,E:I,ROW(),FALSE)</f>
        <v>Process Management</v>
      </c>
      <c r="C280" s="252" t="str">
        <f>HLOOKUP('Getting Started'!H$2,J:N,ROW(),FALSE)</f>
        <v>Has the SOP for Sample Reception and Processing been read by all relevant staff members?</v>
      </c>
      <c r="D280" s="252" t="s">
        <v>507</v>
      </c>
      <c r="E280" s="255" t="s">
        <v>515</v>
      </c>
      <c r="F280" s="255" t="s">
        <v>1402</v>
      </c>
      <c r="G280" s="255" t="s">
        <v>1403</v>
      </c>
      <c r="H280" s="255" t="s">
        <v>1404</v>
      </c>
      <c r="I280" s="254"/>
      <c r="J280" s="254" t="s">
        <v>661</v>
      </c>
      <c r="K280" s="252"/>
      <c r="L280" s="252"/>
      <c r="N280" s="256" t="s">
        <v>3480</v>
      </c>
      <c r="O280" s="258" t="s">
        <v>1</v>
      </c>
    </row>
    <row r="281" spans="1:15" ht="24" x14ac:dyDescent="0.25">
      <c r="A281" s="252" t="s">
        <v>1682</v>
      </c>
      <c r="B281" s="252" t="str">
        <f>HLOOKUP('Getting Started'!H$2,E:I,ROW(),FALSE)</f>
        <v>Process Management</v>
      </c>
      <c r="C281" s="252" t="str">
        <f>HLOOKUP('Getting Started'!H$2,J:N,ROW(),FALSE)</f>
        <v>Does the laboratory use a Sample Reception Register?</v>
      </c>
      <c r="D281" s="252" t="s">
        <v>507</v>
      </c>
      <c r="E281" s="255" t="s">
        <v>515</v>
      </c>
      <c r="F281" s="255" t="s">
        <v>1402</v>
      </c>
      <c r="G281" s="255" t="s">
        <v>1403</v>
      </c>
      <c r="H281" s="255" t="s">
        <v>1404</v>
      </c>
      <c r="I281" s="254"/>
      <c r="J281" s="254" t="s">
        <v>662</v>
      </c>
      <c r="K281" s="252"/>
      <c r="L281" s="252"/>
      <c r="N281" s="256" t="s">
        <v>3481</v>
      </c>
      <c r="O281" s="258" t="s">
        <v>1</v>
      </c>
    </row>
    <row r="282" spans="1:15" ht="31.5" x14ac:dyDescent="0.25">
      <c r="A282" s="252" t="s">
        <v>1683</v>
      </c>
      <c r="B282" s="252" t="str">
        <f>HLOOKUP('Getting Started'!H$2,E:I,ROW(),FALSE)</f>
        <v>Process Management</v>
      </c>
      <c r="C282" s="252" t="str">
        <f>HLOOKUP('Getting Started'!H$2,J:N,ROW(),FALSE)</f>
        <v>Does the Sample Reception Register leave room for including the following information:</v>
      </c>
      <c r="D282" s="252" t="s">
        <v>507</v>
      </c>
      <c r="E282" s="255" t="s">
        <v>515</v>
      </c>
      <c r="F282" s="255" t="s">
        <v>1402</v>
      </c>
      <c r="G282" s="255" t="s">
        <v>1403</v>
      </c>
      <c r="H282" s="255" t="s">
        <v>1404</v>
      </c>
      <c r="I282" s="254"/>
      <c r="J282" s="254" t="s">
        <v>663</v>
      </c>
      <c r="K282" s="252"/>
      <c r="L282" s="252"/>
      <c r="N282" s="256" t="s">
        <v>3482</v>
      </c>
      <c r="O282" s="300" t="s">
        <v>1</v>
      </c>
    </row>
    <row r="283" spans="1:15" ht="24" x14ac:dyDescent="0.25">
      <c r="A283" s="252" t="s">
        <v>2449</v>
      </c>
      <c r="B283" s="252" t="str">
        <f>HLOOKUP('Getting Started'!H$2,E:I,ROW(),FALSE)</f>
        <v>Process Management</v>
      </c>
      <c r="C283" s="252" t="str">
        <f>HLOOKUP('Getting Started'!H$2,J:N,ROW(),FALSE)</f>
        <v>Patient name + label</v>
      </c>
      <c r="D283" s="252" t="s">
        <v>507</v>
      </c>
      <c r="E283" s="255" t="s">
        <v>515</v>
      </c>
      <c r="F283" s="255" t="s">
        <v>1402</v>
      </c>
      <c r="G283" s="255" t="s">
        <v>1403</v>
      </c>
      <c r="H283" s="255" t="s">
        <v>1404</v>
      </c>
      <c r="I283" s="254"/>
      <c r="J283" s="254" t="s">
        <v>664</v>
      </c>
      <c r="K283" s="252"/>
      <c r="L283" s="252"/>
      <c r="N283" s="256" t="s">
        <v>3483</v>
      </c>
      <c r="O283" s="300"/>
    </row>
    <row r="284" spans="1:15" ht="24" x14ac:dyDescent="0.25">
      <c r="A284" s="252" t="s">
        <v>2450</v>
      </c>
      <c r="B284" s="252" t="str">
        <f>HLOOKUP('Getting Started'!H$2,E:I,ROW(),FALSE)</f>
        <v>Process Management</v>
      </c>
      <c r="C284" s="252" t="str">
        <f>HLOOKUP('Getting Started'!H$2,J:N,ROW(),FALSE)</f>
        <v>Details of requester</v>
      </c>
      <c r="D284" s="252" t="s">
        <v>507</v>
      </c>
      <c r="E284" s="255" t="s">
        <v>515</v>
      </c>
      <c r="F284" s="255" t="s">
        <v>1402</v>
      </c>
      <c r="G284" s="255" t="s">
        <v>1403</v>
      </c>
      <c r="H284" s="255" t="s">
        <v>1404</v>
      </c>
      <c r="I284" s="254"/>
      <c r="J284" s="254" t="s">
        <v>665</v>
      </c>
      <c r="K284" s="252"/>
      <c r="L284" s="252"/>
      <c r="N284" s="256" t="s">
        <v>3484</v>
      </c>
      <c r="O284" s="300"/>
    </row>
    <row r="285" spans="1:15" ht="24" x14ac:dyDescent="0.25">
      <c r="A285" s="252" t="s">
        <v>2451</v>
      </c>
      <c r="B285" s="252" t="str">
        <f>HLOOKUP('Getting Started'!H$2,E:I,ROW(),FALSE)</f>
        <v>Process Management</v>
      </c>
      <c r="C285" s="252" t="str">
        <f>HLOOKUP('Getting Started'!H$2,J:N,ROW(),FALSE)</f>
        <v>Type of primary sample</v>
      </c>
      <c r="D285" s="252" t="s">
        <v>507</v>
      </c>
      <c r="E285" s="255" t="s">
        <v>515</v>
      </c>
      <c r="F285" s="255" t="s">
        <v>1402</v>
      </c>
      <c r="G285" s="255" t="s">
        <v>1403</v>
      </c>
      <c r="H285" s="255" t="s">
        <v>1404</v>
      </c>
      <c r="I285" s="254"/>
      <c r="J285" s="254" t="s">
        <v>106</v>
      </c>
      <c r="K285" s="252"/>
      <c r="L285" s="252"/>
      <c r="N285" s="256" t="s">
        <v>503</v>
      </c>
      <c r="O285" s="300"/>
    </row>
    <row r="286" spans="1:15" ht="24" x14ac:dyDescent="0.25">
      <c r="A286" s="252" t="s">
        <v>2452</v>
      </c>
      <c r="B286" s="252" t="str">
        <f>HLOOKUP('Getting Started'!H$2,E:I,ROW(),FALSE)</f>
        <v>Process Management</v>
      </c>
      <c r="C286" s="252" t="str">
        <f>HLOOKUP('Getting Started'!H$2,J:N,ROW(),FALSE)</f>
        <v>Date of sample collection</v>
      </c>
      <c r="D286" s="252" t="s">
        <v>507</v>
      </c>
      <c r="E286" s="255" t="s">
        <v>515</v>
      </c>
      <c r="F286" s="255" t="s">
        <v>1402</v>
      </c>
      <c r="G286" s="255" t="s">
        <v>1403</v>
      </c>
      <c r="H286" s="255" t="s">
        <v>1404</v>
      </c>
      <c r="I286" s="254"/>
      <c r="J286" s="254" t="s">
        <v>666</v>
      </c>
      <c r="K286" s="252"/>
      <c r="L286" s="252"/>
      <c r="N286" s="256" t="s">
        <v>3485</v>
      </c>
      <c r="O286" s="300"/>
    </row>
    <row r="287" spans="1:15" ht="24" x14ac:dyDescent="0.25">
      <c r="A287" s="252" t="s">
        <v>2453</v>
      </c>
      <c r="B287" s="252" t="str">
        <f>HLOOKUP('Getting Started'!H$2,E:I,ROW(),FALSE)</f>
        <v>Process Management</v>
      </c>
      <c r="C287" s="252" t="str">
        <f>HLOOKUP('Getting Started'!H$2,J:N,ROW(),FALSE)</f>
        <v>Date of sample reception</v>
      </c>
      <c r="D287" s="252" t="s">
        <v>507</v>
      </c>
      <c r="E287" s="255" t="s">
        <v>515</v>
      </c>
      <c r="F287" s="255" t="s">
        <v>1402</v>
      </c>
      <c r="G287" s="255" t="s">
        <v>1403</v>
      </c>
      <c r="H287" s="255" t="s">
        <v>1404</v>
      </c>
      <c r="I287" s="254"/>
      <c r="J287" s="254" t="s">
        <v>667</v>
      </c>
      <c r="K287" s="252"/>
      <c r="L287" s="252"/>
      <c r="N287" s="256" t="s">
        <v>3486</v>
      </c>
      <c r="O287" s="300"/>
    </row>
    <row r="288" spans="1:15" ht="24" x14ac:dyDescent="0.25">
      <c r="A288" s="252" t="s">
        <v>2454</v>
      </c>
      <c r="B288" s="252" t="str">
        <f>HLOOKUP('Getting Started'!H$2,E:I,ROW(),FALSE)</f>
        <v>Process Management</v>
      </c>
      <c r="C288" s="252" t="str">
        <f>HLOOKUP('Getting Started'!H$2,J:N,ROW(),FALSE)</f>
        <v>Date of sample acceptance</v>
      </c>
      <c r="D288" s="252" t="s">
        <v>507</v>
      </c>
      <c r="E288" s="255" t="s">
        <v>515</v>
      </c>
      <c r="F288" s="255" t="s">
        <v>1402</v>
      </c>
      <c r="G288" s="255" t="s">
        <v>1403</v>
      </c>
      <c r="H288" s="255" t="s">
        <v>1404</v>
      </c>
      <c r="I288" s="254"/>
      <c r="J288" s="254" t="s">
        <v>668</v>
      </c>
      <c r="K288" s="252"/>
      <c r="L288" s="252"/>
      <c r="N288" s="256" t="s">
        <v>3487</v>
      </c>
      <c r="O288" s="300"/>
    </row>
    <row r="289" spans="1:15" ht="24" x14ac:dyDescent="0.25">
      <c r="A289" s="252" t="s">
        <v>2455</v>
      </c>
      <c r="B289" s="252" t="str">
        <f>HLOOKUP('Getting Started'!H$2,E:I,ROW(),FALSE)</f>
        <v>Process Management</v>
      </c>
      <c r="C289" s="252" t="str">
        <f>HLOOKUP('Getting Started'!H$2,J:N,ROW(),FALSE)</f>
        <v>Examination(s) requested</v>
      </c>
      <c r="D289" s="252" t="s">
        <v>507</v>
      </c>
      <c r="E289" s="255" t="s">
        <v>515</v>
      </c>
      <c r="F289" s="255" t="s">
        <v>1402</v>
      </c>
      <c r="G289" s="255" t="s">
        <v>1403</v>
      </c>
      <c r="H289" s="255" t="s">
        <v>1404</v>
      </c>
      <c r="I289" s="254"/>
      <c r="J289" s="254" t="s">
        <v>107</v>
      </c>
      <c r="K289" s="252"/>
      <c r="L289" s="252"/>
      <c r="N289" s="256" t="s">
        <v>3488</v>
      </c>
      <c r="O289" s="300"/>
    </row>
    <row r="290" spans="1:15" ht="31.5" x14ac:dyDescent="0.25">
      <c r="A290" s="252" t="s">
        <v>2456</v>
      </c>
      <c r="B290" s="252" t="str">
        <f>HLOOKUP('Getting Started'!H$2,E:I,ROW(),FALSE)</f>
        <v>Process Management</v>
      </c>
      <c r="C290" s="252" t="str">
        <f>HLOOKUP('Getting Started'!H$2,J:N,ROW(),FALSE)</f>
        <v>Results of examinations + name of the laboratory technologists performing the examinations</v>
      </c>
      <c r="D290" s="252" t="s">
        <v>507</v>
      </c>
      <c r="E290" s="255" t="s">
        <v>515</v>
      </c>
      <c r="F290" s="255" t="s">
        <v>1402</v>
      </c>
      <c r="G290" s="255" t="s">
        <v>1403</v>
      </c>
      <c r="H290" s="255" t="s">
        <v>1404</v>
      </c>
      <c r="I290" s="254"/>
      <c r="J290" s="254" t="s">
        <v>669</v>
      </c>
      <c r="K290" s="252"/>
      <c r="L290" s="252"/>
      <c r="N290" s="256" t="s">
        <v>3489</v>
      </c>
      <c r="O290" s="300"/>
    </row>
    <row r="291" spans="1:15" ht="24" x14ac:dyDescent="0.25">
      <c r="A291" s="252" t="s">
        <v>2457</v>
      </c>
      <c r="B291" s="252" t="str">
        <f>HLOOKUP('Getting Started'!H$2,E:I,ROW(),FALSE)</f>
        <v>Process Management</v>
      </c>
      <c r="C291" s="252" t="str">
        <f>HLOOKUP('Getting Started'!H$2,J:N,ROW(),FALSE)</f>
        <v>Date of reporting</v>
      </c>
      <c r="D291" s="252" t="s">
        <v>507</v>
      </c>
      <c r="E291" s="255" t="s">
        <v>515</v>
      </c>
      <c r="F291" s="255" t="s">
        <v>1402</v>
      </c>
      <c r="G291" s="255" t="s">
        <v>1403</v>
      </c>
      <c r="H291" s="255" t="s">
        <v>1404</v>
      </c>
      <c r="I291" s="254"/>
      <c r="J291" s="254" t="s">
        <v>670</v>
      </c>
      <c r="K291" s="252"/>
      <c r="L291" s="252"/>
      <c r="N291" s="256" t="s">
        <v>3490</v>
      </c>
      <c r="O291" s="300"/>
    </row>
    <row r="292" spans="1:15" ht="24" x14ac:dyDescent="0.25">
      <c r="A292" s="252" t="s">
        <v>2458</v>
      </c>
      <c r="B292" s="252" t="str">
        <f>HLOOKUP('Getting Started'!H$2,E:I,ROW(),FALSE)</f>
        <v>Process Management</v>
      </c>
      <c r="C292" s="252" t="str">
        <f>HLOOKUP('Getting Started'!H$2,J:N,ROW(),FALSE)</f>
        <v>Signature and initials of person sending the report</v>
      </c>
      <c r="D292" s="252" t="s">
        <v>507</v>
      </c>
      <c r="E292" s="255" t="s">
        <v>515</v>
      </c>
      <c r="F292" s="255" t="s">
        <v>1402</v>
      </c>
      <c r="G292" s="255" t="s">
        <v>1403</v>
      </c>
      <c r="H292" s="255" t="s">
        <v>1404</v>
      </c>
      <c r="I292" s="254"/>
      <c r="J292" s="254" t="s">
        <v>671</v>
      </c>
      <c r="K292" s="252"/>
      <c r="L292" s="252"/>
      <c r="N292" s="256" t="s">
        <v>3491</v>
      </c>
      <c r="O292" s="300"/>
    </row>
    <row r="293" spans="1:15" ht="47.25" x14ac:dyDescent="0.25">
      <c r="A293" s="252" t="s">
        <v>1684</v>
      </c>
      <c r="B293" s="252" t="str">
        <f>HLOOKUP('Getting Started'!H$2,E:I,ROW(),FALSE)</f>
        <v>Process Management</v>
      </c>
      <c r="C293" s="252" t="str">
        <f>HLOOKUP('Getting Started'!H$2,J:N,ROW(),FALSE)</f>
        <v>Does the SOP for Sample Reception and Processing have an appendix with a Sample Rejection Form?</v>
      </c>
      <c r="D293" s="252" t="s">
        <v>507</v>
      </c>
      <c r="E293" s="255" t="s">
        <v>515</v>
      </c>
      <c r="F293" s="255" t="s">
        <v>1402</v>
      </c>
      <c r="G293" s="255" t="s">
        <v>1403</v>
      </c>
      <c r="H293" s="255" t="s">
        <v>1404</v>
      </c>
      <c r="I293" s="254"/>
      <c r="J293" s="254" t="s">
        <v>672</v>
      </c>
      <c r="K293" s="252"/>
      <c r="L293" s="252"/>
      <c r="N293" s="256" t="s">
        <v>3492</v>
      </c>
      <c r="O293" s="258" t="s">
        <v>1</v>
      </c>
    </row>
    <row r="294" spans="1:15" ht="31.5" x14ac:dyDescent="0.25">
      <c r="A294" s="252" t="s">
        <v>1685</v>
      </c>
      <c r="B294" s="252" t="str">
        <f>HLOOKUP('Getting Started'!H$2,E:I,ROW(),FALSE)</f>
        <v>Process Management</v>
      </c>
      <c r="C294" s="252" t="str">
        <f>HLOOKUP('Getting Started'!H$2,J:N,ROW(),FALSE)</f>
        <v>Does the Sample Rejection Form include the following elements?</v>
      </c>
      <c r="D294" s="252" t="s">
        <v>507</v>
      </c>
      <c r="E294" s="255" t="s">
        <v>515</v>
      </c>
      <c r="F294" s="255" t="s">
        <v>1402</v>
      </c>
      <c r="G294" s="255" t="s">
        <v>1403</v>
      </c>
      <c r="H294" s="255" t="s">
        <v>1404</v>
      </c>
      <c r="I294" s="254"/>
      <c r="J294" s="254" t="s">
        <v>673</v>
      </c>
      <c r="K294" s="252"/>
      <c r="L294" s="252"/>
      <c r="N294" s="256" t="s">
        <v>3493</v>
      </c>
      <c r="O294" s="300" t="s">
        <v>1</v>
      </c>
    </row>
    <row r="295" spans="1:15" ht="24" x14ac:dyDescent="0.25">
      <c r="A295" s="252" t="s">
        <v>2459</v>
      </c>
      <c r="B295" s="252" t="str">
        <f>HLOOKUP('Getting Started'!H$2,E:I,ROW(),FALSE)</f>
        <v>Process Management</v>
      </c>
      <c r="C295" s="252" t="str">
        <f>HLOOKUP('Getting Started'!H$2,J:N,ROW(),FALSE)</f>
        <v>Identification of the patient</v>
      </c>
      <c r="D295" s="252" t="s">
        <v>507</v>
      </c>
      <c r="E295" s="255" t="s">
        <v>515</v>
      </c>
      <c r="F295" s="255" t="s">
        <v>1402</v>
      </c>
      <c r="G295" s="255" t="s">
        <v>1403</v>
      </c>
      <c r="H295" s="255" t="s">
        <v>1404</v>
      </c>
      <c r="I295" s="254"/>
      <c r="J295" s="254" t="s">
        <v>674</v>
      </c>
      <c r="K295" s="252"/>
      <c r="L295" s="252"/>
      <c r="N295" s="256" t="s">
        <v>3494</v>
      </c>
      <c r="O295" s="300"/>
    </row>
    <row r="296" spans="1:15" ht="24" x14ac:dyDescent="0.25">
      <c r="A296" s="252" t="s">
        <v>2460</v>
      </c>
      <c r="B296" s="252" t="str">
        <f>HLOOKUP('Getting Started'!H$2,E:I,ROW(),FALSE)</f>
        <v>Process Management</v>
      </c>
      <c r="C296" s="252" t="str">
        <f>HLOOKUP('Getting Started'!H$2,J:N,ROW(),FALSE)</f>
        <v>Identification of the person collecting the sample</v>
      </c>
      <c r="D296" s="252" t="s">
        <v>507</v>
      </c>
      <c r="E296" s="255" t="s">
        <v>515</v>
      </c>
      <c r="F296" s="255" t="s">
        <v>1402</v>
      </c>
      <c r="G296" s="255" t="s">
        <v>1403</v>
      </c>
      <c r="H296" s="255" t="s">
        <v>1404</v>
      </c>
      <c r="I296" s="254"/>
      <c r="J296" s="254" t="s">
        <v>675</v>
      </c>
      <c r="K296" s="252"/>
      <c r="L296" s="252"/>
      <c r="N296" s="256" t="s">
        <v>3495</v>
      </c>
      <c r="O296" s="300"/>
    </row>
    <row r="297" spans="1:15" ht="31.5" x14ac:dyDescent="0.25">
      <c r="A297" s="252" t="s">
        <v>2461</v>
      </c>
      <c r="B297" s="252" t="str">
        <f>HLOOKUP('Getting Started'!H$2,E:I,ROW(),FALSE)</f>
        <v>Process Management</v>
      </c>
      <c r="C297" s="252" t="str">
        <f>HLOOKUP('Getting Started'!H$2,J:N,ROW(),FALSE)</f>
        <v>Identification of the clinician (if different than the person collecting the sample)</v>
      </c>
      <c r="D297" s="252" t="s">
        <v>507</v>
      </c>
      <c r="E297" s="255" t="s">
        <v>515</v>
      </c>
      <c r="F297" s="255" t="s">
        <v>1402</v>
      </c>
      <c r="G297" s="255" t="s">
        <v>1403</v>
      </c>
      <c r="H297" s="255" t="s">
        <v>1404</v>
      </c>
      <c r="I297" s="254"/>
      <c r="J297" s="254" t="s">
        <v>676</v>
      </c>
      <c r="K297" s="252"/>
      <c r="L297" s="252"/>
      <c r="N297" s="256" t="s">
        <v>3496</v>
      </c>
      <c r="O297" s="300"/>
    </row>
    <row r="298" spans="1:15" ht="24" x14ac:dyDescent="0.25">
      <c r="A298" s="252" t="s">
        <v>2462</v>
      </c>
      <c r="B298" s="252" t="str">
        <f>HLOOKUP('Getting Started'!H$2,E:I,ROW(),FALSE)</f>
        <v>Process Management</v>
      </c>
      <c r="C298" s="252" t="str">
        <f>HLOOKUP('Getting Started'!H$2,J:N,ROW(),FALSE)</f>
        <v>Identification of the sample</v>
      </c>
      <c r="D298" s="252" t="s">
        <v>507</v>
      </c>
      <c r="E298" s="255" t="s">
        <v>515</v>
      </c>
      <c r="F298" s="255" t="s">
        <v>1402</v>
      </c>
      <c r="G298" s="255" t="s">
        <v>1403</v>
      </c>
      <c r="H298" s="255" t="s">
        <v>1404</v>
      </c>
      <c r="I298" s="254"/>
      <c r="J298" s="254" t="s">
        <v>677</v>
      </c>
      <c r="K298" s="252"/>
      <c r="L298" s="252"/>
      <c r="N298" s="256" t="s">
        <v>3497</v>
      </c>
      <c r="O298" s="300"/>
    </row>
    <row r="299" spans="1:15" ht="24" x14ac:dyDescent="0.25">
      <c r="A299" s="252" t="s">
        <v>2463</v>
      </c>
      <c r="B299" s="252" t="str">
        <f>HLOOKUP('Getting Started'!H$2,E:I,ROW(),FALSE)</f>
        <v>Process Management</v>
      </c>
      <c r="C299" s="252" t="str">
        <f>HLOOKUP('Getting Started'!H$2,J:N,ROW(),FALSE)</f>
        <v>Reasons for sample rejection</v>
      </c>
      <c r="D299" s="252" t="s">
        <v>507</v>
      </c>
      <c r="E299" s="255" t="s">
        <v>515</v>
      </c>
      <c r="F299" s="255" t="s">
        <v>1402</v>
      </c>
      <c r="G299" s="255" t="s">
        <v>1403</v>
      </c>
      <c r="H299" s="255" t="s">
        <v>1404</v>
      </c>
      <c r="I299" s="254"/>
      <c r="J299" s="254" t="s">
        <v>678</v>
      </c>
      <c r="K299" s="252"/>
      <c r="L299" s="252"/>
      <c r="N299" s="256" t="s">
        <v>3498</v>
      </c>
      <c r="O299" s="300"/>
    </row>
    <row r="300" spans="1:15" ht="47.25" x14ac:dyDescent="0.25">
      <c r="A300" s="252" t="s">
        <v>2464</v>
      </c>
      <c r="B300" s="252" t="str">
        <f>HLOOKUP('Getting Started'!H$2,E:I,ROW(),FALSE)</f>
        <v>Process Management</v>
      </c>
      <c r="C300" s="252" t="str">
        <f>HLOOKUP('Getting Started'!H$2,J:N,ROW(),FALSE)</f>
        <v>Action to be taken (does the sample requester have to send in a new sample? Does the sample collector have to change the procedure?)</v>
      </c>
      <c r="D300" s="252" t="s">
        <v>507</v>
      </c>
      <c r="E300" s="255" t="s">
        <v>515</v>
      </c>
      <c r="F300" s="255" t="s">
        <v>1402</v>
      </c>
      <c r="G300" s="255" t="s">
        <v>1403</v>
      </c>
      <c r="H300" s="255" t="s">
        <v>1404</v>
      </c>
      <c r="I300" s="254"/>
      <c r="J300" s="254" t="s">
        <v>679</v>
      </c>
      <c r="K300" s="252"/>
      <c r="L300" s="252"/>
      <c r="N300" s="256" t="s">
        <v>3499</v>
      </c>
      <c r="O300" s="300"/>
    </row>
    <row r="301" spans="1:15" ht="31.5" x14ac:dyDescent="0.25">
      <c r="A301" s="252" t="s">
        <v>1686</v>
      </c>
      <c r="B301" s="252" t="str">
        <f>HLOOKUP('Getting Started'!H$2,E:I,ROW(),FALSE)</f>
        <v>Process Management</v>
      </c>
      <c r="C301" s="252" t="str">
        <f>HLOOKUP('Getting Started'!H$2,J:N,ROW(),FALSE)</f>
        <v>Are copies of completed forms stored at the laboratory?</v>
      </c>
      <c r="D301" s="252" t="s">
        <v>507</v>
      </c>
      <c r="E301" s="255" t="s">
        <v>515</v>
      </c>
      <c r="F301" s="255" t="s">
        <v>1402</v>
      </c>
      <c r="G301" s="255" t="s">
        <v>1403</v>
      </c>
      <c r="H301" s="255" t="s">
        <v>1404</v>
      </c>
      <c r="I301" s="254"/>
      <c r="J301" s="254" t="s">
        <v>680</v>
      </c>
      <c r="K301" s="252"/>
      <c r="L301" s="252"/>
      <c r="N301" s="256" t="s">
        <v>3500</v>
      </c>
      <c r="O301" s="258" t="s">
        <v>1</v>
      </c>
    </row>
    <row r="302" spans="1:15" ht="47.25" x14ac:dyDescent="0.25">
      <c r="A302" s="252" t="s">
        <v>1687</v>
      </c>
      <c r="B302" s="252" t="str">
        <f>HLOOKUP('Getting Started'!H$2,E:I,ROW(),FALSE)</f>
        <v>Process Management</v>
      </c>
      <c r="C302" s="252" t="str">
        <f>HLOOKUP('Getting Started'!H$2,J:N,ROW(),FALSE)</f>
        <v>Has the laboratory made flowcharts of all the procedures routinely being performed in the laboratory?</v>
      </c>
      <c r="D302" s="252" t="s">
        <v>507</v>
      </c>
      <c r="E302" s="255" t="s">
        <v>515</v>
      </c>
      <c r="F302" s="255" t="s">
        <v>1402</v>
      </c>
      <c r="G302" s="255" t="s">
        <v>1403</v>
      </c>
      <c r="H302" s="255" t="s">
        <v>1404</v>
      </c>
      <c r="I302" s="254"/>
      <c r="J302" s="254" t="s">
        <v>681</v>
      </c>
      <c r="K302" s="252"/>
      <c r="L302" s="252"/>
      <c r="N302" s="256" t="s">
        <v>3501</v>
      </c>
      <c r="O302" s="258" t="s">
        <v>1</v>
      </c>
    </row>
    <row r="303" spans="1:15" ht="47.25" x14ac:dyDescent="0.25">
      <c r="A303" s="252" t="s">
        <v>1688</v>
      </c>
      <c r="B303" s="252" t="str">
        <f>HLOOKUP('Getting Started'!H$2,E:I,ROW(),FALSE)</f>
        <v>Process Management</v>
      </c>
      <c r="C303" s="252" t="str">
        <f>HLOOKUP('Getting Started'!H$2,J:N,ROW(),FALSE)</f>
        <v>Has the laboratory formulated quality controls to guard the quality of each process step in each procedure?</v>
      </c>
      <c r="D303" s="252" t="s">
        <v>507</v>
      </c>
      <c r="E303" s="255" t="s">
        <v>515</v>
      </c>
      <c r="F303" s="255" t="s">
        <v>1402</v>
      </c>
      <c r="G303" s="255" t="s">
        <v>1403</v>
      </c>
      <c r="H303" s="255" t="s">
        <v>1404</v>
      </c>
      <c r="I303" s="254"/>
      <c r="J303" s="254" t="s">
        <v>682</v>
      </c>
      <c r="K303" s="252"/>
      <c r="L303" s="252"/>
      <c r="N303" s="256" t="s">
        <v>3502</v>
      </c>
      <c r="O303" s="258" t="s">
        <v>1</v>
      </c>
    </row>
    <row r="304" spans="1:15" ht="31.5" x14ac:dyDescent="0.25">
      <c r="A304" s="252" t="s">
        <v>1689</v>
      </c>
      <c r="B304" s="252" t="str">
        <f>HLOOKUP('Getting Started'!H$2,E:I,ROW(),FALSE)</f>
        <v>Process Management</v>
      </c>
      <c r="C304" s="252" t="str">
        <f>HLOOKUP('Getting Started'!H$2,J:N,ROW(),FALSE)</f>
        <v>Are internal quality control results recorded in a register?</v>
      </c>
      <c r="D304" s="252" t="s">
        <v>507</v>
      </c>
      <c r="E304" s="255" t="s">
        <v>515</v>
      </c>
      <c r="F304" s="255" t="s">
        <v>1402</v>
      </c>
      <c r="G304" s="255" t="s">
        <v>1403</v>
      </c>
      <c r="H304" s="255" t="s">
        <v>1404</v>
      </c>
      <c r="I304" s="254"/>
      <c r="J304" s="254" t="s">
        <v>683</v>
      </c>
      <c r="K304" s="252"/>
      <c r="L304" s="252"/>
      <c r="N304" s="256" t="s">
        <v>3503</v>
      </c>
      <c r="O304" s="258" t="s">
        <v>1</v>
      </c>
    </row>
    <row r="305" spans="1:15" ht="31.5" x14ac:dyDescent="0.25">
      <c r="A305" s="252" t="s">
        <v>1690</v>
      </c>
      <c r="B305" s="252" t="str">
        <f>HLOOKUP('Getting Started'!H$2,E:I,ROW(),FALSE)</f>
        <v>Process Management</v>
      </c>
      <c r="C305" s="252" t="str">
        <f>HLOOKUP('Getting Started'!H$2,J:N,ROW(),FALSE)</f>
        <v>Are internal quality control protocols included in all relevant SOPs?</v>
      </c>
      <c r="D305" s="252" t="s">
        <v>507</v>
      </c>
      <c r="E305" s="255" t="s">
        <v>515</v>
      </c>
      <c r="F305" s="255" t="s">
        <v>1402</v>
      </c>
      <c r="G305" s="255" t="s">
        <v>1403</v>
      </c>
      <c r="H305" s="255" t="s">
        <v>1404</v>
      </c>
      <c r="I305" s="254"/>
      <c r="J305" s="254" t="s">
        <v>684</v>
      </c>
      <c r="K305" s="252"/>
      <c r="L305" s="252"/>
      <c r="N305" s="256" t="s">
        <v>3504</v>
      </c>
      <c r="O305" s="258" t="s">
        <v>1</v>
      </c>
    </row>
    <row r="306" spans="1:15" ht="31.5" x14ac:dyDescent="0.25">
      <c r="A306" s="252" t="s">
        <v>1691</v>
      </c>
      <c r="B306" s="252" t="str">
        <f>HLOOKUP('Getting Started'!H$2,E:I,ROW(),FALSE)</f>
        <v>Process Management</v>
      </c>
      <c r="C306" s="252" t="str">
        <f>HLOOKUP('Getting Started'!H$2,J:N,ROW(),FALSE)</f>
        <v>Does the laboratory have an SOP for Internal Quality Control that contains:</v>
      </c>
      <c r="D306" s="252" t="s">
        <v>507</v>
      </c>
      <c r="E306" s="255" t="s">
        <v>515</v>
      </c>
      <c r="F306" s="255" t="s">
        <v>1402</v>
      </c>
      <c r="G306" s="255" t="s">
        <v>1403</v>
      </c>
      <c r="H306" s="255" t="s">
        <v>1404</v>
      </c>
      <c r="I306" s="254"/>
      <c r="J306" s="254" t="s">
        <v>685</v>
      </c>
      <c r="K306" s="252"/>
      <c r="L306" s="252"/>
      <c r="N306" s="256" t="s">
        <v>3505</v>
      </c>
      <c r="O306" s="300" t="s">
        <v>1</v>
      </c>
    </row>
    <row r="307" spans="1:15" ht="31.5" x14ac:dyDescent="0.25">
      <c r="A307" s="252" t="s">
        <v>2465</v>
      </c>
      <c r="B307" s="252" t="str">
        <f>HLOOKUP('Getting Started'!H$2,E:I,ROW(),FALSE)</f>
        <v>Process Management</v>
      </c>
      <c r="C307" s="252" t="str">
        <f>HLOOKUP('Getting Started'!H$2,J:N,ROW(),FALSE)</f>
        <v>An explanation on the concept of internal quality control</v>
      </c>
      <c r="D307" s="252" t="s">
        <v>507</v>
      </c>
      <c r="E307" s="255" t="s">
        <v>515</v>
      </c>
      <c r="F307" s="255" t="s">
        <v>1402</v>
      </c>
      <c r="G307" s="255" t="s">
        <v>1403</v>
      </c>
      <c r="H307" s="255" t="s">
        <v>1404</v>
      </c>
      <c r="I307" s="254"/>
      <c r="J307" s="254" t="s">
        <v>686</v>
      </c>
      <c r="K307" s="252"/>
      <c r="L307" s="252"/>
      <c r="N307" s="256" t="s">
        <v>3506</v>
      </c>
      <c r="O307" s="300"/>
    </row>
    <row r="308" spans="1:15" ht="31.5" x14ac:dyDescent="0.25">
      <c r="A308" s="252" t="s">
        <v>2466</v>
      </c>
      <c r="B308" s="252" t="str">
        <f>HLOOKUP('Getting Started'!H$2,E:I,ROW(),FALSE)</f>
        <v>Process Management</v>
      </c>
      <c r="C308" s="252" t="str">
        <f>HLOOKUP('Getting Started'!H$2,J:N,ROW(),FALSE)</f>
        <v>The general procedure for performing an internal quality control</v>
      </c>
      <c r="D308" s="252" t="s">
        <v>507</v>
      </c>
      <c r="E308" s="255" t="s">
        <v>515</v>
      </c>
      <c r="F308" s="255" t="s">
        <v>1402</v>
      </c>
      <c r="G308" s="255" t="s">
        <v>1403</v>
      </c>
      <c r="H308" s="255" t="s">
        <v>1404</v>
      </c>
      <c r="I308" s="254"/>
      <c r="J308" s="254" t="s">
        <v>687</v>
      </c>
      <c r="K308" s="252"/>
      <c r="L308" s="252"/>
      <c r="N308" s="256" t="s">
        <v>3507</v>
      </c>
      <c r="O308" s="300"/>
    </row>
    <row r="309" spans="1:15" ht="31.5" x14ac:dyDescent="0.25">
      <c r="A309" s="252" t="s">
        <v>2467</v>
      </c>
      <c r="B309" s="252" t="str">
        <f>HLOOKUP('Getting Started'!H$2,E:I,ROW(),FALSE)</f>
        <v>Process Management</v>
      </c>
      <c r="C309" s="252" t="str">
        <f>HLOOKUP('Getting Started'!H$2,J:N,ROW(),FALSE)</f>
        <v>Procedure for developing internal quality control materials</v>
      </c>
      <c r="D309" s="252" t="s">
        <v>507</v>
      </c>
      <c r="E309" s="255" t="s">
        <v>515</v>
      </c>
      <c r="F309" s="255" t="s">
        <v>1402</v>
      </c>
      <c r="G309" s="255" t="s">
        <v>1403</v>
      </c>
      <c r="H309" s="255" t="s">
        <v>1404</v>
      </c>
      <c r="I309" s="254"/>
      <c r="J309" s="254" t="s">
        <v>688</v>
      </c>
      <c r="K309" s="252"/>
      <c r="L309" s="252"/>
      <c r="N309" s="256" t="s">
        <v>3508</v>
      </c>
      <c r="O309" s="300"/>
    </row>
    <row r="310" spans="1:15" ht="31.5" x14ac:dyDescent="0.25">
      <c r="A310" s="252" t="s">
        <v>2468</v>
      </c>
      <c r="B310" s="252" t="str">
        <f>HLOOKUP('Getting Started'!H$2,E:I,ROW(),FALSE)</f>
        <v>Process Management</v>
      </c>
      <c r="C310" s="252" t="str">
        <f>HLOOKUP('Getting Started'!H$2,J:N,ROW(),FALSE)</f>
        <v>The procedure for periodic review of internal quality controls</v>
      </c>
      <c r="D310" s="252" t="s">
        <v>507</v>
      </c>
      <c r="E310" s="255" t="s">
        <v>515</v>
      </c>
      <c r="F310" s="255" t="s">
        <v>1402</v>
      </c>
      <c r="G310" s="255" t="s">
        <v>1403</v>
      </c>
      <c r="H310" s="255" t="s">
        <v>1404</v>
      </c>
      <c r="I310" s="254"/>
      <c r="J310" s="254" t="s">
        <v>689</v>
      </c>
      <c r="K310" s="252"/>
      <c r="L310" s="252"/>
      <c r="N310" s="256" t="s">
        <v>3509</v>
      </c>
      <c r="O310" s="300"/>
    </row>
    <row r="311" spans="1:15" ht="31.5" x14ac:dyDescent="0.25">
      <c r="A311" s="252" t="s">
        <v>2469</v>
      </c>
      <c r="B311" s="252" t="str">
        <f>HLOOKUP('Getting Started'!H$2,E:I,ROW(),FALSE)</f>
        <v>Process Management</v>
      </c>
      <c r="C311" s="252" t="str">
        <f>HLOOKUP('Getting Started'!H$2,J:N,ROW(),FALSE)</f>
        <v>The procedure to follow when an internal quality control fails</v>
      </c>
      <c r="D311" s="252" t="s">
        <v>507</v>
      </c>
      <c r="E311" s="255" t="s">
        <v>515</v>
      </c>
      <c r="F311" s="255" t="s">
        <v>1402</v>
      </c>
      <c r="G311" s="255" t="s">
        <v>1403</v>
      </c>
      <c r="H311" s="255" t="s">
        <v>1404</v>
      </c>
      <c r="I311" s="254"/>
      <c r="J311" s="254" t="s">
        <v>690</v>
      </c>
      <c r="K311" s="252"/>
      <c r="L311" s="252"/>
      <c r="N311" s="256" t="s">
        <v>3510</v>
      </c>
      <c r="O311" s="300"/>
    </row>
    <row r="312" spans="1:15" ht="47.25" x14ac:dyDescent="0.25">
      <c r="A312" s="252" t="s">
        <v>1692</v>
      </c>
      <c r="B312" s="252" t="str">
        <f>HLOOKUP('Getting Started'!H$2,E:I,ROW(),FALSE)</f>
        <v>Process Management</v>
      </c>
      <c r="C312" s="252" t="str">
        <f>HLOOKUP('Getting Started'!H$2,J:N,ROW(),FALSE)</f>
        <v>Does the laboratory monitor internal quality control results and act on quality control failures?</v>
      </c>
      <c r="D312" s="252" t="s">
        <v>507</v>
      </c>
      <c r="E312" s="255" t="s">
        <v>515</v>
      </c>
      <c r="F312" s="255" t="s">
        <v>1402</v>
      </c>
      <c r="G312" s="255" t="s">
        <v>1403</v>
      </c>
      <c r="H312" s="255" t="s">
        <v>1404</v>
      </c>
      <c r="I312" s="254"/>
      <c r="J312" s="254" t="s">
        <v>691</v>
      </c>
      <c r="K312" s="252"/>
      <c r="L312" s="252"/>
      <c r="N312" s="256" t="s">
        <v>3511</v>
      </c>
      <c r="O312" s="258" t="s">
        <v>1</v>
      </c>
    </row>
    <row r="313" spans="1:15" ht="31.5" x14ac:dyDescent="0.25">
      <c r="A313" s="252" t="s">
        <v>1693</v>
      </c>
      <c r="B313" s="252" t="str">
        <f>HLOOKUP('Getting Started'!H$2,E:I,ROW(),FALSE)</f>
        <v>Process Management</v>
      </c>
      <c r="C313" s="252" t="str">
        <f>HLOOKUP('Getting Started'!H$2,J:N,ROW(),FALSE)</f>
        <v>Are internal quality control results continuously monitored?</v>
      </c>
      <c r="D313" s="252" t="s">
        <v>507</v>
      </c>
      <c r="E313" s="255" t="s">
        <v>515</v>
      </c>
      <c r="F313" s="255" t="s">
        <v>1402</v>
      </c>
      <c r="G313" s="255" t="s">
        <v>1403</v>
      </c>
      <c r="H313" s="255" t="s">
        <v>1404</v>
      </c>
      <c r="I313" s="254"/>
      <c r="J313" s="254" t="s">
        <v>692</v>
      </c>
      <c r="K313" s="252"/>
      <c r="L313" s="252"/>
      <c r="N313" s="256" t="s">
        <v>3512</v>
      </c>
      <c r="O313" s="258" t="s">
        <v>1</v>
      </c>
    </row>
    <row r="314" spans="1:15" ht="63" x14ac:dyDescent="0.25">
      <c r="A314" s="252" t="s">
        <v>1694</v>
      </c>
      <c r="B314" s="252" t="str">
        <f>HLOOKUP('Getting Started'!H$2,E:I,ROW(),FALSE)</f>
        <v>Process Management</v>
      </c>
      <c r="C314" s="252" t="str">
        <f>HLOOKUP('Getting Started'!H$2,J:N,ROW(),FALSE)</f>
        <v>Does the laboratory undertake action as soon as possible to solve internal quality control failures/deviations from trends?</v>
      </c>
      <c r="D314" s="252" t="s">
        <v>507</v>
      </c>
      <c r="E314" s="255" t="s">
        <v>515</v>
      </c>
      <c r="F314" s="255" t="s">
        <v>1402</v>
      </c>
      <c r="G314" s="255" t="s">
        <v>1403</v>
      </c>
      <c r="H314" s="255" t="s">
        <v>1404</v>
      </c>
      <c r="I314" s="254"/>
      <c r="J314" s="254" t="s">
        <v>693</v>
      </c>
      <c r="K314" s="252"/>
      <c r="L314" s="252"/>
      <c r="N314" s="256" t="s">
        <v>3513</v>
      </c>
      <c r="O314" s="258" t="s">
        <v>1</v>
      </c>
    </row>
    <row r="315" spans="1:15" ht="47.25" x14ac:dyDescent="0.25">
      <c r="A315" s="252" t="s">
        <v>1695</v>
      </c>
      <c r="B315" s="252" t="str">
        <f>HLOOKUP('Getting Started'!H$2,E:I,ROW(),FALSE)</f>
        <v>Process Management</v>
      </c>
      <c r="C315" s="252" t="str">
        <f>HLOOKUP('Getting Started'!H$2,J:N,ROW(),FALSE)</f>
        <v>Is reporting of results halted when internal quality controls deviate/fail?</v>
      </c>
      <c r="D315" s="252" t="s">
        <v>507</v>
      </c>
      <c r="E315" s="255" t="s">
        <v>515</v>
      </c>
      <c r="F315" s="255" t="s">
        <v>1402</v>
      </c>
      <c r="G315" s="255" t="s">
        <v>1403</v>
      </c>
      <c r="H315" s="255" t="s">
        <v>1404</v>
      </c>
      <c r="I315" s="254"/>
      <c r="J315" s="254" t="s">
        <v>694</v>
      </c>
      <c r="K315" s="252"/>
      <c r="L315" s="252"/>
      <c r="N315" s="256" t="s">
        <v>3514</v>
      </c>
      <c r="O315" s="258" t="s">
        <v>1</v>
      </c>
    </row>
    <row r="316" spans="1:15" ht="47.25" x14ac:dyDescent="0.25">
      <c r="A316" s="252" t="s">
        <v>1696</v>
      </c>
      <c r="B316" s="252" t="str">
        <f>HLOOKUP('Getting Started'!H$2,E:I,ROW(),FALSE)</f>
        <v>Process Management</v>
      </c>
      <c r="C316" s="252" t="str">
        <f>HLOOKUP('Getting Started'!H$2,J:N,ROW(),FALSE)</f>
        <v>Has the laboratory developed a list of all SOPs needed to standardize the entire primary process?</v>
      </c>
      <c r="D316" s="252" t="s">
        <v>507</v>
      </c>
      <c r="E316" s="255" t="s">
        <v>515</v>
      </c>
      <c r="F316" s="255" t="s">
        <v>1402</v>
      </c>
      <c r="G316" s="255" t="s">
        <v>1403</v>
      </c>
      <c r="H316" s="255" t="s">
        <v>1404</v>
      </c>
      <c r="I316" s="254"/>
      <c r="J316" s="254" t="s">
        <v>695</v>
      </c>
      <c r="K316" s="252"/>
      <c r="L316" s="252"/>
      <c r="N316" s="256" t="s">
        <v>3515</v>
      </c>
      <c r="O316" s="258" t="s">
        <v>1</v>
      </c>
    </row>
    <row r="317" spans="1:15" ht="94.5" x14ac:dyDescent="0.25">
      <c r="A317" s="252" t="s">
        <v>1697</v>
      </c>
      <c r="B317" s="252" t="str">
        <f>HLOOKUP('Getting Started'!H$2,E:I,ROW(),FALSE)</f>
        <v>Process Management</v>
      </c>
      <c r="C317" s="252" t="str">
        <f>HLOOKUP('Getting Started'!H$2,J:N,ROW(),FALSE)</f>
        <v>Are all routinely performed procedures in the laboratory standardized in SOPs?
Take a sample by asking for several SOPs indicated in the flow charts and check the document control log of the laboratory.</v>
      </c>
      <c r="D317" s="252" t="s">
        <v>507</v>
      </c>
      <c r="E317" s="255" t="s">
        <v>515</v>
      </c>
      <c r="F317" s="255" t="s">
        <v>1402</v>
      </c>
      <c r="G317" s="255" t="s">
        <v>1403</v>
      </c>
      <c r="H317" s="255" t="s">
        <v>1404</v>
      </c>
      <c r="I317" s="254"/>
      <c r="J317" s="254" t="s">
        <v>2485</v>
      </c>
      <c r="K317" s="252"/>
      <c r="L317" s="252"/>
      <c r="N317" s="256" t="s">
        <v>3516</v>
      </c>
      <c r="O317" s="258" t="s">
        <v>1</v>
      </c>
    </row>
    <row r="318" spans="1:15" ht="78.75" x14ac:dyDescent="0.25">
      <c r="A318" s="252" t="s">
        <v>1698</v>
      </c>
      <c r="B318" s="252" t="str">
        <f>HLOOKUP('Getting Started'!H$2,E:I,ROW(),FALSE)</f>
        <v>Process Management</v>
      </c>
      <c r="C318" s="252" t="str">
        <f>HLOOKUP('Getting Started'!H$2,J:N,ROW(),FALSE)</f>
        <v>Are all SOPs complete and in line with the Master SOP, covering all required elements such as quality control, safety, tasks, authorizations and responsibilities, references, appendixes, etc.?</v>
      </c>
      <c r="D318" s="252" t="s">
        <v>507</v>
      </c>
      <c r="E318" s="255" t="s">
        <v>515</v>
      </c>
      <c r="F318" s="255" t="s">
        <v>1402</v>
      </c>
      <c r="G318" s="255" t="s">
        <v>1403</v>
      </c>
      <c r="H318" s="255" t="s">
        <v>1404</v>
      </c>
      <c r="I318" s="254"/>
      <c r="J318" s="254" t="s">
        <v>696</v>
      </c>
      <c r="K318" s="252"/>
      <c r="L318" s="252"/>
      <c r="N318" s="256" t="s">
        <v>3517</v>
      </c>
      <c r="O318" s="258" t="s">
        <v>1</v>
      </c>
    </row>
    <row r="319" spans="1:15" ht="31.5" x14ac:dyDescent="0.25">
      <c r="A319" s="252" t="s">
        <v>1699</v>
      </c>
      <c r="B319" s="252" t="str">
        <f>HLOOKUP('Getting Started'!H$2,E:I,ROW(),FALSE)</f>
        <v>Information Management</v>
      </c>
      <c r="C319" s="252" t="str">
        <f>HLOOKUP('Getting Started'!H$2,J:N,ROW(),FALSE)</f>
        <v>Does the laboratory have a fixed format for the Result Report?</v>
      </c>
      <c r="D319" s="252" t="s">
        <v>507</v>
      </c>
      <c r="E319" s="255" t="s">
        <v>813</v>
      </c>
      <c r="F319" s="255" t="s">
        <v>1394</v>
      </c>
      <c r="G319" s="255" t="s">
        <v>1395</v>
      </c>
      <c r="H319" s="255" t="s">
        <v>1396</v>
      </c>
      <c r="I319" s="254"/>
      <c r="J319" s="254" t="s">
        <v>697</v>
      </c>
      <c r="K319" s="252"/>
      <c r="L319" s="252"/>
      <c r="N319" s="256" t="s">
        <v>3518</v>
      </c>
      <c r="O319" s="258" t="s">
        <v>1</v>
      </c>
    </row>
    <row r="320" spans="1:15" ht="31.5" x14ac:dyDescent="0.25">
      <c r="A320" s="252" t="s">
        <v>1700</v>
      </c>
      <c r="B320" s="252" t="str">
        <f>HLOOKUP('Getting Started'!H$2,E:I,ROW(),FALSE)</f>
        <v>Information Management</v>
      </c>
      <c r="C320" s="252" t="str">
        <f>HLOOKUP('Getting Started'!H$2,J:N,ROW(),FALSE)</f>
        <v>Does the Result Report include at least the following elements: [tick off]</v>
      </c>
      <c r="D320" s="252" t="s">
        <v>507</v>
      </c>
      <c r="E320" s="255" t="s">
        <v>813</v>
      </c>
      <c r="F320" s="255" t="s">
        <v>1394</v>
      </c>
      <c r="G320" s="255" t="s">
        <v>1395</v>
      </c>
      <c r="H320" s="255" t="s">
        <v>1396</v>
      </c>
      <c r="I320" s="254"/>
      <c r="J320" s="254" t="s">
        <v>698</v>
      </c>
      <c r="K320" s="252"/>
      <c r="L320" s="252"/>
      <c r="N320" s="256" t="s">
        <v>3519</v>
      </c>
      <c r="O320" s="300" t="s">
        <v>1</v>
      </c>
    </row>
    <row r="321" spans="1:15" ht="24" x14ac:dyDescent="0.25">
      <c r="A321" s="252" t="s">
        <v>2487</v>
      </c>
      <c r="B321" s="252" t="str">
        <f>HLOOKUP('Getting Started'!H$2,E:I,ROW(),FALSE)</f>
        <v>Information Management</v>
      </c>
      <c r="C321" s="252" t="str">
        <f>HLOOKUP('Getting Started'!H$2,J:N,ROW(),FALSE)</f>
        <v>Name of the laboratory</v>
      </c>
      <c r="D321" s="252" t="s">
        <v>507</v>
      </c>
      <c r="E321" s="255" t="s">
        <v>813</v>
      </c>
      <c r="F321" s="255" t="s">
        <v>1394</v>
      </c>
      <c r="G321" s="255" t="s">
        <v>1395</v>
      </c>
      <c r="H321" s="255" t="s">
        <v>1396</v>
      </c>
      <c r="I321" s="254"/>
      <c r="J321" s="254" t="s">
        <v>699</v>
      </c>
      <c r="K321" s="252"/>
      <c r="L321" s="252"/>
      <c r="N321" s="256" t="s">
        <v>3520</v>
      </c>
      <c r="O321" s="300"/>
    </row>
    <row r="322" spans="1:15" ht="45" x14ac:dyDescent="0.25">
      <c r="A322" s="252" t="s">
        <v>2488</v>
      </c>
      <c r="B322" s="252" t="str">
        <f>HLOOKUP('Getting Started'!H$2,E:I,ROW(),FALSE)</f>
        <v>Information Management</v>
      </c>
      <c r="C322" s="252" t="str">
        <f>HLOOKUP('Getting Started'!H$2,J:N,ROW(),FALSE)</f>
        <v>Personal details of the patient, including clinical information as received by the laboratory from the requester</v>
      </c>
      <c r="D322" s="252" t="s">
        <v>507</v>
      </c>
      <c r="E322" s="255" t="s">
        <v>813</v>
      </c>
      <c r="F322" s="255" t="s">
        <v>1394</v>
      </c>
      <c r="G322" s="255" t="s">
        <v>1395</v>
      </c>
      <c r="H322" s="255" t="s">
        <v>1396</v>
      </c>
      <c r="I322" s="254"/>
      <c r="J322" s="254" t="s">
        <v>700</v>
      </c>
      <c r="K322" s="252"/>
      <c r="L322" s="252"/>
      <c r="N322" s="256" t="s">
        <v>3521</v>
      </c>
      <c r="O322" s="300"/>
    </row>
    <row r="323" spans="1:15" ht="24" x14ac:dyDescent="0.25">
      <c r="A323" s="252" t="s">
        <v>2489</v>
      </c>
      <c r="B323" s="252" t="str">
        <f>HLOOKUP('Getting Started'!H$2,E:I,ROW(),FALSE)</f>
        <v>Information Management</v>
      </c>
      <c r="C323" s="252" t="str">
        <f>HLOOKUP('Getting Started'!H$2,J:N,ROW(),FALSE)</f>
        <v>Details of the requester</v>
      </c>
      <c r="D323" s="252" t="s">
        <v>507</v>
      </c>
      <c r="E323" s="255" t="s">
        <v>813</v>
      </c>
      <c r="F323" s="255" t="s">
        <v>1394</v>
      </c>
      <c r="G323" s="255" t="s">
        <v>1395</v>
      </c>
      <c r="H323" s="255" t="s">
        <v>1396</v>
      </c>
      <c r="I323" s="254"/>
      <c r="J323" s="254" t="s">
        <v>701</v>
      </c>
      <c r="K323" s="252"/>
      <c r="L323" s="252"/>
      <c r="N323" s="256" t="s">
        <v>3522</v>
      </c>
      <c r="O323" s="300"/>
    </row>
    <row r="324" spans="1:15" ht="24" x14ac:dyDescent="0.25">
      <c r="A324" s="252" t="s">
        <v>2490</v>
      </c>
      <c r="B324" s="252" t="str">
        <f>HLOOKUP('Getting Started'!H$2,E:I,ROW(),FALSE)</f>
        <v>Information Management</v>
      </c>
      <c r="C324" s="252" t="str">
        <f>HLOOKUP('Getting Started'!H$2,J:N,ROW(),FALSE)</f>
        <v>List of examinations performed</v>
      </c>
      <c r="D324" s="252" t="s">
        <v>507</v>
      </c>
      <c r="E324" s="255" t="s">
        <v>813</v>
      </c>
      <c r="F324" s="255" t="s">
        <v>1394</v>
      </c>
      <c r="G324" s="255" t="s">
        <v>1395</v>
      </c>
      <c r="H324" s="255" t="s">
        <v>1396</v>
      </c>
      <c r="I324" s="254"/>
      <c r="J324" s="254" t="s">
        <v>702</v>
      </c>
      <c r="K324" s="252"/>
      <c r="L324" s="252"/>
      <c r="N324" s="256" t="s">
        <v>3523</v>
      </c>
      <c r="O324" s="300"/>
    </row>
    <row r="325" spans="1:15" ht="24" x14ac:dyDescent="0.25">
      <c r="A325" s="252" t="s">
        <v>2491</v>
      </c>
      <c r="B325" s="252" t="str">
        <f>HLOOKUP('Getting Started'!H$2,E:I,ROW(),FALSE)</f>
        <v>Information Management</v>
      </c>
      <c r="C325" s="252" t="str">
        <f>HLOOKUP('Getting Started'!H$2,J:N,ROW(),FALSE)</f>
        <v>Date of the primary sample collection</v>
      </c>
      <c r="D325" s="252" t="s">
        <v>507</v>
      </c>
      <c r="E325" s="255" t="s">
        <v>813</v>
      </c>
      <c r="F325" s="255" t="s">
        <v>1394</v>
      </c>
      <c r="G325" s="255" t="s">
        <v>1395</v>
      </c>
      <c r="H325" s="255" t="s">
        <v>1396</v>
      </c>
      <c r="I325" s="254"/>
      <c r="J325" s="254" t="s">
        <v>703</v>
      </c>
      <c r="K325" s="252"/>
      <c r="L325" s="252"/>
      <c r="N325" s="256" t="s">
        <v>3524</v>
      </c>
      <c r="O325" s="300"/>
    </row>
    <row r="326" spans="1:15" ht="24" x14ac:dyDescent="0.25">
      <c r="A326" s="252" t="s">
        <v>2492</v>
      </c>
      <c r="B326" s="252" t="str">
        <f>HLOOKUP('Getting Started'!H$2,E:I,ROW(),FALSE)</f>
        <v>Information Management</v>
      </c>
      <c r="C326" s="252" t="str">
        <f>HLOOKUP('Getting Started'!H$2,J:N,ROW(),FALSE)</f>
        <v>Primary sample type</v>
      </c>
      <c r="D326" s="252" t="s">
        <v>507</v>
      </c>
      <c r="E326" s="255" t="s">
        <v>813</v>
      </c>
      <c r="F326" s="255" t="s">
        <v>1394</v>
      </c>
      <c r="G326" s="255" t="s">
        <v>1395</v>
      </c>
      <c r="H326" s="255" t="s">
        <v>1396</v>
      </c>
      <c r="I326" s="254"/>
      <c r="J326" s="254" t="s">
        <v>704</v>
      </c>
      <c r="K326" s="252"/>
      <c r="L326" s="252"/>
      <c r="N326" s="256" t="s">
        <v>3525</v>
      </c>
      <c r="O326" s="300"/>
    </row>
    <row r="327" spans="1:15" ht="60" x14ac:dyDescent="0.25">
      <c r="A327" s="252" t="s">
        <v>2493</v>
      </c>
      <c r="B327" s="252" t="str">
        <f>HLOOKUP('Getting Started'!H$2,E:I,ROW(),FALSE)</f>
        <v>Information Management</v>
      </c>
      <c r="C327" s="252" t="str">
        <f>HLOOKUP('Getting Started'!H$2,J:N,ROW(),FALSE)</f>
        <v>Comments on the quality of the sample (either adequate for the examinations performed or inadequate, which could influence reliability of results)</v>
      </c>
      <c r="D327" s="252" t="s">
        <v>507</v>
      </c>
      <c r="E327" s="255" t="s">
        <v>813</v>
      </c>
      <c r="F327" s="255" t="s">
        <v>1394</v>
      </c>
      <c r="G327" s="255" t="s">
        <v>1395</v>
      </c>
      <c r="H327" s="255" t="s">
        <v>1396</v>
      </c>
      <c r="I327" s="254"/>
      <c r="J327" s="254" t="s">
        <v>705</v>
      </c>
      <c r="K327" s="252"/>
      <c r="L327" s="252"/>
      <c r="N327" s="256" t="s">
        <v>3526</v>
      </c>
      <c r="O327" s="300"/>
    </row>
    <row r="328" spans="1:15" ht="24" x14ac:dyDescent="0.25">
      <c r="A328" s="252" t="s">
        <v>2494</v>
      </c>
      <c r="B328" s="252" t="str">
        <f>HLOOKUP('Getting Started'!H$2,E:I,ROW(),FALSE)</f>
        <v>Information Management</v>
      </c>
      <c r="C328" s="252" t="str">
        <f>HLOOKUP('Getting Started'!H$2,J:N,ROW(),FALSE)</f>
        <v>Examination results</v>
      </c>
      <c r="D328" s="252" t="s">
        <v>507</v>
      </c>
      <c r="E328" s="255" t="s">
        <v>813</v>
      </c>
      <c r="F328" s="255" t="s">
        <v>1394</v>
      </c>
      <c r="G328" s="255" t="s">
        <v>1395</v>
      </c>
      <c r="H328" s="255" t="s">
        <v>1396</v>
      </c>
      <c r="I328" s="254"/>
      <c r="J328" s="254" t="s">
        <v>706</v>
      </c>
      <c r="K328" s="252"/>
      <c r="L328" s="252"/>
      <c r="N328" s="256" t="s">
        <v>3527</v>
      </c>
      <c r="O328" s="300"/>
    </row>
    <row r="329" spans="1:15" ht="63" x14ac:dyDescent="0.25">
      <c r="A329" s="252" t="s">
        <v>2495</v>
      </c>
      <c r="B329" s="252" t="str">
        <f>HLOOKUP('Getting Started'!H$2,E:I,ROW(),FALSE)</f>
        <v>Information Management</v>
      </c>
      <c r="C329" s="252" t="str">
        <f>HLOOKUP('Getting Started'!H$2,J:N,ROW(),FALSE)</f>
        <v>Biological reference intervals/decision values, including the “alert/critical” intervals for all examinations performed, with interpretive comments on results, if applicable.</v>
      </c>
      <c r="D329" s="252" t="s">
        <v>507</v>
      </c>
      <c r="E329" s="255" t="s">
        <v>813</v>
      </c>
      <c r="F329" s="255" t="s">
        <v>1394</v>
      </c>
      <c r="G329" s="255" t="s">
        <v>1395</v>
      </c>
      <c r="H329" s="255" t="s">
        <v>1396</v>
      </c>
      <c r="I329" s="254"/>
      <c r="J329" s="254" t="s">
        <v>707</v>
      </c>
      <c r="K329" s="252"/>
      <c r="L329" s="252"/>
      <c r="N329" s="256" t="s">
        <v>3528</v>
      </c>
      <c r="O329" s="300"/>
    </row>
    <row r="330" spans="1:15" ht="47.25" x14ac:dyDescent="0.25">
      <c r="A330" s="252" t="s">
        <v>2496</v>
      </c>
      <c r="B330" s="252" t="str">
        <f>HLOOKUP('Getting Started'!H$2,E:I,ROW(),FALSE)</f>
        <v>Information Management</v>
      </c>
      <c r="C330" s="252" t="str">
        <f>HLOOKUP('Getting Started'!H$2,J:N,ROW(),FALSE)</f>
        <v>Details of the laboratory staff member reviewing the results and authorizing the report for release</v>
      </c>
      <c r="D330" s="252" t="s">
        <v>507</v>
      </c>
      <c r="E330" s="255" t="s">
        <v>813</v>
      </c>
      <c r="F330" s="255" t="s">
        <v>1394</v>
      </c>
      <c r="G330" s="255" t="s">
        <v>1395</v>
      </c>
      <c r="H330" s="255" t="s">
        <v>1396</v>
      </c>
      <c r="I330" s="254"/>
      <c r="J330" s="254" t="s">
        <v>708</v>
      </c>
      <c r="K330" s="252"/>
      <c r="L330" s="252"/>
      <c r="N330" s="256" t="s">
        <v>3529</v>
      </c>
      <c r="O330" s="300"/>
    </row>
    <row r="331" spans="1:15" ht="24" x14ac:dyDescent="0.25">
      <c r="A331" s="252" t="s">
        <v>2497</v>
      </c>
      <c r="B331" s="252" t="str">
        <f>HLOOKUP('Getting Started'!H$2,E:I,ROW(),FALSE)</f>
        <v>Information Management</v>
      </c>
      <c r="C331" s="252" t="str">
        <f>HLOOKUP('Getting Started'!H$2,J:N,ROW(),FALSE)</f>
        <v>Date and time of release of the report</v>
      </c>
      <c r="D331" s="252" t="s">
        <v>507</v>
      </c>
      <c r="E331" s="255" t="s">
        <v>813</v>
      </c>
      <c r="F331" s="255" t="s">
        <v>1394</v>
      </c>
      <c r="G331" s="255" t="s">
        <v>1395</v>
      </c>
      <c r="H331" s="255" t="s">
        <v>1396</v>
      </c>
      <c r="I331" s="254"/>
      <c r="J331" s="254" t="s">
        <v>709</v>
      </c>
      <c r="K331" s="252"/>
      <c r="L331" s="252"/>
      <c r="N331" s="256" t="s">
        <v>3530</v>
      </c>
      <c r="O331" s="300"/>
    </row>
    <row r="332" spans="1:15" ht="47.25" x14ac:dyDescent="0.25">
      <c r="A332" s="252" t="s">
        <v>1701</v>
      </c>
      <c r="B332" s="252" t="str">
        <f>HLOOKUP('Getting Started'!H$2,E:I,ROW(),FALSE)</f>
        <v>Information Management</v>
      </c>
      <c r="C332" s="252" t="str">
        <f>HLOOKUP('Getting Started'!H$2,J:N,ROW(),FALSE)</f>
        <v>Was the format of the Result Report discussed with regular clients of the laboratory during development?</v>
      </c>
      <c r="D332" s="252" t="s">
        <v>507</v>
      </c>
      <c r="E332" s="255" t="s">
        <v>813</v>
      </c>
      <c r="F332" s="255" t="s">
        <v>1394</v>
      </c>
      <c r="G332" s="255" t="s">
        <v>1395</v>
      </c>
      <c r="H332" s="255" t="s">
        <v>1396</v>
      </c>
      <c r="I332" s="254"/>
      <c r="J332" s="254" t="s">
        <v>710</v>
      </c>
      <c r="K332" s="252"/>
      <c r="L332" s="252"/>
      <c r="N332" s="256" t="s">
        <v>3531</v>
      </c>
      <c r="O332" s="258" t="s">
        <v>1</v>
      </c>
    </row>
    <row r="333" spans="1:15" ht="31.5" x14ac:dyDescent="0.25">
      <c r="A333" s="252" t="s">
        <v>1702</v>
      </c>
      <c r="B333" s="252" t="str">
        <f>HLOOKUP('Getting Started'!H$2,E:I,ROW(),FALSE)</f>
        <v>Information Management</v>
      </c>
      <c r="C333" s="252" t="str">
        <f>HLOOKUP('Getting Started'!H$2,J:N,ROW(),FALSE)</f>
        <v>Is a procedure in place that ensures verification of correct transcription of results on reports?</v>
      </c>
      <c r="D333" s="252" t="s">
        <v>507</v>
      </c>
      <c r="E333" s="255" t="s">
        <v>813</v>
      </c>
      <c r="F333" s="255" t="s">
        <v>1394</v>
      </c>
      <c r="G333" s="255" t="s">
        <v>1395</v>
      </c>
      <c r="H333" s="255" t="s">
        <v>1396</v>
      </c>
      <c r="I333" s="254"/>
      <c r="J333" s="254" t="s">
        <v>711</v>
      </c>
      <c r="K333" s="252"/>
      <c r="L333" s="252"/>
      <c r="N333" s="256" t="s">
        <v>3532</v>
      </c>
      <c r="O333" s="258" t="s">
        <v>1</v>
      </c>
    </row>
    <row r="334" spans="1:15" ht="78.75" x14ac:dyDescent="0.25">
      <c r="A334" s="252" t="s">
        <v>1703</v>
      </c>
      <c r="B334" s="252" t="str">
        <f>HLOOKUP('Getting Started'!H$2,E:I,ROW(),FALSE)</f>
        <v>Information Management</v>
      </c>
      <c r="C334" s="252" t="str">
        <f>HLOOKUP('Getting Started'!H$2,J:N,ROW(),FALSE)</f>
        <v>Is a procedure in place for authorizing Result Reports for release only if review of results has taken place and correct transcription of correct results and other important information to the report has been confirmed?</v>
      </c>
      <c r="D334" s="252" t="s">
        <v>507</v>
      </c>
      <c r="E334" s="255" t="s">
        <v>813</v>
      </c>
      <c r="F334" s="255" t="s">
        <v>1394</v>
      </c>
      <c r="G334" s="255" t="s">
        <v>1395</v>
      </c>
      <c r="H334" s="255" t="s">
        <v>1396</v>
      </c>
      <c r="I334" s="254"/>
      <c r="J334" s="254" t="s">
        <v>712</v>
      </c>
      <c r="K334" s="252"/>
      <c r="L334" s="252"/>
      <c r="N334" s="256" t="s">
        <v>3533</v>
      </c>
      <c r="O334" s="258" t="s">
        <v>1</v>
      </c>
    </row>
    <row r="335" spans="1:15" ht="47.25" x14ac:dyDescent="0.25">
      <c r="A335" s="252" t="s">
        <v>1704</v>
      </c>
      <c r="B335" s="252" t="str">
        <f>HLOOKUP('Getting Started'!H$2,E:I,ROW(),FALSE)</f>
        <v>Information Management</v>
      </c>
      <c r="C335" s="252" t="str">
        <f>HLOOKUP('Getting Started'!H$2,J:N,ROW(),FALSE)</f>
        <v>Does the laboratory have a procedure to ensure immediate notification of the requester in case results fall within critical intervals?</v>
      </c>
      <c r="D335" s="252" t="s">
        <v>507</v>
      </c>
      <c r="E335" s="255" t="s">
        <v>813</v>
      </c>
      <c r="F335" s="255" t="s">
        <v>1394</v>
      </c>
      <c r="G335" s="255" t="s">
        <v>1395</v>
      </c>
      <c r="H335" s="255" t="s">
        <v>1396</v>
      </c>
      <c r="I335" s="254"/>
      <c r="J335" s="254" t="s">
        <v>713</v>
      </c>
      <c r="K335" s="252"/>
      <c r="L335" s="252"/>
      <c r="N335" s="256" t="s">
        <v>3534</v>
      </c>
      <c r="O335" s="258" t="s">
        <v>1</v>
      </c>
    </row>
    <row r="336" spans="1:15" ht="63" x14ac:dyDescent="0.25">
      <c r="A336" s="252" t="s">
        <v>1705</v>
      </c>
      <c r="B336" s="252" t="str">
        <f>HLOOKUP('Getting Started'!H$2,E:I,ROW(),FALSE)</f>
        <v>Information Management</v>
      </c>
      <c r="C336" s="252" t="str">
        <f>HLOOKUP('Getting Started'!H$2,J:N,ROW(),FALSE)</f>
        <v>Does the laboratory record the occurrences in which results fall within critical intervals and requesters have to be notified directly (for verification purposes)?</v>
      </c>
      <c r="D336" s="252" t="s">
        <v>507</v>
      </c>
      <c r="E336" s="255" t="s">
        <v>813</v>
      </c>
      <c r="F336" s="255" t="s">
        <v>1394</v>
      </c>
      <c r="G336" s="255" t="s">
        <v>1395</v>
      </c>
      <c r="H336" s="255" t="s">
        <v>1396</v>
      </c>
      <c r="I336" s="254"/>
      <c r="J336" s="254" t="s">
        <v>714</v>
      </c>
      <c r="K336" s="252"/>
      <c r="L336" s="252"/>
      <c r="N336" s="256" t="s">
        <v>3535</v>
      </c>
      <c r="O336" s="258" t="s">
        <v>1</v>
      </c>
    </row>
    <row r="337" spans="1:15" ht="47.25" x14ac:dyDescent="0.25">
      <c r="A337" s="252" t="s">
        <v>1706</v>
      </c>
      <c r="B337" s="252" t="str">
        <f>HLOOKUP('Getting Started'!H$2,E:I,ROW(),FALSE)</f>
        <v>Information Management</v>
      </c>
      <c r="C337" s="252" t="str">
        <f>HLOOKUP('Getting Started'!H$2,J:N,ROW(),FALSE)</f>
        <v>Does the laboratory use a method for sending the Result Reports to the requesters with a minimum risk for losing reports?</v>
      </c>
      <c r="D337" s="252" t="s">
        <v>507</v>
      </c>
      <c r="E337" s="255" t="s">
        <v>813</v>
      </c>
      <c r="F337" s="255" t="s">
        <v>1394</v>
      </c>
      <c r="G337" s="255" t="s">
        <v>1395</v>
      </c>
      <c r="H337" s="255" t="s">
        <v>1396</v>
      </c>
      <c r="I337" s="254"/>
      <c r="J337" s="254" t="s">
        <v>715</v>
      </c>
      <c r="K337" s="252"/>
      <c r="L337" s="252"/>
      <c r="N337" s="256" t="s">
        <v>3536</v>
      </c>
      <c r="O337" s="258" t="s">
        <v>1</v>
      </c>
    </row>
    <row r="338" spans="1:15" ht="63" x14ac:dyDescent="0.25">
      <c r="A338" s="252" t="s">
        <v>1707</v>
      </c>
      <c r="B338" s="252" t="str">
        <f>HLOOKUP('Getting Started'!H$2,E:I,ROW(),FALSE)</f>
        <v>Information Management</v>
      </c>
      <c r="C338" s="252" t="str">
        <f>HLOOKUP('Getting Started'!H$2,J:N,ROW(),FALSE)</f>
        <v>Does the laboratory use a method for sending the Result Reports to the requester that ensures that reports are delivered as soon as possible?</v>
      </c>
      <c r="D338" s="252" t="s">
        <v>507</v>
      </c>
      <c r="E338" s="255" t="s">
        <v>813</v>
      </c>
      <c r="F338" s="255" t="s">
        <v>1394</v>
      </c>
      <c r="G338" s="255" t="s">
        <v>1395</v>
      </c>
      <c r="H338" s="255" t="s">
        <v>1396</v>
      </c>
      <c r="I338" s="254"/>
      <c r="J338" s="254" t="s">
        <v>716</v>
      </c>
      <c r="K338" s="252"/>
      <c r="L338" s="252"/>
      <c r="N338" s="256" t="s">
        <v>3537</v>
      </c>
      <c r="O338" s="258" t="s">
        <v>1</v>
      </c>
    </row>
    <row r="339" spans="1:15" ht="78.75" x14ac:dyDescent="0.25">
      <c r="A339" s="252" t="s">
        <v>1708</v>
      </c>
      <c r="B339" s="252" t="str">
        <f>HLOOKUP('Getting Started'!H$2,E:I,ROW(),FALSE)</f>
        <v>Information Management</v>
      </c>
      <c r="C339" s="252" t="str">
        <f>HLOOKUP('Getting Started'!H$2,J:N,ROW(),FALSE)</f>
        <v>Are patient data (such as Request Forms, work forms, registers, copies of Result Reports, revised Result Reports, Immediate Notification Forms, etc.) stored securely, protected from unauthorized access?</v>
      </c>
      <c r="D339" s="252" t="s">
        <v>507</v>
      </c>
      <c r="E339" s="255" t="s">
        <v>813</v>
      </c>
      <c r="F339" s="255" t="s">
        <v>1394</v>
      </c>
      <c r="G339" s="255" t="s">
        <v>1395</v>
      </c>
      <c r="H339" s="255" t="s">
        <v>1396</v>
      </c>
      <c r="I339" s="254"/>
      <c r="J339" s="254" t="s">
        <v>717</v>
      </c>
      <c r="K339" s="252"/>
      <c r="L339" s="252"/>
      <c r="N339" s="256" t="s">
        <v>3538</v>
      </c>
      <c r="O339" s="258" t="s">
        <v>1</v>
      </c>
    </row>
    <row r="340" spans="1:15" ht="78.75" x14ac:dyDescent="0.25">
      <c r="A340" s="252" t="s">
        <v>1709</v>
      </c>
      <c r="B340" s="252" t="str">
        <f>HLOOKUP('Getting Started'!H$2,E:I,ROW(),FALSE)</f>
        <v>Information Management</v>
      </c>
      <c r="C340" s="252" t="str">
        <f>HLOOKUP('Getting Started'!H$2,J:N,ROW(),FALSE)</f>
        <v>Are patient data (such as Request Forms, work forms, registers, copies of Result Reports, revised Result Reports, Immediate Notification Forms, etc.) stored in a logical way enabling quick and easy retrieval of data?</v>
      </c>
      <c r="D340" s="252" t="s">
        <v>507</v>
      </c>
      <c r="E340" s="255" t="s">
        <v>813</v>
      </c>
      <c r="F340" s="255" t="s">
        <v>1394</v>
      </c>
      <c r="G340" s="255" t="s">
        <v>1395</v>
      </c>
      <c r="H340" s="255" t="s">
        <v>1396</v>
      </c>
      <c r="I340" s="254"/>
      <c r="J340" s="254" t="s">
        <v>718</v>
      </c>
      <c r="K340" s="252"/>
      <c r="L340" s="252"/>
      <c r="N340" s="256" t="s">
        <v>3539</v>
      </c>
      <c r="O340" s="258" t="s">
        <v>1</v>
      </c>
    </row>
    <row r="341" spans="1:15" ht="47.25" x14ac:dyDescent="0.25">
      <c r="A341" s="252" t="s">
        <v>1710</v>
      </c>
      <c r="B341" s="252" t="str">
        <f>HLOOKUP('Getting Started'!H$2,E:I,ROW(),FALSE)</f>
        <v>Information Management</v>
      </c>
      <c r="C341" s="252" t="str">
        <f>HLOOKUP('Getting Started'!H$2,J:N,ROW(),FALSE)</f>
        <v>Does the laboratory have an SOP for Recording, Reporting and Archiving of Results, describing at least the following procedures:</v>
      </c>
      <c r="D341" s="252" t="s">
        <v>507</v>
      </c>
      <c r="E341" s="255" t="s">
        <v>813</v>
      </c>
      <c r="F341" s="255" t="s">
        <v>1394</v>
      </c>
      <c r="G341" s="255" t="s">
        <v>1395</v>
      </c>
      <c r="H341" s="255" t="s">
        <v>1396</v>
      </c>
      <c r="I341" s="254"/>
      <c r="J341" s="254" t="s">
        <v>719</v>
      </c>
      <c r="K341" s="252"/>
      <c r="L341" s="252"/>
      <c r="N341" s="256" t="s">
        <v>3540</v>
      </c>
      <c r="O341" s="300" t="s">
        <v>1</v>
      </c>
    </row>
    <row r="342" spans="1:15" ht="24" x14ac:dyDescent="0.25">
      <c r="A342" s="252" t="s">
        <v>2504</v>
      </c>
      <c r="B342" s="252" t="str">
        <f>HLOOKUP('Getting Started'!H$2,E:I,ROW(),FALSE)</f>
        <v>Information Management</v>
      </c>
      <c r="C342" s="252" t="str">
        <f>HLOOKUP('Getting Started'!H$2,J:N,ROW(),FALSE)</f>
        <v>Recording of results</v>
      </c>
      <c r="D342" s="252" t="s">
        <v>507</v>
      </c>
      <c r="E342" s="255" t="s">
        <v>813</v>
      </c>
      <c r="F342" s="255" t="s">
        <v>1394</v>
      </c>
      <c r="G342" s="255" t="s">
        <v>1395</v>
      </c>
      <c r="H342" s="255" t="s">
        <v>1396</v>
      </c>
      <c r="I342" s="254"/>
      <c r="J342" s="254" t="s">
        <v>720</v>
      </c>
      <c r="K342" s="252"/>
      <c r="L342" s="252"/>
      <c r="N342" s="256" t="s">
        <v>3541</v>
      </c>
      <c r="O342" s="300"/>
    </row>
    <row r="343" spans="1:15" ht="24" x14ac:dyDescent="0.25">
      <c r="A343" s="252" t="s">
        <v>2505</v>
      </c>
      <c r="B343" s="252" t="str">
        <f>HLOOKUP('Getting Started'!H$2,E:I,ROW(),FALSE)</f>
        <v>Information Management</v>
      </c>
      <c r="C343" s="252" t="str">
        <f>HLOOKUP('Getting Started'!H$2,J:N,ROW(),FALSE)</f>
        <v>Reviewing and authorizing results for release</v>
      </c>
      <c r="D343" s="252" t="s">
        <v>507</v>
      </c>
      <c r="E343" s="255" t="s">
        <v>813</v>
      </c>
      <c r="F343" s="255" t="s">
        <v>1394</v>
      </c>
      <c r="G343" s="255" t="s">
        <v>1395</v>
      </c>
      <c r="H343" s="255" t="s">
        <v>1396</v>
      </c>
      <c r="I343" s="254"/>
      <c r="J343" s="254" t="s">
        <v>721</v>
      </c>
      <c r="K343" s="252"/>
      <c r="L343" s="252"/>
      <c r="N343" s="256" t="s">
        <v>3542</v>
      </c>
      <c r="O343" s="300"/>
    </row>
    <row r="344" spans="1:15" ht="24" x14ac:dyDescent="0.25">
      <c r="A344" s="252" t="s">
        <v>2506</v>
      </c>
      <c r="B344" s="252" t="str">
        <f>HLOOKUP('Getting Started'!H$2,E:I,ROW(),FALSE)</f>
        <v>Information Management</v>
      </c>
      <c r="C344" s="252" t="str">
        <f>HLOOKUP('Getting Started'!H$2,J:N,ROW(),FALSE)</f>
        <v>Normal procedure for reporting of results</v>
      </c>
      <c r="D344" s="252" t="s">
        <v>507</v>
      </c>
      <c r="E344" s="255" t="s">
        <v>813</v>
      </c>
      <c r="F344" s="255" t="s">
        <v>1394</v>
      </c>
      <c r="G344" s="255" t="s">
        <v>1395</v>
      </c>
      <c r="H344" s="255" t="s">
        <v>1396</v>
      </c>
      <c r="I344" s="254"/>
      <c r="J344" s="254" t="s">
        <v>722</v>
      </c>
      <c r="K344" s="252"/>
      <c r="L344" s="252"/>
      <c r="N344" s="256" t="s">
        <v>3543</v>
      </c>
      <c r="O344" s="300"/>
    </row>
    <row r="345" spans="1:15" ht="24" x14ac:dyDescent="0.25">
      <c r="A345" s="252" t="s">
        <v>2507</v>
      </c>
      <c r="B345" s="252" t="str">
        <f>HLOOKUP('Getting Started'!H$2,E:I,ROW(),FALSE)</f>
        <v>Information Management</v>
      </c>
      <c r="C345" s="252" t="str">
        <f>HLOOKUP('Getting Started'!H$2,J:N,ROW(),FALSE)</f>
        <v>Immediate reporting of results from urgent samples</v>
      </c>
      <c r="D345" s="252" t="s">
        <v>507</v>
      </c>
      <c r="E345" s="255" t="s">
        <v>813</v>
      </c>
      <c r="F345" s="255" t="s">
        <v>1394</v>
      </c>
      <c r="G345" s="255" t="s">
        <v>1395</v>
      </c>
      <c r="H345" s="255" t="s">
        <v>1396</v>
      </c>
      <c r="I345" s="254"/>
      <c r="J345" s="254" t="s">
        <v>723</v>
      </c>
      <c r="K345" s="252"/>
      <c r="L345" s="252"/>
      <c r="N345" s="256" t="s">
        <v>3544</v>
      </c>
      <c r="O345" s="300"/>
    </row>
    <row r="346" spans="1:15" ht="31.5" x14ac:dyDescent="0.25">
      <c r="A346" s="252" t="s">
        <v>2508</v>
      </c>
      <c r="B346" s="252" t="str">
        <f>HLOOKUP('Getting Started'!H$2,E:I,ROW(),FALSE)</f>
        <v>Information Management</v>
      </c>
      <c r="C346" s="252" t="str">
        <f>HLOOKUP('Getting Started'!H$2,J:N,ROW(),FALSE)</f>
        <v>Immediate reporting of results in critical intervals</v>
      </c>
      <c r="D346" s="252" t="s">
        <v>507</v>
      </c>
      <c r="E346" s="255" t="s">
        <v>813</v>
      </c>
      <c r="F346" s="255" t="s">
        <v>1394</v>
      </c>
      <c r="G346" s="255" t="s">
        <v>1395</v>
      </c>
      <c r="H346" s="255" t="s">
        <v>1396</v>
      </c>
      <c r="I346" s="254"/>
      <c r="J346" s="254" t="s">
        <v>724</v>
      </c>
      <c r="K346" s="252"/>
      <c r="L346" s="252"/>
      <c r="N346" s="256" t="s">
        <v>3545</v>
      </c>
      <c r="O346" s="300"/>
    </row>
    <row r="347" spans="1:15" ht="31.5" x14ac:dyDescent="0.25">
      <c r="A347" s="252" t="s">
        <v>2509</v>
      </c>
      <c r="B347" s="252" t="str">
        <f>HLOOKUP('Getting Started'!H$2,E:I,ROW(),FALSE)</f>
        <v>Information Management</v>
      </c>
      <c r="C347" s="252" t="str">
        <f>HLOOKUP('Getting Started'!H$2,J:N,ROW(),FALSE)</f>
        <v>Notification of clinician if turnaround time is exceeded</v>
      </c>
      <c r="D347" s="252" t="s">
        <v>507</v>
      </c>
      <c r="E347" s="255" t="s">
        <v>813</v>
      </c>
      <c r="F347" s="255" t="s">
        <v>1394</v>
      </c>
      <c r="G347" s="255" t="s">
        <v>1395</v>
      </c>
      <c r="H347" s="255" t="s">
        <v>1396</v>
      </c>
      <c r="I347" s="254"/>
      <c r="J347" s="254" t="s">
        <v>725</v>
      </c>
      <c r="K347" s="252"/>
      <c r="L347" s="252"/>
      <c r="N347" s="256" t="s">
        <v>3546</v>
      </c>
      <c r="O347" s="300"/>
    </row>
    <row r="348" spans="1:15" ht="31.5" x14ac:dyDescent="0.25">
      <c r="A348" s="252" t="s">
        <v>2510</v>
      </c>
      <c r="B348" s="252" t="str">
        <f>HLOOKUP('Getting Started'!H$2,E:I,ROW(),FALSE)</f>
        <v>Information Management</v>
      </c>
      <c r="C348" s="252" t="str">
        <f>HLOOKUP('Getting Started'!H$2,J:N,ROW(),FALSE)</f>
        <v>Reporting via telephone or other electronic means</v>
      </c>
      <c r="D348" s="252" t="s">
        <v>507</v>
      </c>
      <c r="E348" s="255" t="s">
        <v>813</v>
      </c>
      <c r="F348" s="255" t="s">
        <v>1394</v>
      </c>
      <c r="G348" s="255" t="s">
        <v>1395</v>
      </c>
      <c r="H348" s="255" t="s">
        <v>1396</v>
      </c>
      <c r="I348" s="254"/>
      <c r="J348" s="254" t="s">
        <v>726</v>
      </c>
      <c r="K348" s="252"/>
      <c r="L348" s="252"/>
      <c r="N348" s="256" t="s">
        <v>3547</v>
      </c>
      <c r="O348" s="300"/>
    </row>
    <row r="349" spans="1:15" ht="31.5" x14ac:dyDescent="0.25">
      <c r="A349" s="252" t="s">
        <v>2511</v>
      </c>
      <c r="B349" s="252" t="str">
        <f>HLOOKUP('Getting Started'!H$2,E:I,ROW(),FALSE)</f>
        <v>Information Management</v>
      </c>
      <c r="C349" s="252" t="str">
        <f>HLOOKUP('Getting Started'!H$2,J:N,ROW(),FALSE)</f>
        <v>Reporting of results of samples of inadequate quality but that were still tested</v>
      </c>
      <c r="D349" s="252" t="s">
        <v>507</v>
      </c>
      <c r="E349" s="255" t="s">
        <v>813</v>
      </c>
      <c r="F349" s="255" t="s">
        <v>1394</v>
      </c>
      <c r="G349" s="255" t="s">
        <v>1395</v>
      </c>
      <c r="H349" s="255" t="s">
        <v>1396</v>
      </c>
      <c r="I349" s="254"/>
      <c r="J349" s="254" t="s">
        <v>727</v>
      </c>
      <c r="K349" s="252"/>
      <c r="L349" s="252"/>
      <c r="N349" s="256" t="s">
        <v>3548</v>
      </c>
      <c r="O349" s="300"/>
    </row>
    <row r="350" spans="1:15" ht="24" x14ac:dyDescent="0.25">
      <c r="A350" s="252" t="s">
        <v>2512</v>
      </c>
      <c r="B350" s="252" t="str">
        <f>HLOOKUP('Getting Started'!H$2,E:I,ROW(),FALSE)</f>
        <v>Information Management</v>
      </c>
      <c r="C350" s="252" t="str">
        <f>HLOOKUP('Getting Started'!H$2,J:N,ROW(),FALSE)</f>
        <v>Alteration of reports</v>
      </c>
      <c r="D350" s="252" t="s">
        <v>507</v>
      </c>
      <c r="E350" s="255" t="s">
        <v>813</v>
      </c>
      <c r="F350" s="255" t="s">
        <v>1394</v>
      </c>
      <c r="G350" s="255" t="s">
        <v>1395</v>
      </c>
      <c r="H350" s="255" t="s">
        <v>1396</v>
      </c>
      <c r="I350" s="254"/>
      <c r="J350" s="254" t="s">
        <v>728</v>
      </c>
      <c r="K350" s="252"/>
      <c r="L350" s="252"/>
      <c r="N350" s="256" t="s">
        <v>3549</v>
      </c>
      <c r="O350" s="300"/>
    </row>
    <row r="351" spans="1:15" ht="24" x14ac:dyDescent="0.25">
      <c r="A351" s="252" t="s">
        <v>2513</v>
      </c>
      <c r="B351" s="252" t="str">
        <f>HLOOKUP('Getting Started'!H$2,E:I,ROW(),FALSE)</f>
        <v>Information Management</v>
      </c>
      <c r="C351" s="252" t="str">
        <f>HLOOKUP('Getting Started'!H$2,J:N,ROW(),FALSE)</f>
        <v>Archiving of results</v>
      </c>
      <c r="D351" s="252" t="s">
        <v>507</v>
      </c>
      <c r="E351" s="255" t="s">
        <v>813</v>
      </c>
      <c r="F351" s="255" t="s">
        <v>1394</v>
      </c>
      <c r="G351" s="255" t="s">
        <v>1395</v>
      </c>
      <c r="H351" s="255" t="s">
        <v>1396</v>
      </c>
      <c r="I351" s="254"/>
      <c r="J351" s="254" t="s">
        <v>729</v>
      </c>
      <c r="K351" s="252"/>
      <c r="L351" s="252"/>
      <c r="N351" s="256" t="s">
        <v>3550</v>
      </c>
      <c r="O351" s="300"/>
    </row>
    <row r="352" spans="1:15" ht="47.25" x14ac:dyDescent="0.25">
      <c r="A352" s="252" t="s">
        <v>1711</v>
      </c>
      <c r="B352" s="252" t="str">
        <f>HLOOKUP('Getting Started'!H$2,E:I,ROW(),FALSE)</f>
        <v>Information Management</v>
      </c>
      <c r="C352" s="252" t="str">
        <f>HLOOKUP('Getting Started'!H$2,J:N,ROW(),FALSE)</f>
        <v>Are the procedures in the SOP for Recording, Reporting and Archiving of Results routinely and correctly implemented in practice?</v>
      </c>
      <c r="D352" s="252" t="s">
        <v>507</v>
      </c>
      <c r="E352" s="255" t="s">
        <v>813</v>
      </c>
      <c r="F352" s="255" t="s">
        <v>1394</v>
      </c>
      <c r="G352" s="255" t="s">
        <v>1395</v>
      </c>
      <c r="H352" s="255" t="s">
        <v>1396</v>
      </c>
      <c r="I352" s="254"/>
      <c r="J352" s="254" t="s">
        <v>730</v>
      </c>
      <c r="K352" s="252"/>
      <c r="L352" s="252"/>
      <c r="N352" s="256" t="s">
        <v>3551</v>
      </c>
      <c r="O352" s="258" t="s">
        <v>1</v>
      </c>
    </row>
    <row r="353" spans="1:15" ht="63" x14ac:dyDescent="0.25">
      <c r="A353" s="252" t="s">
        <v>1712</v>
      </c>
      <c r="B353" s="252" t="str">
        <f>HLOOKUP('Getting Started'!H$2,E:I,ROW(),FALSE)</f>
        <v>Information Management</v>
      </c>
      <c r="C353" s="252" t="str">
        <f>HLOOKUP('Getting Started'!H$2,J:N,ROW(),FALSE)</f>
        <v>Are all staff members that are involved in any way in recording, reporting and archiving of results aware of the contents of the SOP for Recording, Reporting and Archiving of Results?</v>
      </c>
      <c r="D353" s="252" t="s">
        <v>507</v>
      </c>
      <c r="E353" s="255" t="s">
        <v>813</v>
      </c>
      <c r="F353" s="255" t="s">
        <v>1394</v>
      </c>
      <c r="G353" s="255" t="s">
        <v>1395</v>
      </c>
      <c r="H353" s="255" t="s">
        <v>1396</v>
      </c>
      <c r="I353" s="254"/>
      <c r="J353" s="254" t="s">
        <v>731</v>
      </c>
      <c r="K353" s="252"/>
      <c r="L353" s="252"/>
      <c r="N353" s="256" t="s">
        <v>3552</v>
      </c>
      <c r="O353" s="258" t="s">
        <v>1</v>
      </c>
    </row>
    <row r="354" spans="1:15" ht="47.25" x14ac:dyDescent="0.25">
      <c r="A354" s="252" t="s">
        <v>1713</v>
      </c>
      <c r="B354" s="252" t="str">
        <f>HLOOKUP('Getting Started'!H$2,E:I,ROW(),FALSE)</f>
        <v>Information Management</v>
      </c>
      <c r="C354" s="252" t="str">
        <f>HLOOKUP('Getting Started'!H$2,J:N,ROW(),FALSE)</f>
        <v>Is the laboratory able to trace back the staff members who signed documents based on the signature or initials?</v>
      </c>
      <c r="D354" s="252" t="s">
        <v>507</v>
      </c>
      <c r="E354" s="255" t="s">
        <v>813</v>
      </c>
      <c r="F354" s="255" t="s">
        <v>1394</v>
      </c>
      <c r="G354" s="255" t="s">
        <v>1395</v>
      </c>
      <c r="H354" s="255" t="s">
        <v>1396</v>
      </c>
      <c r="I354" s="254"/>
      <c r="J354" s="254" t="s">
        <v>732</v>
      </c>
      <c r="K354" s="252"/>
      <c r="L354" s="252"/>
      <c r="N354" s="256" t="s">
        <v>3553</v>
      </c>
      <c r="O354" s="258" t="s">
        <v>1</v>
      </c>
    </row>
    <row r="355" spans="1:15" ht="31.5" x14ac:dyDescent="0.25">
      <c r="A355" s="252" t="s">
        <v>1714</v>
      </c>
      <c r="B355" s="252" t="str">
        <f>HLOOKUP('Getting Started'!H$2,E:I,ROW(),FALSE)</f>
        <v>Information Management</v>
      </c>
      <c r="C355" s="252" t="str">
        <f>HLOOKUP('Getting Started'!H$2,J:N,ROW(),FALSE)</f>
        <v>Have all laboratory staff members signed a confidentiality agreement?</v>
      </c>
      <c r="D355" s="252" t="s">
        <v>507</v>
      </c>
      <c r="E355" s="255" t="s">
        <v>813</v>
      </c>
      <c r="F355" s="255" t="s">
        <v>1394</v>
      </c>
      <c r="G355" s="255" t="s">
        <v>1395</v>
      </c>
      <c r="H355" s="255" t="s">
        <v>1396</v>
      </c>
      <c r="I355" s="254"/>
      <c r="J355" s="254" t="s">
        <v>733</v>
      </c>
      <c r="K355" s="252"/>
      <c r="L355" s="252"/>
      <c r="N355" s="256" t="s">
        <v>3554</v>
      </c>
      <c r="O355" s="258" t="s">
        <v>1</v>
      </c>
    </row>
    <row r="356" spans="1:15" ht="47.25" x14ac:dyDescent="0.25">
      <c r="A356" s="252" t="s">
        <v>1715</v>
      </c>
      <c r="B356" s="252" t="str">
        <f>HLOOKUP('Getting Started'!H$2,E:I,ROW(),FALSE)</f>
        <v>Information Management</v>
      </c>
      <c r="C356" s="252" t="str">
        <f>HLOOKUP('Getting Started'!H$2,J:N,ROW(),FALSE)</f>
        <v>If the laboratory stores information digitally: are weekly backups being made?</v>
      </c>
      <c r="D356" s="252" t="s">
        <v>507</v>
      </c>
      <c r="E356" s="255" t="s">
        <v>813</v>
      </c>
      <c r="F356" s="255" t="s">
        <v>1394</v>
      </c>
      <c r="G356" s="255" t="s">
        <v>1395</v>
      </c>
      <c r="H356" s="255" t="s">
        <v>1396</v>
      </c>
      <c r="I356" s="254"/>
      <c r="J356" s="254" t="s">
        <v>734</v>
      </c>
      <c r="K356" s="252"/>
      <c r="L356" s="252"/>
      <c r="N356" s="256" t="s">
        <v>3555</v>
      </c>
      <c r="O356" s="258" t="s">
        <v>1</v>
      </c>
    </row>
    <row r="357" spans="1:15" ht="63" x14ac:dyDescent="0.25">
      <c r="A357" s="252" t="s">
        <v>1716</v>
      </c>
      <c r="B357" s="252" t="str">
        <f>HLOOKUP('Getting Started'!H$2,E:I,ROW(),FALSE)</f>
        <v>Information Management</v>
      </c>
      <c r="C357" s="252" t="str">
        <f>HLOOKUP('Getting Started'!H$2,J:N,ROW(),FALSE)</f>
        <v>Are backups of the computerized system stored behind lock and key in another building than the laboratory building where the computerized system is?</v>
      </c>
      <c r="D357" s="252" t="s">
        <v>507</v>
      </c>
      <c r="E357" s="255" t="s">
        <v>813</v>
      </c>
      <c r="F357" s="255" t="s">
        <v>1394</v>
      </c>
      <c r="G357" s="255" t="s">
        <v>1395</v>
      </c>
      <c r="H357" s="255" t="s">
        <v>1396</v>
      </c>
      <c r="I357" s="254"/>
      <c r="J357" s="254" t="s">
        <v>735</v>
      </c>
      <c r="K357" s="252"/>
      <c r="L357" s="252"/>
      <c r="N357" s="256" t="s">
        <v>3556</v>
      </c>
      <c r="O357" s="258" t="s">
        <v>1</v>
      </c>
    </row>
    <row r="358" spans="1:15" ht="31.5" x14ac:dyDescent="0.25">
      <c r="A358" s="252" t="s">
        <v>1717</v>
      </c>
      <c r="B358" s="252" t="str">
        <f>HLOOKUP('Getting Started'!H$2,E:I,ROW(),FALSE)</f>
        <v>Documents and records</v>
      </c>
      <c r="C358" s="252" t="str">
        <f>HLOOKUP('Getting Started'!H$2,J:N,ROW(),FALSE)</f>
        <v>Does the laboratory have an overview of the time each type of record should be archived?</v>
      </c>
      <c r="D358" s="252" t="s">
        <v>507</v>
      </c>
      <c r="E358" s="255" t="s">
        <v>516</v>
      </c>
      <c r="F358" s="255" t="s">
        <v>1385</v>
      </c>
      <c r="G358" s="255" t="s">
        <v>1386</v>
      </c>
      <c r="H358" s="255" t="s">
        <v>1387</v>
      </c>
      <c r="I358" s="254"/>
      <c r="J358" s="254" t="s">
        <v>736</v>
      </c>
      <c r="K358" s="252"/>
      <c r="L358" s="252"/>
      <c r="N358" s="256" t="s">
        <v>3557</v>
      </c>
      <c r="O358" s="258" t="s">
        <v>1</v>
      </c>
    </row>
    <row r="359" spans="1:15" ht="31.5" x14ac:dyDescent="0.25">
      <c r="A359" s="252" t="s">
        <v>1718</v>
      </c>
      <c r="B359" s="252" t="str">
        <f>HLOOKUP('Getting Started'!H$2,E:I,ROW(),FALSE)</f>
        <v>Documents and records</v>
      </c>
      <c r="C359" s="252" t="str">
        <f>HLOOKUP('Getting Started'!H$2,J:N,ROW(),FALSE)</f>
        <v>Does the laboratory have an overview of where each type of record should be archived?</v>
      </c>
      <c r="D359" s="252" t="s">
        <v>507</v>
      </c>
      <c r="E359" s="255" t="s">
        <v>516</v>
      </c>
      <c r="F359" s="255" t="s">
        <v>1385</v>
      </c>
      <c r="G359" s="255" t="s">
        <v>1386</v>
      </c>
      <c r="H359" s="255" t="s">
        <v>1387</v>
      </c>
      <c r="I359" s="254"/>
      <c r="J359" s="254" t="s">
        <v>737</v>
      </c>
      <c r="K359" s="252"/>
      <c r="L359" s="252"/>
      <c r="N359" s="256" t="s">
        <v>3558</v>
      </c>
      <c r="O359" s="258" t="s">
        <v>1</v>
      </c>
    </row>
    <row r="360" spans="1:15" ht="31.5" x14ac:dyDescent="0.25">
      <c r="A360" s="252" t="s">
        <v>1719</v>
      </c>
      <c r="B360" s="252" t="str">
        <f>HLOOKUP('Getting Started'!H$2,E:I,ROW(),FALSE)</f>
        <v>Documents and records</v>
      </c>
      <c r="C360" s="252" t="str">
        <f>HLOOKUP('Getting Started'!H$2,J:N,ROW(),FALSE)</f>
        <v>Are SOPs available at logical locations, at least:</v>
      </c>
      <c r="D360" s="252" t="s">
        <v>507</v>
      </c>
      <c r="E360" s="255" t="s">
        <v>516</v>
      </c>
      <c r="F360" s="255" t="s">
        <v>1385</v>
      </c>
      <c r="G360" s="255" t="s">
        <v>1386</v>
      </c>
      <c r="H360" s="255" t="s">
        <v>1387</v>
      </c>
      <c r="I360" s="254"/>
      <c r="J360" s="254" t="s">
        <v>738</v>
      </c>
      <c r="K360" s="252"/>
      <c r="L360" s="252"/>
      <c r="N360" s="256" t="s">
        <v>3559</v>
      </c>
      <c r="O360" s="300" t="s">
        <v>1</v>
      </c>
    </row>
    <row r="361" spans="1:15" ht="31.5" x14ac:dyDescent="0.25">
      <c r="A361" s="252" t="s">
        <v>2519</v>
      </c>
      <c r="B361" s="252" t="str">
        <f>HLOOKUP('Getting Started'!H$2,E:I,ROW(),FALSE)</f>
        <v>Documents and records</v>
      </c>
      <c r="C361" s="252" t="str">
        <f>HLOOKUP('Getting Started'!H$2,J:N,ROW(),FALSE)</f>
        <v>Near the place where the procedures the SOPs describe are routinely performed</v>
      </c>
      <c r="D361" s="252" t="s">
        <v>507</v>
      </c>
      <c r="E361" s="255" t="s">
        <v>516</v>
      </c>
      <c r="F361" s="255" t="s">
        <v>1385</v>
      </c>
      <c r="G361" s="255" t="s">
        <v>1386</v>
      </c>
      <c r="H361" s="255" t="s">
        <v>1387</v>
      </c>
      <c r="I361" s="254"/>
      <c r="J361" s="254" t="s">
        <v>739</v>
      </c>
      <c r="K361" s="252"/>
      <c r="L361" s="252"/>
      <c r="N361" s="256" t="s">
        <v>3560</v>
      </c>
      <c r="O361" s="300"/>
    </row>
    <row r="362" spans="1:15" ht="24" x14ac:dyDescent="0.25">
      <c r="A362" s="252" t="s">
        <v>2520</v>
      </c>
      <c r="B362" s="252" t="str">
        <f>HLOOKUP('Getting Started'!H$2,E:I,ROW(),FALSE)</f>
        <v>Documents and records</v>
      </c>
      <c r="C362" s="252" t="str">
        <f>HLOOKUP('Getting Started'!H$2,J:N,ROW(),FALSE)</f>
        <v>In the office areas</v>
      </c>
      <c r="D362" s="252" t="s">
        <v>507</v>
      </c>
      <c r="E362" s="255" t="s">
        <v>516</v>
      </c>
      <c r="F362" s="255" t="s">
        <v>1385</v>
      </c>
      <c r="G362" s="255" t="s">
        <v>1386</v>
      </c>
      <c r="H362" s="255" t="s">
        <v>1387</v>
      </c>
      <c r="I362" s="254"/>
      <c r="J362" s="254" t="s">
        <v>740</v>
      </c>
      <c r="K362" s="252"/>
      <c r="L362" s="252"/>
      <c r="N362" s="256" t="s">
        <v>3561</v>
      </c>
      <c r="O362" s="300"/>
    </row>
    <row r="363" spans="1:15" ht="24" x14ac:dyDescent="0.25">
      <c r="A363" s="252" t="s">
        <v>2521</v>
      </c>
      <c r="B363" s="252" t="str">
        <f>HLOOKUP('Getting Started'!H$2,E:I,ROW(),FALSE)</f>
        <v>Documents and records</v>
      </c>
      <c r="C363" s="252" t="str">
        <f>HLOOKUP('Getting Started'!H$2,J:N,ROW(),FALSE)</f>
        <v>In the dedicated quality documents archive</v>
      </c>
      <c r="D363" s="252" t="s">
        <v>507</v>
      </c>
      <c r="E363" s="255" t="s">
        <v>516</v>
      </c>
      <c r="F363" s="255" t="s">
        <v>1385</v>
      </c>
      <c r="G363" s="255" t="s">
        <v>1386</v>
      </c>
      <c r="H363" s="255" t="s">
        <v>1387</v>
      </c>
      <c r="I363" s="254"/>
      <c r="J363" s="254" t="s">
        <v>741</v>
      </c>
      <c r="K363" s="252"/>
      <c r="L363" s="252"/>
      <c r="N363" s="256" t="s">
        <v>3562</v>
      </c>
      <c r="O363" s="300"/>
    </row>
    <row r="364" spans="1:15" ht="47.25" x14ac:dyDescent="0.25">
      <c r="A364" s="252" t="s">
        <v>1720</v>
      </c>
      <c r="B364" s="252" t="str">
        <f>HLOOKUP('Getting Started'!H$2,E:I,ROW(),FALSE)</f>
        <v>Documents and records</v>
      </c>
      <c r="C364" s="252" t="str">
        <f>HLOOKUP('Getting Started'!H$2,J:N,ROW(),FALSE)</f>
        <v>Are inconsistencies and errors found in documents recorded in a Document Revision Form?</v>
      </c>
      <c r="D364" s="252" t="s">
        <v>507</v>
      </c>
      <c r="E364" s="255" t="s">
        <v>516</v>
      </c>
      <c r="F364" s="255" t="s">
        <v>1385</v>
      </c>
      <c r="G364" s="255" t="s">
        <v>1386</v>
      </c>
      <c r="H364" s="255" t="s">
        <v>1387</v>
      </c>
      <c r="I364" s="254"/>
      <c r="J364" s="254" t="s">
        <v>742</v>
      </c>
      <c r="K364" s="252"/>
      <c r="L364" s="252"/>
      <c r="N364" s="256" t="s">
        <v>3563</v>
      </c>
      <c r="O364" s="258" t="s">
        <v>1</v>
      </c>
    </row>
    <row r="365" spans="1:15" ht="31.5" x14ac:dyDescent="0.25">
      <c r="A365" s="252" t="s">
        <v>1721</v>
      </c>
      <c r="B365" s="252" t="str">
        <f>HLOOKUP('Getting Started'!H$2,E:I,ROW(),FALSE)</f>
        <v>Documents and records</v>
      </c>
      <c r="C365" s="252" t="str">
        <f>HLOOKUP('Getting Started'!H$2,J:N,ROW(),FALSE)</f>
        <v>Do staff members know where to find the Document Revision Form?</v>
      </c>
      <c r="D365" s="252" t="s">
        <v>507</v>
      </c>
      <c r="E365" s="255" t="s">
        <v>516</v>
      </c>
      <c r="F365" s="255" t="s">
        <v>1385</v>
      </c>
      <c r="G365" s="255" t="s">
        <v>1386</v>
      </c>
      <c r="H365" s="255" t="s">
        <v>1387</v>
      </c>
      <c r="I365" s="254"/>
      <c r="J365" s="254" t="s">
        <v>743</v>
      </c>
      <c r="K365" s="252"/>
      <c r="L365" s="252"/>
      <c r="N365" s="256" t="s">
        <v>3564</v>
      </c>
      <c r="O365" s="258" t="s">
        <v>1</v>
      </c>
    </row>
    <row r="366" spans="1:15" ht="31.5" x14ac:dyDescent="0.25">
      <c r="A366" s="252" t="s">
        <v>1722</v>
      </c>
      <c r="B366" s="252" t="str">
        <f>HLOOKUP('Getting Started'!H$2,E:I,ROW(),FALSE)</f>
        <v>Documents and records</v>
      </c>
      <c r="C366" s="252" t="str">
        <f>HLOOKUP('Getting Started'!H$2,J:N,ROW(),FALSE)</f>
        <v>Do staff members know what the Document Revision Form is for and do they know how to use it?</v>
      </c>
      <c r="D366" s="252" t="s">
        <v>507</v>
      </c>
      <c r="E366" s="255" t="s">
        <v>516</v>
      </c>
      <c r="F366" s="255" t="s">
        <v>1385</v>
      </c>
      <c r="G366" s="255" t="s">
        <v>1386</v>
      </c>
      <c r="H366" s="255" t="s">
        <v>1387</v>
      </c>
      <c r="I366" s="254"/>
      <c r="J366" s="254" t="s">
        <v>744</v>
      </c>
      <c r="K366" s="252"/>
      <c r="L366" s="252"/>
      <c r="N366" s="256" t="s">
        <v>3565</v>
      </c>
      <c r="O366" s="258" t="s">
        <v>1</v>
      </c>
    </row>
    <row r="367" spans="1:15" ht="47.25" x14ac:dyDescent="0.25">
      <c r="A367" s="252" t="s">
        <v>1723</v>
      </c>
      <c r="B367" s="252" t="str">
        <f>HLOOKUP('Getting Started'!H$2,E:I,ROW(),FALSE)</f>
        <v>Documents and records</v>
      </c>
      <c r="C367" s="252" t="str">
        <f>HLOOKUP('Getting Started'!H$2,J:N,ROW(),FALSE)</f>
        <v>Is a Document Control Log available that shows all the quality documents of the laboratory with at least the following details:</v>
      </c>
      <c r="D367" s="252" t="s">
        <v>507</v>
      </c>
      <c r="E367" s="255" t="s">
        <v>516</v>
      </c>
      <c r="F367" s="255" t="s">
        <v>1385</v>
      </c>
      <c r="G367" s="255" t="s">
        <v>1386</v>
      </c>
      <c r="H367" s="255" t="s">
        <v>1387</v>
      </c>
      <c r="I367" s="254"/>
      <c r="J367" s="254" t="s">
        <v>745</v>
      </c>
      <c r="K367" s="252"/>
      <c r="L367" s="252"/>
      <c r="N367" s="256" t="s">
        <v>3566</v>
      </c>
      <c r="O367" s="300" t="s">
        <v>1</v>
      </c>
    </row>
    <row r="368" spans="1:15" ht="24" x14ac:dyDescent="0.25">
      <c r="A368" s="252" t="s">
        <v>2525</v>
      </c>
      <c r="B368" s="252" t="str">
        <f>HLOOKUP('Getting Started'!H$2,E:I,ROW(),FALSE)</f>
        <v>Documents and records</v>
      </c>
      <c r="C368" s="252" t="str">
        <f>HLOOKUP('Getting Started'!H$2,J:N,ROW(),FALSE)</f>
        <v>The document code</v>
      </c>
      <c r="D368" s="252" t="s">
        <v>507</v>
      </c>
      <c r="E368" s="255" t="s">
        <v>516</v>
      </c>
      <c r="F368" s="255" t="s">
        <v>1385</v>
      </c>
      <c r="G368" s="255" t="s">
        <v>1386</v>
      </c>
      <c r="H368" s="255" t="s">
        <v>1387</v>
      </c>
      <c r="I368" s="254"/>
      <c r="J368" s="254" t="s">
        <v>746</v>
      </c>
      <c r="K368" s="252"/>
      <c r="L368" s="252"/>
      <c r="N368" s="256" t="s">
        <v>3567</v>
      </c>
      <c r="O368" s="300"/>
    </row>
    <row r="369" spans="1:15" ht="24" x14ac:dyDescent="0.25">
      <c r="A369" s="252" t="s">
        <v>2526</v>
      </c>
      <c r="B369" s="252" t="str">
        <f>HLOOKUP('Getting Started'!H$2,E:I,ROW(),FALSE)</f>
        <v>Documents and records</v>
      </c>
      <c r="C369" s="252" t="str">
        <f>HLOOKUP('Getting Started'!H$2,J:N,ROW(),FALSE)</f>
        <v>The document title</v>
      </c>
      <c r="D369" s="252" t="s">
        <v>507</v>
      </c>
      <c r="E369" s="255" t="s">
        <v>516</v>
      </c>
      <c r="F369" s="255" t="s">
        <v>1385</v>
      </c>
      <c r="G369" s="255" t="s">
        <v>1386</v>
      </c>
      <c r="H369" s="255" t="s">
        <v>1387</v>
      </c>
      <c r="I369" s="254"/>
      <c r="J369" s="254" t="s">
        <v>747</v>
      </c>
      <c r="K369" s="252"/>
      <c r="L369" s="252"/>
      <c r="N369" s="256" t="s">
        <v>3568</v>
      </c>
      <c r="O369" s="300"/>
    </row>
    <row r="370" spans="1:15" ht="24" x14ac:dyDescent="0.25">
      <c r="A370" s="252" t="s">
        <v>2527</v>
      </c>
      <c r="B370" s="252" t="str">
        <f>HLOOKUP('Getting Started'!H$2,E:I,ROW(),FALSE)</f>
        <v>Documents and records</v>
      </c>
      <c r="C370" s="252" t="str">
        <f>HLOOKUP('Getting Started'!H$2,J:N,ROW(),FALSE)</f>
        <v>The name of the author</v>
      </c>
      <c r="D370" s="252" t="s">
        <v>507</v>
      </c>
      <c r="E370" s="255" t="s">
        <v>516</v>
      </c>
      <c r="F370" s="255" t="s">
        <v>1385</v>
      </c>
      <c r="G370" s="255" t="s">
        <v>1386</v>
      </c>
      <c r="H370" s="255" t="s">
        <v>1387</v>
      </c>
      <c r="I370" s="254"/>
      <c r="J370" s="254" t="s">
        <v>748</v>
      </c>
      <c r="K370" s="252"/>
      <c r="L370" s="252"/>
      <c r="N370" s="256" t="s">
        <v>3569</v>
      </c>
      <c r="O370" s="300"/>
    </row>
    <row r="371" spans="1:15" ht="24" x14ac:dyDescent="0.25">
      <c r="A371" s="252" t="s">
        <v>2528</v>
      </c>
      <c r="B371" s="252" t="str">
        <f>HLOOKUP('Getting Started'!H$2,E:I,ROW(),FALSE)</f>
        <v>Documents and records</v>
      </c>
      <c r="C371" s="252" t="str">
        <f>HLOOKUP('Getting Started'!H$2,J:N,ROW(),FALSE)</f>
        <v>The names of the reviewers</v>
      </c>
      <c r="D371" s="252" t="s">
        <v>507</v>
      </c>
      <c r="E371" s="255" t="s">
        <v>516</v>
      </c>
      <c r="F371" s="255" t="s">
        <v>1385</v>
      </c>
      <c r="G371" s="255" t="s">
        <v>1386</v>
      </c>
      <c r="H371" s="255" t="s">
        <v>1387</v>
      </c>
      <c r="I371" s="254"/>
      <c r="J371" s="254" t="s">
        <v>749</v>
      </c>
      <c r="K371" s="252"/>
      <c r="L371" s="252"/>
      <c r="N371" s="256" t="s">
        <v>3570</v>
      </c>
      <c r="O371" s="300"/>
    </row>
    <row r="372" spans="1:15" ht="24" x14ac:dyDescent="0.25">
      <c r="A372" s="252" t="s">
        <v>2529</v>
      </c>
      <c r="B372" s="252" t="str">
        <f>HLOOKUP('Getting Started'!H$2,E:I,ROW(),FALSE)</f>
        <v>Documents and records</v>
      </c>
      <c r="C372" s="252" t="str">
        <f>HLOOKUP('Getting Started'!H$2,J:N,ROW(),FALSE)</f>
        <v>The name of the authorizer</v>
      </c>
      <c r="D372" s="252" t="s">
        <v>507</v>
      </c>
      <c r="E372" s="255" t="s">
        <v>516</v>
      </c>
      <c r="F372" s="255" t="s">
        <v>1385</v>
      </c>
      <c r="G372" s="255" t="s">
        <v>1386</v>
      </c>
      <c r="H372" s="255" t="s">
        <v>1387</v>
      </c>
      <c r="I372" s="254"/>
      <c r="J372" s="254" t="s">
        <v>750</v>
      </c>
      <c r="K372" s="252"/>
      <c r="L372" s="252"/>
      <c r="N372" s="256" t="s">
        <v>3571</v>
      </c>
      <c r="O372" s="300"/>
    </row>
    <row r="373" spans="1:15" ht="24" x14ac:dyDescent="0.25">
      <c r="A373" s="252" t="s">
        <v>2530</v>
      </c>
      <c r="B373" s="252" t="str">
        <f>HLOOKUP('Getting Started'!H$2,E:I,ROW(),FALSE)</f>
        <v>Documents and records</v>
      </c>
      <c r="C373" s="252" t="str">
        <f>HLOOKUP('Getting Started'!H$2,J:N,ROW(),FALSE)</f>
        <v>The current version number</v>
      </c>
      <c r="D373" s="252" t="s">
        <v>507</v>
      </c>
      <c r="E373" s="255" t="s">
        <v>516</v>
      </c>
      <c r="F373" s="255" t="s">
        <v>1385</v>
      </c>
      <c r="G373" s="255" t="s">
        <v>1386</v>
      </c>
      <c r="H373" s="255" t="s">
        <v>1387</v>
      </c>
      <c r="I373" s="254"/>
      <c r="J373" s="254" t="s">
        <v>751</v>
      </c>
      <c r="K373" s="252"/>
      <c r="L373" s="252"/>
      <c r="N373" s="256" t="s">
        <v>3572</v>
      </c>
      <c r="O373" s="300"/>
    </row>
    <row r="374" spans="1:15" ht="24" x14ac:dyDescent="0.25">
      <c r="A374" s="252" t="s">
        <v>2531</v>
      </c>
      <c r="B374" s="252" t="str">
        <f>HLOOKUP('Getting Started'!H$2,E:I,ROW(),FALSE)</f>
        <v>Documents and records</v>
      </c>
      <c r="C374" s="252" t="str">
        <f>HLOOKUP('Getting Started'!H$2,J:N,ROW(),FALSE)</f>
        <v>The date on which it was released for use</v>
      </c>
      <c r="D374" s="252" t="s">
        <v>507</v>
      </c>
      <c r="E374" s="255" t="s">
        <v>516</v>
      </c>
      <c r="F374" s="255" t="s">
        <v>1385</v>
      </c>
      <c r="G374" s="255" t="s">
        <v>1386</v>
      </c>
      <c r="H374" s="255" t="s">
        <v>1387</v>
      </c>
      <c r="I374" s="254"/>
      <c r="J374" s="254" t="s">
        <v>752</v>
      </c>
      <c r="K374" s="252"/>
      <c r="L374" s="252"/>
      <c r="N374" s="256" t="s">
        <v>3573</v>
      </c>
      <c r="O374" s="300"/>
    </row>
    <row r="375" spans="1:15" ht="30" x14ac:dyDescent="0.25">
      <c r="A375" s="252" t="s">
        <v>2532</v>
      </c>
      <c r="B375" s="252" t="str">
        <f>HLOOKUP('Getting Started'!H$2,E:I,ROW(),FALSE)</f>
        <v>Documents and records</v>
      </c>
      <c r="C375" s="252" t="str">
        <f>HLOOKUP('Getting Started'!H$2,J:N,ROW(),FALSE)</f>
        <v>The date before which the document must be reviewed</v>
      </c>
      <c r="D375" s="252" t="s">
        <v>507</v>
      </c>
      <c r="E375" s="255" t="s">
        <v>516</v>
      </c>
      <c r="F375" s="255" t="s">
        <v>1385</v>
      </c>
      <c r="G375" s="255" t="s">
        <v>1386</v>
      </c>
      <c r="H375" s="255" t="s">
        <v>1387</v>
      </c>
      <c r="I375" s="254"/>
      <c r="J375" s="254" t="s">
        <v>753</v>
      </c>
      <c r="K375" s="252"/>
      <c r="L375" s="252"/>
      <c r="N375" s="256" t="s">
        <v>3574</v>
      </c>
      <c r="O375" s="300"/>
    </row>
    <row r="376" spans="1:15" ht="24" x14ac:dyDescent="0.25">
      <c r="A376" s="252" t="s">
        <v>2533</v>
      </c>
      <c r="B376" s="252" t="str">
        <f>HLOOKUP('Getting Started'!H$2,E:I,ROW(),FALSE)</f>
        <v>Documents and records</v>
      </c>
      <c r="C376" s="252" t="str">
        <f>HLOOKUP('Getting Started'!H$2,J:N,ROW(),FALSE)</f>
        <v>Distribution list</v>
      </c>
      <c r="D376" s="252" t="s">
        <v>507</v>
      </c>
      <c r="E376" s="255" t="s">
        <v>516</v>
      </c>
      <c r="F376" s="255" t="s">
        <v>1385</v>
      </c>
      <c r="G376" s="255" t="s">
        <v>1386</v>
      </c>
      <c r="H376" s="255" t="s">
        <v>1387</v>
      </c>
      <c r="I376" s="254"/>
      <c r="J376" s="254" t="s">
        <v>754</v>
      </c>
      <c r="K376" s="252"/>
      <c r="L376" s="252"/>
      <c r="N376" s="256" t="s">
        <v>3575</v>
      </c>
      <c r="O376" s="300"/>
    </row>
    <row r="377" spans="1:15" ht="24" x14ac:dyDescent="0.25">
      <c r="A377" s="252" t="s">
        <v>2534</v>
      </c>
      <c r="B377" s="252" t="str">
        <f>HLOOKUP('Getting Started'!H$2,E:I,ROW(),FALSE)</f>
        <v>Documents and records</v>
      </c>
      <c r="C377" s="252" t="str">
        <f>HLOOKUP('Getting Started'!H$2,J:N,ROW(),FALSE)</f>
        <v>Remarks</v>
      </c>
      <c r="D377" s="252" t="s">
        <v>507</v>
      </c>
      <c r="E377" s="255" t="s">
        <v>516</v>
      </c>
      <c r="F377" s="255" t="s">
        <v>1385</v>
      </c>
      <c r="G377" s="255" t="s">
        <v>1386</v>
      </c>
      <c r="H377" s="255" t="s">
        <v>1387</v>
      </c>
      <c r="I377" s="254"/>
      <c r="J377" s="254" t="s">
        <v>95</v>
      </c>
      <c r="K377" s="252"/>
      <c r="L377" s="252"/>
      <c r="N377" s="256" t="s">
        <v>499</v>
      </c>
      <c r="O377" s="300"/>
    </row>
    <row r="378" spans="1:15" ht="24" x14ac:dyDescent="0.25">
      <c r="A378" s="252" t="s">
        <v>2535</v>
      </c>
      <c r="B378" s="252" t="str">
        <f>HLOOKUP('Getting Started'!H$2,E:I,ROW(),FALSE)</f>
        <v>Documents and records</v>
      </c>
      <c r="C378" s="252" t="str">
        <f>HLOOKUP('Getting Started'!H$2,J:N,ROW(),FALSE)</f>
        <v>The title of the previous version</v>
      </c>
      <c r="D378" s="252" t="s">
        <v>507</v>
      </c>
      <c r="E378" s="255" t="s">
        <v>516</v>
      </c>
      <c r="F378" s="255" t="s">
        <v>1385</v>
      </c>
      <c r="G378" s="255" t="s">
        <v>1386</v>
      </c>
      <c r="H378" s="255" t="s">
        <v>1387</v>
      </c>
      <c r="I378" s="254"/>
      <c r="J378" s="254" t="s">
        <v>755</v>
      </c>
      <c r="K378" s="252"/>
      <c r="L378" s="252"/>
      <c r="N378" s="256" t="s">
        <v>3576</v>
      </c>
      <c r="O378" s="300"/>
    </row>
    <row r="379" spans="1:15" ht="24" x14ac:dyDescent="0.25">
      <c r="A379" s="252" t="s">
        <v>2536</v>
      </c>
      <c r="B379" s="252" t="str">
        <f>HLOOKUP('Getting Started'!H$2,E:I,ROW(),FALSE)</f>
        <v>Documents and records</v>
      </c>
      <c r="C379" s="252" t="str">
        <f>HLOOKUP('Getting Started'!H$2,J:N,ROW(),FALSE)</f>
        <v>The name of the author of the previous version</v>
      </c>
      <c r="D379" s="252" t="s">
        <v>507</v>
      </c>
      <c r="E379" s="255" t="s">
        <v>516</v>
      </c>
      <c r="F379" s="255" t="s">
        <v>1385</v>
      </c>
      <c r="G379" s="255" t="s">
        <v>1386</v>
      </c>
      <c r="H379" s="255" t="s">
        <v>1387</v>
      </c>
      <c r="I379" s="254"/>
      <c r="J379" s="254" t="s">
        <v>756</v>
      </c>
      <c r="K379" s="252"/>
      <c r="L379" s="252"/>
      <c r="N379" s="256" t="s">
        <v>3577</v>
      </c>
      <c r="O379" s="300"/>
    </row>
    <row r="380" spans="1:15" ht="24" x14ac:dyDescent="0.25">
      <c r="A380" s="252" t="s">
        <v>2537</v>
      </c>
      <c r="B380" s="252" t="str">
        <f>HLOOKUP('Getting Started'!H$2,E:I,ROW(),FALSE)</f>
        <v>Documents and records</v>
      </c>
      <c r="C380" s="252" t="str">
        <f>HLOOKUP('Getting Started'!H$2,J:N,ROW(),FALSE)</f>
        <v>The names of the reviewers of the previous version</v>
      </c>
      <c r="D380" s="252" t="s">
        <v>507</v>
      </c>
      <c r="E380" s="255" t="s">
        <v>516</v>
      </c>
      <c r="F380" s="255" t="s">
        <v>1385</v>
      </c>
      <c r="G380" s="255" t="s">
        <v>1386</v>
      </c>
      <c r="H380" s="255" t="s">
        <v>1387</v>
      </c>
      <c r="I380" s="254"/>
      <c r="J380" s="254" t="s">
        <v>757</v>
      </c>
      <c r="K380" s="252"/>
      <c r="L380" s="252"/>
      <c r="N380" s="256" t="s">
        <v>3578</v>
      </c>
      <c r="O380" s="300"/>
    </row>
    <row r="381" spans="1:15" ht="24" x14ac:dyDescent="0.25">
      <c r="A381" s="252" t="s">
        <v>2538</v>
      </c>
      <c r="B381" s="252" t="str">
        <f>HLOOKUP('Getting Started'!H$2,E:I,ROW(),FALSE)</f>
        <v>Documents and records</v>
      </c>
      <c r="C381" s="252" t="str">
        <f>HLOOKUP('Getting Started'!H$2,J:N,ROW(),FALSE)</f>
        <v>The name of the authorizer of the previous version</v>
      </c>
      <c r="D381" s="252" t="s">
        <v>507</v>
      </c>
      <c r="E381" s="255" t="s">
        <v>516</v>
      </c>
      <c r="F381" s="255" t="s">
        <v>1385</v>
      </c>
      <c r="G381" s="255" t="s">
        <v>1386</v>
      </c>
      <c r="H381" s="255" t="s">
        <v>1387</v>
      </c>
      <c r="I381" s="254"/>
      <c r="J381" s="254" t="s">
        <v>758</v>
      </c>
      <c r="K381" s="252"/>
      <c r="L381" s="252"/>
      <c r="N381" s="256" t="s">
        <v>3579</v>
      </c>
      <c r="O381" s="300"/>
    </row>
    <row r="382" spans="1:15" ht="30" x14ac:dyDescent="0.25">
      <c r="A382" s="252" t="s">
        <v>2539</v>
      </c>
      <c r="B382" s="252" t="str">
        <f>HLOOKUP('Getting Started'!H$2,E:I,ROW(),FALSE)</f>
        <v>Documents and records</v>
      </c>
      <c r="C382" s="252" t="str">
        <f>HLOOKUP('Getting Started'!H$2,J:N,ROW(),FALSE)</f>
        <v>The date on which the previous version was released for use</v>
      </c>
      <c r="D382" s="252" t="s">
        <v>507</v>
      </c>
      <c r="E382" s="255" t="s">
        <v>516</v>
      </c>
      <c r="F382" s="255" t="s">
        <v>1385</v>
      </c>
      <c r="G382" s="255" t="s">
        <v>1386</v>
      </c>
      <c r="H382" s="255" t="s">
        <v>1387</v>
      </c>
      <c r="I382" s="254"/>
      <c r="J382" s="254" t="s">
        <v>759</v>
      </c>
      <c r="K382" s="252"/>
      <c r="L382" s="252"/>
      <c r="N382" s="256" t="s">
        <v>3580</v>
      </c>
      <c r="O382" s="300"/>
    </row>
    <row r="383" spans="1:15" ht="24" x14ac:dyDescent="0.25">
      <c r="A383" s="252" t="s">
        <v>2540</v>
      </c>
      <c r="B383" s="252" t="str">
        <f>HLOOKUP('Getting Started'!H$2,E:I,ROW(),FALSE)</f>
        <v>Documents and records</v>
      </c>
      <c r="C383" s="252" t="str">
        <f>HLOOKUP('Getting Started'!H$2,J:N,ROW(),FALSE)</f>
        <v>The date on which the previous version was replaced</v>
      </c>
      <c r="D383" s="252" t="s">
        <v>507</v>
      </c>
      <c r="E383" s="255" t="s">
        <v>516</v>
      </c>
      <c r="F383" s="255" t="s">
        <v>1385</v>
      </c>
      <c r="G383" s="255" t="s">
        <v>1386</v>
      </c>
      <c r="H383" s="255" t="s">
        <v>1387</v>
      </c>
      <c r="I383" s="254"/>
      <c r="J383" s="254" t="s">
        <v>760</v>
      </c>
      <c r="K383" s="252"/>
      <c r="L383" s="252"/>
      <c r="N383" s="256" t="s">
        <v>3581</v>
      </c>
      <c r="O383" s="300"/>
    </row>
    <row r="384" spans="1:15" ht="63" x14ac:dyDescent="0.25">
      <c r="A384" s="252" t="s">
        <v>1724</v>
      </c>
      <c r="B384" s="252" t="str">
        <f>HLOOKUP('Getting Started'!H$2,E:I,ROW(),FALSE)</f>
        <v>Documents and records</v>
      </c>
      <c r="C384" s="252" t="str">
        <f>HLOOKUP('Getting Started'!H$2,J:N,ROW(),FALSE)</f>
        <v>Is each quality document (SOP, quality manual chapter, Biosafety Manual chapter) supplied with a front page that contains the following information: [tick off]</v>
      </c>
      <c r="D384" s="252" t="s">
        <v>507</v>
      </c>
      <c r="E384" s="255" t="s">
        <v>516</v>
      </c>
      <c r="F384" s="255" t="s">
        <v>1385</v>
      </c>
      <c r="G384" s="255" t="s">
        <v>1386</v>
      </c>
      <c r="H384" s="255" t="s">
        <v>1387</v>
      </c>
      <c r="I384" s="254"/>
      <c r="J384" s="254" t="s">
        <v>761</v>
      </c>
      <c r="K384" s="252"/>
      <c r="L384" s="252"/>
      <c r="N384" s="256" t="s">
        <v>3582</v>
      </c>
      <c r="O384" s="300" t="s">
        <v>1</v>
      </c>
    </row>
    <row r="385" spans="1:15" ht="24" x14ac:dyDescent="0.25">
      <c r="A385" s="252" t="s">
        <v>2541</v>
      </c>
      <c r="B385" s="252" t="str">
        <f>HLOOKUP('Getting Started'!H$2,E:I,ROW(),FALSE)</f>
        <v>Documents and records</v>
      </c>
      <c r="C385" s="252" t="str">
        <f>HLOOKUP('Getting Started'!H$2,J:N,ROW(),FALSE)</f>
        <v>Document code</v>
      </c>
      <c r="D385" s="252" t="s">
        <v>507</v>
      </c>
      <c r="E385" s="255" t="s">
        <v>516</v>
      </c>
      <c r="F385" s="255" t="s">
        <v>1385</v>
      </c>
      <c r="G385" s="255" t="s">
        <v>1386</v>
      </c>
      <c r="H385" s="255" t="s">
        <v>1387</v>
      </c>
      <c r="I385" s="254"/>
      <c r="J385" s="254" t="s">
        <v>762</v>
      </c>
      <c r="K385" s="252"/>
      <c r="L385" s="252"/>
      <c r="N385" s="256" t="s">
        <v>3567</v>
      </c>
      <c r="O385" s="300"/>
    </row>
    <row r="386" spans="1:15" ht="24" x14ac:dyDescent="0.25">
      <c r="A386" s="252" t="s">
        <v>2542</v>
      </c>
      <c r="B386" s="252" t="str">
        <f>HLOOKUP('Getting Started'!H$2,E:I,ROW(),FALSE)</f>
        <v>Documents and records</v>
      </c>
      <c r="C386" s="252" t="str">
        <f>HLOOKUP('Getting Started'!H$2,J:N,ROW(),FALSE)</f>
        <v>The document title</v>
      </c>
      <c r="D386" s="252" t="s">
        <v>507</v>
      </c>
      <c r="E386" s="255" t="s">
        <v>516</v>
      </c>
      <c r="F386" s="255" t="s">
        <v>1385</v>
      </c>
      <c r="G386" s="255" t="s">
        <v>1386</v>
      </c>
      <c r="H386" s="255" t="s">
        <v>1387</v>
      </c>
      <c r="I386" s="254"/>
      <c r="J386" s="254" t="s">
        <v>747</v>
      </c>
      <c r="K386" s="252"/>
      <c r="L386" s="252"/>
      <c r="N386" s="256" t="s">
        <v>3568</v>
      </c>
      <c r="O386" s="300"/>
    </row>
    <row r="387" spans="1:15" ht="24" x14ac:dyDescent="0.25">
      <c r="A387" s="252" t="s">
        <v>2543</v>
      </c>
      <c r="B387" s="252" t="str">
        <f>HLOOKUP('Getting Started'!H$2,E:I,ROW(),FALSE)</f>
        <v>Documents and records</v>
      </c>
      <c r="C387" s="252" t="str">
        <f>HLOOKUP('Getting Started'!H$2,J:N,ROW(),FALSE)</f>
        <v>The name of the author</v>
      </c>
      <c r="D387" s="252" t="s">
        <v>507</v>
      </c>
      <c r="E387" s="255" t="s">
        <v>516</v>
      </c>
      <c r="F387" s="255" t="s">
        <v>1385</v>
      </c>
      <c r="G387" s="255" t="s">
        <v>1386</v>
      </c>
      <c r="H387" s="255" t="s">
        <v>1387</v>
      </c>
      <c r="I387" s="254"/>
      <c r="J387" s="254" t="s">
        <v>748</v>
      </c>
      <c r="K387" s="252"/>
      <c r="L387" s="252"/>
      <c r="N387" s="256" t="s">
        <v>3569</v>
      </c>
      <c r="O387" s="300"/>
    </row>
    <row r="388" spans="1:15" ht="24" x14ac:dyDescent="0.25">
      <c r="A388" s="252" t="s">
        <v>2544</v>
      </c>
      <c r="B388" s="252" t="str">
        <f>HLOOKUP('Getting Started'!H$2,E:I,ROW(),FALSE)</f>
        <v>Documents and records</v>
      </c>
      <c r="C388" s="252" t="str">
        <f>HLOOKUP('Getting Started'!H$2,J:N,ROW(),FALSE)</f>
        <v>The names of the reviewers</v>
      </c>
      <c r="D388" s="252" t="s">
        <v>507</v>
      </c>
      <c r="E388" s="255" t="s">
        <v>516</v>
      </c>
      <c r="F388" s="255" t="s">
        <v>1385</v>
      </c>
      <c r="G388" s="255" t="s">
        <v>1386</v>
      </c>
      <c r="H388" s="255" t="s">
        <v>1387</v>
      </c>
      <c r="I388" s="254"/>
      <c r="J388" s="254" t="s">
        <v>749</v>
      </c>
      <c r="K388" s="252"/>
      <c r="L388" s="252"/>
      <c r="N388" s="256" t="s">
        <v>3570</v>
      </c>
      <c r="O388" s="300"/>
    </row>
    <row r="389" spans="1:15" ht="24" x14ac:dyDescent="0.25">
      <c r="A389" s="252" t="s">
        <v>2545</v>
      </c>
      <c r="B389" s="252" t="str">
        <f>HLOOKUP('Getting Started'!H$2,E:I,ROW(),FALSE)</f>
        <v>Documents and records</v>
      </c>
      <c r="C389" s="252" t="str">
        <f>HLOOKUP('Getting Started'!H$2,J:N,ROW(),FALSE)</f>
        <v>The name of the authorizer</v>
      </c>
      <c r="D389" s="252" t="s">
        <v>507</v>
      </c>
      <c r="E389" s="255" t="s">
        <v>516</v>
      </c>
      <c r="F389" s="255" t="s">
        <v>1385</v>
      </c>
      <c r="G389" s="255" t="s">
        <v>1386</v>
      </c>
      <c r="H389" s="255" t="s">
        <v>1387</v>
      </c>
      <c r="I389" s="254"/>
      <c r="J389" s="254" t="s">
        <v>750</v>
      </c>
      <c r="K389" s="252"/>
      <c r="L389" s="252"/>
      <c r="N389" s="256" t="s">
        <v>3571</v>
      </c>
      <c r="O389" s="300"/>
    </row>
    <row r="390" spans="1:15" ht="24" x14ac:dyDescent="0.25">
      <c r="A390" s="252" t="s">
        <v>2546</v>
      </c>
      <c r="B390" s="252" t="str">
        <f>HLOOKUP('Getting Started'!H$2,E:I,ROW(),FALSE)</f>
        <v>Documents and records</v>
      </c>
      <c r="C390" s="252" t="str">
        <f>HLOOKUP('Getting Started'!H$2,J:N,ROW(),FALSE)</f>
        <v>The current version number</v>
      </c>
      <c r="D390" s="252" t="s">
        <v>507</v>
      </c>
      <c r="E390" s="255" t="s">
        <v>516</v>
      </c>
      <c r="F390" s="255" t="s">
        <v>1385</v>
      </c>
      <c r="G390" s="255" t="s">
        <v>1386</v>
      </c>
      <c r="H390" s="255" t="s">
        <v>1387</v>
      </c>
      <c r="I390" s="254"/>
      <c r="J390" s="254" t="s">
        <v>751</v>
      </c>
      <c r="K390" s="252"/>
      <c r="L390" s="252"/>
      <c r="N390" s="256" t="s">
        <v>3572</v>
      </c>
      <c r="O390" s="300"/>
    </row>
    <row r="391" spans="1:15" ht="24" x14ac:dyDescent="0.25">
      <c r="A391" s="252" t="s">
        <v>2547</v>
      </c>
      <c r="B391" s="252" t="str">
        <f>HLOOKUP('Getting Started'!H$2,E:I,ROW(),FALSE)</f>
        <v>Documents and records</v>
      </c>
      <c r="C391" s="252" t="str">
        <f>HLOOKUP('Getting Started'!H$2,J:N,ROW(),FALSE)</f>
        <v>The date on which it was released for use</v>
      </c>
      <c r="D391" s="252" t="s">
        <v>507</v>
      </c>
      <c r="E391" s="255" t="s">
        <v>516</v>
      </c>
      <c r="F391" s="255" t="s">
        <v>1385</v>
      </c>
      <c r="G391" s="255" t="s">
        <v>1386</v>
      </c>
      <c r="H391" s="255" t="s">
        <v>1387</v>
      </c>
      <c r="I391" s="254"/>
      <c r="J391" s="254" t="s">
        <v>752</v>
      </c>
      <c r="K391" s="252"/>
      <c r="L391" s="252"/>
      <c r="N391" s="256" t="s">
        <v>3583</v>
      </c>
      <c r="O391" s="300"/>
    </row>
    <row r="392" spans="1:15" ht="24" x14ac:dyDescent="0.25">
      <c r="A392" s="252" t="s">
        <v>2548</v>
      </c>
      <c r="B392" s="252" t="str">
        <f>HLOOKUP('Getting Started'!H$2,E:I,ROW(),FALSE)</f>
        <v>Documents and records</v>
      </c>
      <c r="C392" s="252" t="str">
        <f>HLOOKUP('Getting Started'!H$2,J:N,ROW(),FALSE)</f>
        <v>The date before the document must be reviewed</v>
      </c>
      <c r="D392" s="252" t="s">
        <v>507</v>
      </c>
      <c r="E392" s="255" t="s">
        <v>516</v>
      </c>
      <c r="F392" s="255" t="s">
        <v>1385</v>
      </c>
      <c r="G392" s="255" t="s">
        <v>1386</v>
      </c>
      <c r="H392" s="255" t="s">
        <v>1387</v>
      </c>
      <c r="I392" s="254"/>
      <c r="J392" s="254" t="s">
        <v>763</v>
      </c>
      <c r="K392" s="252"/>
      <c r="L392" s="252"/>
      <c r="N392" s="256" t="s">
        <v>3574</v>
      </c>
      <c r="O392" s="300"/>
    </row>
    <row r="393" spans="1:15" ht="24" x14ac:dyDescent="0.25">
      <c r="A393" s="252" t="s">
        <v>2549</v>
      </c>
      <c r="B393" s="252" t="str">
        <f>HLOOKUP('Getting Started'!H$2,E:I,ROW(),FALSE)</f>
        <v>Documents and records</v>
      </c>
      <c r="C393" s="252" t="str">
        <f>HLOOKUP('Getting Started'!H$2,J:N,ROW(),FALSE)</f>
        <v>Distribution list</v>
      </c>
      <c r="D393" s="252" t="s">
        <v>507</v>
      </c>
      <c r="E393" s="255" t="s">
        <v>516</v>
      </c>
      <c r="F393" s="255" t="s">
        <v>1385</v>
      </c>
      <c r="G393" s="255" t="s">
        <v>1386</v>
      </c>
      <c r="H393" s="255" t="s">
        <v>1387</v>
      </c>
      <c r="I393" s="254"/>
      <c r="J393" s="254" t="s">
        <v>754</v>
      </c>
      <c r="K393" s="252"/>
      <c r="L393" s="252"/>
      <c r="N393" s="256" t="s">
        <v>3575</v>
      </c>
      <c r="O393" s="300"/>
    </row>
    <row r="394" spans="1:15" ht="24" x14ac:dyDescent="0.25">
      <c r="A394" s="252" t="s">
        <v>2550</v>
      </c>
      <c r="B394" s="252" t="str">
        <f>HLOOKUP('Getting Started'!H$2,E:I,ROW(),FALSE)</f>
        <v>Documents and records</v>
      </c>
      <c r="C394" s="252" t="str">
        <f>HLOOKUP('Getting Started'!H$2,J:N,ROW(),FALSE)</f>
        <v>Description of changes compared to previous version</v>
      </c>
      <c r="D394" s="252" t="s">
        <v>507</v>
      </c>
      <c r="E394" s="255" t="s">
        <v>516</v>
      </c>
      <c r="F394" s="255" t="s">
        <v>1385</v>
      </c>
      <c r="G394" s="255" t="s">
        <v>1386</v>
      </c>
      <c r="H394" s="255" t="s">
        <v>1387</v>
      </c>
      <c r="I394" s="254"/>
      <c r="J394" s="254" t="s">
        <v>764</v>
      </c>
      <c r="K394" s="252"/>
      <c r="L394" s="252"/>
      <c r="N394" s="256" t="s">
        <v>3584</v>
      </c>
      <c r="O394" s="300"/>
    </row>
    <row r="395" spans="1:15" ht="94.5" x14ac:dyDescent="0.25">
      <c r="A395" s="252" t="s">
        <v>1725</v>
      </c>
      <c r="B395" s="252" t="str">
        <f>HLOOKUP('Getting Started'!H$2,E:I,ROW(),FALSE)</f>
        <v>Documents and records</v>
      </c>
      <c r="C395" s="252" t="str">
        <f>HLOOKUP('Getting Started'!H$2,J:N,ROW(),FALSE)</f>
        <v>Does the laboratory have a document control system that ensures that all its quality documents are reviewed, and, when necessary, revised on an annual (or, after maturation of the quality management system, biannual) basis?</v>
      </c>
      <c r="D395" s="252" t="s">
        <v>507</v>
      </c>
      <c r="E395" s="255" t="s">
        <v>516</v>
      </c>
      <c r="F395" s="255" t="s">
        <v>1385</v>
      </c>
      <c r="G395" s="255" t="s">
        <v>1386</v>
      </c>
      <c r="H395" s="255" t="s">
        <v>1387</v>
      </c>
      <c r="I395" s="254"/>
      <c r="J395" s="254" t="s">
        <v>765</v>
      </c>
      <c r="K395" s="252"/>
      <c r="L395" s="252"/>
      <c r="N395" s="256" t="s">
        <v>3585</v>
      </c>
      <c r="O395" s="258" t="s">
        <v>1</v>
      </c>
    </row>
    <row r="396" spans="1:15" ht="31.5" x14ac:dyDescent="0.25">
      <c r="A396" s="252" t="s">
        <v>1726</v>
      </c>
      <c r="B396" s="252" t="str">
        <f>HLOOKUP('Getting Started'!H$2,E:I,ROW(),FALSE)</f>
        <v>Documents and records</v>
      </c>
      <c r="C396" s="252" t="str">
        <f>HLOOKUP('Getting Started'!H$2,J:N,ROW(),FALSE)</f>
        <v>Are the Bench Aids used in the laboratory based on current versions of SOPs?</v>
      </c>
      <c r="D396" s="252" t="s">
        <v>507</v>
      </c>
      <c r="E396" s="255" t="s">
        <v>516</v>
      </c>
      <c r="F396" s="255" t="s">
        <v>1385</v>
      </c>
      <c r="G396" s="255" t="s">
        <v>1386</v>
      </c>
      <c r="H396" s="255" t="s">
        <v>1387</v>
      </c>
      <c r="I396" s="254"/>
      <c r="J396" s="254" t="s">
        <v>766</v>
      </c>
      <c r="K396" s="252"/>
      <c r="L396" s="252"/>
      <c r="N396" s="256" t="s">
        <v>3586</v>
      </c>
      <c r="O396" s="258" t="s">
        <v>1</v>
      </c>
    </row>
    <row r="397" spans="1:15" ht="47.25" x14ac:dyDescent="0.25">
      <c r="A397" s="252" t="s">
        <v>1727</v>
      </c>
      <c r="B397" s="252" t="str">
        <f>HLOOKUP('Getting Started'!H$2,E:I,ROW(),FALSE)</f>
        <v>Documents and records</v>
      </c>
      <c r="C397" s="252" t="str">
        <f>HLOOKUP('Getting Started'!H$2,J:N,ROW(),FALSE)</f>
        <v>Have all quality documents currently in use been reviewed by at least one reviewer?</v>
      </c>
      <c r="D397" s="252" t="s">
        <v>507</v>
      </c>
      <c r="E397" s="255" t="s">
        <v>516</v>
      </c>
      <c r="F397" s="255" t="s">
        <v>1385</v>
      </c>
      <c r="G397" s="255" t="s">
        <v>1386</v>
      </c>
      <c r="H397" s="255" t="s">
        <v>1387</v>
      </c>
      <c r="I397" s="254"/>
      <c r="J397" s="254" t="s">
        <v>767</v>
      </c>
      <c r="K397" s="252"/>
      <c r="L397" s="252"/>
      <c r="N397" s="256" t="s">
        <v>3587</v>
      </c>
      <c r="O397" s="258" t="s">
        <v>1</v>
      </c>
    </row>
    <row r="398" spans="1:15" ht="47.25" x14ac:dyDescent="0.25">
      <c r="A398" s="252" t="s">
        <v>1728</v>
      </c>
      <c r="B398" s="252" t="str">
        <f>HLOOKUP('Getting Started'!H$2,E:I,ROW(),FALSE)</f>
        <v>Documents and records</v>
      </c>
      <c r="C398" s="252" t="str">
        <f>HLOOKUP('Getting Started'!H$2,J:N,ROW(),FALSE)</f>
        <v>Are all the quality documents used in the laboratory authorized for release?</v>
      </c>
      <c r="D398" s="252" t="s">
        <v>507</v>
      </c>
      <c r="E398" s="255" t="s">
        <v>516</v>
      </c>
      <c r="F398" s="255" t="s">
        <v>1385</v>
      </c>
      <c r="G398" s="255" t="s">
        <v>1386</v>
      </c>
      <c r="H398" s="255" t="s">
        <v>1387</v>
      </c>
      <c r="I398" s="254"/>
      <c r="J398" s="254" t="s">
        <v>768</v>
      </c>
      <c r="K398" s="252"/>
      <c r="L398" s="252"/>
      <c r="N398" s="256" t="s">
        <v>3588</v>
      </c>
      <c r="O398" s="258" t="s">
        <v>1</v>
      </c>
    </row>
    <row r="399" spans="1:15" ht="31.5" x14ac:dyDescent="0.25">
      <c r="A399" s="252" t="s">
        <v>1729</v>
      </c>
      <c r="B399" s="252" t="str">
        <f>HLOOKUP('Getting Started'!H$2,E:I,ROW(),FALSE)</f>
        <v>Documents and records</v>
      </c>
      <c r="C399" s="252" t="str">
        <f>HLOOKUP('Getting Started'!H$2,J:N,ROW(),FALSE)</f>
        <v>Are all the quality documents used in the laboratory the current versions?</v>
      </c>
      <c r="D399" s="252" t="s">
        <v>507</v>
      </c>
      <c r="E399" s="255" t="s">
        <v>516</v>
      </c>
      <c r="F399" s="255" t="s">
        <v>1385</v>
      </c>
      <c r="G399" s="255" t="s">
        <v>1386</v>
      </c>
      <c r="H399" s="255" t="s">
        <v>1387</v>
      </c>
      <c r="I399" s="254"/>
      <c r="J399" s="254" t="s">
        <v>769</v>
      </c>
      <c r="K399" s="252"/>
      <c r="L399" s="252"/>
      <c r="N399" s="256" t="s">
        <v>3589</v>
      </c>
      <c r="O399" s="258" t="s">
        <v>1</v>
      </c>
    </row>
    <row r="400" spans="1:15" ht="63" x14ac:dyDescent="0.25">
      <c r="A400" s="252" t="s">
        <v>1730</v>
      </c>
      <c r="B400" s="252" t="str">
        <f>HLOOKUP('Getting Started'!H$2,E:I,ROW(),FALSE)</f>
        <v>Documents and records</v>
      </c>
      <c r="C400" s="252" t="str">
        <f>HLOOKUP('Getting Started'!H$2,J:N,ROW(),FALSE)</f>
        <v>Are copies of replaced quality documents in the quality documentation archive clearly marked as “replaced” with the date on which they were replaced?</v>
      </c>
      <c r="D400" s="252" t="s">
        <v>507</v>
      </c>
      <c r="E400" s="255" t="s">
        <v>516</v>
      </c>
      <c r="F400" s="255" t="s">
        <v>1385</v>
      </c>
      <c r="G400" s="255" t="s">
        <v>1386</v>
      </c>
      <c r="H400" s="255" t="s">
        <v>1387</v>
      </c>
      <c r="I400" s="254"/>
      <c r="J400" s="254" t="s">
        <v>770</v>
      </c>
      <c r="K400" s="252"/>
      <c r="L400" s="252"/>
      <c r="N400" s="256" t="s">
        <v>3590</v>
      </c>
      <c r="O400" s="258" t="s">
        <v>1</v>
      </c>
    </row>
    <row r="401" spans="1:15" ht="31.5" x14ac:dyDescent="0.25">
      <c r="A401" s="252" t="s">
        <v>1731</v>
      </c>
      <c r="B401" s="252" t="str">
        <f>HLOOKUP('Getting Started'!H$2,E:I,ROW(),FALSE)</f>
        <v>Documents and records</v>
      </c>
      <c r="C401" s="252" t="str">
        <f>HLOOKUP('Getting Started'!H$2,J:N,ROW(),FALSE)</f>
        <v>Are all the references in quality documents to other documents, locations and equipment correct?</v>
      </c>
      <c r="D401" s="252" t="s">
        <v>507</v>
      </c>
      <c r="E401" s="255" t="s">
        <v>516</v>
      </c>
      <c r="F401" s="255" t="s">
        <v>1385</v>
      </c>
      <c r="G401" s="255" t="s">
        <v>1386</v>
      </c>
      <c r="H401" s="255" t="s">
        <v>1387</v>
      </c>
      <c r="I401" s="254"/>
      <c r="J401" s="254" t="s">
        <v>771</v>
      </c>
      <c r="K401" s="252"/>
      <c r="L401" s="252"/>
      <c r="N401" s="256" t="s">
        <v>3591</v>
      </c>
      <c r="O401" s="258" t="s">
        <v>1</v>
      </c>
    </row>
    <row r="402" spans="1:15" ht="47.25" x14ac:dyDescent="0.25">
      <c r="A402" s="252" t="s">
        <v>1732</v>
      </c>
      <c r="B402" s="252" t="str">
        <f>HLOOKUP('Getting Started'!H$2,E:I,ROW(),FALSE)</f>
        <v>Documents and records</v>
      </c>
      <c r="C402" s="252" t="str">
        <f>HLOOKUP('Getting Started'!H$2,J:N,ROW(),FALSE)</f>
        <v>Does the laboratory have a dedicated archive in which it stores all its current and replaced quality documents for a period of five years?</v>
      </c>
      <c r="D402" s="252" t="s">
        <v>507</v>
      </c>
      <c r="E402" s="255" t="s">
        <v>516</v>
      </c>
      <c r="F402" s="255" t="s">
        <v>1385</v>
      </c>
      <c r="G402" s="255" t="s">
        <v>1386</v>
      </c>
      <c r="H402" s="255" t="s">
        <v>1387</v>
      </c>
      <c r="I402" s="254"/>
      <c r="J402" s="254" t="s">
        <v>772</v>
      </c>
      <c r="K402" s="252"/>
      <c r="L402" s="252"/>
      <c r="N402" s="256" t="s">
        <v>3592</v>
      </c>
      <c r="O402" s="258" t="s">
        <v>1</v>
      </c>
    </row>
    <row r="403" spans="1:15" ht="47.25" x14ac:dyDescent="0.25">
      <c r="A403" s="252" t="s">
        <v>1733</v>
      </c>
      <c r="B403" s="252" t="str">
        <f>HLOOKUP('Getting Started'!H$2,E:I,ROW(),FALSE)</f>
        <v>Documents and records</v>
      </c>
      <c r="C403" s="252" t="str">
        <f>HLOOKUP('Getting Started'!H$2,J:N,ROW(),FALSE)</f>
        <v>Are all the procedures related to the document control system standardized in an SOP?</v>
      </c>
      <c r="D403" s="252" t="s">
        <v>507</v>
      </c>
      <c r="E403" s="255" t="s">
        <v>516</v>
      </c>
      <c r="F403" s="255" t="s">
        <v>1385</v>
      </c>
      <c r="G403" s="255" t="s">
        <v>1386</v>
      </c>
      <c r="H403" s="255" t="s">
        <v>1387</v>
      </c>
      <c r="I403" s="254"/>
      <c r="J403" s="254" t="s">
        <v>773</v>
      </c>
      <c r="K403" s="252"/>
      <c r="L403" s="252"/>
      <c r="N403" s="256" t="s">
        <v>3593</v>
      </c>
      <c r="O403" s="258" t="s">
        <v>1</v>
      </c>
    </row>
    <row r="404" spans="1:15" ht="63" x14ac:dyDescent="0.25">
      <c r="A404" s="252" t="s">
        <v>1734</v>
      </c>
      <c r="B404" s="252" t="str">
        <f>HLOOKUP('Getting Started'!H$2,E:I,ROW(),FALSE)</f>
        <v>Documents and records</v>
      </c>
      <c r="C404" s="252" t="str">
        <f>HLOOKUP('Getting Started'!H$2,J:N,ROW(),FALSE)</f>
        <v>Is staff aware of what they have to do when they detect an error in a quality document?
Take a sample by asking several staff members.</v>
      </c>
      <c r="D404" s="252" t="s">
        <v>507</v>
      </c>
      <c r="E404" s="255" t="s">
        <v>516</v>
      </c>
      <c r="F404" s="255" t="s">
        <v>1385</v>
      </c>
      <c r="G404" s="255" t="s">
        <v>1386</v>
      </c>
      <c r="H404" s="255" t="s">
        <v>1387</v>
      </c>
      <c r="I404" s="254"/>
      <c r="J404" s="254" t="s">
        <v>2551</v>
      </c>
      <c r="K404" s="252"/>
      <c r="L404" s="252"/>
      <c r="N404" s="256" t="s">
        <v>3594</v>
      </c>
      <c r="O404" s="258" t="s">
        <v>1</v>
      </c>
    </row>
    <row r="405" spans="1:15" ht="60" x14ac:dyDescent="0.25">
      <c r="A405" s="252" t="s">
        <v>1735</v>
      </c>
      <c r="B405" s="252" t="str">
        <f>HLOOKUP('Getting Started'!H$2,E:I,ROW(),FALSE)</f>
        <v>Documents and records</v>
      </c>
      <c r="C405" s="252" t="str">
        <f>HLOOKUP('Getting Started'!H$2,J:N,ROW(),FALSE)</f>
        <v>Are the Equipment SOPs complete, i.e. do they include the procedures that were developed in phase 2 such as calibration, preventive maintenance and corrective maintenance?</v>
      </c>
      <c r="D405" s="252" t="s">
        <v>507</v>
      </c>
      <c r="E405" s="255" t="s">
        <v>516</v>
      </c>
      <c r="F405" s="255" t="s">
        <v>1385</v>
      </c>
      <c r="G405" s="255" t="s">
        <v>1386</v>
      </c>
      <c r="H405" s="255" t="s">
        <v>1387</v>
      </c>
      <c r="I405" s="254"/>
      <c r="J405" s="254" t="s">
        <v>774</v>
      </c>
      <c r="K405" s="252"/>
      <c r="L405" s="252"/>
      <c r="N405" s="256" t="s">
        <v>3595</v>
      </c>
      <c r="O405" s="258" t="s">
        <v>1</v>
      </c>
    </row>
    <row r="406" spans="1:15" ht="31.5" x14ac:dyDescent="0.25">
      <c r="A406" s="252" t="s">
        <v>1736</v>
      </c>
      <c r="B406" s="252" t="str">
        <f>HLOOKUP('Getting Started'!H$2,E:I,ROW(),FALSE)</f>
        <v>Customer Focus</v>
      </c>
      <c r="C406" s="252" t="str">
        <f>HLOOKUP('Getting Started'!H$2,J:N,ROW(),FALSE)</f>
        <v>Does the laboratory have a database/register with regular customers?</v>
      </c>
      <c r="D406" s="252" t="s">
        <v>507</v>
      </c>
      <c r="E406" s="255" t="s">
        <v>814</v>
      </c>
      <c r="F406" s="255" t="s">
        <v>1382</v>
      </c>
      <c r="G406" s="255" t="s">
        <v>1383</v>
      </c>
      <c r="H406" s="255" t="s">
        <v>1384</v>
      </c>
      <c r="I406" s="254"/>
      <c r="J406" s="254" t="s">
        <v>775</v>
      </c>
      <c r="K406" s="252"/>
      <c r="L406" s="252"/>
      <c r="N406" s="256" t="s">
        <v>3596</v>
      </c>
      <c r="O406" s="258" t="s">
        <v>1</v>
      </c>
    </row>
    <row r="407" spans="1:15" ht="63" x14ac:dyDescent="0.25">
      <c r="A407" s="252" t="s">
        <v>1737</v>
      </c>
      <c r="B407" s="252" t="str">
        <f>HLOOKUP('Getting Started'!H$2,E:I,ROW(),FALSE)</f>
        <v>Customer Focus</v>
      </c>
      <c r="C407" s="252" t="str">
        <f>HLOOKUP('Getting Started'!H$2,J:N,ROW(),FALSE)</f>
        <v>Are correct biological reference intervals/decision values and alert/critical interval values included for all the examinations performed by the laboratory in the Laboratory Result Reports?</v>
      </c>
      <c r="D407" s="252" t="s">
        <v>507</v>
      </c>
      <c r="E407" s="255" t="s">
        <v>814</v>
      </c>
      <c r="F407" s="255" t="s">
        <v>1382</v>
      </c>
      <c r="G407" s="255" t="s">
        <v>1383</v>
      </c>
      <c r="H407" s="255" t="s">
        <v>1384</v>
      </c>
      <c r="I407" s="254"/>
      <c r="J407" s="254" t="s">
        <v>776</v>
      </c>
      <c r="K407" s="252"/>
      <c r="L407" s="252"/>
      <c r="N407" s="256" t="s">
        <v>3597</v>
      </c>
      <c r="O407" s="258" t="s">
        <v>1</v>
      </c>
    </row>
    <row r="408" spans="1:15" ht="63" x14ac:dyDescent="0.25">
      <c r="A408" s="252" t="s">
        <v>1738</v>
      </c>
      <c r="B408" s="252" t="str">
        <f>HLOOKUP('Getting Started'!H$2,E:I,ROW(),FALSE)</f>
        <v>Customer Focus</v>
      </c>
      <c r="C408" s="252" t="str">
        <f>HLOOKUP('Getting Started'!H$2,J:N,ROW(),FALSE)</f>
        <v>Is the correctness of the biological reference intervals/diagnostic decision values and alert/critical interval values regularly verified for all the examinations performed by the laboratory?</v>
      </c>
      <c r="D408" s="252" t="s">
        <v>507</v>
      </c>
      <c r="E408" s="255" t="s">
        <v>814</v>
      </c>
      <c r="F408" s="255" t="s">
        <v>1382</v>
      </c>
      <c r="G408" s="255" t="s">
        <v>1383</v>
      </c>
      <c r="H408" s="255" t="s">
        <v>1384</v>
      </c>
      <c r="I408" s="254"/>
      <c r="J408" s="254" t="s">
        <v>777</v>
      </c>
      <c r="K408" s="252"/>
      <c r="L408" s="252"/>
      <c r="N408" s="256" t="s">
        <v>3598</v>
      </c>
      <c r="O408" s="258" t="s">
        <v>1</v>
      </c>
    </row>
    <row r="409" spans="1:15" ht="78.75" x14ac:dyDescent="0.25">
      <c r="A409" s="252" t="s">
        <v>1739</v>
      </c>
      <c r="B409" s="252" t="str">
        <f>HLOOKUP('Getting Started'!H$2,E:I,ROW(),FALSE)</f>
        <v>Customer Focus</v>
      </c>
      <c r="C409" s="252" t="str">
        <f>HLOOKUP('Getting Started'!H$2,J:N,ROW(),FALSE)</f>
        <v>If the methodology of an examination is changed, does the laboratory verify if the biological reference interval/diagnostic decision value and alert/critical interval value is still correct for that examination?</v>
      </c>
      <c r="D409" s="252" t="s">
        <v>507</v>
      </c>
      <c r="E409" s="255" t="s">
        <v>814</v>
      </c>
      <c r="F409" s="255" t="s">
        <v>1382</v>
      </c>
      <c r="G409" s="255" t="s">
        <v>1383</v>
      </c>
      <c r="H409" s="255" t="s">
        <v>1384</v>
      </c>
      <c r="I409" s="254"/>
      <c r="J409" s="254" t="s">
        <v>778</v>
      </c>
      <c r="K409" s="252"/>
      <c r="L409" s="252"/>
      <c r="N409" s="256" t="s">
        <v>3599</v>
      </c>
      <c r="O409" s="258" t="s">
        <v>1</v>
      </c>
    </row>
    <row r="410" spans="1:15" ht="31.5" x14ac:dyDescent="0.25">
      <c r="A410" s="252" t="s">
        <v>1740</v>
      </c>
      <c r="B410" s="252" t="str">
        <f>HLOOKUP('Getting Started'!H$2,E:I,ROW(),FALSE)</f>
        <v>Customer Focus</v>
      </c>
      <c r="C410" s="252" t="str">
        <f>HLOOKUP('Getting Started'!H$2,J:N,ROW(),FALSE)</f>
        <v>Does the laboratory have a service manual that includes the following: [tick-off]</v>
      </c>
      <c r="D410" s="252" t="s">
        <v>507</v>
      </c>
      <c r="E410" s="255" t="s">
        <v>814</v>
      </c>
      <c r="F410" s="255" t="s">
        <v>1382</v>
      </c>
      <c r="G410" s="255" t="s">
        <v>1383</v>
      </c>
      <c r="H410" s="255" t="s">
        <v>1384</v>
      </c>
      <c r="I410" s="254"/>
      <c r="J410" s="254" t="s">
        <v>779</v>
      </c>
      <c r="K410" s="252"/>
      <c r="L410" s="252"/>
      <c r="N410" s="256" t="s">
        <v>3600</v>
      </c>
      <c r="O410" s="300" t="s">
        <v>1</v>
      </c>
    </row>
    <row r="411" spans="1:15" ht="47.25" x14ac:dyDescent="0.25">
      <c r="A411" s="252" t="s">
        <v>2567</v>
      </c>
      <c r="B411" s="252" t="str">
        <f>HLOOKUP('Getting Started'!H$2,E:I,ROW(),FALSE)</f>
        <v>Customer Focus</v>
      </c>
      <c r="C411" s="252" t="str">
        <f>HLOOKUP('Getting Started'!H$2,J:N,ROW(),FALSE)</f>
        <v>Description of which tests are available at the laboratory, including information on which the clinical situations require this test to be performed.</v>
      </c>
      <c r="D411" s="252" t="s">
        <v>507</v>
      </c>
      <c r="E411" s="255" t="s">
        <v>814</v>
      </c>
      <c r="F411" s="255" t="s">
        <v>1382</v>
      </c>
      <c r="G411" s="255" t="s">
        <v>1383</v>
      </c>
      <c r="H411" s="255" t="s">
        <v>1384</v>
      </c>
      <c r="I411" s="254"/>
      <c r="J411" s="254" t="s">
        <v>780</v>
      </c>
      <c r="K411" s="252"/>
      <c r="L411" s="252"/>
      <c r="N411" s="256" t="s">
        <v>3601</v>
      </c>
      <c r="O411" s="300"/>
    </row>
    <row r="412" spans="1:15" ht="47.25" x14ac:dyDescent="0.25">
      <c r="A412" s="252" t="s">
        <v>2568</v>
      </c>
      <c r="B412" s="252" t="str">
        <f>HLOOKUP('Getting Started'!H$2,E:I,ROW(),FALSE)</f>
        <v>Customer Focus</v>
      </c>
      <c r="C412" s="252" t="str">
        <f>HLOOKUP('Getting Started'!H$2,J:N,ROW(),FALSE)</f>
        <v>What sample is needed for each test, the volume/amount needed and, if applicable, special timing of collection.</v>
      </c>
      <c r="D412" s="252" t="s">
        <v>507</v>
      </c>
      <c r="E412" s="255" t="s">
        <v>814</v>
      </c>
      <c r="F412" s="255" t="s">
        <v>1382</v>
      </c>
      <c r="G412" s="255" t="s">
        <v>1383</v>
      </c>
      <c r="H412" s="255" t="s">
        <v>1384</v>
      </c>
      <c r="I412" s="254"/>
      <c r="J412" s="254" t="s">
        <v>781</v>
      </c>
      <c r="K412" s="252"/>
      <c r="L412" s="252"/>
      <c r="N412" s="256" t="s">
        <v>3602</v>
      </c>
      <c r="O412" s="300"/>
    </row>
    <row r="413" spans="1:15" ht="24" x14ac:dyDescent="0.25">
      <c r="A413" s="252" t="s">
        <v>2587</v>
      </c>
      <c r="B413" s="252" t="str">
        <f>HLOOKUP('Getting Started'!H$2,E:I,ROW(),FALSE)</f>
        <v>Customer Focus</v>
      </c>
      <c r="C413" s="252" t="str">
        <f>HLOOKUP('Getting Started'!H$2,J:N,ROW(),FALSE)</f>
        <v>How this sample must be collected, including:</v>
      </c>
      <c r="D413" s="252" t="s">
        <v>507</v>
      </c>
      <c r="E413" s="255" t="s">
        <v>814</v>
      </c>
      <c r="F413" s="255" t="s">
        <v>1382</v>
      </c>
      <c r="G413" s="255" t="s">
        <v>1383</v>
      </c>
      <c r="H413" s="255" t="s">
        <v>1384</v>
      </c>
      <c r="I413" s="254"/>
      <c r="J413" s="254" t="s">
        <v>782</v>
      </c>
      <c r="K413" s="252"/>
      <c r="L413" s="252"/>
      <c r="N413" s="256" t="s">
        <v>3603</v>
      </c>
      <c r="O413" s="300"/>
    </row>
    <row r="414" spans="1:15" ht="78.75" x14ac:dyDescent="0.25">
      <c r="A414" s="252" t="s">
        <v>2588</v>
      </c>
      <c r="B414" s="252" t="str">
        <f>HLOOKUP('Getting Started'!H$2,E:I,ROW(),FALSE)</f>
        <v>Customer Focus</v>
      </c>
      <c r="C414" s="252" t="str">
        <f>HLOOKUP('Getting Started'!H$2,J:N,ROW(),FALSE)</f>
        <v>Identification of the patient and verification that the patient meets the pre-examination requirements (e.g. for some examinations the patient must be sober; the sample collector must verify that the patient is indeed sober).</v>
      </c>
      <c r="D414" s="252" t="s">
        <v>507</v>
      </c>
      <c r="E414" s="255" t="s">
        <v>814</v>
      </c>
      <c r="F414" s="255" t="s">
        <v>1382</v>
      </c>
      <c r="G414" s="255" t="s">
        <v>1383</v>
      </c>
      <c r="H414" s="255" t="s">
        <v>1384</v>
      </c>
      <c r="I414" s="254"/>
      <c r="J414" s="254" t="s">
        <v>783</v>
      </c>
      <c r="K414" s="252"/>
      <c r="L414" s="252"/>
      <c r="N414" s="256" t="s">
        <v>3604</v>
      </c>
      <c r="O414" s="300"/>
    </row>
    <row r="415" spans="1:15" ht="24" x14ac:dyDescent="0.25">
      <c r="A415" s="252" t="s">
        <v>2569</v>
      </c>
      <c r="B415" s="252" t="str">
        <f>HLOOKUP('Getting Started'!H$2,E:I,ROW(),FALSE)</f>
        <v>Customer Focus</v>
      </c>
      <c r="C415" s="252" t="str">
        <f>HLOOKUP('Getting Started'!H$2,J:N,ROW(),FALSE)</f>
        <v>How to prepare the patient.</v>
      </c>
      <c r="D415" s="252" t="s">
        <v>507</v>
      </c>
      <c r="E415" s="255" t="s">
        <v>814</v>
      </c>
      <c r="F415" s="255" t="s">
        <v>1382</v>
      </c>
      <c r="G415" s="255" t="s">
        <v>1383</v>
      </c>
      <c r="H415" s="255" t="s">
        <v>1384</v>
      </c>
      <c r="I415" s="254"/>
      <c r="J415" s="254" t="s">
        <v>784</v>
      </c>
      <c r="K415" s="252"/>
      <c r="L415" s="252"/>
      <c r="N415" s="256" t="s">
        <v>3605</v>
      </c>
      <c r="O415" s="300"/>
    </row>
    <row r="416" spans="1:15" ht="24" x14ac:dyDescent="0.25">
      <c r="A416" s="252" t="s">
        <v>2570</v>
      </c>
      <c r="B416" s="252" t="str">
        <f>HLOOKUP('Getting Started'!H$2,E:I,ROW(),FALSE)</f>
        <v>Customer Focus</v>
      </c>
      <c r="C416" s="252" t="str">
        <f>HLOOKUP('Getting Started'!H$2,J:N,ROW(),FALSE)</f>
        <v>How to label the patient.</v>
      </c>
      <c r="D416" s="252" t="s">
        <v>507</v>
      </c>
      <c r="E416" s="255" t="s">
        <v>814</v>
      </c>
      <c r="F416" s="255" t="s">
        <v>1382</v>
      </c>
      <c r="G416" s="255" t="s">
        <v>1383</v>
      </c>
      <c r="H416" s="255" t="s">
        <v>1384</v>
      </c>
      <c r="I416" s="254"/>
      <c r="J416" s="254" t="s">
        <v>785</v>
      </c>
      <c r="K416" s="252"/>
      <c r="L416" s="252"/>
      <c r="N416" s="256" t="s">
        <v>3606</v>
      </c>
      <c r="O416" s="300"/>
    </row>
    <row r="417" spans="1:15" ht="31.5" x14ac:dyDescent="0.25">
      <c r="A417" s="252" t="s">
        <v>2571</v>
      </c>
      <c r="B417" s="252" t="str">
        <f>HLOOKUP('Getting Started'!H$2,E:I,ROW(),FALSE)</f>
        <v>Customer Focus</v>
      </c>
      <c r="C417" s="252" t="str">
        <f>HLOOKUP('Getting Started'!H$2,J:N,ROW(),FALSE)</f>
        <v>The type of container in which the sample must be collected.</v>
      </c>
      <c r="D417" s="252" t="s">
        <v>507</v>
      </c>
      <c r="E417" s="255" t="s">
        <v>814</v>
      </c>
      <c r="F417" s="255" t="s">
        <v>1382</v>
      </c>
      <c r="G417" s="255" t="s">
        <v>1383</v>
      </c>
      <c r="H417" s="255" t="s">
        <v>1384</v>
      </c>
      <c r="I417" s="254"/>
      <c r="J417" s="254" t="s">
        <v>786</v>
      </c>
      <c r="K417" s="252"/>
      <c r="L417" s="252"/>
      <c r="N417" s="256" t="s">
        <v>3607</v>
      </c>
      <c r="O417" s="300"/>
    </row>
    <row r="418" spans="1:15" ht="31.5" x14ac:dyDescent="0.25">
      <c r="A418" s="252" t="s">
        <v>2587</v>
      </c>
      <c r="B418" s="252" t="str">
        <f>HLOOKUP('Getting Started'!H$2,E:I,ROW(),FALSE)</f>
        <v>Customer Focus</v>
      </c>
      <c r="C418" s="252" t="str">
        <f>HLOOKUP('Getting Started'!H$2,J:N,ROW(),FALSE)</f>
        <v>How and under which conditions it must be packed and sent to the laboratory, including:</v>
      </c>
      <c r="D418" s="252" t="s">
        <v>507</v>
      </c>
      <c r="E418" s="255" t="s">
        <v>814</v>
      </c>
      <c r="F418" s="255" t="s">
        <v>1382</v>
      </c>
      <c r="G418" s="255" t="s">
        <v>1383</v>
      </c>
      <c r="H418" s="255" t="s">
        <v>1384</v>
      </c>
      <c r="I418" s="254"/>
      <c r="J418" s="254" t="s">
        <v>787</v>
      </c>
      <c r="K418" s="252"/>
      <c r="L418" s="252"/>
      <c r="N418" s="256" t="s">
        <v>3608</v>
      </c>
      <c r="O418" s="300"/>
    </row>
    <row r="419" spans="1:15" ht="30" x14ac:dyDescent="0.25">
      <c r="A419" s="252" t="s">
        <v>2572</v>
      </c>
      <c r="B419" s="252" t="str">
        <f>HLOOKUP('Getting Started'!H$2,E:I,ROW(),FALSE)</f>
        <v>Customer Focus</v>
      </c>
      <c r="C419" s="252" t="str">
        <f>HLOOKUP('Getting Started'!H$2,J:N,ROW(),FALSE)</f>
        <v>Time frame within which the sample must be sent to the laboratory.</v>
      </c>
      <c r="D419" s="252" t="s">
        <v>507</v>
      </c>
      <c r="E419" s="255" t="s">
        <v>814</v>
      </c>
      <c r="F419" s="255" t="s">
        <v>1382</v>
      </c>
      <c r="G419" s="255" t="s">
        <v>1383</v>
      </c>
      <c r="H419" s="255" t="s">
        <v>1384</v>
      </c>
      <c r="I419" s="254"/>
      <c r="J419" s="254" t="s">
        <v>788</v>
      </c>
      <c r="K419" s="252"/>
      <c r="L419" s="252"/>
      <c r="N419" s="256" t="s">
        <v>3609</v>
      </c>
      <c r="O419" s="300"/>
    </row>
    <row r="420" spans="1:15" ht="31.5" x14ac:dyDescent="0.25">
      <c r="A420" s="252" t="s">
        <v>2573</v>
      </c>
      <c r="B420" s="252" t="str">
        <f>HLOOKUP('Getting Started'!H$2,E:I,ROW(),FALSE)</f>
        <v>Customer Focus</v>
      </c>
      <c r="C420" s="252" t="str">
        <f>HLOOKUP('Getting Started'!H$2,J:N,ROW(),FALSE)</f>
        <v>Temperature interval in which it must be transported.</v>
      </c>
      <c r="D420" s="252" t="s">
        <v>507</v>
      </c>
      <c r="E420" s="255" t="s">
        <v>814</v>
      </c>
      <c r="F420" s="255" t="s">
        <v>1382</v>
      </c>
      <c r="G420" s="255" t="s">
        <v>1383</v>
      </c>
      <c r="H420" s="255" t="s">
        <v>1384</v>
      </c>
      <c r="I420" s="254"/>
      <c r="J420" s="254" t="s">
        <v>789</v>
      </c>
      <c r="K420" s="252"/>
      <c r="L420" s="252"/>
      <c r="N420" s="256" t="s">
        <v>3610</v>
      </c>
      <c r="O420" s="300"/>
    </row>
    <row r="421" spans="1:15" ht="31.5" x14ac:dyDescent="0.25">
      <c r="A421" s="252" t="s">
        <v>2574</v>
      </c>
      <c r="B421" s="252" t="str">
        <f>HLOOKUP('Getting Started'!H$2,E:I,ROW(),FALSE)</f>
        <v>Customer Focus</v>
      </c>
      <c r="C421" s="252" t="str">
        <f>HLOOKUP('Getting Started'!H$2,J:N,ROW(),FALSE)</f>
        <v>The method of packing the sample container to prevent leaks.</v>
      </c>
      <c r="D421" s="252" t="s">
        <v>507</v>
      </c>
      <c r="E421" s="255" t="s">
        <v>814</v>
      </c>
      <c r="F421" s="255" t="s">
        <v>1382</v>
      </c>
      <c r="G421" s="255" t="s">
        <v>1383</v>
      </c>
      <c r="H421" s="255" t="s">
        <v>1384</v>
      </c>
      <c r="I421" s="254"/>
      <c r="J421" s="254" t="s">
        <v>790</v>
      </c>
      <c r="K421" s="252"/>
      <c r="L421" s="252"/>
      <c r="N421" s="256" t="s">
        <v>3611</v>
      </c>
      <c r="O421" s="300"/>
    </row>
    <row r="422" spans="1:15" ht="31.5" x14ac:dyDescent="0.25">
      <c r="A422" s="252" t="s">
        <v>2575</v>
      </c>
      <c r="B422" s="252" t="str">
        <f>HLOOKUP('Getting Started'!H$2,E:I,ROW(),FALSE)</f>
        <v>Customer Focus</v>
      </c>
      <c r="C422" s="252" t="str">
        <f>HLOOKUP('Getting Started'!H$2,J:N,ROW(),FALSE)</f>
        <v>If applicable, requirements regarding patient consent.</v>
      </c>
      <c r="D422" s="252" t="s">
        <v>507</v>
      </c>
      <c r="E422" s="255" t="s">
        <v>814</v>
      </c>
      <c r="F422" s="255" t="s">
        <v>1382</v>
      </c>
      <c r="G422" s="255" t="s">
        <v>1383</v>
      </c>
      <c r="H422" s="255" t="s">
        <v>1384</v>
      </c>
      <c r="I422" s="254"/>
      <c r="J422" s="254" t="s">
        <v>791</v>
      </c>
      <c r="K422" s="252"/>
      <c r="L422" s="252"/>
      <c r="N422" s="256" t="s">
        <v>3612</v>
      </c>
      <c r="O422" s="300"/>
    </row>
    <row r="423" spans="1:15" ht="31.5" x14ac:dyDescent="0.25">
      <c r="A423" s="252" t="s">
        <v>2576</v>
      </c>
      <c r="B423" s="252" t="str">
        <f>HLOOKUP('Getting Started'!H$2,E:I,ROW(),FALSE)</f>
        <v>Customer Focus</v>
      </c>
      <c r="C423" s="252" t="str">
        <f>HLOOKUP('Getting Started'!H$2,J:N,ROW(),FALSE)</f>
        <v>The procedure for requesting routine laboratory testing, including how to complete the Request Form.</v>
      </c>
      <c r="D423" s="252" t="s">
        <v>507</v>
      </c>
      <c r="E423" s="255" t="s">
        <v>814</v>
      </c>
      <c r="F423" s="255" t="s">
        <v>1382</v>
      </c>
      <c r="G423" s="255" t="s">
        <v>1383</v>
      </c>
      <c r="H423" s="255" t="s">
        <v>1384</v>
      </c>
      <c r="I423" s="254"/>
      <c r="J423" s="254" t="s">
        <v>792</v>
      </c>
      <c r="K423" s="252"/>
      <c r="L423" s="252"/>
      <c r="N423" s="256" t="s">
        <v>3613</v>
      </c>
      <c r="O423" s="300"/>
    </row>
    <row r="424" spans="1:15" ht="30" x14ac:dyDescent="0.25">
      <c r="A424" s="252" t="s">
        <v>2577</v>
      </c>
      <c r="B424" s="252" t="str">
        <f>HLOOKUP('Getting Started'!H$2,E:I,ROW(),FALSE)</f>
        <v>Customer Focus</v>
      </c>
      <c r="C424" s="252" t="str">
        <f>HLOOKUP('Getting Started'!H$2,J:N,ROW(),FALSE)</f>
        <v>The procedure for requesting urgent laboratory testing.</v>
      </c>
      <c r="D424" s="252" t="s">
        <v>507</v>
      </c>
      <c r="E424" s="255" t="s">
        <v>814</v>
      </c>
      <c r="F424" s="255" t="s">
        <v>1382</v>
      </c>
      <c r="G424" s="255" t="s">
        <v>1383</v>
      </c>
      <c r="H424" s="255" t="s">
        <v>1384</v>
      </c>
      <c r="I424" s="254"/>
      <c r="J424" s="254" t="s">
        <v>793</v>
      </c>
      <c r="K424" s="252"/>
      <c r="L424" s="252"/>
      <c r="N424" s="256" t="s">
        <v>3614</v>
      </c>
      <c r="O424" s="300"/>
    </row>
    <row r="425" spans="1:15" ht="31.5" x14ac:dyDescent="0.25">
      <c r="A425" s="252" t="s">
        <v>2578</v>
      </c>
      <c r="B425" s="252" t="str">
        <f>HLOOKUP('Getting Started'!H$2,E:I,ROW(),FALSE)</f>
        <v>Customer Focus</v>
      </c>
      <c r="C425" s="252" t="str">
        <f>HLOOKUP('Getting Started'!H$2,J:N,ROW(),FALSE)</f>
        <v>The normal turnaround time for each test.</v>
      </c>
      <c r="D425" s="252" t="s">
        <v>507</v>
      </c>
      <c r="E425" s="255" t="s">
        <v>814</v>
      </c>
      <c r="F425" s="255" t="s">
        <v>1382</v>
      </c>
      <c r="G425" s="255" t="s">
        <v>1383</v>
      </c>
      <c r="H425" s="255" t="s">
        <v>1384</v>
      </c>
      <c r="I425" s="254"/>
      <c r="J425" s="254" t="s">
        <v>794</v>
      </c>
      <c r="K425" s="252"/>
      <c r="L425" s="252"/>
      <c r="N425" s="256" t="s">
        <v>3615</v>
      </c>
      <c r="O425" s="300"/>
    </row>
    <row r="426" spans="1:15" ht="31.5" x14ac:dyDescent="0.25">
      <c r="A426" s="252" t="s">
        <v>2579</v>
      </c>
      <c r="B426" s="252" t="str">
        <f>HLOOKUP('Getting Started'!H$2,E:I,ROW(),FALSE)</f>
        <v>Customer Focus</v>
      </c>
      <c r="C426" s="252" t="str">
        <f>HLOOKUP('Getting Started'!H$2,J:N,ROW(),FALSE)</f>
        <v>The biological reference intervals and, if applicable, the critical/alert values for specific tests.</v>
      </c>
      <c r="D426" s="252" t="s">
        <v>507</v>
      </c>
      <c r="E426" s="255" t="s">
        <v>814</v>
      </c>
      <c r="F426" s="255" t="s">
        <v>1382</v>
      </c>
      <c r="G426" s="255" t="s">
        <v>1383</v>
      </c>
      <c r="H426" s="255" t="s">
        <v>1384</v>
      </c>
      <c r="I426" s="254"/>
      <c r="J426" s="254" t="s">
        <v>795</v>
      </c>
      <c r="K426" s="252"/>
      <c r="L426" s="252"/>
      <c r="N426" s="256" t="s">
        <v>3616</v>
      </c>
      <c r="O426" s="300"/>
    </row>
    <row r="427" spans="1:15" ht="45" x14ac:dyDescent="0.25">
      <c r="A427" s="252" t="s">
        <v>2580</v>
      </c>
      <c r="B427" s="252" t="str">
        <f>HLOOKUP('Getting Started'!H$2,E:I,ROW(),FALSE)</f>
        <v>Customer Focus</v>
      </c>
      <c r="C427" s="252" t="str">
        <f>HLOOKUP('Getting Started'!H$2,J:N,ROW(),FALSE)</f>
        <v>A list of factors known to affect the performance of the examination or the interpretation of results of each examination.</v>
      </c>
      <c r="D427" s="252" t="s">
        <v>507</v>
      </c>
      <c r="E427" s="255" t="s">
        <v>814</v>
      </c>
      <c r="F427" s="255" t="s">
        <v>1382</v>
      </c>
      <c r="G427" s="255" t="s">
        <v>1383</v>
      </c>
      <c r="H427" s="255" t="s">
        <v>1384</v>
      </c>
      <c r="I427" s="254"/>
      <c r="J427" s="254" t="s">
        <v>796</v>
      </c>
      <c r="K427" s="252"/>
      <c r="L427" s="252"/>
      <c r="N427" s="256" t="s">
        <v>3617</v>
      </c>
      <c r="O427" s="300"/>
    </row>
    <row r="428" spans="1:15" ht="24" x14ac:dyDescent="0.25">
      <c r="A428" s="252" t="s">
        <v>2581</v>
      </c>
      <c r="B428" s="252" t="str">
        <f>HLOOKUP('Getting Started'!H$2,E:I,ROW(),FALSE)</f>
        <v>Customer Focus</v>
      </c>
      <c r="C428" s="252" t="str">
        <f>HLOOKUP('Getting Started'!H$2,J:N,ROW(),FALSE)</f>
        <v>The routine method of reporting.</v>
      </c>
      <c r="D428" s="252" t="s">
        <v>507</v>
      </c>
      <c r="E428" s="255" t="s">
        <v>814</v>
      </c>
      <c r="F428" s="255" t="s">
        <v>1382</v>
      </c>
      <c r="G428" s="255" t="s">
        <v>1383</v>
      </c>
      <c r="H428" s="255" t="s">
        <v>1384</v>
      </c>
      <c r="I428" s="254"/>
      <c r="J428" s="254" t="s">
        <v>797</v>
      </c>
      <c r="K428" s="252"/>
      <c r="L428" s="252"/>
      <c r="N428" s="256" t="s">
        <v>3618</v>
      </c>
      <c r="O428" s="300"/>
    </row>
    <row r="429" spans="1:15" ht="24" x14ac:dyDescent="0.25">
      <c r="A429" s="252" t="s">
        <v>2582</v>
      </c>
      <c r="B429" s="252" t="str">
        <f>HLOOKUP('Getting Started'!H$2,E:I,ROW(),FALSE)</f>
        <v>Customer Focus</v>
      </c>
      <c r="C429" s="252" t="str">
        <f>HLOOKUP('Getting Started'!H$2,J:N,ROW(),FALSE)</f>
        <v>A guideline to interpreting the Result Report.</v>
      </c>
      <c r="D429" s="252" t="s">
        <v>507</v>
      </c>
      <c r="E429" s="255" t="s">
        <v>814</v>
      </c>
      <c r="F429" s="255" t="s">
        <v>1382</v>
      </c>
      <c r="G429" s="255" t="s">
        <v>1383</v>
      </c>
      <c r="H429" s="255" t="s">
        <v>1384</v>
      </c>
      <c r="I429" s="254"/>
      <c r="J429" s="254" t="s">
        <v>798</v>
      </c>
      <c r="K429" s="252"/>
      <c r="L429" s="252"/>
      <c r="N429" s="256" t="s">
        <v>3619</v>
      </c>
      <c r="O429" s="300"/>
    </row>
    <row r="430" spans="1:15" ht="24" x14ac:dyDescent="0.25">
      <c r="A430" s="252" t="s">
        <v>2583</v>
      </c>
      <c r="B430" s="252" t="str">
        <f>HLOOKUP('Getting Started'!H$2,E:I,ROW(),FALSE)</f>
        <v>Customer Focus</v>
      </c>
      <c r="C430" s="252" t="str">
        <f>HLOOKUP('Getting Started'!H$2,J:N,ROW(),FALSE)</f>
        <v>The procedure for reporting urgent testing results.</v>
      </c>
      <c r="D430" s="252" t="s">
        <v>507</v>
      </c>
      <c r="E430" s="255" t="s">
        <v>814</v>
      </c>
      <c r="F430" s="255" t="s">
        <v>1382</v>
      </c>
      <c r="G430" s="255" t="s">
        <v>1383</v>
      </c>
      <c r="H430" s="255" t="s">
        <v>1384</v>
      </c>
      <c r="I430" s="254"/>
      <c r="J430" s="254" t="s">
        <v>799</v>
      </c>
      <c r="K430" s="252"/>
      <c r="L430" s="252"/>
      <c r="N430" s="256" t="s">
        <v>3620</v>
      </c>
      <c r="O430" s="300"/>
    </row>
    <row r="431" spans="1:15" ht="31.5" x14ac:dyDescent="0.25">
      <c r="A431" s="252" t="s">
        <v>2584</v>
      </c>
      <c r="B431" s="252" t="str">
        <f>HLOOKUP('Getting Started'!H$2,E:I,ROW(),FALSE)</f>
        <v>Customer Focus</v>
      </c>
      <c r="C431" s="252" t="str">
        <f>HLOOKUP('Getting Started'!H$2,J:N,ROW(),FALSE)</f>
        <v>Requesting additional testing, including the time-frame in which this is possible.</v>
      </c>
      <c r="D431" s="252" t="s">
        <v>507</v>
      </c>
      <c r="E431" s="255" t="s">
        <v>814</v>
      </c>
      <c r="F431" s="255" t="s">
        <v>1382</v>
      </c>
      <c r="G431" s="255" t="s">
        <v>1383</v>
      </c>
      <c r="H431" s="255" t="s">
        <v>1384</v>
      </c>
      <c r="I431" s="254"/>
      <c r="J431" s="254" t="s">
        <v>800</v>
      </c>
      <c r="K431" s="252"/>
      <c r="L431" s="252"/>
      <c r="N431" s="256" t="s">
        <v>3621</v>
      </c>
      <c r="O431" s="300"/>
    </row>
    <row r="432" spans="1:15" ht="31.5" x14ac:dyDescent="0.25">
      <c r="A432" s="252" t="s">
        <v>2585</v>
      </c>
      <c r="B432" s="252" t="str">
        <f>HLOOKUP('Getting Started'!H$2,E:I,ROW(),FALSE)</f>
        <v>Customer Focus</v>
      </c>
      <c r="C432" s="252" t="str">
        <f>HLOOKUP('Getting Started'!H$2,J:N,ROW(),FALSE)</f>
        <v>The laboratory’s policy on protection of patient information.</v>
      </c>
      <c r="D432" s="252" t="s">
        <v>507</v>
      </c>
      <c r="E432" s="255" t="s">
        <v>814</v>
      </c>
      <c r="F432" s="255" t="s">
        <v>1382</v>
      </c>
      <c r="G432" s="255" t="s">
        <v>1383</v>
      </c>
      <c r="H432" s="255" t="s">
        <v>1384</v>
      </c>
      <c r="I432" s="254"/>
      <c r="J432" s="254" t="s">
        <v>801</v>
      </c>
      <c r="K432" s="252"/>
      <c r="L432" s="252"/>
      <c r="N432" s="256" t="s">
        <v>3622</v>
      </c>
      <c r="O432" s="300"/>
    </row>
    <row r="433" spans="1:18" ht="47.25" x14ac:dyDescent="0.25">
      <c r="A433" s="252" t="s">
        <v>2586</v>
      </c>
      <c r="B433" s="252" t="str">
        <f>HLOOKUP('Getting Started'!H$2,E:I,ROW(),FALSE)</f>
        <v>Customer Focus</v>
      </c>
      <c r="C433" s="252" t="str">
        <f>HLOOKUP('Getting Started'!H$2,J:N,ROW(),FALSE)</f>
        <v>The laboratory’s complaint procedure (this will not yet be included in phase 2 as this will be developed in phase 4).</v>
      </c>
      <c r="D433" s="252" t="s">
        <v>507</v>
      </c>
      <c r="E433" s="255" t="s">
        <v>814</v>
      </c>
      <c r="F433" s="255" t="s">
        <v>1382</v>
      </c>
      <c r="G433" s="255" t="s">
        <v>1383</v>
      </c>
      <c r="H433" s="255" t="s">
        <v>1384</v>
      </c>
      <c r="I433" s="254"/>
      <c r="J433" s="254" t="s">
        <v>802</v>
      </c>
      <c r="K433" s="252"/>
      <c r="L433" s="252"/>
      <c r="N433" s="256" t="s">
        <v>3623</v>
      </c>
      <c r="O433" s="300"/>
    </row>
    <row r="434" spans="1:18" ht="31.5" x14ac:dyDescent="0.25">
      <c r="A434" s="252" t="s">
        <v>1741</v>
      </c>
      <c r="B434" s="252" t="str">
        <f>HLOOKUP('Getting Started'!H$2,E:I,ROW(),FALSE)</f>
        <v>Customer Focus</v>
      </c>
      <c r="C434" s="252" t="str">
        <f>HLOOKUP('Getting Started'!H$2,J:N,ROW(),FALSE)</f>
        <v>Has the Laboratory Service Manual been sent to all the clients of the laboratory?</v>
      </c>
      <c r="D434" s="252" t="s">
        <v>507</v>
      </c>
      <c r="E434" s="255" t="s">
        <v>814</v>
      </c>
      <c r="F434" s="255" t="s">
        <v>1382</v>
      </c>
      <c r="G434" s="255" t="s">
        <v>1383</v>
      </c>
      <c r="H434" s="255" t="s">
        <v>1384</v>
      </c>
      <c r="I434" s="254"/>
      <c r="J434" s="254" t="s">
        <v>803</v>
      </c>
      <c r="K434" s="252"/>
      <c r="L434" s="252"/>
      <c r="N434" s="256" t="s">
        <v>3624</v>
      </c>
      <c r="O434" s="258" t="s">
        <v>1</v>
      </c>
    </row>
    <row r="435" spans="1:18" ht="78.75" x14ac:dyDescent="0.25">
      <c r="A435" s="252" t="s">
        <v>1742</v>
      </c>
      <c r="B435" s="252" t="str">
        <f>HLOOKUP('Getting Started'!H$2,E:I,ROW(),FALSE)</f>
        <v>Customer Focus</v>
      </c>
      <c r="C435" s="252" t="str">
        <f>HLOOKUP('Getting Started'!H$2,J:N,ROW(),FALSE)</f>
        <v>When changes are made to the service manual, is the new version directly printed and sent to the clients of the laboratory, with the note that they have to destroy the previous version?</v>
      </c>
      <c r="D435" s="252" t="s">
        <v>507</v>
      </c>
      <c r="E435" s="255" t="s">
        <v>814</v>
      </c>
      <c r="F435" s="255" t="s">
        <v>1382</v>
      </c>
      <c r="G435" s="255" t="s">
        <v>1383</v>
      </c>
      <c r="H435" s="255" t="s">
        <v>1384</v>
      </c>
      <c r="I435" s="254"/>
      <c r="J435" s="254" t="s">
        <v>804</v>
      </c>
      <c r="K435" s="252"/>
      <c r="L435" s="252"/>
      <c r="N435" s="256" t="s">
        <v>3625</v>
      </c>
      <c r="O435" s="258" t="s">
        <v>1</v>
      </c>
    </row>
    <row r="436" spans="1:18" ht="78.75" x14ac:dyDescent="0.25">
      <c r="A436" s="252" t="s">
        <v>1743</v>
      </c>
      <c r="B436" s="252" t="str">
        <f>HLOOKUP('Getting Started'!H$2,E:I,ROW(),FALSE)</f>
        <v>Customer Focus</v>
      </c>
      <c r="C436" s="252" t="str">
        <f>HLOOKUP('Getting Started'!H$2,J:N,ROW(),FALSE)</f>
        <v>Are correct biological reference intervals/decision values and alert/critical interval values included for all the examinations performed by the laboratory in the Laboratory Service Manual?</v>
      </c>
      <c r="D436" s="252" t="s">
        <v>507</v>
      </c>
      <c r="E436" s="255" t="s">
        <v>814</v>
      </c>
      <c r="F436" s="255" t="s">
        <v>1382</v>
      </c>
      <c r="G436" s="255" t="s">
        <v>1383</v>
      </c>
      <c r="H436" s="255" t="s">
        <v>1384</v>
      </c>
      <c r="I436" s="254"/>
      <c r="J436" s="254" t="s">
        <v>805</v>
      </c>
      <c r="K436" s="252"/>
      <c r="L436" s="252"/>
      <c r="N436" s="256" t="s">
        <v>3626</v>
      </c>
      <c r="O436" s="258" t="s">
        <v>1</v>
      </c>
    </row>
    <row r="437" spans="1:18" ht="126" x14ac:dyDescent="0.25">
      <c r="A437" s="252" t="s">
        <v>1744</v>
      </c>
      <c r="B437" s="252" t="str">
        <f>HLOOKUP('Getting Started'!H$2,E:I,ROW(),FALSE)</f>
        <v>Customer Focus</v>
      </c>
      <c r="C437" s="252" t="str">
        <f>HLOOKUP('Getting Started'!H$2,J:N,ROW(),FALSE)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437" s="252" t="s">
        <v>507</v>
      </c>
      <c r="E437" s="255" t="s">
        <v>814</v>
      </c>
      <c r="F437" s="255" t="s">
        <v>1382</v>
      </c>
      <c r="G437" s="255" t="s">
        <v>1383</v>
      </c>
      <c r="H437" s="255" t="s">
        <v>1384</v>
      </c>
      <c r="I437" s="254"/>
      <c r="J437" s="254" t="s">
        <v>806</v>
      </c>
      <c r="K437" s="252"/>
      <c r="L437" s="252"/>
      <c r="N437" s="256" t="s">
        <v>3627</v>
      </c>
      <c r="O437" s="258" t="s">
        <v>1</v>
      </c>
    </row>
    <row r="438" spans="1:18" ht="63" x14ac:dyDescent="0.25">
      <c r="A438" s="252" t="s">
        <v>1745</v>
      </c>
      <c r="B438" s="252" t="str">
        <f>HLOOKUP('Getting Started'!H$2,E:I,ROW(),FALSE)</f>
        <v>Assessment</v>
      </c>
      <c r="C438" s="252" t="str">
        <f>HLOOKUP('Getting Started'!H$2,J:N,ROW(),FALSE)</f>
        <v>Does the laboratory participate in proficiency testing/inter-laboratory comparison schemes for all the examinations performed?</v>
      </c>
      <c r="D438" s="252" t="s">
        <v>507</v>
      </c>
      <c r="E438" s="255" t="s">
        <v>517</v>
      </c>
      <c r="F438" s="255" t="s">
        <v>1379</v>
      </c>
      <c r="G438" s="255" t="s">
        <v>1380</v>
      </c>
      <c r="H438" s="255" t="s">
        <v>1381</v>
      </c>
      <c r="I438" s="254"/>
      <c r="J438" s="254" t="s">
        <v>807</v>
      </c>
      <c r="K438" s="252"/>
      <c r="L438" s="252"/>
      <c r="N438" s="256" t="s">
        <v>3628</v>
      </c>
      <c r="O438" s="258" t="s">
        <v>1</v>
      </c>
    </row>
    <row r="439" spans="1:18" ht="94.5" x14ac:dyDescent="0.25">
      <c r="A439" s="252" t="s">
        <v>1746</v>
      </c>
      <c r="B439" s="252" t="str">
        <f>HLOOKUP('Getting Started'!H$2,E:I,ROW(),FALSE)</f>
        <v>Assessment</v>
      </c>
      <c r="C439" s="252" t="str">
        <f>HLOOKUP('Getting Started'!H$2,J:N,ROW(),FALSE)</f>
        <v>If participation in a proficiency testing scheme or organization of an inter-laboratory comparison for a certain test is not possible: does the laboratory have a rechecking/retesting system to compare results?</v>
      </c>
      <c r="D439" s="252" t="s">
        <v>507</v>
      </c>
      <c r="E439" s="255" t="s">
        <v>517</v>
      </c>
      <c r="F439" s="255" t="s">
        <v>1379</v>
      </c>
      <c r="G439" s="255" t="s">
        <v>1380</v>
      </c>
      <c r="H439" s="255" t="s">
        <v>1381</v>
      </c>
      <c r="I439" s="254"/>
      <c r="J439" s="254" t="s">
        <v>808</v>
      </c>
      <c r="K439" s="252"/>
      <c r="L439" s="252"/>
      <c r="N439" s="256" t="s">
        <v>3629</v>
      </c>
      <c r="O439" s="258" t="s">
        <v>1</v>
      </c>
    </row>
    <row r="440" spans="1:18" ht="110.25" x14ac:dyDescent="0.25">
      <c r="A440" s="252" t="s">
        <v>1747</v>
      </c>
      <c r="B440" s="252" t="str">
        <f>HLOOKUP('Getting Started'!H$2,E:I,ROW(),FALSE)</f>
        <v>Assessment</v>
      </c>
      <c r="C440" s="252" t="str">
        <f>HLOOKUP('Getting Started'!H$2,J:N,ROW(),FALSE)</f>
        <v>If results of proficiency testing/inter-laboratory comparisons are deviating/incorrect, does the laboratory act with performing an analysis to identify the causes of the problem and does it implement corrective actions, controls and, if possible, preventive actions?</v>
      </c>
      <c r="D440" s="252" t="s">
        <v>507</v>
      </c>
      <c r="E440" s="255" t="s">
        <v>517</v>
      </c>
      <c r="F440" s="255" t="s">
        <v>1379</v>
      </c>
      <c r="G440" s="255" t="s">
        <v>1380</v>
      </c>
      <c r="H440" s="255" t="s">
        <v>1381</v>
      </c>
      <c r="I440" s="254"/>
      <c r="J440" s="254" t="s">
        <v>809</v>
      </c>
      <c r="K440" s="252"/>
      <c r="L440" s="252"/>
      <c r="N440" s="256" t="s">
        <v>3630</v>
      </c>
      <c r="O440" s="258" t="s">
        <v>1</v>
      </c>
    </row>
    <row r="441" spans="1:18" ht="63" x14ac:dyDescent="0.25">
      <c r="A441" s="252" t="s">
        <v>1748</v>
      </c>
      <c r="B441" s="252" t="str">
        <f>HLOOKUP('Getting Started'!H$2,E:I,ROW(),FALSE)</f>
        <v>Assessment</v>
      </c>
      <c r="C441" s="252" t="str">
        <f>HLOOKUP('Getting Started'!H$2,J:N,ROW(),FALSE)</f>
        <v>Does the laboratory have an SOP for participation in a proficiency testing scheme and/or an inter-laboratory comparison scheme?</v>
      </c>
      <c r="D441" s="252" t="s">
        <v>507</v>
      </c>
      <c r="E441" s="255" t="s">
        <v>517</v>
      </c>
      <c r="F441" s="255" t="s">
        <v>1379</v>
      </c>
      <c r="G441" s="255" t="s">
        <v>1380</v>
      </c>
      <c r="H441" s="255" t="s">
        <v>1381</v>
      </c>
      <c r="I441" s="254"/>
      <c r="J441" s="254" t="s">
        <v>810</v>
      </c>
      <c r="K441" s="252"/>
      <c r="L441" s="252"/>
      <c r="N441" s="256" t="s">
        <v>3631</v>
      </c>
      <c r="O441" s="258" t="s">
        <v>1</v>
      </c>
    </row>
    <row r="442" spans="1:18" ht="63" x14ac:dyDescent="0.25">
      <c r="A442" s="252" t="s">
        <v>1749</v>
      </c>
      <c r="B442" s="252" t="str">
        <f>HLOOKUP('Getting Started'!H$2,E:I,ROW(),FALSE)</f>
        <v>Assessment</v>
      </c>
      <c r="C442" s="252" t="str">
        <f>HLOOKUP('Getting Started'!H$2,J:N,ROW(),FALSE)</f>
        <v>If the laboratory is the organizer of an inter-laboratory comparison scheme, does the SOP for External Quality Assessment include the procedure for organizing this?</v>
      </c>
      <c r="D442" s="252" t="s">
        <v>507</v>
      </c>
      <c r="E442" s="255" t="s">
        <v>517</v>
      </c>
      <c r="F442" s="255" t="s">
        <v>1379</v>
      </c>
      <c r="G442" s="255" t="s">
        <v>1380</v>
      </c>
      <c r="H442" s="255" t="s">
        <v>1381</v>
      </c>
      <c r="I442" s="254"/>
      <c r="J442" s="254" t="s">
        <v>811</v>
      </c>
      <c r="K442" s="252"/>
      <c r="L442" s="252"/>
      <c r="N442" s="256" t="s">
        <v>3632</v>
      </c>
      <c r="O442" s="258" t="s">
        <v>1</v>
      </c>
    </row>
    <row r="443" spans="1:18" ht="94.5" x14ac:dyDescent="0.25">
      <c r="A443" s="252" t="s">
        <v>1750</v>
      </c>
      <c r="B443" s="252" t="str">
        <f>HLOOKUP('Getting Started'!H$2,E:I,ROW(),FALSE)</f>
        <v>Assessment</v>
      </c>
      <c r="C443" s="252" t="str">
        <f>HLOOKUP('Getting Started'!H$2,J:N,ROW(),FALSE)</f>
        <v>If the laboratory rechecks/retests samples for a certain test (in case no PT or inter-laboratory comparison was possible), does the SOP for External Quality Assessment include the procedure for organizing this?</v>
      </c>
      <c r="D443" s="252" t="s">
        <v>507</v>
      </c>
      <c r="E443" s="255" t="s">
        <v>517</v>
      </c>
      <c r="F443" s="255" t="s">
        <v>1379</v>
      </c>
      <c r="G443" s="255" t="s">
        <v>1380</v>
      </c>
      <c r="H443" s="255" t="s">
        <v>1381</v>
      </c>
      <c r="I443" s="254"/>
      <c r="J443" s="254" t="s">
        <v>812</v>
      </c>
      <c r="K443" s="252"/>
      <c r="L443" s="252"/>
      <c r="N443" s="256" t="s">
        <v>3633</v>
      </c>
      <c r="O443" s="258" t="s">
        <v>1</v>
      </c>
    </row>
    <row r="444" spans="1:18" ht="31.5" x14ac:dyDescent="0.25">
      <c r="A444" s="252" t="s">
        <v>1751</v>
      </c>
      <c r="B444" s="252" t="str">
        <f>HLOOKUP('Getting Started'!H$2,E:I,ROW(),FALSE)</f>
        <v>Facilities and Safety</v>
      </c>
      <c r="C444" s="252" t="str">
        <f>HLOOKUP('Getting Started'!H$2,J:N,ROW(),FALSE)</f>
        <v>Is access to first aid secured at the laboratory?</v>
      </c>
      <c r="D444" s="252" t="s">
        <v>508</v>
      </c>
      <c r="E444" s="255" t="s">
        <v>510</v>
      </c>
      <c r="F444" s="255" t="s">
        <v>1391</v>
      </c>
      <c r="G444" s="255" t="s">
        <v>1392</v>
      </c>
      <c r="H444" s="255" t="s">
        <v>1393</v>
      </c>
      <c r="I444" s="254"/>
      <c r="J444" s="254" t="s">
        <v>815</v>
      </c>
      <c r="K444" s="254" t="s">
        <v>954</v>
      </c>
      <c r="L444" s="254" t="s">
        <v>1093</v>
      </c>
      <c r="M444" s="254" t="s">
        <v>1232</v>
      </c>
      <c r="N444" s="256" t="s">
        <v>3634</v>
      </c>
      <c r="O444" s="258" t="s">
        <v>1</v>
      </c>
      <c r="P444" s="258" t="s">
        <v>121</v>
      </c>
      <c r="Q444" s="258" t="s">
        <v>241</v>
      </c>
      <c r="R444" s="258" t="s">
        <v>361</v>
      </c>
    </row>
    <row r="445" spans="1:18" ht="75" x14ac:dyDescent="0.25">
      <c r="A445" s="252" t="s">
        <v>1752</v>
      </c>
      <c r="B445" s="252" t="str">
        <f>HLOOKUP('Getting Started'!H$2,E:I,ROW(),FALSE)</f>
        <v>Facilities and Safety</v>
      </c>
      <c r="C445" s="252" t="str">
        <f>HLOOKUP('Getting Started'!H$2,J:N,ROW(),FALSE)</f>
        <v>In laboratories where the presence of first aid providers is necessary: have enough staff members been appointed as first aid provider such that continuous presence of at least one first aid provider is ensured?</v>
      </c>
      <c r="D445" s="252" t="s">
        <v>508</v>
      </c>
      <c r="E445" s="255" t="s">
        <v>510</v>
      </c>
      <c r="F445" s="255" t="s">
        <v>1391</v>
      </c>
      <c r="G445" s="255" t="s">
        <v>1392</v>
      </c>
      <c r="H445" s="255" t="s">
        <v>1393</v>
      </c>
      <c r="I445" s="254"/>
      <c r="J445" s="254" t="s">
        <v>816</v>
      </c>
      <c r="K445" s="254" t="s">
        <v>955</v>
      </c>
      <c r="L445" s="254" t="s">
        <v>1094</v>
      </c>
      <c r="M445" s="254" t="s">
        <v>1233</v>
      </c>
      <c r="N445" s="256" t="s">
        <v>3635</v>
      </c>
      <c r="O445" s="258" t="s">
        <v>1</v>
      </c>
      <c r="P445" s="258" t="s">
        <v>121</v>
      </c>
      <c r="Q445" s="258" t="s">
        <v>241</v>
      </c>
      <c r="R445" s="258" t="s">
        <v>361</v>
      </c>
    </row>
    <row r="446" spans="1:18" ht="31.5" x14ac:dyDescent="0.25">
      <c r="A446" s="252" t="s">
        <v>1753</v>
      </c>
      <c r="B446" s="252" t="str">
        <f>HLOOKUP('Getting Started'!H$2,E:I,ROW(),FALSE)</f>
        <v>Facilities and Safety</v>
      </c>
      <c r="C446" s="252" t="str">
        <f>HLOOKUP('Getting Started'!H$2,J:N,ROW(),FALSE)</f>
        <v>Is the training of the first aid providers up-to-date?</v>
      </c>
      <c r="D446" s="252" t="s">
        <v>508</v>
      </c>
      <c r="E446" s="255" t="s">
        <v>510</v>
      </c>
      <c r="F446" s="255" t="s">
        <v>1391</v>
      </c>
      <c r="G446" s="255" t="s">
        <v>1392</v>
      </c>
      <c r="H446" s="255" t="s">
        <v>1393</v>
      </c>
      <c r="I446" s="254"/>
      <c r="J446" s="254" t="s">
        <v>817</v>
      </c>
      <c r="K446" s="254" t="s">
        <v>956</v>
      </c>
      <c r="L446" s="254" t="s">
        <v>1095</v>
      </c>
      <c r="M446" s="254" t="s">
        <v>1234</v>
      </c>
      <c r="N446" s="256" t="s">
        <v>3636</v>
      </c>
      <c r="O446" s="258" t="s">
        <v>1</v>
      </c>
      <c r="P446" s="258" t="s">
        <v>121</v>
      </c>
      <c r="Q446" s="258" t="s">
        <v>241</v>
      </c>
      <c r="R446" s="258" t="s">
        <v>361</v>
      </c>
    </row>
    <row r="447" spans="1:18" ht="31.5" x14ac:dyDescent="0.25">
      <c r="A447" s="252" t="s">
        <v>1754</v>
      </c>
      <c r="B447" s="252" t="str">
        <f>HLOOKUP('Getting Started'!H$2,E:I,ROW(),FALSE)</f>
        <v>Facilities and Safety</v>
      </c>
      <c r="C447" s="252" t="str">
        <f>HLOOKUP('Getting Started'!H$2,J:N,ROW(),FALSE)</f>
        <v>Does the Biosafety Manual contain an explanation of the tasks and responsibilities of first aid providers?</v>
      </c>
      <c r="D447" s="252" t="s">
        <v>508</v>
      </c>
      <c r="E447" s="255" t="s">
        <v>510</v>
      </c>
      <c r="F447" s="255" t="s">
        <v>1391</v>
      </c>
      <c r="G447" s="255" t="s">
        <v>1392</v>
      </c>
      <c r="H447" s="255" t="s">
        <v>1393</v>
      </c>
      <c r="I447" s="254"/>
      <c r="J447" s="254" t="s">
        <v>818</v>
      </c>
      <c r="K447" s="254" t="s">
        <v>957</v>
      </c>
      <c r="L447" s="254" t="s">
        <v>1096</v>
      </c>
      <c r="M447" s="254" t="s">
        <v>1235</v>
      </c>
      <c r="N447" s="256" t="s">
        <v>3637</v>
      </c>
      <c r="O447" s="258" t="s">
        <v>1</v>
      </c>
      <c r="P447" s="258" t="s">
        <v>121</v>
      </c>
      <c r="Q447" s="258" t="s">
        <v>241</v>
      </c>
      <c r="R447" s="258" t="s">
        <v>361</v>
      </c>
    </row>
    <row r="448" spans="1:18" ht="31.5" x14ac:dyDescent="0.25">
      <c r="A448" s="252" t="s">
        <v>1755</v>
      </c>
      <c r="B448" s="252" t="str">
        <f>HLOOKUP('Getting Started'!H$2,E:I,ROW(),FALSE)</f>
        <v>Facilities and Safety</v>
      </c>
      <c r="C448" s="252" t="str">
        <f>HLOOKUP('Getting Started'!H$2,J:N,ROW(),FALSE)</f>
        <v>Is the laboratory staff aware of who the first aid providers are?</v>
      </c>
      <c r="D448" s="252" t="s">
        <v>508</v>
      </c>
      <c r="E448" s="255" t="s">
        <v>510</v>
      </c>
      <c r="F448" s="255" t="s">
        <v>1391</v>
      </c>
      <c r="G448" s="255" t="s">
        <v>1392</v>
      </c>
      <c r="H448" s="255" t="s">
        <v>1393</v>
      </c>
      <c r="I448" s="254"/>
      <c r="J448" s="254" t="s">
        <v>819</v>
      </c>
      <c r="K448" s="254" t="s">
        <v>958</v>
      </c>
      <c r="L448" s="254" t="s">
        <v>1097</v>
      </c>
      <c r="M448" s="254" t="s">
        <v>1236</v>
      </c>
      <c r="N448" s="256" t="s">
        <v>3638</v>
      </c>
      <c r="O448" s="258" t="s">
        <v>1</v>
      </c>
      <c r="P448" s="258" t="s">
        <v>121</v>
      </c>
      <c r="Q448" s="258" t="s">
        <v>241</v>
      </c>
      <c r="R448" s="258" t="s">
        <v>361</v>
      </c>
    </row>
    <row r="449" spans="1:18" ht="47.25" x14ac:dyDescent="0.25">
      <c r="A449" s="252" t="s">
        <v>1756</v>
      </c>
      <c r="B449" s="252" t="str">
        <f>HLOOKUP('Getting Started'!H$2,E:I,ROW(),FALSE)</f>
        <v>Facilities and Safety</v>
      </c>
      <c r="C449" s="252" t="str">
        <f>HLOOKUP('Getting Started'!H$2,J:N,ROW(),FALSE)</f>
        <v>Have the Personal Job Descrptions of the first aid providers been adapted to reflect the authorizations of their position as first aid provider?</v>
      </c>
      <c r="D449" s="252" t="s">
        <v>508</v>
      </c>
      <c r="E449" s="255" t="s">
        <v>510</v>
      </c>
      <c r="F449" s="255" t="s">
        <v>1391</v>
      </c>
      <c r="G449" s="255" t="s">
        <v>1392</v>
      </c>
      <c r="H449" s="255" t="s">
        <v>1393</v>
      </c>
      <c r="I449" s="254"/>
      <c r="J449" s="254" t="s">
        <v>820</v>
      </c>
      <c r="K449" s="254" t="s">
        <v>959</v>
      </c>
      <c r="L449" s="254" t="s">
        <v>1098</v>
      </c>
      <c r="M449" s="254" t="s">
        <v>1237</v>
      </c>
      <c r="N449" s="256" t="s">
        <v>3639</v>
      </c>
      <c r="O449" s="258" t="s">
        <v>1</v>
      </c>
      <c r="P449" s="258" t="s">
        <v>121</v>
      </c>
      <c r="Q449" s="258" t="s">
        <v>241</v>
      </c>
      <c r="R449" s="258" t="s">
        <v>361</v>
      </c>
    </row>
    <row r="450" spans="1:18" ht="31.5" x14ac:dyDescent="0.25">
      <c r="A450" s="252" t="s">
        <v>1757</v>
      </c>
      <c r="B450" s="252" t="str">
        <f>HLOOKUP('Getting Started'!H$2,E:I,ROW(),FALSE)</f>
        <v>Facilities and Safety</v>
      </c>
      <c r="C450" s="252" t="str">
        <f>HLOOKUP('Getting Started'!H$2,J:N,ROW(),FALSE)</f>
        <v>Is the biosafety level III laboratory equipped with a negative pressure system?</v>
      </c>
      <c r="D450" s="252" t="s">
        <v>508</v>
      </c>
      <c r="E450" s="255" t="s">
        <v>510</v>
      </c>
      <c r="F450" s="255" t="s">
        <v>1391</v>
      </c>
      <c r="G450" s="255" t="s">
        <v>1392</v>
      </c>
      <c r="H450" s="255" t="s">
        <v>1393</v>
      </c>
      <c r="I450" s="254"/>
      <c r="J450" s="254" t="s">
        <v>821</v>
      </c>
      <c r="K450" s="254" t="s">
        <v>960</v>
      </c>
      <c r="L450" s="254" t="s">
        <v>1099</v>
      </c>
      <c r="M450" s="254" t="s">
        <v>1238</v>
      </c>
      <c r="N450" s="256" t="s">
        <v>3640</v>
      </c>
      <c r="O450" s="258" t="s">
        <v>1</v>
      </c>
      <c r="P450" s="258" t="s">
        <v>121</v>
      </c>
      <c r="Q450" s="258" t="s">
        <v>241</v>
      </c>
      <c r="R450" s="258" t="s">
        <v>361</v>
      </c>
    </row>
    <row r="451" spans="1:18" ht="31.5" x14ac:dyDescent="0.25">
      <c r="A451" s="252" t="s">
        <v>1758</v>
      </c>
      <c r="B451" s="252" t="str">
        <f>HLOOKUP('Getting Started'!H$2,E:I,ROW(),FALSE)</f>
        <v>Facilities and Safety</v>
      </c>
      <c r="C451" s="252" t="str">
        <f>HLOOKUP('Getting Started'!H$2,J:N,ROW(),FALSE)</f>
        <v>Is the pressure of the biosafety level III regularly monitored and recorded?</v>
      </c>
      <c r="D451" s="252" t="s">
        <v>508</v>
      </c>
      <c r="E451" s="255" t="s">
        <v>510</v>
      </c>
      <c r="F451" s="255" t="s">
        <v>1391</v>
      </c>
      <c r="G451" s="255" t="s">
        <v>1392</v>
      </c>
      <c r="H451" s="255" t="s">
        <v>1393</v>
      </c>
      <c r="I451" s="254"/>
      <c r="J451" s="254" t="s">
        <v>822</v>
      </c>
      <c r="K451" s="254" t="s">
        <v>961</v>
      </c>
      <c r="L451" s="254" t="s">
        <v>1100</v>
      </c>
      <c r="M451" s="254" t="s">
        <v>1239</v>
      </c>
      <c r="N451" s="256" t="s">
        <v>3641</v>
      </c>
      <c r="O451" s="258" t="s">
        <v>1</v>
      </c>
      <c r="P451" s="258" t="s">
        <v>121</v>
      </c>
      <c r="Q451" s="258" t="s">
        <v>241</v>
      </c>
      <c r="R451" s="258" t="s">
        <v>361</v>
      </c>
    </row>
    <row r="452" spans="1:18" ht="51" x14ac:dyDescent="0.25">
      <c r="A452" s="252" t="s">
        <v>1759</v>
      </c>
      <c r="B452" s="252" t="str">
        <f>HLOOKUP('Getting Started'!H$2,E:I,ROW(),FALSE)</f>
        <v>Facilities and Safety</v>
      </c>
      <c r="C452" s="252" t="str">
        <f>HLOOKUP('Getting Started'!H$2,J:N,ROW(),FALSE)</f>
        <v>Is the negative pressure system connected to a backup electricity supply to ensure that it keeps functioning during a power failure?</v>
      </c>
      <c r="D452" s="252" t="s">
        <v>508</v>
      </c>
      <c r="E452" s="255" t="s">
        <v>510</v>
      </c>
      <c r="F452" s="255" t="s">
        <v>1391</v>
      </c>
      <c r="G452" s="255" t="s">
        <v>1392</v>
      </c>
      <c r="H452" s="255" t="s">
        <v>1393</v>
      </c>
      <c r="I452" s="254"/>
      <c r="J452" s="254" t="s">
        <v>823</v>
      </c>
      <c r="K452" s="254" t="s">
        <v>962</v>
      </c>
      <c r="L452" s="254" t="s">
        <v>1101</v>
      </c>
      <c r="M452" s="254" t="s">
        <v>1240</v>
      </c>
      <c r="N452" s="256" t="s">
        <v>3642</v>
      </c>
      <c r="O452" s="258" t="s">
        <v>1</v>
      </c>
      <c r="P452" s="258" t="s">
        <v>121</v>
      </c>
      <c r="Q452" s="258" t="s">
        <v>241</v>
      </c>
      <c r="R452" s="258" t="s">
        <v>361</v>
      </c>
    </row>
    <row r="453" spans="1:18" ht="31.5" x14ac:dyDescent="0.25">
      <c r="A453" s="252" t="s">
        <v>1760</v>
      </c>
      <c r="B453" s="252" t="str">
        <f>HLOOKUP('Getting Started'!H$2,E:I,ROW(),FALSE)</f>
        <v>Facilities and Safety</v>
      </c>
      <c r="C453" s="252" t="str">
        <f>HLOOKUP('Getting Started'!H$2,J:N,ROW(),FALSE)</f>
        <v>Is the negative pressure system included in the preventive maintenance program of the laboratory?</v>
      </c>
      <c r="D453" s="252" t="s">
        <v>508</v>
      </c>
      <c r="E453" s="255" t="s">
        <v>510</v>
      </c>
      <c r="F453" s="255" t="s">
        <v>1391</v>
      </c>
      <c r="G453" s="255" t="s">
        <v>1392</v>
      </c>
      <c r="H453" s="255" t="s">
        <v>1393</v>
      </c>
      <c r="I453" s="254"/>
      <c r="J453" s="254" t="s">
        <v>824</v>
      </c>
      <c r="K453" s="254" t="s">
        <v>963</v>
      </c>
      <c r="L453" s="254" t="s">
        <v>1102</v>
      </c>
      <c r="M453" s="254" t="s">
        <v>1241</v>
      </c>
      <c r="N453" s="256" t="s">
        <v>3643</v>
      </c>
      <c r="O453" s="258" t="s">
        <v>1</v>
      </c>
      <c r="P453" s="258" t="s">
        <v>121</v>
      </c>
      <c r="Q453" s="258" t="s">
        <v>241</v>
      </c>
      <c r="R453" s="258" t="s">
        <v>361</v>
      </c>
    </row>
    <row r="454" spans="1:18" ht="47.25" x14ac:dyDescent="0.25">
      <c r="A454" s="252" t="s">
        <v>1761</v>
      </c>
      <c r="B454" s="252" t="str">
        <f>HLOOKUP('Getting Started'!H$2,E:I,ROW(),FALSE)</f>
        <v>Facilities and Safety</v>
      </c>
      <c r="C454" s="252" t="str">
        <f>HLOOKUP('Getting Started'!H$2,J:N,ROW(),FALSE)</f>
        <v>Is access into the BSL III laboratory controlled to prevent unauthorized access?</v>
      </c>
      <c r="D454" s="252" t="s">
        <v>508</v>
      </c>
      <c r="E454" s="255" t="s">
        <v>510</v>
      </c>
      <c r="F454" s="255" t="s">
        <v>1391</v>
      </c>
      <c r="G454" s="255" t="s">
        <v>1392</v>
      </c>
      <c r="H454" s="255" t="s">
        <v>1393</v>
      </c>
      <c r="I454" s="254"/>
      <c r="J454" s="254" t="s">
        <v>825</v>
      </c>
      <c r="K454" s="254" t="s">
        <v>964</v>
      </c>
      <c r="L454" s="254" t="s">
        <v>1103</v>
      </c>
      <c r="M454" s="254" t="s">
        <v>1242</v>
      </c>
      <c r="N454" s="256" t="s">
        <v>3644</v>
      </c>
      <c r="O454" s="258" t="s">
        <v>1</v>
      </c>
      <c r="P454" s="258" t="s">
        <v>121</v>
      </c>
      <c r="Q454" s="258" t="s">
        <v>241</v>
      </c>
      <c r="R454" s="258" t="s">
        <v>361</v>
      </c>
    </row>
    <row r="455" spans="1:18" ht="38.25" x14ac:dyDescent="0.25">
      <c r="A455" s="252" t="s">
        <v>1762</v>
      </c>
      <c r="B455" s="252" t="str">
        <f>HLOOKUP('Getting Started'!H$2,E:I,ROW(),FALSE)</f>
        <v>Facilities and Safety</v>
      </c>
      <c r="C455" s="252" t="str">
        <f>HLOOKUP('Getting Started'!H$2,J:N,ROW(),FALSE)</f>
        <v>Is a primary sample collection facility available and physically separate from the laboratory activities?</v>
      </c>
      <c r="D455" s="252" t="s">
        <v>508</v>
      </c>
      <c r="E455" s="255" t="s">
        <v>510</v>
      </c>
      <c r="F455" s="255" t="s">
        <v>1391</v>
      </c>
      <c r="G455" s="255" t="s">
        <v>1392</v>
      </c>
      <c r="H455" s="255" t="s">
        <v>1393</v>
      </c>
      <c r="I455" s="254"/>
      <c r="J455" s="254" t="s">
        <v>826</v>
      </c>
      <c r="K455" s="254" t="s">
        <v>965</v>
      </c>
      <c r="L455" s="254" t="s">
        <v>1104</v>
      </c>
      <c r="M455" s="254" t="s">
        <v>1243</v>
      </c>
      <c r="N455" s="256" t="s">
        <v>3645</v>
      </c>
      <c r="O455" s="258" t="s">
        <v>1</v>
      </c>
      <c r="P455" s="258" t="s">
        <v>121</v>
      </c>
      <c r="Q455" s="258" t="s">
        <v>241</v>
      </c>
      <c r="R455" s="258" t="s">
        <v>361</v>
      </c>
    </row>
    <row r="456" spans="1:18" ht="45" x14ac:dyDescent="0.25">
      <c r="A456" s="252" t="s">
        <v>1763</v>
      </c>
      <c r="B456" s="252" t="str">
        <f>HLOOKUP('Getting Started'!H$2,E:I,ROW(),FALSE)</f>
        <v>Facilities and Safety</v>
      </c>
      <c r="C456" s="252" t="str">
        <f>HLOOKUP('Getting Started'!H$2,J:N,ROW(),FALSE)</f>
        <v>Are patients in the waiting area and primary sample collection facility protected against rain and direct sunlight?</v>
      </c>
      <c r="D456" s="252" t="s">
        <v>508</v>
      </c>
      <c r="E456" s="255" t="s">
        <v>510</v>
      </c>
      <c r="F456" s="255" t="s">
        <v>1391</v>
      </c>
      <c r="G456" s="255" t="s">
        <v>1392</v>
      </c>
      <c r="H456" s="255" t="s">
        <v>1393</v>
      </c>
      <c r="I456" s="254"/>
      <c r="J456" s="254" t="s">
        <v>827</v>
      </c>
      <c r="K456" s="254" t="s">
        <v>966</v>
      </c>
      <c r="L456" s="254" t="s">
        <v>1105</v>
      </c>
      <c r="M456" s="254" t="s">
        <v>1244</v>
      </c>
      <c r="N456" s="256" t="s">
        <v>3646</v>
      </c>
      <c r="O456" s="258" t="s">
        <v>1</v>
      </c>
      <c r="P456" s="258" t="s">
        <v>121</v>
      </c>
      <c r="Q456" s="258" t="s">
        <v>241</v>
      </c>
      <c r="R456" s="258" t="s">
        <v>361</v>
      </c>
    </row>
    <row r="457" spans="1:18" ht="31.5" x14ac:dyDescent="0.25">
      <c r="A457" s="252" t="s">
        <v>1764</v>
      </c>
      <c r="B457" s="252" t="str">
        <f>HLOOKUP('Getting Started'!H$2,E:I,ROW(),FALSE)</f>
        <v>Facilities and Safety</v>
      </c>
      <c r="C457" s="252" t="str">
        <f>HLOOKUP('Getting Started'!H$2,J:N,ROW(),FALSE)</f>
        <v>Does the patient sample collection facility allow for the protection of privacy of patients?</v>
      </c>
      <c r="D457" s="252" t="s">
        <v>508</v>
      </c>
      <c r="E457" s="255" t="s">
        <v>510</v>
      </c>
      <c r="F457" s="255" t="s">
        <v>1391</v>
      </c>
      <c r="G457" s="255" t="s">
        <v>1392</v>
      </c>
      <c r="H457" s="255" t="s">
        <v>1393</v>
      </c>
      <c r="I457" s="254"/>
      <c r="J457" s="254" t="s">
        <v>828</v>
      </c>
      <c r="K457" s="254" t="s">
        <v>967</v>
      </c>
      <c r="L457" s="254" t="s">
        <v>1106</v>
      </c>
      <c r="M457" s="254" t="s">
        <v>1245</v>
      </c>
      <c r="N457" s="256" t="s">
        <v>3647</v>
      </c>
      <c r="O457" s="258" t="s">
        <v>1</v>
      </c>
      <c r="P457" s="258" t="s">
        <v>121</v>
      </c>
      <c r="Q457" s="258" t="s">
        <v>241</v>
      </c>
      <c r="R457" s="258" t="s">
        <v>361</v>
      </c>
    </row>
    <row r="458" spans="1:18" ht="47.25" x14ac:dyDescent="0.25">
      <c r="A458" s="252" t="s">
        <v>1765</v>
      </c>
      <c r="B458" s="252" t="str">
        <f>HLOOKUP('Getting Started'!H$2,E:I,ROW(),FALSE)</f>
        <v>Facilities and Safety</v>
      </c>
      <c r="C458" s="252" t="str">
        <f>HLOOKUP('Getting Started'!H$2,J:N,ROW(),FALSE)</f>
        <v>Are there enough chairs in the waiting area and primary sample collection facility so that every patient can sit?</v>
      </c>
      <c r="D458" s="252" t="s">
        <v>508</v>
      </c>
      <c r="E458" s="255" t="s">
        <v>510</v>
      </c>
      <c r="F458" s="255" t="s">
        <v>1391</v>
      </c>
      <c r="G458" s="255" t="s">
        <v>1392</v>
      </c>
      <c r="H458" s="255" t="s">
        <v>1393</v>
      </c>
      <c r="I458" s="254"/>
      <c r="J458" s="254" t="s">
        <v>829</v>
      </c>
      <c r="K458" s="254" t="s">
        <v>968</v>
      </c>
      <c r="L458" s="254" t="s">
        <v>1107</v>
      </c>
      <c r="M458" s="254" t="s">
        <v>1246</v>
      </c>
      <c r="N458" s="256" t="s">
        <v>3648</v>
      </c>
      <c r="O458" s="258" t="s">
        <v>1</v>
      </c>
      <c r="P458" s="258" t="s">
        <v>121</v>
      </c>
      <c r="Q458" s="258" t="s">
        <v>241</v>
      </c>
      <c r="R458" s="258" t="s">
        <v>361</v>
      </c>
    </row>
    <row r="459" spans="1:18" ht="38.25" x14ac:dyDescent="0.25">
      <c r="A459" s="252" t="s">
        <v>1766</v>
      </c>
      <c r="B459" s="252" t="str">
        <f>HLOOKUP('Getting Started'!H$2,E:I,ROW(),FALSE)</f>
        <v>Facilities and Safety</v>
      </c>
      <c r="C459" s="252" t="str">
        <f>HLOOKUP('Getting Started'!H$2,J:N,ROW(),FALSE)</f>
        <v>Is the waiting area and primary sample collection facility accessible for physically handicapped patients?</v>
      </c>
      <c r="D459" s="252" t="s">
        <v>508</v>
      </c>
      <c r="E459" s="255" t="s">
        <v>510</v>
      </c>
      <c r="F459" s="255" t="s">
        <v>1391</v>
      </c>
      <c r="G459" s="255" t="s">
        <v>1392</v>
      </c>
      <c r="H459" s="255" t="s">
        <v>1393</v>
      </c>
      <c r="I459" s="254"/>
      <c r="J459" s="254" t="s">
        <v>830</v>
      </c>
      <c r="K459" s="254" t="s">
        <v>969</v>
      </c>
      <c r="L459" s="254" t="s">
        <v>1108</v>
      </c>
      <c r="M459" s="254" t="s">
        <v>1247</v>
      </c>
      <c r="N459" s="256" t="s">
        <v>3649</v>
      </c>
      <c r="O459" s="258" t="s">
        <v>1</v>
      </c>
      <c r="P459" s="258" t="s">
        <v>121</v>
      </c>
      <c r="Q459" s="258" t="s">
        <v>241</v>
      </c>
      <c r="R459" s="258" t="s">
        <v>361</v>
      </c>
    </row>
    <row r="460" spans="1:18" ht="47.25" x14ac:dyDescent="0.25">
      <c r="A460" s="252" t="s">
        <v>1767</v>
      </c>
      <c r="B460" s="252" t="str">
        <f>HLOOKUP('Getting Started'!H$2,E:I,ROW(),FALSE)</f>
        <v>Facilities and Safety</v>
      </c>
      <c r="C460" s="252" t="str">
        <f>HLOOKUP('Getting Started'!H$2,J:N,ROW(),FALSE)</f>
        <v>Are samples stored under appropriate conditions, protected from unauthorized access and demonstrably easily retrievable?</v>
      </c>
      <c r="D460" s="252" t="s">
        <v>508</v>
      </c>
      <c r="E460" s="255" t="s">
        <v>510</v>
      </c>
      <c r="F460" s="255" t="s">
        <v>1391</v>
      </c>
      <c r="G460" s="255" t="s">
        <v>1392</v>
      </c>
      <c r="H460" s="255" t="s">
        <v>1393</v>
      </c>
      <c r="I460" s="254"/>
      <c r="J460" s="254" t="s">
        <v>831</v>
      </c>
      <c r="K460" s="254" t="s">
        <v>970</v>
      </c>
      <c r="L460" s="254" t="s">
        <v>1109</v>
      </c>
      <c r="M460" s="254" t="s">
        <v>1248</v>
      </c>
      <c r="N460" s="256" t="s">
        <v>3650</v>
      </c>
      <c r="O460" s="258" t="s">
        <v>1</v>
      </c>
      <c r="P460" s="258" t="s">
        <v>121</v>
      </c>
      <c r="Q460" s="258" t="s">
        <v>241</v>
      </c>
      <c r="R460" s="258" t="s">
        <v>361</v>
      </c>
    </row>
    <row r="461" spans="1:18" ht="63" x14ac:dyDescent="0.25">
      <c r="A461" s="252" t="s">
        <v>1768</v>
      </c>
      <c r="B461" s="252" t="str">
        <f>HLOOKUP('Getting Started'!H$2,E:I,ROW(),FALSE)</f>
        <v>Facilities and Safety</v>
      </c>
      <c r="C461" s="252" t="str">
        <f>HLOOKUP('Getting Started'!H$2,J:N,ROW(),FALSE)</f>
        <v>Are all reagents and supplies stored under the proper conditions, protected from unauthorized access and easily retrievable?</v>
      </c>
      <c r="D461" s="252" t="s">
        <v>508</v>
      </c>
      <c r="E461" s="255" t="s">
        <v>510</v>
      </c>
      <c r="F461" s="255" t="s">
        <v>1391</v>
      </c>
      <c r="G461" s="255" t="s">
        <v>1392</v>
      </c>
      <c r="H461" s="255" t="s">
        <v>1393</v>
      </c>
      <c r="I461" s="254"/>
      <c r="J461" s="254" t="s">
        <v>832</v>
      </c>
      <c r="K461" s="254" t="s">
        <v>971</v>
      </c>
      <c r="L461" s="254" t="s">
        <v>1110</v>
      </c>
      <c r="M461" s="254" t="s">
        <v>1249</v>
      </c>
      <c r="N461" s="256" t="s">
        <v>3651</v>
      </c>
      <c r="O461" s="258" t="s">
        <v>1</v>
      </c>
      <c r="P461" s="258" t="s">
        <v>121</v>
      </c>
      <c r="Q461" s="258" t="s">
        <v>241</v>
      </c>
      <c r="R461" s="258" t="s">
        <v>361</v>
      </c>
    </row>
    <row r="462" spans="1:18" ht="47.25" x14ac:dyDescent="0.25">
      <c r="A462" s="252" t="s">
        <v>1769</v>
      </c>
      <c r="B462" s="252" t="str">
        <f>HLOOKUP('Getting Started'!H$2,E:I,ROW(),FALSE)</f>
        <v>Facilities and Safety</v>
      </c>
      <c r="C462" s="252" t="str">
        <f>HLOOKUP('Getting Started'!H$2,J:N,ROW(),FALSE)</f>
        <v>Is equipment stored under appropriate conditions protected from unauthorized use?</v>
      </c>
      <c r="D462" s="252" t="s">
        <v>508</v>
      </c>
      <c r="E462" s="255" t="s">
        <v>510</v>
      </c>
      <c r="F462" s="255" t="s">
        <v>1391</v>
      </c>
      <c r="G462" s="255" t="s">
        <v>1392</v>
      </c>
      <c r="H462" s="255" t="s">
        <v>1393</v>
      </c>
      <c r="I462" s="254"/>
      <c r="J462" s="254" t="s">
        <v>833</v>
      </c>
      <c r="K462" s="254" t="s">
        <v>972</v>
      </c>
      <c r="L462" s="254" t="s">
        <v>1111</v>
      </c>
      <c r="M462" s="254" t="s">
        <v>1250</v>
      </c>
      <c r="N462" s="256" t="s">
        <v>3652</v>
      </c>
      <c r="O462" s="258" t="s">
        <v>1</v>
      </c>
      <c r="P462" s="258" t="s">
        <v>121</v>
      </c>
      <c r="Q462" s="258" t="s">
        <v>241</v>
      </c>
      <c r="R462" s="258" t="s">
        <v>361</v>
      </c>
    </row>
    <row r="463" spans="1:18" ht="47.25" x14ac:dyDescent="0.25">
      <c r="A463" s="252" t="s">
        <v>1770</v>
      </c>
      <c r="B463" s="252" t="str">
        <f>HLOOKUP('Getting Started'!H$2,E:I,ROW(),FALSE)</f>
        <v>Facilities and Safety</v>
      </c>
      <c r="C463" s="252" t="str">
        <f>HLOOKUP('Getting Started'!H$2,J:N,ROW(),FALSE)</f>
        <v>Is defective equipment demonstrably contaminated and stored outside the laboratory protected from use?</v>
      </c>
      <c r="D463" s="252" t="s">
        <v>508</v>
      </c>
      <c r="E463" s="255" t="s">
        <v>510</v>
      </c>
      <c r="F463" s="255" t="s">
        <v>1391</v>
      </c>
      <c r="G463" s="255" t="s">
        <v>1392</v>
      </c>
      <c r="H463" s="255" t="s">
        <v>1393</v>
      </c>
      <c r="I463" s="254"/>
      <c r="J463" s="254" t="s">
        <v>834</v>
      </c>
      <c r="K463" s="254" t="s">
        <v>973</v>
      </c>
      <c r="L463" s="254" t="s">
        <v>1112</v>
      </c>
      <c r="M463" s="254" t="s">
        <v>1251</v>
      </c>
      <c r="N463" s="256" t="s">
        <v>3653</v>
      </c>
      <c r="O463" s="258" t="s">
        <v>1</v>
      </c>
      <c r="P463" s="258" t="s">
        <v>121</v>
      </c>
      <c r="Q463" s="258" t="s">
        <v>241</v>
      </c>
      <c r="R463" s="258" t="s">
        <v>361</v>
      </c>
    </row>
    <row r="464" spans="1:18" ht="47.25" x14ac:dyDescent="0.25">
      <c r="A464" s="252" t="s">
        <v>1771</v>
      </c>
      <c r="B464" s="252" t="str">
        <f>HLOOKUP('Getting Started'!H$2,E:I,ROW(),FALSE)</f>
        <v>Facilities and Safety</v>
      </c>
      <c r="C464" s="252" t="str">
        <f>HLOOKUP('Getting Started'!H$2,J:N,ROW(),FALSE)</f>
        <v>Are documents and records stored under appropriate conditions, protected from fire, insects, humidity and other harmful elements?</v>
      </c>
      <c r="D464" s="252" t="s">
        <v>508</v>
      </c>
      <c r="E464" s="255" t="s">
        <v>510</v>
      </c>
      <c r="F464" s="255" t="s">
        <v>1391</v>
      </c>
      <c r="G464" s="255" t="s">
        <v>1392</v>
      </c>
      <c r="H464" s="255" t="s">
        <v>1393</v>
      </c>
      <c r="I464" s="254"/>
      <c r="J464" s="254" t="s">
        <v>835</v>
      </c>
      <c r="K464" s="254" t="s">
        <v>974</v>
      </c>
      <c r="L464" s="254" t="s">
        <v>1113</v>
      </c>
      <c r="M464" s="254" t="s">
        <v>1252</v>
      </c>
      <c r="N464" s="256" t="s">
        <v>3654</v>
      </c>
      <c r="O464" s="258" t="s">
        <v>1</v>
      </c>
      <c r="P464" s="258" t="s">
        <v>121</v>
      </c>
      <c r="Q464" s="258" t="s">
        <v>241</v>
      </c>
      <c r="R464" s="258" t="s">
        <v>361</v>
      </c>
    </row>
    <row r="465" spans="1:18" ht="31.5" x14ac:dyDescent="0.25">
      <c r="A465" s="252" t="s">
        <v>1772</v>
      </c>
      <c r="B465" s="252" t="str">
        <f>HLOOKUP('Getting Started'!H$2,E:I,ROW(),FALSE)</f>
        <v>Facilities and Safety</v>
      </c>
      <c r="C465" s="252" t="str">
        <f>HLOOKUP('Getting Started'!H$2,J:N,ROW(),FALSE)</f>
        <v>Are documents and records protected from unauthorized access?</v>
      </c>
      <c r="D465" s="252" t="s">
        <v>508</v>
      </c>
      <c r="E465" s="255" t="s">
        <v>510</v>
      </c>
      <c r="F465" s="255" t="s">
        <v>1391</v>
      </c>
      <c r="G465" s="255" t="s">
        <v>1392</v>
      </c>
      <c r="H465" s="255" t="s">
        <v>1393</v>
      </c>
      <c r="I465" s="254"/>
      <c r="J465" s="254" t="s">
        <v>836</v>
      </c>
      <c r="K465" s="254" t="s">
        <v>975</v>
      </c>
      <c r="L465" s="254" t="s">
        <v>1114</v>
      </c>
      <c r="M465" s="254" t="s">
        <v>1253</v>
      </c>
      <c r="N465" s="256" t="s">
        <v>3655</v>
      </c>
      <c r="O465" s="258" t="s">
        <v>1</v>
      </c>
      <c r="P465" s="258" t="s">
        <v>121</v>
      </c>
      <c r="Q465" s="258" t="s">
        <v>241</v>
      </c>
      <c r="R465" s="258" t="s">
        <v>361</v>
      </c>
    </row>
    <row r="466" spans="1:18" ht="47.25" x14ac:dyDescent="0.25">
      <c r="A466" s="252" t="s">
        <v>1773</v>
      </c>
      <c r="B466" s="252" t="str">
        <f>HLOOKUP('Getting Started'!H$2,E:I,ROW(),FALSE)</f>
        <v>Facilities and Safety</v>
      </c>
      <c r="C466" s="252" t="str">
        <f>HLOOKUP('Getting Started'!H$2,J:N,ROW(),FALSE)</f>
        <v>Are documents and records stored in a logical manner so that they are demonstrably easily retrievable?</v>
      </c>
      <c r="D466" s="252" t="s">
        <v>508</v>
      </c>
      <c r="E466" s="255" t="s">
        <v>510</v>
      </c>
      <c r="F466" s="255" t="s">
        <v>1391</v>
      </c>
      <c r="G466" s="255" t="s">
        <v>1392</v>
      </c>
      <c r="H466" s="255" t="s">
        <v>1393</v>
      </c>
      <c r="I466" s="254"/>
      <c r="J466" s="254" t="s">
        <v>837</v>
      </c>
      <c r="K466" s="254" t="s">
        <v>976</v>
      </c>
      <c r="L466" s="254" t="s">
        <v>1115</v>
      </c>
      <c r="M466" s="254" t="s">
        <v>1254</v>
      </c>
      <c r="N466" s="256" t="s">
        <v>3656</v>
      </c>
      <c r="O466" s="258" t="s">
        <v>1</v>
      </c>
      <c r="P466" s="258" t="s">
        <v>121</v>
      </c>
      <c r="Q466" s="258" t="s">
        <v>241</v>
      </c>
      <c r="R466" s="258" t="s">
        <v>361</v>
      </c>
    </row>
    <row r="467" spans="1:18" ht="47.25" x14ac:dyDescent="0.25">
      <c r="A467" s="252" t="s">
        <v>1774</v>
      </c>
      <c r="B467" s="252" t="str">
        <f>HLOOKUP('Getting Started'!H$2,E:I,ROW(),FALSE)</f>
        <v>Facilities and Safety</v>
      </c>
      <c r="C467" s="252" t="str">
        <f>HLOOKUP('Getting Started'!H$2,J:N,ROW(),FALSE)</f>
        <v>Does the retention schedule for storing different types of materials include the storage durations for samples and slides?</v>
      </c>
      <c r="D467" s="252" t="s">
        <v>508</v>
      </c>
      <c r="E467" s="255" t="s">
        <v>510</v>
      </c>
      <c r="F467" s="255" t="s">
        <v>1391</v>
      </c>
      <c r="G467" s="255" t="s">
        <v>1392</v>
      </c>
      <c r="H467" s="255" t="s">
        <v>1393</v>
      </c>
      <c r="I467" s="254"/>
      <c r="J467" s="254" t="s">
        <v>838</v>
      </c>
      <c r="K467" s="254" t="s">
        <v>977</v>
      </c>
      <c r="L467" s="254" t="s">
        <v>1116</v>
      </c>
      <c r="M467" s="254" t="s">
        <v>1255</v>
      </c>
      <c r="N467" s="256" t="s">
        <v>3657</v>
      </c>
      <c r="O467" s="258" t="s">
        <v>1</v>
      </c>
      <c r="P467" s="258" t="s">
        <v>121</v>
      </c>
      <c r="Q467" s="258" t="s">
        <v>241</v>
      </c>
      <c r="R467" s="258" t="s">
        <v>361</v>
      </c>
    </row>
    <row r="468" spans="1:18" ht="38.25" x14ac:dyDescent="0.25">
      <c r="A468" s="252" t="s">
        <v>1775</v>
      </c>
      <c r="B468" s="252" t="str">
        <f>HLOOKUP('Getting Started'!H$2,E:I,ROW(),FALSE)</f>
        <v>Facilities and Safety</v>
      </c>
      <c r="C468" s="252" t="str">
        <f>HLOOKUP('Getting Started'!H$2,J:N,ROW(),FALSE)</f>
        <v>Does the retention schedule for storing different types of materials include the following documents:</v>
      </c>
      <c r="D468" s="252" t="s">
        <v>508</v>
      </c>
      <c r="E468" s="255" t="s">
        <v>510</v>
      </c>
      <c r="F468" s="255" t="s">
        <v>1391</v>
      </c>
      <c r="G468" s="255" t="s">
        <v>1392</v>
      </c>
      <c r="H468" s="255" t="s">
        <v>1393</v>
      </c>
      <c r="I468" s="254"/>
      <c r="J468" s="254" t="s">
        <v>839</v>
      </c>
      <c r="K468" s="254" t="s">
        <v>978</v>
      </c>
      <c r="L468" s="254" t="s">
        <v>1117</v>
      </c>
      <c r="M468" s="254" t="s">
        <v>1256</v>
      </c>
      <c r="N468" s="256" t="s">
        <v>3658</v>
      </c>
      <c r="O468" s="300" t="s">
        <v>1</v>
      </c>
      <c r="P468" s="300" t="s">
        <v>121</v>
      </c>
      <c r="Q468" s="300" t="s">
        <v>241</v>
      </c>
      <c r="R468" s="300" t="s">
        <v>361</v>
      </c>
    </row>
    <row r="469" spans="1:18" ht="24" x14ac:dyDescent="0.25">
      <c r="A469" s="252" t="s">
        <v>2610</v>
      </c>
      <c r="B469" s="252" t="str">
        <f>HLOOKUP('Getting Started'!H$2,E:I,ROW(),FALSE)</f>
        <v>Facilities and Safety</v>
      </c>
      <c r="C469" s="252" t="str">
        <f>HLOOKUP('Getting Started'!H$2,J:N,ROW(),FALSE)</f>
        <v>Replaced SOPs</v>
      </c>
      <c r="D469" s="252" t="s">
        <v>508</v>
      </c>
      <c r="E469" s="255" t="s">
        <v>510</v>
      </c>
      <c r="F469" s="255" t="s">
        <v>1391</v>
      </c>
      <c r="G469" s="255" t="s">
        <v>1392</v>
      </c>
      <c r="H469" s="255" t="s">
        <v>1393</v>
      </c>
      <c r="I469" s="254"/>
      <c r="J469" s="254" t="s">
        <v>840</v>
      </c>
      <c r="K469" s="254" t="s">
        <v>979</v>
      </c>
      <c r="L469" s="254" t="s">
        <v>1118</v>
      </c>
      <c r="M469" s="254" t="s">
        <v>1257</v>
      </c>
      <c r="N469" s="256" t="s">
        <v>3659</v>
      </c>
      <c r="O469" s="300"/>
      <c r="P469" s="300"/>
      <c r="Q469" s="300"/>
      <c r="R469" s="300"/>
    </row>
    <row r="470" spans="1:18" ht="24" x14ac:dyDescent="0.25">
      <c r="A470" s="252" t="s">
        <v>2611</v>
      </c>
      <c r="B470" s="252" t="str">
        <f>HLOOKUP('Getting Started'!H$2,E:I,ROW(),FALSE)</f>
        <v>Facilities and Safety</v>
      </c>
      <c r="C470" s="252" t="str">
        <f>HLOOKUP('Getting Started'!H$2,J:N,ROW(),FALSE)</f>
        <v>Completed worksheets</v>
      </c>
      <c r="D470" s="252" t="s">
        <v>508</v>
      </c>
      <c r="E470" s="255" t="s">
        <v>510</v>
      </c>
      <c r="F470" s="255" t="s">
        <v>1391</v>
      </c>
      <c r="G470" s="255" t="s">
        <v>1392</v>
      </c>
      <c r="H470" s="255" t="s">
        <v>1393</v>
      </c>
      <c r="I470" s="254"/>
      <c r="J470" s="254" t="s">
        <v>841</v>
      </c>
      <c r="K470" s="254" t="s">
        <v>980</v>
      </c>
      <c r="L470" s="254" t="s">
        <v>1119</v>
      </c>
      <c r="M470" s="254" t="s">
        <v>1258</v>
      </c>
      <c r="N470" s="256" t="s">
        <v>3660</v>
      </c>
      <c r="O470" s="300"/>
      <c r="P470" s="300"/>
      <c r="Q470" s="300"/>
      <c r="R470" s="300"/>
    </row>
    <row r="471" spans="1:18" ht="24" x14ac:dyDescent="0.25">
      <c r="A471" s="252" t="s">
        <v>2612</v>
      </c>
      <c r="B471" s="252" t="str">
        <f>HLOOKUP('Getting Started'!H$2,E:I,ROW(),FALSE)</f>
        <v>Facilities and Safety</v>
      </c>
      <c r="C471" s="252" t="str">
        <f>HLOOKUP('Getting Started'!H$2,J:N,ROW(),FALSE)</f>
        <v>Completed log sheets</v>
      </c>
      <c r="D471" s="252" t="s">
        <v>508</v>
      </c>
      <c r="E471" s="255" t="s">
        <v>510</v>
      </c>
      <c r="F471" s="255" t="s">
        <v>1391</v>
      </c>
      <c r="G471" s="255" t="s">
        <v>1392</v>
      </c>
      <c r="H471" s="255" t="s">
        <v>1393</v>
      </c>
      <c r="I471" s="254"/>
      <c r="J471" s="254" t="s">
        <v>842</v>
      </c>
      <c r="K471" s="254" t="s">
        <v>981</v>
      </c>
      <c r="L471" s="254" t="s">
        <v>1120</v>
      </c>
      <c r="M471" s="254" t="s">
        <v>1259</v>
      </c>
      <c r="N471" s="256" t="s">
        <v>3661</v>
      </c>
      <c r="O471" s="300"/>
      <c r="P471" s="300"/>
      <c r="Q471" s="300"/>
      <c r="R471" s="300"/>
    </row>
    <row r="472" spans="1:18" ht="24" x14ac:dyDescent="0.25">
      <c r="A472" s="252" t="s">
        <v>2613</v>
      </c>
      <c r="B472" s="252" t="str">
        <f>HLOOKUP('Getting Started'!H$2,E:I,ROW(),FALSE)</f>
        <v>Facilities and Safety</v>
      </c>
      <c r="C472" s="252" t="str">
        <f>HLOOKUP('Getting Started'!H$2,J:N,ROW(),FALSE)</f>
        <v>Completed Request Forms</v>
      </c>
      <c r="D472" s="252" t="s">
        <v>508</v>
      </c>
      <c r="E472" s="255" t="s">
        <v>510</v>
      </c>
      <c r="F472" s="255" t="s">
        <v>1391</v>
      </c>
      <c r="G472" s="255" t="s">
        <v>1392</v>
      </c>
      <c r="H472" s="255" t="s">
        <v>1393</v>
      </c>
      <c r="I472" s="254"/>
      <c r="J472" s="254" t="s">
        <v>843</v>
      </c>
      <c r="K472" s="254" t="s">
        <v>982</v>
      </c>
      <c r="L472" s="254" t="s">
        <v>1121</v>
      </c>
      <c r="M472" s="254" t="s">
        <v>1260</v>
      </c>
      <c r="N472" s="256" t="s">
        <v>3662</v>
      </c>
      <c r="O472" s="300"/>
      <c r="P472" s="300"/>
      <c r="Q472" s="300"/>
      <c r="R472" s="300"/>
    </row>
    <row r="473" spans="1:18" ht="24" x14ac:dyDescent="0.25">
      <c r="A473" s="252" t="s">
        <v>2614</v>
      </c>
      <c r="B473" s="252" t="str">
        <f>HLOOKUP('Getting Started'!H$2,E:I,ROW(),FALSE)</f>
        <v>Facilities and Safety</v>
      </c>
      <c r="C473" s="252" t="str">
        <f>HLOOKUP('Getting Started'!H$2,J:N,ROW(),FALSE)</f>
        <v>Patient reports</v>
      </c>
      <c r="D473" s="252" t="s">
        <v>508</v>
      </c>
      <c r="E473" s="255" t="s">
        <v>510</v>
      </c>
      <c r="F473" s="255" t="s">
        <v>1391</v>
      </c>
      <c r="G473" s="255" t="s">
        <v>1392</v>
      </c>
      <c r="H473" s="255" t="s">
        <v>1393</v>
      </c>
      <c r="I473" s="254"/>
      <c r="J473" s="254" t="s">
        <v>844</v>
      </c>
      <c r="K473" s="254" t="s">
        <v>983</v>
      </c>
      <c r="L473" s="254" t="s">
        <v>1122</v>
      </c>
      <c r="M473" s="254" t="s">
        <v>1261</v>
      </c>
      <c r="N473" s="256" t="s">
        <v>3663</v>
      </c>
      <c r="O473" s="300"/>
      <c r="P473" s="300"/>
      <c r="Q473" s="300"/>
      <c r="R473" s="300"/>
    </row>
    <row r="474" spans="1:18" ht="24" x14ac:dyDescent="0.25">
      <c r="A474" s="252" t="s">
        <v>2615</v>
      </c>
      <c r="B474" s="252" t="str">
        <f>HLOOKUP('Getting Started'!H$2,E:I,ROW(),FALSE)</f>
        <v>Facilities and Safety</v>
      </c>
      <c r="C474" s="252" t="str">
        <f>HLOOKUP('Getting Started'!H$2,J:N,ROW(),FALSE)</f>
        <v>Result registers</v>
      </c>
      <c r="D474" s="252" t="s">
        <v>508</v>
      </c>
      <c r="E474" s="255" t="s">
        <v>510</v>
      </c>
      <c r="F474" s="255" t="s">
        <v>1391</v>
      </c>
      <c r="G474" s="255" t="s">
        <v>1392</v>
      </c>
      <c r="H474" s="255" t="s">
        <v>1393</v>
      </c>
      <c r="I474" s="254"/>
      <c r="J474" s="254" t="s">
        <v>845</v>
      </c>
      <c r="K474" s="254" t="s">
        <v>984</v>
      </c>
      <c r="L474" s="254" t="s">
        <v>1123</v>
      </c>
      <c r="M474" s="254" t="s">
        <v>1262</v>
      </c>
      <c r="N474" s="256" t="s">
        <v>3664</v>
      </c>
      <c r="O474" s="300"/>
      <c r="P474" s="300"/>
      <c r="Q474" s="300"/>
      <c r="R474" s="300"/>
    </row>
    <row r="475" spans="1:18" ht="31.5" x14ac:dyDescent="0.25">
      <c r="A475" s="252" t="s">
        <v>2616</v>
      </c>
      <c r="B475" s="252" t="str">
        <f>HLOOKUP('Getting Started'!H$2,E:I,ROW(),FALSE)</f>
        <v>Facilities and Safety</v>
      </c>
      <c r="C475" s="252" t="str">
        <f>HLOOKUP('Getting Started'!H$2,J:N,ROW(),FALSE)</f>
        <v>All contracts of the laboratory with external parties</v>
      </c>
      <c r="D475" s="252" t="s">
        <v>508</v>
      </c>
      <c r="E475" s="255" t="s">
        <v>510</v>
      </c>
      <c r="F475" s="255" t="s">
        <v>1391</v>
      </c>
      <c r="G475" s="255" t="s">
        <v>1392</v>
      </c>
      <c r="H475" s="255" t="s">
        <v>1393</v>
      </c>
      <c r="I475" s="254"/>
      <c r="J475" s="254" t="s">
        <v>846</v>
      </c>
      <c r="K475" s="254" t="s">
        <v>985</v>
      </c>
      <c r="L475" s="254" t="s">
        <v>1124</v>
      </c>
      <c r="M475" s="254" t="s">
        <v>1263</v>
      </c>
      <c r="N475" s="256" t="s">
        <v>3665</v>
      </c>
      <c r="O475" s="300"/>
      <c r="P475" s="300"/>
      <c r="Q475" s="300"/>
      <c r="R475" s="300"/>
    </row>
    <row r="476" spans="1:18" ht="24" x14ac:dyDescent="0.25">
      <c r="A476" s="252" t="s">
        <v>2617</v>
      </c>
      <c r="B476" s="252" t="str">
        <f>HLOOKUP('Getting Started'!H$2,E:I,ROW(),FALSE)</f>
        <v>Facilities and Safety</v>
      </c>
      <c r="C476" s="252" t="str">
        <f>HLOOKUP('Getting Started'!H$2,J:N,ROW(),FALSE)</f>
        <v>Personnel data</v>
      </c>
      <c r="D476" s="252" t="s">
        <v>508</v>
      </c>
      <c r="E476" s="255" t="s">
        <v>510</v>
      </c>
      <c r="F476" s="255" t="s">
        <v>1391</v>
      </c>
      <c r="G476" s="255" t="s">
        <v>1392</v>
      </c>
      <c r="H476" s="255" t="s">
        <v>1393</v>
      </c>
      <c r="I476" s="254"/>
      <c r="J476" s="254" t="s">
        <v>847</v>
      </c>
      <c r="K476" s="254" t="s">
        <v>986</v>
      </c>
      <c r="L476" s="254" t="s">
        <v>1125</v>
      </c>
      <c r="M476" s="254" t="s">
        <v>1264</v>
      </c>
      <c r="N476" s="256" t="s">
        <v>3666</v>
      </c>
      <c r="O476" s="300"/>
      <c r="P476" s="300"/>
      <c r="Q476" s="300"/>
      <c r="R476" s="300"/>
    </row>
    <row r="477" spans="1:18" ht="15.75" x14ac:dyDescent="0.25">
      <c r="A477" s="252" t="s">
        <v>1776</v>
      </c>
      <c r="B477" s="252" t="str">
        <f>HLOOKUP('Getting Started'!H$2,E:I,ROW(),FALSE)</f>
        <v>Organization</v>
      </c>
      <c r="C477" s="252" t="str">
        <f>HLOOKUP('Getting Started'!H$2,J:N,ROW(),FALSE)</f>
        <v>Does the laboratory have a clear Vision?</v>
      </c>
      <c r="D477" s="252" t="s">
        <v>508</v>
      </c>
      <c r="E477" s="255" t="s">
        <v>511</v>
      </c>
      <c r="F477" s="255" t="s">
        <v>1397</v>
      </c>
      <c r="G477" s="255" t="s">
        <v>1398</v>
      </c>
      <c r="H477" s="255" t="s">
        <v>1399</v>
      </c>
      <c r="I477" s="254"/>
      <c r="J477" s="254" t="s">
        <v>848</v>
      </c>
      <c r="K477" s="254" t="s">
        <v>987</v>
      </c>
      <c r="L477" s="254" t="s">
        <v>1126</v>
      </c>
      <c r="M477" s="254" t="s">
        <v>1265</v>
      </c>
      <c r="N477" s="256" t="s">
        <v>3667</v>
      </c>
      <c r="O477" s="258" t="s">
        <v>1</v>
      </c>
      <c r="P477" s="258" t="s">
        <v>121</v>
      </c>
      <c r="Q477" s="258" t="s">
        <v>241</v>
      </c>
      <c r="R477" s="258" t="s">
        <v>361</v>
      </c>
    </row>
    <row r="478" spans="1:18" ht="31.5" x14ac:dyDescent="0.25">
      <c r="A478" s="252" t="s">
        <v>1777</v>
      </c>
      <c r="B478" s="252" t="str">
        <f>HLOOKUP('Getting Started'!H$2,E:I,ROW(),FALSE)</f>
        <v>Organization</v>
      </c>
      <c r="C478" s="252" t="str">
        <f>HLOOKUP('Getting Started'!H$2,J:N,ROW(),FALSE)</f>
        <v>Is the Vision of the laboratory documented and stored?</v>
      </c>
      <c r="D478" s="252" t="s">
        <v>508</v>
      </c>
      <c r="E478" s="255" t="s">
        <v>511</v>
      </c>
      <c r="F478" s="255" t="s">
        <v>1397</v>
      </c>
      <c r="G478" s="255" t="s">
        <v>1398</v>
      </c>
      <c r="H478" s="255" t="s">
        <v>1399</v>
      </c>
      <c r="I478" s="254"/>
      <c r="J478" s="254" t="s">
        <v>849</v>
      </c>
      <c r="K478" s="254" t="s">
        <v>988</v>
      </c>
      <c r="L478" s="254" t="s">
        <v>1127</v>
      </c>
      <c r="M478" s="254" t="s">
        <v>1266</v>
      </c>
      <c r="N478" s="256" t="s">
        <v>3668</v>
      </c>
      <c r="O478" s="258" t="s">
        <v>1</v>
      </c>
      <c r="P478" s="258" t="s">
        <v>121</v>
      </c>
      <c r="Q478" s="258" t="s">
        <v>241</v>
      </c>
      <c r="R478" s="258" t="s">
        <v>361</v>
      </c>
    </row>
    <row r="479" spans="1:18" ht="31.5" x14ac:dyDescent="0.25">
      <c r="A479" s="252" t="s">
        <v>1778</v>
      </c>
      <c r="B479" s="252" t="str">
        <f>HLOOKUP('Getting Started'!H$2,E:I,ROW(),FALSE)</f>
        <v>Organization</v>
      </c>
      <c r="C479" s="252" t="str">
        <f>HLOOKUP('Getting Started'!H$2,J:N,ROW(),FALSE)</f>
        <v>Does the laboratory have a clear Mission?</v>
      </c>
      <c r="D479" s="252" t="s">
        <v>508</v>
      </c>
      <c r="E479" s="255" t="s">
        <v>511</v>
      </c>
      <c r="F479" s="255" t="s">
        <v>1397</v>
      </c>
      <c r="G479" s="255" t="s">
        <v>1398</v>
      </c>
      <c r="H479" s="255" t="s">
        <v>1399</v>
      </c>
      <c r="I479" s="254"/>
      <c r="J479" s="254" t="s">
        <v>850</v>
      </c>
      <c r="K479" s="254" t="s">
        <v>989</v>
      </c>
      <c r="L479" s="254" t="s">
        <v>1128</v>
      </c>
      <c r="M479" s="254" t="s">
        <v>1267</v>
      </c>
      <c r="N479" s="256" t="s">
        <v>3669</v>
      </c>
      <c r="O479" s="258" t="s">
        <v>1</v>
      </c>
      <c r="P479" s="258" t="s">
        <v>121</v>
      </c>
      <c r="Q479" s="258" t="s">
        <v>241</v>
      </c>
      <c r="R479" s="258" t="s">
        <v>361</v>
      </c>
    </row>
    <row r="480" spans="1:18" ht="31.5" x14ac:dyDescent="0.25">
      <c r="A480" s="252" t="s">
        <v>1779</v>
      </c>
      <c r="B480" s="252" t="str">
        <f>HLOOKUP('Getting Started'!H$2,E:I,ROW(),FALSE)</f>
        <v>Organization</v>
      </c>
      <c r="C480" s="252" t="str">
        <f>HLOOKUP('Getting Started'!H$2,J:N,ROW(),FALSE)</f>
        <v>Is the Mission of the laboratory documented and stored?</v>
      </c>
      <c r="D480" s="252" t="s">
        <v>508</v>
      </c>
      <c r="E480" s="255" t="s">
        <v>511</v>
      </c>
      <c r="F480" s="255" t="s">
        <v>1397</v>
      </c>
      <c r="G480" s="255" t="s">
        <v>1398</v>
      </c>
      <c r="H480" s="255" t="s">
        <v>1399</v>
      </c>
      <c r="I480" s="254"/>
      <c r="J480" s="254" t="s">
        <v>851</v>
      </c>
      <c r="K480" s="254" t="s">
        <v>990</v>
      </c>
      <c r="L480" s="254" t="s">
        <v>1129</v>
      </c>
      <c r="M480" s="254" t="s">
        <v>1268</v>
      </c>
      <c r="N480" s="256" t="s">
        <v>3670</v>
      </c>
      <c r="O480" s="258" t="s">
        <v>1</v>
      </c>
      <c r="P480" s="258" t="s">
        <v>121</v>
      </c>
      <c r="Q480" s="258" t="s">
        <v>241</v>
      </c>
      <c r="R480" s="258" t="s">
        <v>361</v>
      </c>
    </row>
    <row r="481" spans="1:18" ht="15.75" x14ac:dyDescent="0.25">
      <c r="A481" s="252" t="s">
        <v>1780</v>
      </c>
      <c r="B481" s="252" t="str">
        <f>HLOOKUP('Getting Started'!H$2,E:I,ROW(),FALSE)</f>
        <v>Organization</v>
      </c>
      <c r="C481" s="252" t="str">
        <f>HLOOKUP('Getting Started'!H$2,J:N,ROW(),FALSE)</f>
        <v>Does the laboratory have long-term goals?</v>
      </c>
      <c r="D481" s="252" t="s">
        <v>508</v>
      </c>
      <c r="E481" s="255" t="s">
        <v>511</v>
      </c>
      <c r="F481" s="255" t="s">
        <v>1397</v>
      </c>
      <c r="G481" s="255" t="s">
        <v>1398</v>
      </c>
      <c r="H481" s="255" t="s">
        <v>1399</v>
      </c>
      <c r="I481" s="254"/>
      <c r="J481" s="254" t="s">
        <v>852</v>
      </c>
      <c r="K481" s="254" t="s">
        <v>991</v>
      </c>
      <c r="L481" s="254" t="s">
        <v>1130</v>
      </c>
      <c r="M481" s="254" t="s">
        <v>1269</v>
      </c>
      <c r="N481" s="256" t="s">
        <v>3671</v>
      </c>
      <c r="O481" s="258" t="s">
        <v>1</v>
      </c>
      <c r="P481" s="258" t="s">
        <v>121</v>
      </c>
      <c r="Q481" s="258" t="s">
        <v>241</v>
      </c>
      <c r="R481" s="258" t="s">
        <v>361</v>
      </c>
    </row>
    <row r="482" spans="1:18" ht="31.5" x14ac:dyDescent="0.25">
      <c r="A482" s="252" t="s">
        <v>1781</v>
      </c>
      <c r="B482" s="252" t="str">
        <f>HLOOKUP('Getting Started'!H$2,E:I,ROW(),FALSE)</f>
        <v>Organization</v>
      </c>
      <c r="C482" s="252" t="str">
        <f>HLOOKUP('Getting Started'!H$2,J:N,ROW(),FALSE)</f>
        <v>Are the long-term goals of the laboratory covering all the core-activities?</v>
      </c>
      <c r="D482" s="252" t="s">
        <v>508</v>
      </c>
      <c r="E482" s="255" t="s">
        <v>511</v>
      </c>
      <c r="F482" s="255" t="s">
        <v>1397</v>
      </c>
      <c r="G482" s="255" t="s">
        <v>1398</v>
      </c>
      <c r="H482" s="255" t="s">
        <v>1399</v>
      </c>
      <c r="I482" s="254"/>
      <c r="J482" s="254" t="s">
        <v>853</v>
      </c>
      <c r="K482" s="254" t="s">
        <v>992</v>
      </c>
      <c r="L482" s="254" t="s">
        <v>1131</v>
      </c>
      <c r="M482" s="254" t="s">
        <v>1270</v>
      </c>
      <c r="N482" s="256" t="s">
        <v>3672</v>
      </c>
      <c r="O482" s="258" t="s">
        <v>1</v>
      </c>
      <c r="P482" s="258" t="s">
        <v>121</v>
      </c>
      <c r="Q482" s="258" t="s">
        <v>241</v>
      </c>
      <c r="R482" s="258" t="s">
        <v>361</v>
      </c>
    </row>
    <row r="483" spans="1:18" ht="31.5" x14ac:dyDescent="0.25">
      <c r="A483" s="252" t="s">
        <v>1782</v>
      </c>
      <c r="B483" s="252" t="str">
        <f>HLOOKUP('Getting Started'!H$2,E:I,ROW(),FALSE)</f>
        <v>Organization</v>
      </c>
      <c r="C483" s="252" t="str">
        <f>HLOOKUP('Getting Started'!H$2,J:N,ROW(),FALSE)</f>
        <v>Are the long-term goals of the laboratory aimed at improvement?</v>
      </c>
      <c r="D483" s="252" t="s">
        <v>508</v>
      </c>
      <c r="E483" s="255" t="s">
        <v>511</v>
      </c>
      <c r="F483" s="255" t="s">
        <v>1397</v>
      </c>
      <c r="G483" s="255" t="s">
        <v>1398</v>
      </c>
      <c r="H483" s="255" t="s">
        <v>1399</v>
      </c>
      <c r="I483" s="254"/>
      <c r="J483" s="254" t="s">
        <v>854</v>
      </c>
      <c r="K483" s="254" t="s">
        <v>993</v>
      </c>
      <c r="L483" s="254" t="s">
        <v>1132</v>
      </c>
      <c r="M483" s="254" t="s">
        <v>1271</v>
      </c>
      <c r="N483" s="256" t="s">
        <v>3673</v>
      </c>
      <c r="O483" s="258" t="s">
        <v>1</v>
      </c>
      <c r="P483" s="258" t="s">
        <v>121</v>
      </c>
      <c r="Q483" s="258" t="s">
        <v>241</v>
      </c>
      <c r="R483" s="258" t="s">
        <v>361</v>
      </c>
    </row>
    <row r="484" spans="1:18" ht="31.5" x14ac:dyDescent="0.25">
      <c r="A484" s="252" t="s">
        <v>1783</v>
      </c>
      <c r="B484" s="252" t="str">
        <f>HLOOKUP('Getting Started'!H$2,E:I,ROW(),FALSE)</f>
        <v>Organization</v>
      </c>
      <c r="C484" s="252" t="str">
        <f>HLOOKUP('Getting Started'!H$2,J:N,ROW(),FALSE)</f>
        <v>Are the long-term goals of the laboratory documented and stored?</v>
      </c>
      <c r="D484" s="252" t="s">
        <v>508</v>
      </c>
      <c r="E484" s="255" t="s">
        <v>511</v>
      </c>
      <c r="F484" s="255" t="s">
        <v>1397</v>
      </c>
      <c r="G484" s="255" t="s">
        <v>1398</v>
      </c>
      <c r="H484" s="255" t="s">
        <v>1399</v>
      </c>
      <c r="I484" s="254"/>
      <c r="J484" s="254" t="s">
        <v>855</v>
      </c>
      <c r="K484" s="254" t="s">
        <v>994</v>
      </c>
      <c r="L484" s="254" t="s">
        <v>1133</v>
      </c>
      <c r="M484" s="254" t="s">
        <v>1272</v>
      </c>
      <c r="N484" s="256" t="s">
        <v>3674</v>
      </c>
      <c r="O484" s="258" t="s">
        <v>1</v>
      </c>
      <c r="P484" s="258" t="s">
        <v>121</v>
      </c>
      <c r="Q484" s="258" t="s">
        <v>241</v>
      </c>
      <c r="R484" s="258" t="s">
        <v>361</v>
      </c>
    </row>
    <row r="485" spans="1:18" ht="25.5" x14ac:dyDescent="0.25">
      <c r="A485" s="252" t="s">
        <v>1784</v>
      </c>
      <c r="B485" s="252" t="str">
        <f>HLOOKUP('Getting Started'!H$2,E:I,ROW(),FALSE)</f>
        <v>Organization</v>
      </c>
      <c r="C485" s="252" t="str">
        <f>HLOOKUP('Getting Started'!H$2,J:N,ROW(),FALSE)</f>
        <v>Does the laboratory have a Quality Policy?</v>
      </c>
      <c r="D485" s="252" t="s">
        <v>508</v>
      </c>
      <c r="E485" s="255" t="s">
        <v>511</v>
      </c>
      <c r="F485" s="255" t="s">
        <v>1397</v>
      </c>
      <c r="G485" s="255" t="s">
        <v>1398</v>
      </c>
      <c r="H485" s="255" t="s">
        <v>1399</v>
      </c>
      <c r="I485" s="254"/>
      <c r="J485" s="254" t="s">
        <v>856</v>
      </c>
      <c r="K485" s="254" t="s">
        <v>995</v>
      </c>
      <c r="L485" s="254" t="s">
        <v>1134</v>
      </c>
      <c r="M485" s="254" t="s">
        <v>1273</v>
      </c>
      <c r="N485" s="256" t="s">
        <v>3675</v>
      </c>
      <c r="O485" s="258" t="s">
        <v>1</v>
      </c>
      <c r="P485" s="258" t="s">
        <v>121</v>
      </c>
      <c r="Q485" s="258" t="s">
        <v>241</v>
      </c>
      <c r="R485" s="258" t="s">
        <v>361</v>
      </c>
    </row>
    <row r="486" spans="1:18" ht="31.5" x14ac:dyDescent="0.25">
      <c r="A486" s="252" t="s">
        <v>1785</v>
      </c>
      <c r="B486" s="252" t="str">
        <f>HLOOKUP('Getting Started'!H$2,E:I,ROW(),FALSE)</f>
        <v>Organization</v>
      </c>
      <c r="C486" s="252" t="str">
        <f>HLOOKUP('Getting Started'!H$2,J:N,ROW(),FALSE)</f>
        <v>Does the Quality Policy describe clearly the scope of the laboratory services?</v>
      </c>
      <c r="D486" s="252" t="s">
        <v>508</v>
      </c>
      <c r="E486" s="255" t="s">
        <v>511</v>
      </c>
      <c r="F486" s="255" t="s">
        <v>1397</v>
      </c>
      <c r="G486" s="255" t="s">
        <v>1398</v>
      </c>
      <c r="H486" s="255" t="s">
        <v>1399</v>
      </c>
      <c r="I486" s="254"/>
      <c r="J486" s="254" t="s">
        <v>857</v>
      </c>
      <c r="K486" s="254" t="s">
        <v>996</v>
      </c>
      <c r="L486" s="254" t="s">
        <v>1135</v>
      </c>
      <c r="M486" s="254" t="s">
        <v>1274</v>
      </c>
      <c r="N486" s="256" t="s">
        <v>3676</v>
      </c>
      <c r="O486" s="258" t="s">
        <v>1</v>
      </c>
      <c r="P486" s="258" t="s">
        <v>121</v>
      </c>
      <c r="Q486" s="258" t="s">
        <v>241</v>
      </c>
      <c r="R486" s="258" t="s">
        <v>361</v>
      </c>
    </row>
    <row r="487" spans="1:18" ht="63" x14ac:dyDescent="0.25">
      <c r="A487" s="252" t="s">
        <v>1786</v>
      </c>
      <c r="B487" s="252" t="str">
        <f>HLOOKUP('Getting Started'!H$2,E:I,ROW(),FALSE)</f>
        <v>Organization</v>
      </c>
      <c r="C487" s="252" t="str">
        <f>HLOOKUP('Getting Started'!H$2,J:N,ROW(),FALSE)</f>
        <v>Does the Quality Policy describe clearly the Long Term Goals and what the laboratory will do to achieve these goals?</v>
      </c>
      <c r="D487" s="252" t="s">
        <v>508</v>
      </c>
      <c r="E487" s="255" t="s">
        <v>511</v>
      </c>
      <c r="F487" s="255" t="s">
        <v>1397</v>
      </c>
      <c r="G487" s="255" t="s">
        <v>1398</v>
      </c>
      <c r="H487" s="255" t="s">
        <v>1399</v>
      </c>
      <c r="I487" s="254"/>
      <c r="J487" s="254" t="s">
        <v>858</v>
      </c>
      <c r="K487" s="254" t="s">
        <v>997</v>
      </c>
      <c r="L487" s="254" t="s">
        <v>1136</v>
      </c>
      <c r="M487" s="254" t="s">
        <v>1275</v>
      </c>
      <c r="N487" s="256" t="s">
        <v>3677</v>
      </c>
      <c r="O487" s="258" t="s">
        <v>1</v>
      </c>
      <c r="P487" s="258" t="s">
        <v>121</v>
      </c>
      <c r="Q487" s="258" t="s">
        <v>241</v>
      </c>
      <c r="R487" s="258" t="s">
        <v>361</v>
      </c>
    </row>
    <row r="488" spans="1:18" ht="47.25" x14ac:dyDescent="0.25">
      <c r="A488" s="252" t="s">
        <v>1787</v>
      </c>
      <c r="B488" s="252" t="str">
        <f>HLOOKUP('Getting Started'!H$2,E:I,ROW(),FALSE)</f>
        <v>Organization</v>
      </c>
      <c r="C488" s="252" t="str">
        <f>HLOOKUP('Getting Started'!H$2,J:N,ROW(),FALSE)</f>
        <v>Does the Quality Policy contain a statement of the management’s commitment to implement and maintain the quality management system?</v>
      </c>
      <c r="D488" s="252" t="s">
        <v>508</v>
      </c>
      <c r="E488" s="255" t="s">
        <v>511</v>
      </c>
      <c r="F488" s="255" t="s">
        <v>1397</v>
      </c>
      <c r="G488" s="255" t="s">
        <v>1398</v>
      </c>
      <c r="H488" s="255" t="s">
        <v>1399</v>
      </c>
      <c r="I488" s="254"/>
      <c r="J488" s="254" t="s">
        <v>859</v>
      </c>
      <c r="K488" s="254" t="s">
        <v>998</v>
      </c>
      <c r="L488" s="254" t="s">
        <v>1137</v>
      </c>
      <c r="M488" s="254" t="s">
        <v>1276</v>
      </c>
      <c r="N488" s="256" t="s">
        <v>3678</v>
      </c>
      <c r="O488" s="258" t="s">
        <v>1</v>
      </c>
      <c r="P488" s="258" t="s">
        <v>121</v>
      </c>
      <c r="Q488" s="258" t="s">
        <v>241</v>
      </c>
      <c r="R488" s="258" t="s">
        <v>361</v>
      </c>
    </row>
    <row r="489" spans="1:18" ht="78.75" x14ac:dyDescent="0.25">
      <c r="A489" s="252" t="s">
        <v>1788</v>
      </c>
      <c r="B489" s="252" t="str">
        <f>HLOOKUP('Getting Started'!H$2,E:I,ROW(),FALSE)</f>
        <v>Organization</v>
      </c>
      <c r="C489" s="252" t="str">
        <f>HLOOKUP('Getting Started'!H$2,J:N,ROW(),FALSE)</f>
        <v>Does the Quality Policy contain a statement of the laboratory's commitment to provide good professional practice, quality examinations, in compliance with the quality management system adhering to ISO 15189?</v>
      </c>
      <c r="D489" s="252" t="s">
        <v>508</v>
      </c>
      <c r="E489" s="255" t="s">
        <v>511</v>
      </c>
      <c r="F489" s="255" t="s">
        <v>1397</v>
      </c>
      <c r="G489" s="255" t="s">
        <v>1398</v>
      </c>
      <c r="H489" s="255" t="s">
        <v>1399</v>
      </c>
      <c r="I489" s="254"/>
      <c r="J489" s="254" t="s">
        <v>860</v>
      </c>
      <c r="K489" s="254" t="s">
        <v>999</v>
      </c>
      <c r="L489" s="254" t="s">
        <v>1138</v>
      </c>
      <c r="M489" s="254" t="s">
        <v>1277</v>
      </c>
      <c r="N489" s="256" t="s">
        <v>3679</v>
      </c>
      <c r="O489" s="258" t="s">
        <v>1</v>
      </c>
      <c r="P489" s="258" t="s">
        <v>121</v>
      </c>
      <c r="Q489" s="258" t="s">
        <v>241</v>
      </c>
      <c r="R489" s="258" t="s">
        <v>361</v>
      </c>
    </row>
    <row r="490" spans="1:18" ht="63" x14ac:dyDescent="0.25">
      <c r="A490" s="252" t="s">
        <v>1789</v>
      </c>
      <c r="B490" s="252" t="str">
        <f>HLOOKUP('Getting Started'!H$2,E:I,ROW(),FALSE)</f>
        <v>Organization</v>
      </c>
      <c r="C490" s="252" t="str">
        <f>HLOOKUP('Getting Started'!H$2,J:N,ROW(),FALSE)</f>
        <v>Does the Quality Policy contain a requirement that all staff members of the laboratory must be familiar with the policies and procedures of the laboratory and implement these?</v>
      </c>
      <c r="D490" s="252" t="s">
        <v>508</v>
      </c>
      <c r="E490" s="255" t="s">
        <v>511</v>
      </c>
      <c r="F490" s="255" t="s">
        <v>1397</v>
      </c>
      <c r="G490" s="255" t="s">
        <v>1398</v>
      </c>
      <c r="H490" s="255" t="s">
        <v>1399</v>
      </c>
      <c r="I490" s="254"/>
      <c r="J490" s="254" t="s">
        <v>861</v>
      </c>
      <c r="K490" s="254" t="s">
        <v>1000</v>
      </c>
      <c r="L490" s="254" t="s">
        <v>1139</v>
      </c>
      <c r="M490" s="254" t="s">
        <v>1278</v>
      </c>
      <c r="N490" s="256" t="s">
        <v>3680</v>
      </c>
      <c r="O490" s="258" t="s">
        <v>1</v>
      </c>
      <c r="P490" s="258" t="s">
        <v>121</v>
      </c>
      <c r="Q490" s="258" t="s">
        <v>241</v>
      </c>
      <c r="R490" s="258" t="s">
        <v>361</v>
      </c>
    </row>
    <row r="491" spans="1:18" ht="63.75" x14ac:dyDescent="0.25">
      <c r="A491" s="252" t="s">
        <v>1790</v>
      </c>
      <c r="B491" s="252" t="str">
        <f>HLOOKUP('Getting Started'!H$2,E:I,ROW(),FALSE)</f>
        <v>Organization</v>
      </c>
      <c r="C491" s="252" t="str">
        <f>HLOOKUP('Getting Started'!H$2,J:N,ROW(),FALSE)</f>
        <v>Are staff aware of existence of the Quality Policy?
Take a sample by randomly asking staff members.</v>
      </c>
      <c r="D491" s="252" t="s">
        <v>508</v>
      </c>
      <c r="E491" s="255" t="s">
        <v>511</v>
      </c>
      <c r="F491" s="255" t="s">
        <v>1397</v>
      </c>
      <c r="G491" s="255" t="s">
        <v>1398</v>
      </c>
      <c r="H491" s="255" t="s">
        <v>1399</v>
      </c>
      <c r="I491" s="254"/>
      <c r="J491" s="254" t="s">
        <v>2626</v>
      </c>
      <c r="K491" s="254" t="s">
        <v>2627</v>
      </c>
      <c r="L491" s="254" t="s">
        <v>2628</v>
      </c>
      <c r="M491" s="254" t="s">
        <v>2629</v>
      </c>
      <c r="N491" s="256" t="s">
        <v>3681</v>
      </c>
      <c r="O491" s="258" t="s">
        <v>1</v>
      </c>
      <c r="P491" s="258" t="s">
        <v>121</v>
      </c>
      <c r="Q491" s="258" t="s">
        <v>241</v>
      </c>
      <c r="R491" s="258" t="s">
        <v>361</v>
      </c>
    </row>
    <row r="492" spans="1:18" ht="63.75" x14ac:dyDescent="0.25">
      <c r="A492" s="252" t="s">
        <v>1791</v>
      </c>
      <c r="B492" s="252" t="str">
        <f>HLOOKUP('Getting Started'!H$2,E:I,ROW(),FALSE)</f>
        <v>Organization</v>
      </c>
      <c r="C492" s="252" t="str">
        <f>HLOOKUP('Getting Started'!H$2,J:N,ROW(),FALSE)</f>
        <v>Are staff familiar with the contents of the Quality Policy?
Take a sample by randomly asking staff members.</v>
      </c>
      <c r="D492" s="252" t="s">
        <v>508</v>
      </c>
      <c r="E492" s="255" t="s">
        <v>511</v>
      </c>
      <c r="F492" s="255" t="s">
        <v>1397</v>
      </c>
      <c r="G492" s="255" t="s">
        <v>1398</v>
      </c>
      <c r="H492" s="255" t="s">
        <v>1399</v>
      </c>
      <c r="I492" s="254"/>
      <c r="J492" s="254" t="s">
        <v>2625</v>
      </c>
      <c r="K492" s="254" t="s">
        <v>2630</v>
      </c>
      <c r="L492" s="254" t="s">
        <v>2631</v>
      </c>
      <c r="M492" s="254" t="s">
        <v>2632</v>
      </c>
      <c r="N492" s="256" t="s">
        <v>3682</v>
      </c>
      <c r="O492" s="258" t="s">
        <v>1</v>
      </c>
      <c r="P492" s="258" t="s">
        <v>121</v>
      </c>
      <c r="Q492" s="258" t="s">
        <v>241</v>
      </c>
      <c r="R492" s="258" t="s">
        <v>361</v>
      </c>
    </row>
    <row r="493" spans="1:18" ht="94.5" x14ac:dyDescent="0.25">
      <c r="A493" s="252" t="s">
        <v>1792</v>
      </c>
      <c r="B493" s="252" t="str">
        <f>HLOOKUP('Getting Started'!H$2,E:I,ROW(),FALSE)</f>
        <v>Organization</v>
      </c>
      <c r="C493" s="252" t="str">
        <f>HLOOKUP('Getting Started'!H$2,J:N,ROW(),FALSE)</f>
        <v>Have all staff members read the Quality Policy?
Request proof such as the Read &amp; Understand List and interview staff members about the contents of the quality policy.</v>
      </c>
      <c r="D493" s="252" t="s">
        <v>508</v>
      </c>
      <c r="E493" s="255" t="s">
        <v>511</v>
      </c>
      <c r="F493" s="255" t="s">
        <v>1397</v>
      </c>
      <c r="G493" s="255" t="s">
        <v>1398</v>
      </c>
      <c r="H493" s="255" t="s">
        <v>1399</v>
      </c>
      <c r="I493" s="254"/>
      <c r="J493" s="254" t="s">
        <v>2624</v>
      </c>
      <c r="K493" s="253"/>
      <c r="L493" s="261"/>
      <c r="M493" s="254" t="s">
        <v>2633</v>
      </c>
      <c r="N493" s="256" t="s">
        <v>3683</v>
      </c>
      <c r="O493" s="258" t="s">
        <v>1</v>
      </c>
      <c r="P493" s="262"/>
      <c r="Q493" s="258" t="s">
        <v>241</v>
      </c>
      <c r="R493" s="258" t="s">
        <v>361</v>
      </c>
    </row>
    <row r="494" spans="1:18" ht="45" x14ac:dyDescent="0.25">
      <c r="A494" s="252" t="s">
        <v>1793</v>
      </c>
      <c r="B494" s="252" t="str">
        <f>HLOOKUP('Getting Started'!H$2,E:I,ROW(),FALSE)</f>
        <v>Organization</v>
      </c>
      <c r="C494" s="252" t="str">
        <f>HLOOKUP('Getting Started'!H$2,J:N,ROW(),FALSE)</f>
        <v>Does the laboratory have measures to prevent interruption of services due to break down of old equipment?</v>
      </c>
      <c r="D494" s="252" t="s">
        <v>508</v>
      </c>
      <c r="E494" s="255" t="s">
        <v>511</v>
      </c>
      <c r="F494" s="255" t="s">
        <v>1397</v>
      </c>
      <c r="G494" s="255" t="s">
        <v>1398</v>
      </c>
      <c r="H494" s="255" t="s">
        <v>1399</v>
      </c>
      <c r="I494" s="254"/>
      <c r="J494" s="254" t="s">
        <v>862</v>
      </c>
      <c r="K494" s="254" t="s">
        <v>1001</v>
      </c>
      <c r="L494" s="254" t="s">
        <v>1140</v>
      </c>
      <c r="M494" s="254" t="s">
        <v>1279</v>
      </c>
      <c r="N494" s="256" t="s">
        <v>3684</v>
      </c>
      <c r="O494" s="258" t="s">
        <v>1</v>
      </c>
      <c r="P494" s="258" t="s">
        <v>121</v>
      </c>
      <c r="Q494" s="258" t="s">
        <v>241</v>
      </c>
      <c r="R494" s="258" t="s">
        <v>361</v>
      </c>
    </row>
    <row r="495" spans="1:18" ht="38.25" x14ac:dyDescent="0.25">
      <c r="A495" s="252" t="s">
        <v>1794</v>
      </c>
      <c r="B495" s="252" t="str">
        <f>HLOOKUP('Getting Started'!H$2,E:I,ROW(),FALSE)</f>
        <v>Organization</v>
      </c>
      <c r="C495" s="252" t="str">
        <f>HLOOKUP('Getting Started'!H$2,J:N,ROW(),FALSE)</f>
        <v>Is purchasing of new equipment taken into account in making the laboratory budget for the next year?</v>
      </c>
      <c r="D495" s="252" t="s">
        <v>508</v>
      </c>
      <c r="E495" s="255" t="s">
        <v>511</v>
      </c>
      <c r="F495" s="255" t="s">
        <v>1397</v>
      </c>
      <c r="G495" s="255" t="s">
        <v>1398</v>
      </c>
      <c r="H495" s="255" t="s">
        <v>1399</v>
      </c>
      <c r="I495" s="254"/>
      <c r="J495" s="254" t="s">
        <v>863</v>
      </c>
      <c r="K495" s="254" t="s">
        <v>1002</v>
      </c>
      <c r="L495" s="254" t="s">
        <v>1141</v>
      </c>
      <c r="M495" s="254" t="s">
        <v>1280</v>
      </c>
      <c r="N495" s="256" t="s">
        <v>3685</v>
      </c>
      <c r="O495" s="258" t="s">
        <v>1</v>
      </c>
      <c r="P495" s="258" t="s">
        <v>121</v>
      </c>
      <c r="Q495" s="258" t="s">
        <v>241</v>
      </c>
      <c r="R495" s="258" t="s">
        <v>361</v>
      </c>
    </row>
    <row r="496" spans="1:18" ht="47.25" x14ac:dyDescent="0.25">
      <c r="A496" s="252" t="s">
        <v>1795</v>
      </c>
      <c r="B496" s="252" t="str">
        <f>HLOOKUP('Getting Started'!H$2,E:I,ROW(),FALSE)</f>
        <v>Organization</v>
      </c>
      <c r="C496" s="252" t="str">
        <f>HLOOKUP('Getting Started'!H$2,J:N,ROW(),FALSE)</f>
        <v>Are maintenance costs (including repairs) taken into account in the laboratory budget?</v>
      </c>
      <c r="D496" s="252" t="s">
        <v>508</v>
      </c>
      <c r="E496" s="255" t="s">
        <v>511</v>
      </c>
      <c r="F496" s="255" t="s">
        <v>1397</v>
      </c>
      <c r="G496" s="255" t="s">
        <v>1398</v>
      </c>
      <c r="H496" s="255" t="s">
        <v>1399</v>
      </c>
      <c r="I496" s="254"/>
      <c r="J496" s="254" t="s">
        <v>864</v>
      </c>
      <c r="K496" s="254" t="s">
        <v>1003</v>
      </c>
      <c r="L496" s="254" t="s">
        <v>1142</v>
      </c>
      <c r="M496" s="254" t="s">
        <v>1281</v>
      </c>
      <c r="N496" s="256" t="s">
        <v>3686</v>
      </c>
      <c r="O496" s="258" t="s">
        <v>1</v>
      </c>
      <c r="P496" s="258" t="s">
        <v>121</v>
      </c>
      <c r="Q496" s="258" t="s">
        <v>241</v>
      </c>
      <c r="R496" s="258" t="s">
        <v>361</v>
      </c>
    </row>
    <row r="497" spans="1:18" ht="31.5" x14ac:dyDescent="0.25">
      <c r="A497" s="252" t="s">
        <v>1796</v>
      </c>
      <c r="B497" s="252" t="str">
        <f>HLOOKUP('Getting Started'!H$2,E:I,ROW(),FALSE)</f>
        <v>Organization</v>
      </c>
      <c r="C497" s="252" t="str">
        <f>HLOOKUP('Getting Started'!H$2,J:N,ROW(),FALSE)</f>
        <v>Did the laboratory formulate goals for the coming year prior to drafting the Quality Year Plan?</v>
      </c>
      <c r="D497" s="252" t="s">
        <v>508</v>
      </c>
      <c r="E497" s="255" t="s">
        <v>511</v>
      </c>
      <c r="F497" s="255" t="s">
        <v>1397</v>
      </c>
      <c r="G497" s="255" t="s">
        <v>1398</v>
      </c>
      <c r="H497" s="255" t="s">
        <v>1399</v>
      </c>
      <c r="I497" s="254"/>
      <c r="J497" s="254" t="s">
        <v>865</v>
      </c>
      <c r="K497" s="254" t="s">
        <v>1004</v>
      </c>
      <c r="L497" s="254" t="s">
        <v>1143</v>
      </c>
      <c r="M497" s="254" t="s">
        <v>1282</v>
      </c>
      <c r="N497" s="256" t="s">
        <v>3687</v>
      </c>
      <c r="O497" s="258" t="s">
        <v>1</v>
      </c>
      <c r="P497" s="258" t="s">
        <v>121</v>
      </c>
      <c r="Q497" s="258" t="s">
        <v>241</v>
      </c>
      <c r="R497" s="258" t="s">
        <v>361</v>
      </c>
    </row>
    <row r="498" spans="1:18" ht="31.5" x14ac:dyDescent="0.25">
      <c r="A498" s="252" t="s">
        <v>1797</v>
      </c>
      <c r="B498" s="252" t="str">
        <f>HLOOKUP('Getting Started'!H$2,E:I,ROW(),FALSE)</f>
        <v>Organization</v>
      </c>
      <c r="C498" s="252" t="str">
        <f>HLOOKUP('Getting Started'!H$2,J:N,ROW(),FALSE)</f>
        <v>Does the laboratory plan its activities through a Quality Year Plan?</v>
      </c>
      <c r="D498" s="252" t="s">
        <v>508</v>
      </c>
      <c r="E498" s="255" t="s">
        <v>511</v>
      </c>
      <c r="F498" s="255" t="s">
        <v>1397</v>
      </c>
      <c r="G498" s="255" t="s">
        <v>1398</v>
      </c>
      <c r="H498" s="255" t="s">
        <v>1399</v>
      </c>
      <c r="I498" s="254"/>
      <c r="J498" s="254" t="s">
        <v>866</v>
      </c>
      <c r="K498" s="254" t="s">
        <v>1005</v>
      </c>
      <c r="L498" s="254" t="s">
        <v>1144</v>
      </c>
      <c r="M498" s="254" t="s">
        <v>1283</v>
      </c>
      <c r="N498" s="256" t="s">
        <v>3688</v>
      </c>
      <c r="O498" s="258" t="s">
        <v>1</v>
      </c>
      <c r="P498" s="258" t="s">
        <v>121</v>
      </c>
      <c r="Q498" s="258" t="s">
        <v>241</v>
      </c>
      <c r="R498" s="258" t="s">
        <v>361</v>
      </c>
    </row>
    <row r="499" spans="1:18" ht="47.25" x14ac:dyDescent="0.25">
      <c r="A499" s="252" t="s">
        <v>1798</v>
      </c>
      <c r="B499" s="252" t="str">
        <f>HLOOKUP('Getting Started'!H$2,E:I,ROW(),FALSE)</f>
        <v>Organization</v>
      </c>
      <c r="C499" s="252" t="str">
        <f>HLOOKUP('Getting Started'!H$2,J:N,ROW(),FALSE)</f>
        <v>Is the Quality Year Plan complete (does it cover all the aspects of the quality management system)?</v>
      </c>
      <c r="D499" s="252" t="s">
        <v>508</v>
      </c>
      <c r="E499" s="255" t="s">
        <v>511</v>
      </c>
      <c r="F499" s="255" t="s">
        <v>1397</v>
      </c>
      <c r="G499" s="255" t="s">
        <v>1398</v>
      </c>
      <c r="H499" s="255" t="s">
        <v>1399</v>
      </c>
      <c r="I499" s="254"/>
      <c r="J499" s="254" t="s">
        <v>867</v>
      </c>
      <c r="K499" s="254" t="s">
        <v>1006</v>
      </c>
      <c r="L499" s="254" t="s">
        <v>1145</v>
      </c>
      <c r="M499" s="254" t="s">
        <v>1284</v>
      </c>
      <c r="N499" s="256" t="s">
        <v>3689</v>
      </c>
      <c r="O499" s="258" t="s">
        <v>1</v>
      </c>
      <c r="P499" s="258" t="s">
        <v>121</v>
      </c>
      <c r="Q499" s="258" t="s">
        <v>241</v>
      </c>
      <c r="R499" s="258" t="s">
        <v>361</v>
      </c>
    </row>
    <row r="500" spans="1:18" ht="78.75" x14ac:dyDescent="0.25">
      <c r="A500" s="252" t="s">
        <v>1799</v>
      </c>
      <c r="B500" s="252" t="str">
        <f>HLOOKUP('Getting Started'!H$2,E:I,ROW(),FALSE)</f>
        <v>Organization</v>
      </c>
      <c r="C500" s="252" t="str">
        <f>HLOOKUP('Getting Started'!H$2,J:N,ROW(),FALSE)</f>
        <v>Has the Quality Year Plan been formulated with input from the Quality Officer?
Take a sample by asking the Quality Officer and some members of the Quality Project Team.</v>
      </c>
      <c r="D500" s="252" t="s">
        <v>508</v>
      </c>
      <c r="E500" s="255" t="s">
        <v>511</v>
      </c>
      <c r="F500" s="255" t="s">
        <v>1397</v>
      </c>
      <c r="G500" s="255" t="s">
        <v>1398</v>
      </c>
      <c r="H500" s="255" t="s">
        <v>1399</v>
      </c>
      <c r="I500" s="254"/>
      <c r="J500" s="254" t="s">
        <v>2634</v>
      </c>
      <c r="K500" s="254" t="s">
        <v>2635</v>
      </c>
      <c r="L500" s="254" t="s">
        <v>2636</v>
      </c>
      <c r="M500" s="254" t="s">
        <v>2637</v>
      </c>
      <c r="N500" s="256" t="s">
        <v>3690</v>
      </c>
      <c r="O500" s="258" t="s">
        <v>1</v>
      </c>
      <c r="P500" s="258" t="s">
        <v>121</v>
      </c>
      <c r="Q500" s="258" t="s">
        <v>241</v>
      </c>
      <c r="R500" s="258" t="s">
        <v>361</v>
      </c>
    </row>
    <row r="501" spans="1:18" ht="31.5" x14ac:dyDescent="0.25">
      <c r="A501" s="252" t="s">
        <v>1800</v>
      </c>
      <c r="B501" s="252" t="str">
        <f>HLOOKUP('Getting Started'!H$2,E:I,ROW(),FALSE)</f>
        <v>Organization</v>
      </c>
      <c r="C501" s="252" t="str">
        <f>HLOOKUP('Getting Started'!H$2,J:N,ROW(),FALSE)</f>
        <v>Is the Quality Year Plan appropriately stored and easily retrievable?</v>
      </c>
      <c r="D501" s="252" t="s">
        <v>508</v>
      </c>
      <c r="E501" s="255" t="s">
        <v>511</v>
      </c>
      <c r="F501" s="255" t="s">
        <v>1397</v>
      </c>
      <c r="G501" s="255" t="s">
        <v>1398</v>
      </c>
      <c r="H501" s="255" t="s">
        <v>1399</v>
      </c>
      <c r="I501" s="254"/>
      <c r="J501" s="254" t="s">
        <v>868</v>
      </c>
      <c r="K501" s="254" t="s">
        <v>1007</v>
      </c>
      <c r="L501" s="254" t="s">
        <v>1146</v>
      </c>
      <c r="M501" s="254" t="s">
        <v>1285</v>
      </c>
      <c r="N501" s="256" t="s">
        <v>3691</v>
      </c>
      <c r="O501" s="258" t="s">
        <v>1</v>
      </c>
      <c r="P501" s="258" t="s">
        <v>121</v>
      </c>
      <c r="Q501" s="258" t="s">
        <v>241</v>
      </c>
      <c r="R501" s="258" t="s">
        <v>361</v>
      </c>
    </row>
    <row r="502" spans="1:18" ht="31.5" x14ac:dyDescent="0.25">
      <c r="A502" s="252" t="s">
        <v>1801</v>
      </c>
      <c r="B502" s="252" t="str">
        <f>HLOOKUP('Getting Started'!H$2,E:I,ROW(),FALSE)</f>
        <v>Organization</v>
      </c>
      <c r="C502" s="252" t="str">
        <f>HLOOKUP('Getting Started'!H$2,J:N,ROW(),FALSE)</f>
        <v>Is the Quality Year Plan signed and dated by management?</v>
      </c>
      <c r="D502" s="252" t="s">
        <v>508</v>
      </c>
      <c r="E502" s="255" t="s">
        <v>511</v>
      </c>
      <c r="F502" s="255" t="s">
        <v>1397</v>
      </c>
      <c r="G502" s="255" t="s">
        <v>1398</v>
      </c>
      <c r="H502" s="255" t="s">
        <v>1399</v>
      </c>
      <c r="I502" s="254"/>
      <c r="J502" s="254" t="s">
        <v>869</v>
      </c>
      <c r="K502" s="254" t="s">
        <v>1008</v>
      </c>
      <c r="L502" s="254" t="s">
        <v>1147</v>
      </c>
      <c r="M502" s="254" t="s">
        <v>1286</v>
      </c>
      <c r="N502" s="256" t="s">
        <v>3692</v>
      </c>
      <c r="O502" s="258" t="s">
        <v>1</v>
      </c>
      <c r="P502" s="258" t="s">
        <v>121</v>
      </c>
      <c r="Q502" s="258" t="s">
        <v>241</v>
      </c>
      <c r="R502" s="258" t="s">
        <v>361</v>
      </c>
    </row>
    <row r="503" spans="1:18" ht="31.5" x14ac:dyDescent="0.25">
      <c r="A503" s="252" t="s">
        <v>1802</v>
      </c>
      <c r="B503" s="252" t="str">
        <f>HLOOKUP('Getting Started'!H$2,E:I,ROW(),FALSE)</f>
        <v>Organization</v>
      </c>
      <c r="C503" s="252" t="str">
        <f>HLOOKUP('Getting Started'!H$2,J:N,ROW(),FALSE)</f>
        <v>Is the Quality Year Plan translated into an action plan?</v>
      </c>
      <c r="D503" s="252" t="s">
        <v>508</v>
      </c>
      <c r="E503" s="255" t="s">
        <v>511</v>
      </c>
      <c r="F503" s="255" t="s">
        <v>1397</v>
      </c>
      <c r="G503" s="255" t="s">
        <v>1398</v>
      </c>
      <c r="H503" s="255" t="s">
        <v>1399</v>
      </c>
      <c r="I503" s="254"/>
      <c r="J503" s="254" t="s">
        <v>870</v>
      </c>
      <c r="K503" s="254" t="s">
        <v>1009</v>
      </c>
      <c r="L503" s="254" t="s">
        <v>1148</v>
      </c>
      <c r="M503" s="254" t="s">
        <v>1287</v>
      </c>
      <c r="N503" s="256" t="s">
        <v>3693</v>
      </c>
      <c r="O503" s="258" t="s">
        <v>1</v>
      </c>
      <c r="P503" s="258" t="s">
        <v>121</v>
      </c>
      <c r="Q503" s="258" t="s">
        <v>241</v>
      </c>
      <c r="R503" s="258" t="s">
        <v>361</v>
      </c>
    </row>
    <row r="504" spans="1:18" ht="47.25" x14ac:dyDescent="0.25">
      <c r="A504" s="252" t="s">
        <v>1803</v>
      </c>
      <c r="B504" s="252" t="str">
        <f>HLOOKUP('Getting Started'!H$2,E:I,ROW(),FALSE)</f>
        <v>Organization</v>
      </c>
      <c r="C504" s="252" t="str">
        <f>HLOOKUP('Getting Started'!H$2,J:N,ROW(),FALSE)</f>
        <v>Is this action plan of the Quality Year Plan signed and dated by the Laboratory Manager for approval?</v>
      </c>
      <c r="D504" s="252" t="s">
        <v>508</v>
      </c>
      <c r="E504" s="255" t="s">
        <v>511</v>
      </c>
      <c r="F504" s="255" t="s">
        <v>1397</v>
      </c>
      <c r="G504" s="255" t="s">
        <v>1398</v>
      </c>
      <c r="H504" s="255" t="s">
        <v>1399</v>
      </c>
      <c r="I504" s="254"/>
      <c r="J504" s="254" t="s">
        <v>871</v>
      </c>
      <c r="K504" s="254" t="s">
        <v>1010</v>
      </c>
      <c r="L504" s="254" t="s">
        <v>1149</v>
      </c>
      <c r="M504" s="254" t="s">
        <v>1288</v>
      </c>
      <c r="N504" s="256" t="s">
        <v>3694</v>
      </c>
      <c r="O504" s="258" t="s">
        <v>1</v>
      </c>
      <c r="P504" s="258" t="s">
        <v>121</v>
      </c>
      <c r="Q504" s="258" t="s">
        <v>241</v>
      </c>
      <c r="R504" s="258" t="s">
        <v>361</v>
      </c>
    </row>
    <row r="505" spans="1:18" ht="78.75" x14ac:dyDescent="0.25">
      <c r="A505" s="252" t="s">
        <v>1804</v>
      </c>
      <c r="B505" s="252" t="str">
        <f>HLOOKUP('Getting Started'!H$2,E:I,ROW(),FALSE)</f>
        <v>Organization</v>
      </c>
      <c r="C505" s="252" t="str">
        <f>HLOOKUP('Getting Started'!H$2,J:N,ROW(),FALSE)</f>
        <v>Is staff aware of the existence of the Quality Year Plan?
Take a sample by asking some random staff member to explain what the Quality Year Plan is.</v>
      </c>
      <c r="D505" s="252" t="s">
        <v>508</v>
      </c>
      <c r="E505" s="255" t="s">
        <v>511</v>
      </c>
      <c r="F505" s="255" t="s">
        <v>1397</v>
      </c>
      <c r="G505" s="255" t="s">
        <v>1398</v>
      </c>
      <c r="H505" s="255" t="s">
        <v>1399</v>
      </c>
      <c r="I505" s="254"/>
      <c r="J505" s="254" t="s">
        <v>2638</v>
      </c>
      <c r="K505" s="254" t="s">
        <v>2639</v>
      </c>
      <c r="L505" s="254" t="s">
        <v>2640</v>
      </c>
      <c r="M505" s="254" t="s">
        <v>2641</v>
      </c>
      <c r="N505" s="256" t="s">
        <v>3695</v>
      </c>
      <c r="O505" s="258" t="s">
        <v>1</v>
      </c>
      <c r="P505" s="258" t="s">
        <v>121</v>
      </c>
      <c r="Q505" s="258" t="s">
        <v>241</v>
      </c>
      <c r="R505" s="258" t="s">
        <v>361</v>
      </c>
    </row>
    <row r="506" spans="1:18" ht="78.75" x14ac:dyDescent="0.25">
      <c r="A506" s="252" t="s">
        <v>1805</v>
      </c>
      <c r="B506" s="252" t="str">
        <f>HLOOKUP('Getting Started'!H$2,E:I,ROW(),FALSE)</f>
        <v>Organization</v>
      </c>
      <c r="C506" s="252" t="str">
        <f>HLOOKUP('Getting Started'!H$2,J:N,ROW(),FALSE)</f>
        <v>Are staff members aware of action points assigned to them?
Take a sample by asking staff members about action points assigned to them.</v>
      </c>
      <c r="D506" s="252" t="s">
        <v>508</v>
      </c>
      <c r="E506" s="255" t="s">
        <v>511</v>
      </c>
      <c r="F506" s="255" t="s">
        <v>1397</v>
      </c>
      <c r="G506" s="255" t="s">
        <v>1398</v>
      </c>
      <c r="H506" s="255" t="s">
        <v>1399</v>
      </c>
      <c r="I506" s="254"/>
      <c r="J506" s="254" t="s">
        <v>2645</v>
      </c>
      <c r="K506" s="254" t="s">
        <v>2644</v>
      </c>
      <c r="L506" s="254" t="s">
        <v>2643</v>
      </c>
      <c r="M506" s="254" t="s">
        <v>2642</v>
      </c>
      <c r="N506" s="256" t="s">
        <v>3696</v>
      </c>
      <c r="O506" s="258" t="s">
        <v>1</v>
      </c>
      <c r="P506" s="258" t="s">
        <v>121</v>
      </c>
      <c r="Q506" s="258" t="s">
        <v>241</v>
      </c>
      <c r="R506" s="258" t="s">
        <v>361</v>
      </c>
    </row>
    <row r="507" spans="1:18" ht="78.75" x14ac:dyDescent="0.25">
      <c r="A507" s="252" t="s">
        <v>1806</v>
      </c>
      <c r="B507" s="252" t="str">
        <f>HLOOKUP('Getting Started'!H$2,E:I,ROW(),FALSE)</f>
        <v>Organization</v>
      </c>
      <c r="C507" s="252" t="str">
        <f>HLOOKUP('Getting Started'!H$2,J:N,ROW(),FALSE)</f>
        <v>Is the quality management system appropriately documented in a quality manual, i.e. does it include information on each of the 12 quality system essentials and how these are implemented in the laboratory?</v>
      </c>
      <c r="D507" s="252" t="s">
        <v>508</v>
      </c>
      <c r="E507" s="255" t="s">
        <v>511</v>
      </c>
      <c r="F507" s="255" t="s">
        <v>1397</v>
      </c>
      <c r="G507" s="255" t="s">
        <v>1398</v>
      </c>
      <c r="H507" s="255" t="s">
        <v>1399</v>
      </c>
      <c r="I507" s="254"/>
      <c r="J507" s="254" t="s">
        <v>872</v>
      </c>
      <c r="K507" s="254" t="s">
        <v>1011</v>
      </c>
      <c r="L507" s="254" t="s">
        <v>1150</v>
      </c>
      <c r="M507" s="254" t="s">
        <v>1289</v>
      </c>
      <c r="N507" s="256" t="s">
        <v>3697</v>
      </c>
      <c r="O507" s="258" t="s">
        <v>1</v>
      </c>
      <c r="P507" s="258" t="s">
        <v>121</v>
      </c>
      <c r="Q507" s="258" t="s">
        <v>241</v>
      </c>
      <c r="R507" s="258" t="s">
        <v>361</v>
      </c>
    </row>
    <row r="508" spans="1:18" ht="31.5" x14ac:dyDescent="0.25">
      <c r="A508" s="252" t="s">
        <v>1807</v>
      </c>
      <c r="B508" s="252" t="str">
        <f>HLOOKUP('Getting Started'!H$2,E:I,ROW(),FALSE)</f>
        <v>Organization</v>
      </c>
      <c r="C508" s="252" t="str">
        <f>HLOOKUP('Getting Started'!H$2,J:N,ROW(),FALSE)</f>
        <v>Is the quality manual part of the document control system?</v>
      </c>
      <c r="D508" s="252" t="s">
        <v>508</v>
      </c>
      <c r="E508" s="255" t="s">
        <v>511</v>
      </c>
      <c r="F508" s="255" t="s">
        <v>1397</v>
      </c>
      <c r="G508" s="255" t="s">
        <v>1398</v>
      </c>
      <c r="H508" s="255" t="s">
        <v>1399</v>
      </c>
      <c r="I508" s="254"/>
      <c r="J508" s="254" t="s">
        <v>873</v>
      </c>
      <c r="K508" s="254" t="s">
        <v>1012</v>
      </c>
      <c r="L508" s="254" t="s">
        <v>1151</v>
      </c>
      <c r="M508" s="254" t="s">
        <v>1290</v>
      </c>
      <c r="N508" s="256" t="s">
        <v>3698</v>
      </c>
      <c r="O508" s="258" t="s">
        <v>1</v>
      </c>
      <c r="P508" s="258" t="s">
        <v>121</v>
      </c>
      <c r="Q508" s="258" t="s">
        <v>241</v>
      </c>
      <c r="R508" s="258" t="s">
        <v>361</v>
      </c>
    </row>
    <row r="509" spans="1:18" ht="31.5" x14ac:dyDescent="0.25">
      <c r="A509" s="252" t="s">
        <v>1808</v>
      </c>
      <c r="B509" s="252" t="str">
        <f>HLOOKUP('Getting Started'!H$2,E:I,ROW(),FALSE)</f>
        <v>Organization</v>
      </c>
      <c r="C509" s="252" t="str">
        <f>HLOOKUP('Getting Started'!H$2,J:N,ROW(),FALSE)</f>
        <v>Have all staff members read the quality manual?</v>
      </c>
      <c r="D509" s="252" t="s">
        <v>508</v>
      </c>
      <c r="E509" s="255" t="s">
        <v>511</v>
      </c>
      <c r="F509" s="255" t="s">
        <v>1397</v>
      </c>
      <c r="G509" s="255" t="s">
        <v>1398</v>
      </c>
      <c r="H509" s="255" t="s">
        <v>1399</v>
      </c>
      <c r="I509" s="254"/>
      <c r="J509" s="254" t="s">
        <v>874</v>
      </c>
      <c r="K509" s="254" t="s">
        <v>1013</v>
      </c>
      <c r="L509" s="254" t="s">
        <v>1152</v>
      </c>
      <c r="M509" s="254" t="s">
        <v>1291</v>
      </c>
      <c r="N509" s="256" t="s">
        <v>3699</v>
      </c>
      <c r="O509" s="258" t="s">
        <v>1</v>
      </c>
      <c r="P509" s="258" t="s">
        <v>121</v>
      </c>
      <c r="Q509" s="258" t="s">
        <v>241</v>
      </c>
      <c r="R509" s="258" t="s">
        <v>361</v>
      </c>
    </row>
    <row r="510" spans="1:18" ht="47.25" x14ac:dyDescent="0.25">
      <c r="A510" s="252" t="s">
        <v>1809</v>
      </c>
      <c r="B510" s="252" t="str">
        <f>HLOOKUP('Getting Started'!H$2,E:I,ROW(),FALSE)</f>
        <v>Organization</v>
      </c>
      <c r="C510" s="252" t="str">
        <f>HLOOKUP('Getting Started'!H$2,J:N,ROW(),FALSE)</f>
        <v>Is the performance of the quality management system recorded in Quarterly Reports?</v>
      </c>
      <c r="D510" s="252" t="s">
        <v>508</v>
      </c>
      <c r="E510" s="255" t="s">
        <v>511</v>
      </c>
      <c r="F510" s="255" t="s">
        <v>1397</v>
      </c>
      <c r="G510" s="255" t="s">
        <v>1398</v>
      </c>
      <c r="H510" s="255" t="s">
        <v>1399</v>
      </c>
      <c r="I510" s="254"/>
      <c r="J510" s="254" t="s">
        <v>875</v>
      </c>
      <c r="K510" s="254" t="s">
        <v>1014</v>
      </c>
      <c r="L510" s="254" t="s">
        <v>1153</v>
      </c>
      <c r="M510" s="254" t="s">
        <v>1292</v>
      </c>
      <c r="N510" s="256" t="s">
        <v>3700</v>
      </c>
      <c r="O510" s="258" t="s">
        <v>1</v>
      </c>
      <c r="P510" s="258" t="s">
        <v>121</v>
      </c>
      <c r="Q510" s="258" t="s">
        <v>241</v>
      </c>
      <c r="R510" s="258" t="s">
        <v>361</v>
      </c>
    </row>
    <row r="511" spans="1:18" ht="47.25" x14ac:dyDescent="0.25">
      <c r="A511" s="252" t="s">
        <v>1810</v>
      </c>
      <c r="B511" s="252" t="str">
        <f>HLOOKUP('Getting Started'!H$2,E:I,ROW(),FALSE)</f>
        <v>Organization</v>
      </c>
      <c r="C511" s="252" t="str">
        <f>HLOOKUP('Getting Started'!H$2,J:N,ROW(),FALSE)</f>
        <v>Is the functioning of the quality management system reviewed annually by laboratory management?</v>
      </c>
      <c r="D511" s="252" t="s">
        <v>508</v>
      </c>
      <c r="E511" s="255" t="s">
        <v>511</v>
      </c>
      <c r="F511" s="255" t="s">
        <v>1397</v>
      </c>
      <c r="G511" s="255" t="s">
        <v>1398</v>
      </c>
      <c r="H511" s="255" t="s">
        <v>1399</v>
      </c>
      <c r="I511" s="254"/>
      <c r="J511" s="254" t="s">
        <v>876</v>
      </c>
      <c r="K511" s="254" t="s">
        <v>1015</v>
      </c>
      <c r="L511" s="254" t="s">
        <v>1154</v>
      </c>
      <c r="M511" s="254" t="s">
        <v>1293</v>
      </c>
      <c r="N511" s="256" t="s">
        <v>3701</v>
      </c>
      <c r="O511" s="258" t="s">
        <v>1</v>
      </c>
      <c r="P511" s="258" t="s">
        <v>121</v>
      </c>
      <c r="Q511" s="258" t="s">
        <v>241</v>
      </c>
      <c r="R511" s="258" t="s">
        <v>361</v>
      </c>
    </row>
    <row r="512" spans="1:18" ht="31.5" x14ac:dyDescent="0.25">
      <c r="A512" s="252" t="s">
        <v>1811</v>
      </c>
      <c r="B512" s="252" t="str">
        <f>HLOOKUP('Getting Started'!H$2,E:I,ROW(),FALSE)</f>
        <v>Organization</v>
      </c>
      <c r="C512" s="252" t="str">
        <f>HLOOKUP('Getting Started'!H$2,J:N,ROW(),FALSE)</f>
        <v>Are reports drafted of management reviews?</v>
      </c>
      <c r="D512" s="252" t="s">
        <v>508</v>
      </c>
      <c r="E512" s="255" t="s">
        <v>511</v>
      </c>
      <c r="F512" s="255" t="s">
        <v>1397</v>
      </c>
      <c r="G512" s="255" t="s">
        <v>1398</v>
      </c>
      <c r="H512" s="255" t="s">
        <v>1399</v>
      </c>
      <c r="I512" s="254"/>
      <c r="J512" s="254" t="s">
        <v>877</v>
      </c>
      <c r="K512" s="254" t="s">
        <v>1016</v>
      </c>
      <c r="L512" s="254" t="s">
        <v>1155</v>
      </c>
      <c r="M512" s="254" t="s">
        <v>1294</v>
      </c>
      <c r="N512" s="256" t="s">
        <v>3702</v>
      </c>
      <c r="O512" s="258" t="s">
        <v>1</v>
      </c>
      <c r="P512" s="258" t="s">
        <v>121</v>
      </c>
      <c r="Q512" s="258" t="s">
        <v>241</v>
      </c>
      <c r="R512" s="258" t="s">
        <v>361</v>
      </c>
    </row>
    <row r="513" spans="1:18" ht="31.5" x14ac:dyDescent="0.25">
      <c r="A513" s="252" t="s">
        <v>1812</v>
      </c>
      <c r="B513" s="252" t="str">
        <f>HLOOKUP('Getting Started'!H$2,E:I,ROW(),FALSE)</f>
        <v>Organization</v>
      </c>
      <c r="C513" s="252" t="str">
        <f>HLOOKUP('Getting Started'!H$2,J:N,ROW(),FALSE)</f>
        <v>Do Management Review Reports include action points if applicable?</v>
      </c>
      <c r="D513" s="252" t="s">
        <v>508</v>
      </c>
      <c r="E513" s="255" t="s">
        <v>511</v>
      </c>
      <c r="F513" s="255" t="s">
        <v>1397</v>
      </c>
      <c r="G513" s="255" t="s">
        <v>1398</v>
      </c>
      <c r="H513" s="255" t="s">
        <v>1399</v>
      </c>
      <c r="I513" s="254"/>
      <c r="J513" s="254" t="s">
        <v>878</v>
      </c>
      <c r="K513" s="254" t="s">
        <v>1017</v>
      </c>
      <c r="L513" s="254" t="s">
        <v>1156</v>
      </c>
      <c r="M513" s="254" t="s">
        <v>1295</v>
      </c>
      <c r="N513" s="256" t="s">
        <v>3703</v>
      </c>
      <c r="O513" s="258" t="s">
        <v>1</v>
      </c>
      <c r="P513" s="258" t="s">
        <v>121</v>
      </c>
      <c r="Q513" s="258" t="s">
        <v>241</v>
      </c>
      <c r="R513" s="258" t="s">
        <v>361</v>
      </c>
    </row>
    <row r="514" spans="1:18" ht="63" x14ac:dyDescent="0.25">
      <c r="A514" s="252" t="s">
        <v>1813</v>
      </c>
      <c r="B514" s="252" t="str">
        <f>HLOOKUP('Getting Started'!H$2,E:I,ROW(),FALSE)</f>
        <v>Organization</v>
      </c>
      <c r="C514" s="252" t="str">
        <f>HLOOKUP('Getting Started'!H$2,J:N,ROW(),FALSE)</f>
        <v>Are the result of the management review presented to all staff?
See meeting minutes.</v>
      </c>
      <c r="D514" s="252" t="s">
        <v>508</v>
      </c>
      <c r="E514" s="255" t="s">
        <v>511</v>
      </c>
      <c r="F514" s="255" t="s">
        <v>1397</v>
      </c>
      <c r="G514" s="255" t="s">
        <v>1398</v>
      </c>
      <c r="H514" s="255" t="s">
        <v>1399</v>
      </c>
      <c r="I514" s="254"/>
      <c r="J514" s="254" t="s">
        <v>2650</v>
      </c>
      <c r="K514" s="254" t="s">
        <v>2651</v>
      </c>
      <c r="L514" s="254" t="s">
        <v>2652</v>
      </c>
      <c r="M514" s="254" t="s">
        <v>2653</v>
      </c>
      <c r="N514" s="256" t="s">
        <v>3704</v>
      </c>
      <c r="O514" s="258" t="s">
        <v>1</v>
      </c>
      <c r="P514" s="258" t="s">
        <v>121</v>
      </c>
      <c r="Q514" s="258" t="s">
        <v>241</v>
      </c>
      <c r="R514" s="258" t="s">
        <v>361</v>
      </c>
    </row>
    <row r="515" spans="1:18" ht="31.5" x14ac:dyDescent="0.25">
      <c r="A515" s="252" t="s">
        <v>1814</v>
      </c>
      <c r="B515" s="252" t="str">
        <f>HLOOKUP('Getting Started'!H$2,E:I,ROW(),FALSE)</f>
        <v>Organization</v>
      </c>
      <c r="C515" s="252" t="str">
        <f>HLOOKUP('Getting Started'!H$2,J:N,ROW(),FALSE)</f>
        <v>Are Management Review Reports securely and orderly stored?</v>
      </c>
      <c r="D515" s="252" t="s">
        <v>508</v>
      </c>
      <c r="E515" s="255" t="s">
        <v>511</v>
      </c>
      <c r="F515" s="255" t="s">
        <v>1397</v>
      </c>
      <c r="G515" s="255" t="s">
        <v>1398</v>
      </c>
      <c r="H515" s="255" t="s">
        <v>1399</v>
      </c>
      <c r="I515" s="254"/>
      <c r="J515" s="254" t="s">
        <v>879</v>
      </c>
      <c r="K515" s="254" t="s">
        <v>1018</v>
      </c>
      <c r="L515" s="254" t="s">
        <v>1157</v>
      </c>
      <c r="M515" s="254" t="s">
        <v>1296</v>
      </c>
      <c r="N515" s="256" t="s">
        <v>3705</v>
      </c>
      <c r="O515" s="258" t="s">
        <v>1</v>
      </c>
      <c r="P515" s="258" t="s">
        <v>121</v>
      </c>
      <c r="Q515" s="258" t="s">
        <v>241</v>
      </c>
      <c r="R515" s="258" t="s">
        <v>361</v>
      </c>
    </row>
    <row r="516" spans="1:18" ht="47.25" x14ac:dyDescent="0.25">
      <c r="A516" s="252" t="s">
        <v>1815</v>
      </c>
      <c r="B516" s="252" t="str">
        <f>HLOOKUP('Getting Started'!H$2,E:I,ROW(),FALSE)</f>
        <v>Organization</v>
      </c>
      <c r="C516" s="252" t="str">
        <f>HLOOKUP('Getting Started'!H$2,J:N,ROW(),FALSE)</f>
        <v>Does the Quality Year Plan include action points from the management review?</v>
      </c>
      <c r="D516" s="252" t="s">
        <v>508</v>
      </c>
      <c r="E516" s="255" t="s">
        <v>511</v>
      </c>
      <c r="F516" s="255" t="s">
        <v>1397</v>
      </c>
      <c r="G516" s="255" t="s">
        <v>1398</v>
      </c>
      <c r="H516" s="255" t="s">
        <v>1399</v>
      </c>
      <c r="I516" s="254"/>
      <c r="J516" s="254" t="s">
        <v>880</v>
      </c>
      <c r="K516" s="254" t="s">
        <v>1019</v>
      </c>
      <c r="L516" s="254" t="s">
        <v>1158</v>
      </c>
      <c r="M516" s="254" t="s">
        <v>1297</v>
      </c>
      <c r="N516" s="256" t="s">
        <v>3706</v>
      </c>
      <c r="O516" s="258" t="s">
        <v>1</v>
      </c>
      <c r="P516" s="258" t="s">
        <v>121</v>
      </c>
      <c r="Q516" s="258" t="s">
        <v>241</v>
      </c>
      <c r="R516" s="258" t="s">
        <v>361</v>
      </c>
    </row>
    <row r="517" spans="1:18" ht="63" x14ac:dyDescent="0.25">
      <c r="A517" s="252" t="s">
        <v>1816</v>
      </c>
      <c r="B517" s="252" t="str">
        <f>HLOOKUP('Getting Started'!H$2,E:I,ROW(),FALSE)</f>
        <v>Organization</v>
      </c>
      <c r="C517" s="252" t="str">
        <f>HLOOKUP('Getting Started'!H$2,J:N,ROW(),FALSE)</f>
        <v>Does the Quality Year Plan take into account the Quality Policy, Long Term Goals, Core Values, Mission and Vision of the laboratory?</v>
      </c>
      <c r="D517" s="252" t="s">
        <v>508</v>
      </c>
      <c r="E517" s="255" t="s">
        <v>511</v>
      </c>
      <c r="F517" s="255" t="s">
        <v>1397</v>
      </c>
      <c r="G517" s="255" t="s">
        <v>1398</v>
      </c>
      <c r="H517" s="255" t="s">
        <v>1399</v>
      </c>
      <c r="I517" s="254"/>
      <c r="J517" s="254" t="s">
        <v>881</v>
      </c>
      <c r="K517" s="254" t="s">
        <v>1020</v>
      </c>
      <c r="L517" s="254" t="s">
        <v>1159</v>
      </c>
      <c r="M517" s="254" t="s">
        <v>1298</v>
      </c>
      <c r="N517" s="256" t="s">
        <v>3707</v>
      </c>
      <c r="O517" s="258" t="s">
        <v>1</v>
      </c>
      <c r="P517" s="258" t="s">
        <v>121</v>
      </c>
      <c r="Q517" s="258" t="s">
        <v>241</v>
      </c>
      <c r="R517" s="258" t="s">
        <v>361</v>
      </c>
    </row>
    <row r="518" spans="1:18" ht="47.25" x14ac:dyDescent="0.25">
      <c r="A518" s="252" t="s">
        <v>1817</v>
      </c>
      <c r="B518" s="252" t="str">
        <f>HLOOKUP('Getting Started'!H$2,E:I,ROW(),FALSE)</f>
        <v>Organization</v>
      </c>
      <c r="C518" s="252" t="str">
        <f>HLOOKUP('Getting Started'!H$2,J:N,ROW(),FALSE)</f>
        <v>Is an action plan drafted based on the action points yielding from the Quality Year Plan?</v>
      </c>
      <c r="D518" s="252" t="s">
        <v>508</v>
      </c>
      <c r="E518" s="255" t="s">
        <v>511</v>
      </c>
      <c r="F518" s="255" t="s">
        <v>1397</v>
      </c>
      <c r="G518" s="255" t="s">
        <v>1398</v>
      </c>
      <c r="H518" s="255" t="s">
        <v>1399</v>
      </c>
      <c r="I518" s="254"/>
      <c r="J518" s="254" t="s">
        <v>882</v>
      </c>
      <c r="K518" s="254" t="s">
        <v>1021</v>
      </c>
      <c r="L518" s="254" t="s">
        <v>1160</v>
      </c>
      <c r="M518" s="254" t="s">
        <v>1299</v>
      </c>
      <c r="N518" s="256" t="s">
        <v>3708</v>
      </c>
      <c r="O518" s="258" t="s">
        <v>1</v>
      </c>
      <c r="P518" s="258" t="s">
        <v>121</v>
      </c>
      <c r="Q518" s="258" t="s">
        <v>241</v>
      </c>
      <c r="R518" s="258" t="s">
        <v>361</v>
      </c>
    </row>
    <row r="519" spans="1:18" ht="75" x14ac:dyDescent="0.25">
      <c r="A519" s="252" t="s">
        <v>1818</v>
      </c>
      <c r="B519" s="252" t="str">
        <f>HLOOKUP('Getting Started'!H$2,E:I,ROW(),FALSE)</f>
        <v>Organization</v>
      </c>
      <c r="C519" s="252" t="str">
        <f>HLOOKUP('Getting Started'!H$2,J:N,ROW(),FALSE)</f>
        <v>Has the Quality Year Plan and the action plan based on the Quality Year Plan been presented to the laboratory staff?
See minutes of that meeting.</v>
      </c>
      <c r="D519" s="252" t="s">
        <v>508</v>
      </c>
      <c r="E519" s="255" t="s">
        <v>511</v>
      </c>
      <c r="F519" s="255" t="s">
        <v>1397</v>
      </c>
      <c r="G519" s="255" t="s">
        <v>1398</v>
      </c>
      <c r="H519" s="255" t="s">
        <v>1399</v>
      </c>
      <c r="I519" s="254"/>
      <c r="J519" s="254" t="s">
        <v>2646</v>
      </c>
      <c r="K519" s="254" t="s">
        <v>2647</v>
      </c>
      <c r="L519" s="254" t="s">
        <v>2648</v>
      </c>
      <c r="M519" s="254" t="s">
        <v>2649</v>
      </c>
      <c r="N519" s="256" t="s">
        <v>3709</v>
      </c>
      <c r="O519" s="258" t="s">
        <v>1</v>
      </c>
      <c r="P519" s="258" t="s">
        <v>121</v>
      </c>
      <c r="Q519" s="258" t="s">
        <v>241</v>
      </c>
      <c r="R519" s="258" t="s">
        <v>361</v>
      </c>
    </row>
    <row r="520" spans="1:18" ht="94.5" x14ac:dyDescent="0.25">
      <c r="A520" s="252" t="s">
        <v>1819</v>
      </c>
      <c r="B520" s="252" t="str">
        <f>HLOOKUP('Getting Started'!H$2,E:I,ROW(),FALSE)</f>
        <v>Organization</v>
      </c>
      <c r="C520" s="252" t="str">
        <f>HLOOKUP('Getting Started'!H$2,J:N,ROW(),FALSE)</f>
        <v>Have all the policy cycle activities been documented in an SOP (i.e. drafting a quality year plan, monitoring of performance of the quality management system and drafting quarterly reports, and performing a management review)?</v>
      </c>
      <c r="D520" s="252" t="s">
        <v>508</v>
      </c>
      <c r="E520" s="255" t="s">
        <v>511</v>
      </c>
      <c r="F520" s="255" t="s">
        <v>1397</v>
      </c>
      <c r="G520" s="255" t="s">
        <v>1398</v>
      </c>
      <c r="H520" s="255" t="s">
        <v>1399</v>
      </c>
      <c r="I520" s="254"/>
      <c r="J520" s="254" t="s">
        <v>883</v>
      </c>
      <c r="K520" s="254" t="s">
        <v>1022</v>
      </c>
      <c r="L520" s="254" t="s">
        <v>1161</v>
      </c>
      <c r="M520" s="254" t="s">
        <v>1300</v>
      </c>
      <c r="N520" s="256" t="s">
        <v>3710</v>
      </c>
      <c r="O520" s="258" t="s">
        <v>1</v>
      </c>
      <c r="P520" s="258" t="s">
        <v>121</v>
      </c>
      <c r="Q520" s="258" t="s">
        <v>241</v>
      </c>
      <c r="R520" s="258" t="s">
        <v>361</v>
      </c>
    </row>
    <row r="521" spans="1:18" ht="47.25" x14ac:dyDescent="0.25">
      <c r="A521" s="252" t="s">
        <v>1820</v>
      </c>
      <c r="B521" s="252" t="str">
        <f>HLOOKUP('Getting Started'!H$2,E:I,ROW(),FALSE)</f>
        <v>Personnel</v>
      </c>
      <c r="C521" s="252" t="str">
        <f>HLOOKUP('Getting Started'!H$2,J:N,ROW(),FALSE)</f>
        <v>Has the laboratory investigated if there are potential conflicts of interest among laboratory staff?</v>
      </c>
      <c r="D521" s="252" t="s">
        <v>508</v>
      </c>
      <c r="E521" s="255" t="s">
        <v>512</v>
      </c>
      <c r="F521" s="255" t="s">
        <v>512</v>
      </c>
      <c r="G521" s="255" t="s">
        <v>1400</v>
      </c>
      <c r="H521" s="255" t="s">
        <v>1401</v>
      </c>
      <c r="I521" s="254"/>
      <c r="J521" s="254" t="s">
        <v>884</v>
      </c>
      <c r="K521" s="254" t="s">
        <v>1023</v>
      </c>
      <c r="L521" s="254" t="s">
        <v>1162</v>
      </c>
      <c r="M521" s="254" t="s">
        <v>1301</v>
      </c>
      <c r="N521" s="256" t="s">
        <v>3711</v>
      </c>
      <c r="O521" s="258" t="s">
        <v>1</v>
      </c>
      <c r="P521" s="258" t="s">
        <v>121</v>
      </c>
      <c r="Q521" s="258" t="s">
        <v>241</v>
      </c>
      <c r="R521" s="258" t="s">
        <v>361</v>
      </c>
    </row>
    <row r="522" spans="1:18" ht="47.25" x14ac:dyDescent="0.25">
      <c r="A522" s="252" t="s">
        <v>1821</v>
      </c>
      <c r="B522" s="252" t="str">
        <f>HLOOKUP('Getting Started'!H$2,E:I,ROW(),FALSE)</f>
        <v>Personnel</v>
      </c>
      <c r="C522" s="252" t="str">
        <f>HLOOKUP('Getting Started'!H$2,J:N,ROW(),FALSE)</f>
        <v>If potential conflicts of interest among laboratory staff were identified, were they appropriately solved and documented?</v>
      </c>
      <c r="D522" s="252" t="s">
        <v>508</v>
      </c>
      <c r="E522" s="255" t="s">
        <v>512</v>
      </c>
      <c r="F522" s="255" t="s">
        <v>512</v>
      </c>
      <c r="G522" s="255" t="s">
        <v>1400</v>
      </c>
      <c r="H522" s="255" t="s">
        <v>1401</v>
      </c>
      <c r="I522" s="254"/>
      <c r="J522" s="254" t="s">
        <v>885</v>
      </c>
      <c r="K522" s="254" t="s">
        <v>1024</v>
      </c>
      <c r="L522" s="254" t="s">
        <v>1163</v>
      </c>
      <c r="M522" s="254" t="s">
        <v>1302</v>
      </c>
      <c r="N522" s="256" t="s">
        <v>3712</v>
      </c>
      <c r="O522" s="258" t="s">
        <v>1</v>
      </c>
      <c r="P522" s="258" t="s">
        <v>121</v>
      </c>
      <c r="Q522" s="258" t="s">
        <v>241</v>
      </c>
      <c r="R522" s="258" t="s">
        <v>361</v>
      </c>
    </row>
    <row r="523" spans="1:18" ht="31.5" x14ac:dyDescent="0.25">
      <c r="A523" s="252" t="s">
        <v>1822</v>
      </c>
      <c r="B523" s="252" t="str">
        <f>HLOOKUP('Getting Started'!H$2,E:I,ROW(),FALSE)</f>
        <v>Personnel</v>
      </c>
      <c r="C523" s="252" t="str">
        <f>HLOOKUP('Getting Started'!H$2,J:N,ROW(),FALSE)</f>
        <v>Is a personnel replacement matrix present in the laboratory?</v>
      </c>
      <c r="D523" s="252" t="s">
        <v>508</v>
      </c>
      <c r="E523" s="255" t="s">
        <v>512</v>
      </c>
      <c r="F523" s="255" t="s">
        <v>512</v>
      </c>
      <c r="G523" s="255" t="s">
        <v>1400</v>
      </c>
      <c r="H523" s="255" t="s">
        <v>1401</v>
      </c>
      <c r="I523" s="254"/>
      <c r="J523" s="254" t="s">
        <v>886</v>
      </c>
      <c r="K523" s="254" t="s">
        <v>1025</v>
      </c>
      <c r="L523" s="254" t="s">
        <v>1164</v>
      </c>
      <c r="M523" s="254" t="s">
        <v>1303</v>
      </c>
      <c r="N523" s="256" t="s">
        <v>3713</v>
      </c>
      <c r="O523" s="258" t="s">
        <v>1</v>
      </c>
      <c r="P523" s="258" t="s">
        <v>121</v>
      </c>
      <c r="Q523" s="258" t="s">
        <v>241</v>
      </c>
      <c r="R523" s="258" t="s">
        <v>361</v>
      </c>
    </row>
    <row r="524" spans="1:18" ht="31.5" x14ac:dyDescent="0.25">
      <c r="A524" s="252" t="s">
        <v>1823</v>
      </c>
      <c r="B524" s="252" t="str">
        <f>HLOOKUP('Getting Started'!H$2,E:I,ROW(),FALSE)</f>
        <v>Personnel</v>
      </c>
      <c r="C524" s="252" t="str">
        <f>HLOOKUP('Getting Started'!H$2,J:N,ROW(),FALSE)</f>
        <v>Is a backup staff member defined for each staff member in the laboratory?</v>
      </c>
      <c r="D524" s="252" t="s">
        <v>508</v>
      </c>
      <c r="E524" s="255" t="s">
        <v>512</v>
      </c>
      <c r="F524" s="255" t="s">
        <v>512</v>
      </c>
      <c r="G524" s="255" t="s">
        <v>1400</v>
      </c>
      <c r="H524" s="255" t="s">
        <v>1401</v>
      </c>
      <c r="I524" s="254"/>
      <c r="J524" s="254" t="s">
        <v>887</v>
      </c>
      <c r="K524" s="254" t="s">
        <v>1026</v>
      </c>
      <c r="L524" s="254" t="s">
        <v>1165</v>
      </c>
      <c r="M524" s="254" t="s">
        <v>1304</v>
      </c>
      <c r="N524" s="256" t="s">
        <v>3714</v>
      </c>
      <c r="O524" s="258" t="s">
        <v>1</v>
      </c>
      <c r="P524" s="258" t="s">
        <v>121</v>
      </c>
      <c r="Q524" s="258" t="s">
        <v>241</v>
      </c>
      <c r="R524" s="258" t="s">
        <v>361</v>
      </c>
    </row>
    <row r="525" spans="1:18" ht="51" x14ac:dyDescent="0.25">
      <c r="A525" s="252" t="s">
        <v>1824</v>
      </c>
      <c r="B525" s="252" t="str">
        <f>HLOOKUP('Getting Started'!H$2,E:I,ROW(),FALSE)</f>
        <v>Personnel</v>
      </c>
      <c r="C525" s="252" t="str">
        <f>HLOOKUP('Getting Started'!H$2,J:N,ROW(),FALSE)</f>
        <v>Is the competency of the backup staff members checked for the tasks they need to take over from absent staff members?</v>
      </c>
      <c r="D525" s="252" t="s">
        <v>508</v>
      </c>
      <c r="E525" s="255" t="s">
        <v>512</v>
      </c>
      <c r="F525" s="255" t="s">
        <v>512</v>
      </c>
      <c r="G525" s="255" t="s">
        <v>1400</v>
      </c>
      <c r="H525" s="255" t="s">
        <v>1401</v>
      </c>
      <c r="I525" s="254"/>
      <c r="J525" s="254" t="s">
        <v>888</v>
      </c>
      <c r="K525" s="254" t="s">
        <v>1027</v>
      </c>
      <c r="L525" s="254" t="s">
        <v>1166</v>
      </c>
      <c r="M525" s="254" t="s">
        <v>1305</v>
      </c>
      <c r="N525" s="256" t="s">
        <v>3715</v>
      </c>
      <c r="O525" s="258" t="s">
        <v>1</v>
      </c>
      <c r="P525" s="258" t="s">
        <v>121</v>
      </c>
      <c r="Q525" s="258" t="s">
        <v>241</v>
      </c>
      <c r="R525" s="258" t="s">
        <v>361</v>
      </c>
    </row>
    <row r="526" spans="1:18" ht="94.5" x14ac:dyDescent="0.25">
      <c r="A526" s="252" t="s">
        <v>1825</v>
      </c>
      <c r="B526" s="252" t="str">
        <f>HLOOKUP('Getting Started'!H$2,E:I,ROW(),FALSE)</f>
        <v>Personnel</v>
      </c>
      <c r="C526" s="252" t="str">
        <f>HLOOKUP('Getting Started'!H$2,J:N,ROW(),FALSE)</f>
        <v>Is the laboratory staff aware of the existence of the personnel replacement matrix and which purpose it serves?
Take a sample by interviewing some staff members.</v>
      </c>
      <c r="D526" s="252" t="s">
        <v>508</v>
      </c>
      <c r="E526" s="255" t="s">
        <v>512</v>
      </c>
      <c r="F526" s="255" t="s">
        <v>512</v>
      </c>
      <c r="G526" s="255" t="s">
        <v>1400</v>
      </c>
      <c r="H526" s="255" t="s">
        <v>1401</v>
      </c>
      <c r="I526" s="254"/>
      <c r="J526" s="254" t="s">
        <v>2676</v>
      </c>
      <c r="K526" s="254" t="s">
        <v>2677</v>
      </c>
      <c r="L526" s="254" t="s">
        <v>2678</v>
      </c>
      <c r="M526" s="254" t="s">
        <v>2679</v>
      </c>
      <c r="N526" s="256" t="s">
        <v>3716</v>
      </c>
      <c r="O526" s="258" t="s">
        <v>1</v>
      </c>
      <c r="P526" s="258" t="s">
        <v>121</v>
      </c>
      <c r="Q526" s="258" t="s">
        <v>241</v>
      </c>
      <c r="R526" s="258" t="s">
        <v>361</v>
      </c>
    </row>
    <row r="527" spans="1:18" ht="48" x14ac:dyDescent="0.25">
      <c r="A527" s="252" t="s">
        <v>1826</v>
      </c>
      <c r="B527" s="252" t="str">
        <f>HLOOKUP('Getting Started'!H$2,E:I,ROW(),FALSE)</f>
        <v>Puchasing and Inventory</v>
      </c>
      <c r="C527" s="252" t="str">
        <f>HLOOKUP('Getting Started'!H$2,J:N,ROW(),FALSE)</f>
        <v>Does the laboratory perform a financial analysis on a regular basis to anticipate income versus expenditure for the coming year?</v>
      </c>
      <c r="D527" s="252" t="s">
        <v>508</v>
      </c>
      <c r="E527" s="255" t="s">
        <v>514</v>
      </c>
      <c r="F527" s="255" t="s">
        <v>1405</v>
      </c>
      <c r="G527" s="255" t="s">
        <v>1406</v>
      </c>
      <c r="H527" s="255" t="s">
        <v>1407</v>
      </c>
      <c r="I527" s="254"/>
      <c r="J527" s="254" t="s">
        <v>889</v>
      </c>
      <c r="K527" s="254" t="s">
        <v>1028</v>
      </c>
      <c r="L527" s="254" t="s">
        <v>1167</v>
      </c>
      <c r="M527" s="254" t="s">
        <v>1306</v>
      </c>
      <c r="N527" s="256" t="s">
        <v>3717</v>
      </c>
      <c r="O527" s="258" t="s">
        <v>1</v>
      </c>
      <c r="P527" s="258" t="s">
        <v>121</v>
      </c>
      <c r="Q527" s="258" t="s">
        <v>241</v>
      </c>
      <c r="R527" s="258" t="s">
        <v>361</v>
      </c>
    </row>
    <row r="528" spans="1:18" ht="48" x14ac:dyDescent="0.25">
      <c r="A528" s="252" t="s">
        <v>1827</v>
      </c>
      <c r="B528" s="252" t="str">
        <f>HLOOKUP('Getting Started'!H$2,E:I,ROW(),FALSE)</f>
        <v>Puchasing and Inventory</v>
      </c>
      <c r="C528" s="252" t="str">
        <f>HLOOKUP('Getting Started'!H$2,J:N,ROW(),FALSE)</f>
        <v>Does the laboratory have an SOP for Selection and Evaluation of Suppliers?</v>
      </c>
      <c r="D528" s="252" t="s">
        <v>508</v>
      </c>
      <c r="E528" s="255" t="s">
        <v>514</v>
      </c>
      <c r="F528" s="255" t="s">
        <v>1405</v>
      </c>
      <c r="G528" s="255" t="s">
        <v>1406</v>
      </c>
      <c r="H528" s="255" t="s">
        <v>1407</v>
      </c>
      <c r="I528" s="254"/>
      <c r="J528" s="254" t="s">
        <v>890</v>
      </c>
      <c r="K528" s="254" t="s">
        <v>1029</v>
      </c>
      <c r="L528" s="254" t="s">
        <v>1168</v>
      </c>
      <c r="M528" s="254" t="s">
        <v>1307</v>
      </c>
      <c r="N528" s="256" t="s">
        <v>3718</v>
      </c>
      <c r="O528" s="258" t="s">
        <v>1</v>
      </c>
      <c r="P528" s="258" t="s">
        <v>121</v>
      </c>
      <c r="Q528" s="258" t="s">
        <v>241</v>
      </c>
      <c r="R528" s="258" t="s">
        <v>361</v>
      </c>
    </row>
    <row r="529" spans="1:18" ht="48" x14ac:dyDescent="0.25">
      <c r="A529" s="252" t="s">
        <v>1828</v>
      </c>
      <c r="B529" s="252" t="str">
        <f>HLOOKUP('Getting Started'!H$2,E:I,ROW(),FALSE)</f>
        <v>Puchasing and Inventory</v>
      </c>
      <c r="C529" s="252" t="str">
        <f>HLOOKUP('Getting Started'!H$2,J:N,ROW(),FALSE)</f>
        <v>Does the laboratory select suppliers in a standardized way and documents this procedure?</v>
      </c>
      <c r="D529" s="252" t="s">
        <v>508</v>
      </c>
      <c r="E529" s="255" t="s">
        <v>514</v>
      </c>
      <c r="F529" s="255" t="s">
        <v>1405</v>
      </c>
      <c r="G529" s="255" t="s">
        <v>1406</v>
      </c>
      <c r="H529" s="255" t="s">
        <v>1407</v>
      </c>
      <c r="I529" s="254"/>
      <c r="J529" s="254" t="s">
        <v>891</v>
      </c>
      <c r="K529" s="254" t="s">
        <v>1030</v>
      </c>
      <c r="L529" s="254" t="s">
        <v>1169</v>
      </c>
      <c r="M529" s="254" t="s">
        <v>1308</v>
      </c>
      <c r="N529" s="256" t="s">
        <v>3719</v>
      </c>
      <c r="O529" s="258" t="s">
        <v>1</v>
      </c>
      <c r="P529" s="258" t="s">
        <v>121</v>
      </c>
      <c r="Q529" s="258" t="s">
        <v>241</v>
      </c>
      <c r="R529" s="258" t="s">
        <v>361</v>
      </c>
    </row>
    <row r="530" spans="1:18" ht="48" x14ac:dyDescent="0.25">
      <c r="A530" s="252" t="s">
        <v>1829</v>
      </c>
      <c r="B530" s="252" t="str">
        <f>HLOOKUP('Getting Started'!H$2,E:I,ROW(),FALSE)</f>
        <v>Puchasing and Inventory</v>
      </c>
      <c r="C530" s="252" t="str">
        <f>HLOOKUP('Getting Started'!H$2,J:N,ROW(),FALSE)</f>
        <v>Does the laboratory develop contracts for reception of services in a standardized way?</v>
      </c>
      <c r="D530" s="252" t="s">
        <v>508</v>
      </c>
      <c r="E530" s="255" t="s">
        <v>514</v>
      </c>
      <c r="F530" s="255" t="s">
        <v>1405</v>
      </c>
      <c r="G530" s="255" t="s">
        <v>1406</v>
      </c>
      <c r="H530" s="255" t="s">
        <v>1407</v>
      </c>
      <c r="I530" s="254"/>
      <c r="J530" s="254" t="s">
        <v>892</v>
      </c>
      <c r="K530" s="254" t="s">
        <v>1031</v>
      </c>
      <c r="L530" s="254" t="s">
        <v>1170</v>
      </c>
      <c r="M530" s="254" t="s">
        <v>1309</v>
      </c>
      <c r="N530" s="256" t="s">
        <v>3720</v>
      </c>
      <c r="O530" s="258" t="s">
        <v>1</v>
      </c>
      <c r="P530" s="258" t="s">
        <v>121</v>
      </c>
      <c r="Q530" s="258" t="s">
        <v>241</v>
      </c>
      <c r="R530" s="258" t="s">
        <v>361</v>
      </c>
    </row>
    <row r="531" spans="1:18" ht="48" x14ac:dyDescent="0.25">
      <c r="A531" s="252" t="s">
        <v>1830</v>
      </c>
      <c r="B531" s="252" t="str">
        <f>HLOOKUP('Getting Started'!H$2,E:I,ROW(),FALSE)</f>
        <v>Puchasing and Inventory</v>
      </c>
      <c r="C531" s="252" t="str">
        <f>HLOOKUP('Getting Started'!H$2,J:N,ROW(),FALSE)</f>
        <v>Does the laboratory evaluate contracts for reception of services in a standardized way and documents this procedure?</v>
      </c>
      <c r="D531" s="252" t="s">
        <v>508</v>
      </c>
      <c r="E531" s="255" t="s">
        <v>514</v>
      </c>
      <c r="F531" s="255" t="s">
        <v>1405</v>
      </c>
      <c r="G531" s="255" t="s">
        <v>1406</v>
      </c>
      <c r="H531" s="255" t="s">
        <v>1407</v>
      </c>
      <c r="I531" s="254"/>
      <c r="J531" s="254" t="s">
        <v>893</v>
      </c>
      <c r="K531" s="254" t="s">
        <v>1032</v>
      </c>
      <c r="L531" s="254" t="s">
        <v>1171</v>
      </c>
      <c r="M531" s="254" t="s">
        <v>1310</v>
      </c>
      <c r="N531" s="256" t="s">
        <v>3721</v>
      </c>
      <c r="O531" s="258" t="s">
        <v>1</v>
      </c>
      <c r="P531" s="258" t="s">
        <v>121</v>
      </c>
      <c r="Q531" s="258" t="s">
        <v>241</v>
      </c>
      <c r="R531" s="258" t="s">
        <v>361</v>
      </c>
    </row>
    <row r="532" spans="1:18" ht="63" x14ac:dyDescent="0.25">
      <c r="A532" s="252" t="s">
        <v>1831</v>
      </c>
      <c r="B532" s="252" t="str">
        <f>HLOOKUP('Getting Started'!H$2,E:I,ROW(),FALSE)</f>
        <v>Puchasing and Inventory</v>
      </c>
      <c r="C532" s="252" t="str">
        <f>HLOOKUP('Getting Started'!H$2,J:N,ROW(),FALSE)</f>
        <v>If contracts are amended/changed, does the laboratory have records/minutes explaining the amendments/changes and why they were made?</v>
      </c>
      <c r="D532" s="252" t="s">
        <v>508</v>
      </c>
      <c r="E532" s="255" t="s">
        <v>514</v>
      </c>
      <c r="F532" s="255" t="s">
        <v>1405</v>
      </c>
      <c r="G532" s="255" t="s">
        <v>1406</v>
      </c>
      <c r="H532" s="255" t="s">
        <v>1407</v>
      </c>
      <c r="I532" s="254"/>
      <c r="J532" s="254" t="s">
        <v>894</v>
      </c>
      <c r="K532" s="254" t="s">
        <v>1033</v>
      </c>
      <c r="L532" s="254" t="s">
        <v>1172</v>
      </c>
      <c r="M532" s="254" t="s">
        <v>1311</v>
      </c>
      <c r="N532" s="256" t="s">
        <v>3722</v>
      </c>
      <c r="O532" s="258" t="s">
        <v>1</v>
      </c>
      <c r="P532" s="258" t="s">
        <v>121</v>
      </c>
      <c r="Q532" s="258" t="s">
        <v>241</v>
      </c>
      <c r="R532" s="258" t="s">
        <v>361</v>
      </c>
    </row>
    <row r="533" spans="1:18" ht="110.25" x14ac:dyDescent="0.25">
      <c r="A533" s="252" t="s">
        <v>1832</v>
      </c>
      <c r="B533" s="252" t="str">
        <f>HLOOKUP('Getting Started'!H$2,E:I,ROW(),FALSE)</f>
        <v>Puchasing and Inventory</v>
      </c>
      <c r="C533" s="252" t="str">
        <f>HLOOKUP('Getting Started'!H$2,J:N,ROW(),FALSE)</f>
        <v>Has the laboratory formulated the procedure for selecting referral laboratories? If the laboratory does not refer samples to other laboratories: is a statement included in the quality manual explaining that no samples are referred to other laboratories?</v>
      </c>
      <c r="D533" s="252" t="s">
        <v>508</v>
      </c>
      <c r="E533" s="255" t="s">
        <v>514</v>
      </c>
      <c r="F533" s="255" t="s">
        <v>1405</v>
      </c>
      <c r="G533" s="255" t="s">
        <v>1406</v>
      </c>
      <c r="H533" s="255" t="s">
        <v>1407</v>
      </c>
      <c r="I533" s="254"/>
      <c r="J533" s="254" t="s">
        <v>895</v>
      </c>
      <c r="K533" s="254" t="s">
        <v>1034</v>
      </c>
      <c r="L533" s="254" t="s">
        <v>1173</v>
      </c>
      <c r="M533" s="254" t="s">
        <v>1312</v>
      </c>
      <c r="N533" s="256" t="s">
        <v>3723</v>
      </c>
      <c r="O533" s="258" t="s">
        <v>1</v>
      </c>
      <c r="P533" s="258" t="s">
        <v>121</v>
      </c>
      <c r="Q533" s="258" t="s">
        <v>241</v>
      </c>
      <c r="R533" s="258" t="s">
        <v>361</v>
      </c>
    </row>
    <row r="534" spans="1:18" ht="48" x14ac:dyDescent="0.25">
      <c r="A534" s="252" t="s">
        <v>1833</v>
      </c>
      <c r="B534" s="252" t="str">
        <f>HLOOKUP('Getting Started'!H$2,E:I,ROW(),FALSE)</f>
        <v>Puchasing and Inventory</v>
      </c>
      <c r="C534" s="252" t="str">
        <f>HLOOKUP('Getting Started'!H$2,J:N,ROW(),FALSE)</f>
        <v>Has the laboratory formulated the procedure for monitoring referral laboratories on a regular basis?</v>
      </c>
      <c r="D534" s="252" t="s">
        <v>508</v>
      </c>
      <c r="E534" s="255" t="s">
        <v>514</v>
      </c>
      <c r="F534" s="255" t="s">
        <v>1405</v>
      </c>
      <c r="G534" s="255" t="s">
        <v>1406</v>
      </c>
      <c r="H534" s="255" t="s">
        <v>1407</v>
      </c>
      <c r="I534" s="254"/>
      <c r="J534" s="254" t="s">
        <v>896</v>
      </c>
      <c r="K534" s="254" t="s">
        <v>1035</v>
      </c>
      <c r="L534" s="254" t="s">
        <v>1174</v>
      </c>
      <c r="M534" s="254" t="s">
        <v>1313</v>
      </c>
      <c r="N534" s="256" t="s">
        <v>3724</v>
      </c>
      <c r="O534" s="258" t="s">
        <v>1</v>
      </c>
      <c r="P534" s="258" t="s">
        <v>121</v>
      </c>
      <c r="Q534" s="258" t="s">
        <v>241</v>
      </c>
      <c r="R534" s="258" t="s">
        <v>361</v>
      </c>
    </row>
    <row r="535" spans="1:18" ht="48" x14ac:dyDescent="0.25">
      <c r="A535" s="252" t="s">
        <v>1834</v>
      </c>
      <c r="B535" s="252" t="str">
        <f>HLOOKUP('Getting Started'!H$2,E:I,ROW(),FALSE)</f>
        <v>Puchasing and Inventory</v>
      </c>
      <c r="C535" s="252" t="str">
        <f>HLOOKUP('Getting Started'!H$2,J:N,ROW(),FALSE)</f>
        <v>Is a folder present containing documents with appointments between the referral laboratories and this laboratory and monitoring data?</v>
      </c>
      <c r="D535" s="252" t="s">
        <v>508</v>
      </c>
      <c r="E535" s="255" t="s">
        <v>514</v>
      </c>
      <c r="F535" s="255" t="s">
        <v>1405</v>
      </c>
      <c r="G535" s="255" t="s">
        <v>1406</v>
      </c>
      <c r="H535" s="255" t="s">
        <v>1407</v>
      </c>
      <c r="I535" s="254"/>
      <c r="J535" s="254" t="s">
        <v>897</v>
      </c>
      <c r="K535" s="254" t="s">
        <v>1036</v>
      </c>
      <c r="L535" s="254" t="s">
        <v>1175</v>
      </c>
      <c r="M535" s="254" t="s">
        <v>1314</v>
      </c>
      <c r="N535" s="256" t="s">
        <v>3725</v>
      </c>
      <c r="O535" s="258" t="s">
        <v>1</v>
      </c>
      <c r="P535" s="258" t="s">
        <v>121</v>
      </c>
      <c r="Q535" s="258" t="s">
        <v>241</v>
      </c>
      <c r="R535" s="258" t="s">
        <v>361</v>
      </c>
    </row>
    <row r="536" spans="1:18" ht="48" x14ac:dyDescent="0.25">
      <c r="A536" s="252" t="s">
        <v>1835</v>
      </c>
      <c r="B536" s="252" t="str">
        <f>HLOOKUP('Getting Started'!H$2,E:I,ROW(),FALSE)</f>
        <v>Puchasing and Inventory</v>
      </c>
      <c r="C536" s="252" t="str">
        <f>HLOOKUP('Getting Started'!H$2,J:N,ROW(),FALSE)</f>
        <v>Is a folder present containing records of samples referred to referral laboratories, including the result reports?</v>
      </c>
      <c r="D536" s="252" t="s">
        <v>508</v>
      </c>
      <c r="E536" s="255" t="s">
        <v>514</v>
      </c>
      <c r="F536" s="255" t="s">
        <v>1405</v>
      </c>
      <c r="G536" s="255" t="s">
        <v>1406</v>
      </c>
      <c r="H536" s="255" t="s">
        <v>1407</v>
      </c>
      <c r="I536" s="254"/>
      <c r="J536" s="254" t="s">
        <v>898</v>
      </c>
      <c r="K536" s="254" t="s">
        <v>1037</v>
      </c>
      <c r="L536" s="254" t="s">
        <v>1176</v>
      </c>
      <c r="M536" s="254" t="s">
        <v>1315</v>
      </c>
      <c r="N536" s="256" t="s">
        <v>3726</v>
      </c>
      <c r="O536" s="258" t="s">
        <v>1</v>
      </c>
      <c r="P536" s="258" t="s">
        <v>121</v>
      </c>
      <c r="Q536" s="258" t="s">
        <v>241</v>
      </c>
      <c r="R536" s="258" t="s">
        <v>361</v>
      </c>
    </row>
    <row r="537" spans="1:18" ht="45" x14ac:dyDescent="0.25">
      <c r="A537" s="252" t="s">
        <v>1836</v>
      </c>
      <c r="B537" s="252" t="str">
        <f>HLOOKUP('Getting Started'!H$2,E:I,ROW(),FALSE)</f>
        <v>Process Management</v>
      </c>
      <c r="C537" s="252" t="str">
        <f>HLOOKUP('Getting Started'!H$2,J:N,ROW(),FALSE)</f>
        <v>Have the maximum allowed turnaround time been determined for each examination performed in the laboratory?</v>
      </c>
      <c r="D537" s="252" t="s">
        <v>508</v>
      </c>
      <c r="E537" s="255" t="s">
        <v>515</v>
      </c>
      <c r="F537" s="255" t="s">
        <v>1402</v>
      </c>
      <c r="G537" s="255" t="s">
        <v>1403</v>
      </c>
      <c r="H537" s="255" t="s">
        <v>1404</v>
      </c>
      <c r="I537" s="254"/>
      <c r="J537" s="254" t="s">
        <v>899</v>
      </c>
      <c r="K537" s="254" t="s">
        <v>1038</v>
      </c>
      <c r="L537" s="254" t="s">
        <v>1177</v>
      </c>
      <c r="M537" s="254" t="s">
        <v>1316</v>
      </c>
      <c r="N537" s="256" t="s">
        <v>3727</v>
      </c>
      <c r="O537" s="258" t="s">
        <v>1</v>
      </c>
      <c r="P537" s="258" t="s">
        <v>121</v>
      </c>
      <c r="Q537" s="258" t="s">
        <v>241</v>
      </c>
      <c r="R537" s="258" t="s">
        <v>361</v>
      </c>
    </row>
    <row r="538" spans="1:18" ht="47.25" x14ac:dyDescent="0.25">
      <c r="A538" s="252" t="s">
        <v>1837</v>
      </c>
      <c r="B538" s="252" t="str">
        <f>HLOOKUP('Getting Started'!H$2,E:I,ROW(),FALSE)</f>
        <v>Process Management</v>
      </c>
      <c r="C538" s="252" t="str">
        <f>HLOOKUP('Getting Started'!H$2,J:N,ROW(),FALSE)</f>
        <v>Is a table with the maximum allowed turnaround times for each examination included in the quality manual of the laboratory?</v>
      </c>
      <c r="D538" s="252" t="s">
        <v>508</v>
      </c>
      <c r="E538" s="255" t="s">
        <v>515</v>
      </c>
      <c r="F538" s="255" t="s">
        <v>1402</v>
      </c>
      <c r="G538" s="255" t="s">
        <v>1403</v>
      </c>
      <c r="H538" s="255" t="s">
        <v>1404</v>
      </c>
      <c r="I538" s="254"/>
      <c r="J538" s="254" t="s">
        <v>900</v>
      </c>
      <c r="K538" s="254" t="s">
        <v>1039</v>
      </c>
      <c r="L538" s="254" t="s">
        <v>1178</v>
      </c>
      <c r="M538" s="254" t="s">
        <v>1317</v>
      </c>
      <c r="N538" s="256" t="s">
        <v>3728</v>
      </c>
      <c r="O538" s="258" t="s">
        <v>1</v>
      </c>
      <c r="P538" s="258" t="s">
        <v>121</v>
      </c>
      <c r="Q538" s="258" t="s">
        <v>241</v>
      </c>
      <c r="R538" s="258" t="s">
        <v>361</v>
      </c>
    </row>
    <row r="539" spans="1:18" ht="63" x14ac:dyDescent="0.25">
      <c r="A539" s="252" t="s">
        <v>1838</v>
      </c>
      <c r="B539" s="252" t="str">
        <f>HLOOKUP('Getting Started'!H$2,E:I,ROW(),FALSE)</f>
        <v>Process Management</v>
      </c>
      <c r="C539" s="252" t="str">
        <f>HLOOKUP('Getting Started'!H$2,J:N,ROW(),FALSE)</f>
        <v>Is a table with the maximum allowed turnaround times for each examination included in the SOP on Reporting and Archiving of Results?</v>
      </c>
      <c r="D539" s="252" t="s">
        <v>508</v>
      </c>
      <c r="E539" s="255" t="s">
        <v>515</v>
      </c>
      <c r="F539" s="255" t="s">
        <v>1402</v>
      </c>
      <c r="G539" s="255" t="s">
        <v>1403</v>
      </c>
      <c r="H539" s="255" t="s">
        <v>1404</v>
      </c>
      <c r="I539" s="254"/>
      <c r="J539" s="254" t="s">
        <v>901</v>
      </c>
      <c r="K539" s="254" t="s">
        <v>1040</v>
      </c>
      <c r="L539" s="254" t="s">
        <v>1179</v>
      </c>
      <c r="M539" s="254" t="s">
        <v>1318</v>
      </c>
      <c r="N539" s="256" t="s">
        <v>3729</v>
      </c>
      <c r="O539" s="258" t="s">
        <v>1</v>
      </c>
      <c r="P539" s="258" t="s">
        <v>121</v>
      </c>
      <c r="Q539" s="258" t="s">
        <v>241</v>
      </c>
      <c r="R539" s="258" t="s">
        <v>361</v>
      </c>
    </row>
    <row r="540" spans="1:18" ht="78.75" x14ac:dyDescent="0.25">
      <c r="A540" s="252" t="s">
        <v>1839</v>
      </c>
      <c r="B540" s="252" t="str">
        <f>HLOOKUP('Getting Started'!H$2,E:I,ROW(),FALSE)</f>
        <v>Process Management</v>
      </c>
      <c r="C540" s="252" t="str">
        <f>HLOOKUP('Getting Started'!H$2,J:N,ROW(),FALSE)</f>
        <v>Does the SOP on Reporting and Archiving of Results include the procedure that the requester is immediately informed if the TAT of an examination is exceeded and this can compromise patient care?</v>
      </c>
      <c r="D540" s="252" t="s">
        <v>508</v>
      </c>
      <c r="E540" s="255" t="s">
        <v>515</v>
      </c>
      <c r="F540" s="255" t="s">
        <v>1402</v>
      </c>
      <c r="G540" s="255" t="s">
        <v>1403</v>
      </c>
      <c r="H540" s="255" t="s">
        <v>1404</v>
      </c>
      <c r="I540" s="254"/>
      <c r="J540" s="254" t="s">
        <v>902</v>
      </c>
      <c r="K540" s="254" t="s">
        <v>1041</v>
      </c>
      <c r="L540" s="254" t="s">
        <v>1180</v>
      </c>
      <c r="M540" s="254" t="s">
        <v>1319</v>
      </c>
      <c r="N540" s="256" t="s">
        <v>3730</v>
      </c>
      <c r="O540" s="258" t="s">
        <v>1</v>
      </c>
      <c r="P540" s="258" t="s">
        <v>121</v>
      </c>
      <c r="Q540" s="258" t="s">
        <v>241</v>
      </c>
      <c r="R540" s="258" t="s">
        <v>361</v>
      </c>
    </row>
    <row r="541" spans="1:18" ht="76.5" x14ac:dyDescent="0.25">
      <c r="A541" s="252" t="s">
        <v>1840</v>
      </c>
      <c r="B541" s="252" t="str">
        <f>HLOOKUP('Getting Started'!H$2,E:I,ROW(),FALSE)</f>
        <v>Process Management</v>
      </c>
      <c r="C541" s="252" t="str">
        <f>HLOOKUP('Getting Started'!H$2,J:N,ROW(),FALSE)</f>
        <v>Are staff members aware of the procedure for immediately informing the requester if an examination is exceeding the turnaround time when this can compromise patient care?</v>
      </c>
      <c r="D541" s="252" t="s">
        <v>508</v>
      </c>
      <c r="E541" s="255" t="s">
        <v>515</v>
      </c>
      <c r="F541" s="255" t="s">
        <v>1402</v>
      </c>
      <c r="G541" s="255" t="s">
        <v>1403</v>
      </c>
      <c r="H541" s="255" t="s">
        <v>1404</v>
      </c>
      <c r="I541" s="254"/>
      <c r="J541" s="254" t="s">
        <v>903</v>
      </c>
      <c r="K541" s="254" t="s">
        <v>1042</v>
      </c>
      <c r="L541" s="254" t="s">
        <v>1181</v>
      </c>
      <c r="M541" s="254" t="s">
        <v>1320</v>
      </c>
      <c r="N541" s="256" t="s">
        <v>3731</v>
      </c>
      <c r="O541" s="258" t="s">
        <v>1</v>
      </c>
      <c r="P541" s="258" t="s">
        <v>121</v>
      </c>
      <c r="Q541" s="258" t="s">
        <v>241</v>
      </c>
      <c r="R541" s="258" t="s">
        <v>361</v>
      </c>
    </row>
    <row r="542" spans="1:18" ht="31.5" x14ac:dyDescent="0.25">
      <c r="A542" s="252" t="s">
        <v>1841</v>
      </c>
      <c r="B542" s="252" t="str">
        <f>HLOOKUP('Getting Started'!H$2,E:I,ROW(),FALSE)</f>
        <v>Process Management</v>
      </c>
      <c r="C542" s="252" t="str">
        <f>HLOOKUP('Getting Started'!H$2,J:N,ROW(),FALSE)</f>
        <v>Is the turnaround time monitored on a continuous basis for each examinations?</v>
      </c>
      <c r="D542" s="252" t="s">
        <v>508</v>
      </c>
      <c r="E542" s="255" t="s">
        <v>515</v>
      </c>
      <c r="F542" s="255" t="s">
        <v>1402</v>
      </c>
      <c r="G542" s="255" t="s">
        <v>1403</v>
      </c>
      <c r="H542" s="255" t="s">
        <v>1404</v>
      </c>
      <c r="I542" s="254"/>
      <c r="J542" s="254" t="s">
        <v>904</v>
      </c>
      <c r="K542" s="254" t="s">
        <v>1043</v>
      </c>
      <c r="L542" s="254" t="s">
        <v>1182</v>
      </c>
      <c r="M542" s="254" t="s">
        <v>1321</v>
      </c>
      <c r="N542" s="256" t="s">
        <v>3732</v>
      </c>
      <c r="O542" s="258" t="s">
        <v>1</v>
      </c>
      <c r="P542" s="258" t="s">
        <v>121</v>
      </c>
      <c r="Q542" s="258" t="s">
        <v>241</v>
      </c>
      <c r="R542" s="258" t="s">
        <v>361</v>
      </c>
    </row>
    <row r="543" spans="1:18" ht="31.5" x14ac:dyDescent="0.25">
      <c r="A543" s="252" t="s">
        <v>1842</v>
      </c>
      <c r="B543" s="252" t="str">
        <f>HLOOKUP('Getting Started'!H$2,E:I,ROW(),FALSE)</f>
        <v>Process Management</v>
      </c>
      <c r="C543" s="252" t="str">
        <f>HLOOKUP('Getting Started'!H$2,J:N,ROW(),FALSE)</f>
        <v>Is the result of turnaround time assessment included in the Quarterly Reports?</v>
      </c>
      <c r="D543" s="252" t="s">
        <v>508</v>
      </c>
      <c r="E543" s="255" t="s">
        <v>515</v>
      </c>
      <c r="F543" s="255" t="s">
        <v>1402</v>
      </c>
      <c r="G543" s="255" t="s">
        <v>1403</v>
      </c>
      <c r="H543" s="255" t="s">
        <v>1404</v>
      </c>
      <c r="I543" s="254"/>
      <c r="J543" s="254" t="s">
        <v>905</v>
      </c>
      <c r="K543" s="254" t="s">
        <v>1044</v>
      </c>
      <c r="L543" s="254" t="s">
        <v>1183</v>
      </c>
      <c r="M543" s="254" t="s">
        <v>1322</v>
      </c>
      <c r="N543" s="256" t="s">
        <v>3733</v>
      </c>
      <c r="O543" s="258" t="s">
        <v>1</v>
      </c>
      <c r="P543" s="258" t="s">
        <v>121</v>
      </c>
      <c r="Q543" s="258" t="s">
        <v>241</v>
      </c>
      <c r="R543" s="258" t="s">
        <v>361</v>
      </c>
    </row>
    <row r="544" spans="1:18" ht="51" x14ac:dyDescent="0.25">
      <c r="A544" s="252" t="s">
        <v>1843</v>
      </c>
      <c r="B544" s="252" t="str">
        <f>HLOOKUP('Getting Started'!H$2,E:I,ROW(),FALSE)</f>
        <v>Process Management</v>
      </c>
      <c r="C544" s="252" t="str">
        <f>HLOOKUP('Getting Started'!H$2,J:N,ROW(),FALSE)</f>
        <v>Are corrective and preventive actions implemented in an attempt to decrease the percentage of samples exceeding the turnaround time to a minimum?</v>
      </c>
      <c r="D544" s="252" t="s">
        <v>508</v>
      </c>
      <c r="E544" s="255" t="s">
        <v>515</v>
      </c>
      <c r="F544" s="255" t="s">
        <v>1402</v>
      </c>
      <c r="G544" s="255" t="s">
        <v>1403</v>
      </c>
      <c r="H544" s="255" t="s">
        <v>1404</v>
      </c>
      <c r="I544" s="254"/>
      <c r="J544" s="254" t="s">
        <v>906</v>
      </c>
      <c r="K544" s="254" t="s">
        <v>1045</v>
      </c>
      <c r="L544" s="254" t="s">
        <v>1184</v>
      </c>
      <c r="M544" s="254" t="s">
        <v>1323</v>
      </c>
      <c r="N544" s="256" t="s">
        <v>3734</v>
      </c>
      <c r="O544" s="258" t="s">
        <v>1</v>
      </c>
      <c r="P544" s="258" t="s">
        <v>121</v>
      </c>
      <c r="Q544" s="258" t="s">
        <v>241</v>
      </c>
      <c r="R544" s="258" t="s">
        <v>361</v>
      </c>
    </row>
    <row r="545" spans="1:18" ht="63.75" x14ac:dyDescent="0.25">
      <c r="A545" s="252" t="s">
        <v>1844</v>
      </c>
      <c r="B545" s="252" t="str">
        <f>HLOOKUP('Getting Started'!H$2,E:I,ROW(),FALSE)</f>
        <v>Process Management</v>
      </c>
      <c r="C545" s="252" t="str">
        <f>HLOOKUP('Getting Started'!H$2,J:N,ROW(),FALSE)</f>
        <v>When sudden increases are seen in the percentage of samples exceeding turnaround time, is an analysis performed to identify the cause and implement corrective and preventive actions?</v>
      </c>
      <c r="D545" s="252" t="s">
        <v>508</v>
      </c>
      <c r="E545" s="255" t="s">
        <v>515</v>
      </c>
      <c r="F545" s="255" t="s">
        <v>1402</v>
      </c>
      <c r="G545" s="255" t="s">
        <v>1403</v>
      </c>
      <c r="H545" s="255" t="s">
        <v>1404</v>
      </c>
      <c r="I545" s="254"/>
      <c r="J545" s="254" t="s">
        <v>907</v>
      </c>
      <c r="K545" s="254" t="s">
        <v>1046</v>
      </c>
      <c r="L545" s="254" t="s">
        <v>1185</v>
      </c>
      <c r="M545" s="254" t="s">
        <v>1324</v>
      </c>
      <c r="N545" s="256" t="s">
        <v>3735</v>
      </c>
      <c r="O545" s="258" t="s">
        <v>1</v>
      </c>
      <c r="P545" s="258" t="s">
        <v>121</v>
      </c>
      <c r="Q545" s="258" t="s">
        <v>241</v>
      </c>
      <c r="R545" s="258" t="s">
        <v>361</v>
      </c>
    </row>
    <row r="546" spans="1:18" ht="63.75" x14ac:dyDescent="0.25">
      <c r="A546" s="252" t="s">
        <v>1845</v>
      </c>
      <c r="B546" s="252" t="str">
        <f>HLOOKUP('Getting Started'!H$2,E:I,ROW(),FALSE)</f>
        <v>Process Management</v>
      </c>
      <c r="C546" s="252" t="str">
        <f>HLOOKUP('Getting Started'!H$2,J:N,ROW(),FALSE)</f>
        <v>Is the efficacy of corrective and preventive actions to minimize/counteract increase of samples exceeding turnaround time determined in subsequent turnaround time assessments?</v>
      </c>
      <c r="D546" s="252" t="s">
        <v>508</v>
      </c>
      <c r="E546" s="255" t="s">
        <v>515</v>
      </c>
      <c r="F546" s="255" t="s">
        <v>1402</v>
      </c>
      <c r="G546" s="255" t="s">
        <v>1403</v>
      </c>
      <c r="H546" s="255" t="s">
        <v>1404</v>
      </c>
      <c r="I546" s="254"/>
      <c r="J546" s="254" t="s">
        <v>908</v>
      </c>
      <c r="K546" s="254" t="s">
        <v>1047</v>
      </c>
      <c r="L546" s="254" t="s">
        <v>1186</v>
      </c>
      <c r="M546" s="254" t="s">
        <v>1325</v>
      </c>
      <c r="N546" s="256" t="s">
        <v>3736</v>
      </c>
      <c r="O546" s="258" t="s">
        <v>1</v>
      </c>
      <c r="P546" s="258" t="s">
        <v>121</v>
      </c>
      <c r="Q546" s="258" t="s">
        <v>241</v>
      </c>
      <c r="R546" s="258" t="s">
        <v>361</v>
      </c>
    </row>
    <row r="547" spans="1:18" ht="47.25" x14ac:dyDescent="0.25">
      <c r="A547" s="252" t="s">
        <v>1846</v>
      </c>
      <c r="B547" s="252" t="str">
        <f>HLOOKUP('Getting Started'!H$2,E:I,ROW(),FALSE)</f>
        <v>Process Management</v>
      </c>
      <c r="C547" s="252" t="str">
        <f>HLOOKUP('Getting Started'!H$2,J:N,ROW(),FALSE)</f>
        <v>Has the laboratory standardized the procedure of validation of examination methods and equipment in an SOP?</v>
      </c>
      <c r="D547" s="252" t="s">
        <v>508</v>
      </c>
      <c r="E547" s="255" t="s">
        <v>515</v>
      </c>
      <c r="F547" s="255" t="s">
        <v>1402</v>
      </c>
      <c r="G547" s="255" t="s">
        <v>1403</v>
      </c>
      <c r="H547" s="255" t="s">
        <v>1404</v>
      </c>
      <c r="I547" s="254"/>
      <c r="J547" s="254" t="s">
        <v>909</v>
      </c>
      <c r="K547" s="254" t="s">
        <v>1048</v>
      </c>
      <c r="L547" s="254" t="s">
        <v>1187</v>
      </c>
      <c r="M547" s="254" t="s">
        <v>1326</v>
      </c>
      <c r="N547" s="256" t="s">
        <v>3737</v>
      </c>
      <c r="O547" s="258" t="s">
        <v>1</v>
      </c>
      <c r="P547" s="258" t="s">
        <v>121</v>
      </c>
      <c r="Q547" s="258" t="s">
        <v>241</v>
      </c>
      <c r="R547" s="258" t="s">
        <v>361</v>
      </c>
    </row>
    <row r="548" spans="1:18" ht="78.75" x14ac:dyDescent="0.25">
      <c r="A548" s="252" t="s">
        <v>1847</v>
      </c>
      <c r="B548" s="252" t="str">
        <f>HLOOKUP('Getting Started'!H$2,E:I,ROW(),FALSE)</f>
        <v>Process Management</v>
      </c>
      <c r="C548" s="252" t="str">
        <f>HLOOKUP('Getting Started'!H$2,J:N,ROW(),FALSE)</f>
        <v>Has the laboratory validated all the examination methods performed in the laboratory?
Find evidence by asking for the validation reports.</v>
      </c>
      <c r="D548" s="252" t="s">
        <v>508</v>
      </c>
      <c r="E548" s="255" t="s">
        <v>515</v>
      </c>
      <c r="F548" s="255" t="s">
        <v>1402</v>
      </c>
      <c r="G548" s="255" t="s">
        <v>1403</v>
      </c>
      <c r="H548" s="255" t="s">
        <v>1404</v>
      </c>
      <c r="I548" s="254"/>
      <c r="J548" s="254" t="s">
        <v>2702</v>
      </c>
      <c r="K548" s="254" t="s">
        <v>2703</v>
      </c>
      <c r="L548" s="254" t="s">
        <v>2704</v>
      </c>
      <c r="M548" s="254" t="s">
        <v>2705</v>
      </c>
      <c r="N548" s="256" t="s">
        <v>3738</v>
      </c>
      <c r="O548" s="258" t="s">
        <v>1</v>
      </c>
      <c r="P548" s="258" t="s">
        <v>121</v>
      </c>
      <c r="Q548" s="258" t="s">
        <v>241</v>
      </c>
      <c r="R548" s="258" t="s">
        <v>361</v>
      </c>
    </row>
    <row r="549" spans="1:18" ht="63" x14ac:dyDescent="0.25">
      <c r="A549" s="252" t="s">
        <v>1848</v>
      </c>
      <c r="B549" s="252" t="str">
        <f>HLOOKUP('Getting Started'!H$2,E:I,ROW(),FALSE)</f>
        <v>Process Management</v>
      </c>
      <c r="C549" s="252" t="str">
        <f>HLOOKUP('Getting Started'!H$2,J:N,ROW(),FALSE)</f>
        <v>When the laboratory, through validation, identified the need to change an examination method, was this change made (including adaption of the SOP for that method)?</v>
      </c>
      <c r="D549" s="252" t="s">
        <v>508</v>
      </c>
      <c r="E549" s="255" t="s">
        <v>515</v>
      </c>
      <c r="F549" s="255" t="s">
        <v>1402</v>
      </c>
      <c r="G549" s="255" t="s">
        <v>1403</v>
      </c>
      <c r="H549" s="255" t="s">
        <v>1404</v>
      </c>
      <c r="I549" s="254"/>
      <c r="J549" s="254" t="s">
        <v>910</v>
      </c>
      <c r="K549" s="254" t="s">
        <v>1049</v>
      </c>
      <c r="L549" s="254" t="s">
        <v>1188</v>
      </c>
      <c r="M549" s="254" t="s">
        <v>1327</v>
      </c>
      <c r="N549" s="256" t="s">
        <v>3739</v>
      </c>
      <c r="O549" s="258" t="s">
        <v>1</v>
      </c>
      <c r="P549" s="258" t="s">
        <v>121</v>
      </c>
      <c r="Q549" s="258" t="s">
        <v>241</v>
      </c>
      <c r="R549" s="258" t="s">
        <v>361</v>
      </c>
    </row>
    <row r="550" spans="1:18" ht="47.25" x14ac:dyDescent="0.25">
      <c r="A550" s="252" t="s">
        <v>1849</v>
      </c>
      <c r="B550" s="252" t="str">
        <f>HLOOKUP('Getting Started'!H$2,E:I,ROW(),FALSE)</f>
        <v>Information Management</v>
      </c>
      <c r="C550" s="252" t="str">
        <f>HLOOKUP('Getting Started'!H$2,J:N,ROW(),FALSE)</f>
        <v>Does the laboratory have an archive for laboratory records that is constructed in a logical way allowing for quick and easy access to information?</v>
      </c>
      <c r="D550" s="252" t="s">
        <v>508</v>
      </c>
      <c r="E550" s="255" t="s">
        <v>813</v>
      </c>
      <c r="F550" s="255" t="s">
        <v>1394</v>
      </c>
      <c r="G550" s="255" t="s">
        <v>1395</v>
      </c>
      <c r="H550" s="255" t="s">
        <v>1396</v>
      </c>
      <c r="I550" s="254"/>
      <c r="J550" s="254" t="s">
        <v>911</v>
      </c>
      <c r="K550" s="254" t="s">
        <v>1050</v>
      </c>
      <c r="L550" s="254" t="s">
        <v>1189</v>
      </c>
      <c r="M550" s="254" t="s">
        <v>1328</v>
      </c>
      <c r="N550" s="256" t="s">
        <v>3740</v>
      </c>
      <c r="O550" s="258" t="s">
        <v>1</v>
      </c>
      <c r="P550" s="258" t="s">
        <v>121</v>
      </c>
      <c r="Q550" s="258" t="s">
        <v>241</v>
      </c>
      <c r="R550" s="258" t="s">
        <v>361</v>
      </c>
    </row>
    <row r="551" spans="1:18" ht="31.5" x14ac:dyDescent="0.25">
      <c r="A551" s="252" t="s">
        <v>1850</v>
      </c>
      <c r="B551" s="252" t="str">
        <f>HLOOKUP('Getting Started'!H$2,E:I,ROW(),FALSE)</f>
        <v>Information Management</v>
      </c>
      <c r="C551" s="252" t="str">
        <f>HLOOKUP('Getting Started'!H$2,J:N,ROW(),FALSE)</f>
        <v>Is the laboratory archive lockable?</v>
      </c>
      <c r="D551" s="252" t="s">
        <v>508</v>
      </c>
      <c r="E551" s="255" t="s">
        <v>813</v>
      </c>
      <c r="F551" s="255" t="s">
        <v>1394</v>
      </c>
      <c r="G551" s="255" t="s">
        <v>1395</v>
      </c>
      <c r="H551" s="255" t="s">
        <v>1396</v>
      </c>
      <c r="I551" s="254"/>
      <c r="J551" s="254" t="s">
        <v>912</v>
      </c>
      <c r="K551" s="254" t="s">
        <v>1051</v>
      </c>
      <c r="L551" s="254" t="s">
        <v>1190</v>
      </c>
      <c r="M551" s="254" t="s">
        <v>1329</v>
      </c>
      <c r="N551" s="256" t="s">
        <v>3741</v>
      </c>
      <c r="O551" s="258" t="s">
        <v>1</v>
      </c>
      <c r="P551" s="258" t="s">
        <v>121</v>
      </c>
      <c r="Q551" s="258" t="s">
        <v>241</v>
      </c>
      <c r="R551" s="258" t="s">
        <v>361</v>
      </c>
    </row>
    <row r="552" spans="1:18" ht="47.25" x14ac:dyDescent="0.25">
      <c r="A552" s="252" t="s">
        <v>1851</v>
      </c>
      <c r="B552" s="252" t="str">
        <f>HLOOKUP('Getting Started'!H$2,E:I,ROW(),FALSE)</f>
        <v>Information Management</v>
      </c>
      <c r="C552" s="252" t="str">
        <f>HLOOKUP('Getting Started'!H$2,J:N,ROW(),FALSE)</f>
        <v>Does the laboratory archive protect records from deteriorating influences such as fire, humidity, insects, sunlight, etc.?</v>
      </c>
      <c r="D552" s="252" t="s">
        <v>508</v>
      </c>
      <c r="E552" s="255" t="s">
        <v>813</v>
      </c>
      <c r="F552" s="255" t="s">
        <v>1394</v>
      </c>
      <c r="G552" s="255" t="s">
        <v>1395</v>
      </c>
      <c r="H552" s="255" t="s">
        <v>1396</v>
      </c>
      <c r="I552" s="254"/>
      <c r="J552" s="254" t="s">
        <v>913</v>
      </c>
      <c r="K552" s="254" t="s">
        <v>1052</v>
      </c>
      <c r="L552" s="254" t="s">
        <v>1191</v>
      </c>
      <c r="M552" s="254" t="s">
        <v>1330</v>
      </c>
      <c r="N552" s="256" t="s">
        <v>3742</v>
      </c>
      <c r="O552" s="258" t="s">
        <v>1</v>
      </c>
      <c r="P552" s="258" t="s">
        <v>121</v>
      </c>
      <c r="Q552" s="258" t="s">
        <v>241</v>
      </c>
      <c r="R552" s="258" t="s">
        <v>361</v>
      </c>
    </row>
    <row r="553" spans="1:18" ht="31.5" x14ac:dyDescent="0.25">
      <c r="A553" s="252" t="s">
        <v>1852</v>
      </c>
      <c r="B553" s="252" t="str">
        <f>HLOOKUP('Getting Started'!H$2,E:I,ROW(),FALSE)</f>
        <v>Information Management</v>
      </c>
      <c r="C553" s="252" t="str">
        <f>HLOOKUP('Getting Started'!H$2,J:N,ROW(),FALSE)</f>
        <v>Is access to the laboratory archive controlled?</v>
      </c>
      <c r="D553" s="252" t="s">
        <v>508</v>
      </c>
      <c r="E553" s="255" t="s">
        <v>813</v>
      </c>
      <c r="F553" s="255" t="s">
        <v>1394</v>
      </c>
      <c r="G553" s="255" t="s">
        <v>1395</v>
      </c>
      <c r="H553" s="255" t="s">
        <v>1396</v>
      </c>
      <c r="I553" s="254"/>
      <c r="J553" s="254" t="s">
        <v>914</v>
      </c>
      <c r="K553" s="254" t="s">
        <v>1053</v>
      </c>
      <c r="L553" s="254" t="s">
        <v>1192</v>
      </c>
      <c r="M553" s="254" t="s">
        <v>1331</v>
      </c>
      <c r="N553" s="256" t="s">
        <v>3743</v>
      </c>
      <c r="O553" s="258" t="s">
        <v>1</v>
      </c>
      <c r="P553" s="258" t="s">
        <v>121</v>
      </c>
      <c r="Q553" s="258" t="s">
        <v>241</v>
      </c>
      <c r="R553" s="258" t="s">
        <v>361</v>
      </c>
    </row>
    <row r="554" spans="1:18" ht="31.5" x14ac:dyDescent="0.25">
      <c r="A554" s="252" t="s">
        <v>1853</v>
      </c>
      <c r="B554" s="252" t="str">
        <f>HLOOKUP('Getting Started'!H$2,E:I,ROW(),FALSE)</f>
        <v>Information Management</v>
      </c>
      <c r="C554" s="252" t="str">
        <f>HLOOKUP('Getting Started'!H$2,J:N,ROW(),FALSE)</f>
        <v>Is the computerized system properly protected by a firewall?</v>
      </c>
      <c r="D554" s="252" t="s">
        <v>508</v>
      </c>
      <c r="E554" s="255" t="s">
        <v>813</v>
      </c>
      <c r="F554" s="255" t="s">
        <v>1394</v>
      </c>
      <c r="G554" s="255" t="s">
        <v>1395</v>
      </c>
      <c r="H554" s="255" t="s">
        <v>1396</v>
      </c>
      <c r="I554" s="254"/>
      <c r="J554" s="254" t="s">
        <v>915</v>
      </c>
      <c r="K554" s="254" t="s">
        <v>1054</v>
      </c>
      <c r="L554" s="254" t="s">
        <v>1193</v>
      </c>
      <c r="M554" s="254" t="s">
        <v>1332</v>
      </c>
      <c r="N554" s="256" t="s">
        <v>3744</v>
      </c>
      <c r="O554" s="258" t="s">
        <v>1</v>
      </c>
      <c r="P554" s="258" t="s">
        <v>121</v>
      </c>
      <c r="Q554" s="258" t="s">
        <v>241</v>
      </c>
      <c r="R554" s="258" t="s">
        <v>361</v>
      </c>
    </row>
    <row r="555" spans="1:18" ht="47.25" x14ac:dyDescent="0.25">
      <c r="A555" s="252" t="s">
        <v>1854</v>
      </c>
      <c r="B555" s="252" t="str">
        <f>HLOOKUP('Getting Started'!H$2,E:I,ROW(),FALSE)</f>
        <v>Information Management</v>
      </c>
      <c r="C555" s="252" t="str">
        <f>HLOOKUP('Getting Started'!H$2,J:N,ROW(),FALSE)</f>
        <v>Is the computerized system scanned for viruses on a weekly basis by a proper, up to date virus scanner?</v>
      </c>
      <c r="D555" s="252" t="s">
        <v>508</v>
      </c>
      <c r="E555" s="255" t="s">
        <v>813</v>
      </c>
      <c r="F555" s="255" t="s">
        <v>1394</v>
      </c>
      <c r="G555" s="255" t="s">
        <v>1395</v>
      </c>
      <c r="H555" s="255" t="s">
        <v>1396</v>
      </c>
      <c r="I555" s="254"/>
      <c r="J555" s="254" t="s">
        <v>916</v>
      </c>
      <c r="K555" s="254" t="s">
        <v>1055</v>
      </c>
      <c r="L555" s="254" t="s">
        <v>1194</v>
      </c>
      <c r="M555" s="254" t="s">
        <v>1333</v>
      </c>
      <c r="N555" s="256" t="s">
        <v>3745</v>
      </c>
      <c r="O555" s="258" t="s">
        <v>1</v>
      </c>
      <c r="P555" s="258" t="s">
        <v>121</v>
      </c>
      <c r="Q555" s="258" t="s">
        <v>241</v>
      </c>
      <c r="R555" s="258" t="s">
        <v>361</v>
      </c>
    </row>
    <row r="556" spans="1:18" ht="141.75" x14ac:dyDescent="0.25">
      <c r="A556" s="252" t="s">
        <v>1855</v>
      </c>
      <c r="B556" s="252" t="str">
        <f>HLOOKUP('Getting Started'!H$2,E:I,ROW(),FALSE)</f>
        <v>Information Management</v>
      </c>
      <c r="C556" s="252" t="str">
        <f>HLOOKUP('Getting Started'!H$2,J:N,ROW(),FALSE)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556" s="252" t="s">
        <v>508</v>
      </c>
      <c r="E556" s="255" t="s">
        <v>813</v>
      </c>
      <c r="F556" s="255" t="s">
        <v>1394</v>
      </c>
      <c r="G556" s="255" t="s">
        <v>1395</v>
      </c>
      <c r="H556" s="255" t="s">
        <v>1396</v>
      </c>
      <c r="I556" s="254"/>
      <c r="J556" s="254" t="s">
        <v>917</v>
      </c>
      <c r="K556" s="254" t="s">
        <v>1056</v>
      </c>
      <c r="L556" s="254" t="s">
        <v>1195</v>
      </c>
      <c r="M556" s="254" t="s">
        <v>1334</v>
      </c>
      <c r="N556" s="256" t="s">
        <v>3746</v>
      </c>
      <c r="O556" s="258" t="s">
        <v>1</v>
      </c>
      <c r="P556" s="258" t="s">
        <v>121</v>
      </c>
      <c r="Q556" s="258" t="s">
        <v>241</v>
      </c>
      <c r="R556" s="258" t="s">
        <v>361</v>
      </c>
    </row>
    <row r="557" spans="1:18" ht="47.25" x14ac:dyDescent="0.25">
      <c r="A557" s="252" t="s">
        <v>1856</v>
      </c>
      <c r="B557" s="252" t="str">
        <f>HLOOKUP('Getting Started'!H$2,E:I,ROW(),FALSE)</f>
        <v>Information Management</v>
      </c>
      <c r="C557" s="252" t="str">
        <f>HLOOKUP('Getting Started'!H$2,J:N,ROW(),FALSE)</f>
        <v>Are the Personal Job Descriptions adapted of the staff members who are authorized to access or access and change laboratory information?</v>
      </c>
      <c r="D557" s="252" t="s">
        <v>508</v>
      </c>
      <c r="E557" s="255" t="s">
        <v>813</v>
      </c>
      <c r="F557" s="255" t="s">
        <v>1394</v>
      </c>
      <c r="G557" s="255" t="s">
        <v>1395</v>
      </c>
      <c r="H557" s="255" t="s">
        <v>1396</v>
      </c>
      <c r="I557" s="254"/>
      <c r="J557" s="254" t="s">
        <v>918</v>
      </c>
      <c r="K557" s="254" t="s">
        <v>1057</v>
      </c>
      <c r="L557" s="254" t="s">
        <v>1196</v>
      </c>
      <c r="M557" s="254" t="s">
        <v>1335</v>
      </c>
      <c r="N557" s="256" t="s">
        <v>3747</v>
      </c>
      <c r="O557" s="258" t="s">
        <v>1</v>
      </c>
      <c r="P557" s="258" t="s">
        <v>121</v>
      </c>
      <c r="Q557" s="258" t="s">
        <v>241</v>
      </c>
      <c r="R557" s="258" t="s">
        <v>361</v>
      </c>
    </row>
    <row r="558" spans="1:18" ht="75" x14ac:dyDescent="0.25">
      <c r="A558" s="252" t="s">
        <v>1857</v>
      </c>
      <c r="B558" s="252" t="str">
        <f>HLOOKUP('Getting Started'!H$2,E:I,ROW(),FALSE)</f>
        <v>Information Management</v>
      </c>
      <c r="C558" s="252" t="str">
        <f>HLOOKUP('Getting Started'!H$2,J:N,ROW(),FALSE)</f>
        <v>Is a documented contingency plan present in the laboratory that should be followed in case of downtime of the computerized information system, to ensure access to laboratory information at all times?</v>
      </c>
      <c r="D558" s="252" t="s">
        <v>508</v>
      </c>
      <c r="E558" s="255" t="s">
        <v>813</v>
      </c>
      <c r="F558" s="255" t="s">
        <v>1394</v>
      </c>
      <c r="G558" s="255" t="s">
        <v>1395</v>
      </c>
      <c r="H558" s="255" t="s">
        <v>1396</v>
      </c>
      <c r="I558" s="254"/>
      <c r="J558" s="254" t="s">
        <v>919</v>
      </c>
      <c r="K558" s="254" t="s">
        <v>1058</v>
      </c>
      <c r="L558" s="254" t="s">
        <v>1197</v>
      </c>
      <c r="M558" s="254" t="s">
        <v>1336</v>
      </c>
      <c r="N558" s="256" t="s">
        <v>3748</v>
      </c>
      <c r="O558" s="258" t="s">
        <v>1</v>
      </c>
      <c r="P558" s="258" t="s">
        <v>121</v>
      </c>
      <c r="Q558" s="258" t="s">
        <v>241</v>
      </c>
      <c r="R558" s="258" t="s">
        <v>361</v>
      </c>
    </row>
    <row r="559" spans="1:18" ht="31.5" x14ac:dyDescent="0.25">
      <c r="A559" s="252" t="s">
        <v>1858</v>
      </c>
      <c r="B559" s="252" t="str">
        <f>HLOOKUP('Getting Started'!H$2,E:I,ROW(),FALSE)</f>
        <v>Information Management</v>
      </c>
      <c r="C559" s="252" t="str">
        <f>HLOOKUP('Getting Started'!H$2,J:N,ROW(),FALSE)</f>
        <v>Has the laboratory standardized the procedures for information management in an SOP?</v>
      </c>
      <c r="D559" s="252" t="s">
        <v>508</v>
      </c>
      <c r="E559" s="255" t="s">
        <v>813</v>
      </c>
      <c r="F559" s="255" t="s">
        <v>1394</v>
      </c>
      <c r="G559" s="255" t="s">
        <v>1395</v>
      </c>
      <c r="H559" s="255" t="s">
        <v>1396</v>
      </c>
      <c r="I559" s="254"/>
      <c r="J559" s="254" t="s">
        <v>920</v>
      </c>
      <c r="K559" s="254" t="s">
        <v>1059</v>
      </c>
      <c r="L559" s="254" t="s">
        <v>1198</v>
      </c>
      <c r="M559" s="254" t="s">
        <v>1337</v>
      </c>
      <c r="N559" s="256" t="s">
        <v>3749</v>
      </c>
      <c r="O559" s="258" t="s">
        <v>1</v>
      </c>
      <c r="P559" s="258" t="s">
        <v>121</v>
      </c>
      <c r="Q559" s="258" t="s">
        <v>241</v>
      </c>
      <c r="R559" s="258" t="s">
        <v>361</v>
      </c>
    </row>
    <row r="560" spans="1:18" ht="38.25" x14ac:dyDescent="0.25">
      <c r="A560" s="252" t="s">
        <v>1859</v>
      </c>
      <c r="B560" s="252" t="str">
        <f>HLOOKUP('Getting Started'!H$2,E:I,ROW(),FALSE)</f>
        <v>Information Management</v>
      </c>
      <c r="C560" s="252" t="str">
        <f>HLOOKUP('Getting Started'!H$2,J:N,ROW(),FALSE)</f>
        <v>Does the SOP on management of laboratory information include at least the following procedures:</v>
      </c>
      <c r="D560" s="252" t="s">
        <v>508</v>
      </c>
      <c r="E560" s="255" t="s">
        <v>813</v>
      </c>
      <c r="F560" s="255" t="s">
        <v>1394</v>
      </c>
      <c r="G560" s="255" t="s">
        <v>1395</v>
      </c>
      <c r="H560" s="255" t="s">
        <v>1396</v>
      </c>
      <c r="I560" s="254"/>
      <c r="J560" s="254" t="s">
        <v>921</v>
      </c>
      <c r="K560" s="254" t="s">
        <v>1060</v>
      </c>
      <c r="L560" s="254" t="s">
        <v>1199</v>
      </c>
      <c r="M560" s="254" t="s">
        <v>1338</v>
      </c>
      <c r="N560" s="256" t="s">
        <v>3750</v>
      </c>
      <c r="O560" s="300" t="s">
        <v>1</v>
      </c>
      <c r="P560" s="300" t="s">
        <v>121</v>
      </c>
      <c r="Q560" s="300" t="s">
        <v>241</v>
      </c>
      <c r="R560" s="300" t="s">
        <v>361</v>
      </c>
    </row>
    <row r="561" spans="1:18" ht="47.25" x14ac:dyDescent="0.25">
      <c r="A561" s="252" t="s">
        <v>2720</v>
      </c>
      <c r="B561" s="252" t="str">
        <f>HLOOKUP('Getting Started'!H$2,E:I,ROW(),FALSE)</f>
        <v>Information Management</v>
      </c>
      <c r="C561" s="252" t="str">
        <f>HLOOKUP('Getting Started'!H$2,J:N,ROW(),FALSE)</f>
        <v>Management and maintenance of the computerized laboratory information system, including procedures regarding:</v>
      </c>
      <c r="D561" s="252" t="s">
        <v>508</v>
      </c>
      <c r="E561" s="255" t="s">
        <v>813</v>
      </c>
      <c r="F561" s="255" t="s">
        <v>1394</v>
      </c>
      <c r="G561" s="255" t="s">
        <v>1395</v>
      </c>
      <c r="H561" s="255" t="s">
        <v>1396</v>
      </c>
      <c r="I561" s="254"/>
      <c r="J561" s="254" t="s">
        <v>922</v>
      </c>
      <c r="K561" s="254" t="s">
        <v>1061</v>
      </c>
      <c r="L561" s="254" t="s">
        <v>1200</v>
      </c>
      <c r="M561" s="254" t="s">
        <v>1339</v>
      </c>
      <c r="N561" s="256" t="s">
        <v>922</v>
      </c>
      <c r="O561" s="300"/>
      <c r="P561" s="300"/>
      <c r="Q561" s="300"/>
      <c r="R561" s="300"/>
    </row>
    <row r="562" spans="1:18" ht="31.5" x14ac:dyDescent="0.25">
      <c r="A562" s="252" t="s">
        <v>2721</v>
      </c>
      <c r="B562" s="252" t="str">
        <f>HLOOKUP('Getting Started'!H$2,E:I,ROW(),FALSE)</f>
        <v>Information Management</v>
      </c>
      <c r="C562" s="252" t="str">
        <f>HLOOKUP('Getting Started'!H$2,J:N,ROW(),FALSE)</f>
        <v>Regular backup, regular virus scanning and the contingency plan protocols</v>
      </c>
      <c r="D562" s="252" t="s">
        <v>508</v>
      </c>
      <c r="E562" s="255" t="s">
        <v>813</v>
      </c>
      <c r="F562" s="255" t="s">
        <v>1394</v>
      </c>
      <c r="G562" s="255" t="s">
        <v>1395</v>
      </c>
      <c r="H562" s="255" t="s">
        <v>1396</v>
      </c>
      <c r="I562" s="254"/>
      <c r="J562" s="254" t="s">
        <v>923</v>
      </c>
      <c r="K562" s="254" t="s">
        <v>1062</v>
      </c>
      <c r="L562" s="254" t="s">
        <v>1201</v>
      </c>
      <c r="M562" s="254" t="s">
        <v>1340</v>
      </c>
      <c r="N562" s="256" t="s">
        <v>923</v>
      </c>
      <c r="O562" s="300"/>
      <c r="P562" s="300"/>
      <c r="Q562" s="300"/>
      <c r="R562" s="300"/>
    </row>
    <row r="563" spans="1:18" ht="31.5" x14ac:dyDescent="0.25">
      <c r="A563" s="252" t="s">
        <v>2722</v>
      </c>
      <c r="B563" s="252" t="str">
        <f>HLOOKUP('Getting Started'!H$2,E:I,ROW(),FALSE)</f>
        <v>Information Management</v>
      </c>
      <c r="C563" s="252" t="str">
        <f>HLOOKUP('Getting Started'!H$2,J:N,ROW(),FALSE)</f>
        <v>Accessing laboratory information in the computerized system</v>
      </c>
      <c r="D563" s="252" t="s">
        <v>508</v>
      </c>
      <c r="E563" s="255" t="s">
        <v>813</v>
      </c>
      <c r="F563" s="255" t="s">
        <v>1394</v>
      </c>
      <c r="G563" s="255" t="s">
        <v>1395</v>
      </c>
      <c r="H563" s="255" t="s">
        <v>1396</v>
      </c>
      <c r="I563" s="254"/>
      <c r="J563" s="254" t="s">
        <v>924</v>
      </c>
      <c r="K563" s="254" t="s">
        <v>1063</v>
      </c>
      <c r="L563" s="254" t="s">
        <v>1202</v>
      </c>
      <c r="M563" s="254" t="s">
        <v>1341</v>
      </c>
      <c r="N563" s="256" t="s">
        <v>924</v>
      </c>
      <c r="O563" s="300"/>
      <c r="P563" s="300"/>
      <c r="Q563" s="300"/>
      <c r="R563" s="300"/>
    </row>
    <row r="564" spans="1:18" ht="24" x14ac:dyDescent="0.25">
      <c r="A564" s="252" t="s">
        <v>2723</v>
      </c>
      <c r="B564" s="252" t="str">
        <f>HLOOKUP('Getting Started'!H$2,E:I,ROW(),FALSE)</f>
        <v>Information Management</v>
      </c>
      <c r="C564" s="252" t="str">
        <f>HLOOKUP('Getting Started'!H$2,J:N,ROW(),FALSE)</f>
        <v>Entering laboratory information</v>
      </c>
      <c r="D564" s="252" t="s">
        <v>508</v>
      </c>
      <c r="E564" s="255" t="s">
        <v>813</v>
      </c>
      <c r="F564" s="255" t="s">
        <v>1394</v>
      </c>
      <c r="G564" s="255" t="s">
        <v>1395</v>
      </c>
      <c r="H564" s="255" t="s">
        <v>1396</v>
      </c>
      <c r="I564" s="254"/>
      <c r="J564" s="254" t="s">
        <v>925</v>
      </c>
      <c r="K564" s="254" t="s">
        <v>1064</v>
      </c>
      <c r="L564" s="254" t="s">
        <v>1203</v>
      </c>
      <c r="M564" s="254" t="s">
        <v>1342</v>
      </c>
      <c r="N564" s="256" t="s">
        <v>925</v>
      </c>
      <c r="O564" s="300"/>
      <c r="P564" s="300"/>
      <c r="Q564" s="300"/>
      <c r="R564" s="300"/>
    </row>
    <row r="565" spans="1:18" ht="31.5" x14ac:dyDescent="0.25">
      <c r="A565" s="252" t="s">
        <v>2724</v>
      </c>
      <c r="B565" s="252" t="str">
        <f>HLOOKUP('Getting Started'!H$2,E:I,ROW(),FALSE)</f>
        <v>Information Management</v>
      </c>
      <c r="C565" s="252" t="str">
        <f>HLOOKUP('Getting Started'!H$2,J:N,ROW(),FALSE)</f>
        <v>Changing laboratory information stored in the computerized system</v>
      </c>
      <c r="D565" s="252" t="s">
        <v>508</v>
      </c>
      <c r="E565" s="255" t="s">
        <v>813</v>
      </c>
      <c r="F565" s="255" t="s">
        <v>1394</v>
      </c>
      <c r="G565" s="255" t="s">
        <v>1395</v>
      </c>
      <c r="H565" s="255" t="s">
        <v>1396</v>
      </c>
      <c r="I565" s="254"/>
      <c r="J565" s="254" t="s">
        <v>926</v>
      </c>
      <c r="K565" s="254" t="s">
        <v>1065</v>
      </c>
      <c r="L565" s="254" t="s">
        <v>1204</v>
      </c>
      <c r="M565" s="254" t="s">
        <v>1343</v>
      </c>
      <c r="N565" s="256" t="s">
        <v>926</v>
      </c>
      <c r="O565" s="300"/>
      <c r="P565" s="300"/>
      <c r="Q565" s="300"/>
      <c r="R565" s="300"/>
    </row>
    <row r="566" spans="1:18" ht="63" x14ac:dyDescent="0.25">
      <c r="A566" s="252" t="s">
        <v>2725</v>
      </c>
      <c r="B566" s="252" t="str">
        <f>HLOOKUP('Getting Started'!H$2,E:I,ROW(),FALSE)</f>
        <v>Information Management</v>
      </c>
      <c r="C566" s="252" t="str">
        <f>HLOOKUP('Getting Started'!H$2,J:N,ROW(),FALSE)</f>
        <v>Defining authorizations for accessing, accessing and entering laboratory information, and accessing, entering and changing laboratory information in the computerized system</v>
      </c>
      <c r="D566" s="252" t="s">
        <v>508</v>
      </c>
      <c r="E566" s="255" t="s">
        <v>813</v>
      </c>
      <c r="F566" s="255" t="s">
        <v>1394</v>
      </c>
      <c r="G566" s="255" t="s">
        <v>1395</v>
      </c>
      <c r="H566" s="255" t="s">
        <v>1396</v>
      </c>
      <c r="I566" s="254"/>
      <c r="J566" s="254" t="s">
        <v>927</v>
      </c>
      <c r="K566" s="254" t="s">
        <v>1066</v>
      </c>
      <c r="L566" s="254" t="s">
        <v>1205</v>
      </c>
      <c r="M566" s="254" t="s">
        <v>1344</v>
      </c>
      <c r="N566" s="256" t="s">
        <v>927</v>
      </c>
      <c r="O566" s="300"/>
      <c r="P566" s="300"/>
      <c r="Q566" s="300"/>
      <c r="R566" s="300"/>
    </row>
    <row r="567" spans="1:18" ht="25.5" x14ac:dyDescent="0.25">
      <c r="A567" s="252" t="s">
        <v>2726</v>
      </c>
      <c r="B567" s="252" t="str">
        <f>HLOOKUP('Getting Started'!H$2,E:I,ROW(),FALSE)</f>
        <v>Information Management</v>
      </c>
      <c r="C567" s="252" t="str">
        <f>HLOOKUP('Getting Started'!H$2,J:N,ROW(),FALSE)</f>
        <v>Protocol for ensuring confidentiality of patient data</v>
      </c>
      <c r="D567" s="252" t="s">
        <v>508</v>
      </c>
      <c r="E567" s="255" t="s">
        <v>813</v>
      </c>
      <c r="F567" s="255" t="s">
        <v>1394</v>
      </c>
      <c r="G567" s="255" t="s">
        <v>1395</v>
      </c>
      <c r="H567" s="255" t="s">
        <v>1396</v>
      </c>
      <c r="I567" s="254"/>
      <c r="J567" s="254" t="s">
        <v>928</v>
      </c>
      <c r="K567" s="254" t="s">
        <v>1067</v>
      </c>
      <c r="L567" s="254" t="s">
        <v>1206</v>
      </c>
      <c r="M567" s="254" t="s">
        <v>1345</v>
      </c>
      <c r="N567" s="256" t="s">
        <v>928</v>
      </c>
      <c r="O567" s="300"/>
      <c r="P567" s="300"/>
      <c r="Q567" s="300"/>
      <c r="R567" s="300"/>
    </row>
    <row r="568" spans="1:18" ht="31.5" x14ac:dyDescent="0.25">
      <c r="A568" s="252" t="s">
        <v>2727</v>
      </c>
      <c r="B568" s="252" t="str">
        <f>HLOOKUP('Getting Started'!H$2,E:I,ROW(),FALSE)</f>
        <v>Information Management</v>
      </c>
      <c r="C568" s="252" t="str">
        <f>HLOOKUP('Getting Started'!H$2,J:N,ROW(),FALSE)</f>
        <v>Management and maintenance of the laboratory archive, including procedures regarding:</v>
      </c>
      <c r="D568" s="252" t="s">
        <v>508</v>
      </c>
      <c r="E568" s="255" t="s">
        <v>813</v>
      </c>
      <c r="F568" s="255" t="s">
        <v>1394</v>
      </c>
      <c r="G568" s="255" t="s">
        <v>1395</v>
      </c>
      <c r="H568" s="255" t="s">
        <v>1396</v>
      </c>
      <c r="I568" s="254"/>
      <c r="J568" s="254" t="s">
        <v>929</v>
      </c>
      <c r="K568" s="254" t="s">
        <v>1068</v>
      </c>
      <c r="L568" s="254" t="s">
        <v>1207</v>
      </c>
      <c r="M568" s="254" t="s">
        <v>1346</v>
      </c>
      <c r="N568" s="256" t="s">
        <v>929</v>
      </c>
      <c r="O568" s="300"/>
      <c r="P568" s="300"/>
      <c r="Q568" s="300"/>
      <c r="R568" s="300"/>
    </row>
    <row r="569" spans="1:18" ht="24" x14ac:dyDescent="0.25">
      <c r="A569" s="252" t="s">
        <v>2728</v>
      </c>
      <c r="B569" s="252" t="str">
        <f>HLOOKUP('Getting Started'!H$2,E:I,ROW(),FALSE)</f>
        <v>Information Management</v>
      </c>
      <c r="C569" s="252" t="str">
        <f>HLOOKUP('Getting Started'!H$2,J:N,ROW(),FALSE)</f>
        <v>Accessing information</v>
      </c>
      <c r="D569" s="252" t="s">
        <v>508</v>
      </c>
      <c r="E569" s="255" t="s">
        <v>813</v>
      </c>
      <c r="F569" s="255" t="s">
        <v>1394</v>
      </c>
      <c r="G569" s="255" t="s">
        <v>1395</v>
      </c>
      <c r="H569" s="255" t="s">
        <v>1396</v>
      </c>
      <c r="I569" s="254"/>
      <c r="J569" s="254" t="s">
        <v>930</v>
      </c>
      <c r="K569" s="254" t="s">
        <v>1069</v>
      </c>
      <c r="L569" s="254" t="s">
        <v>1208</v>
      </c>
      <c r="M569" s="254" t="s">
        <v>1347</v>
      </c>
      <c r="N569" s="256" t="s">
        <v>930</v>
      </c>
      <c r="O569" s="300"/>
      <c r="P569" s="300"/>
      <c r="Q569" s="300"/>
      <c r="R569" s="300"/>
    </row>
    <row r="570" spans="1:18" ht="24" x14ac:dyDescent="0.25">
      <c r="A570" s="252" t="s">
        <v>2729</v>
      </c>
      <c r="B570" s="252" t="str">
        <f>HLOOKUP('Getting Started'!H$2,E:I,ROW(),FALSE)</f>
        <v>Information Management</v>
      </c>
      <c r="C570" s="252" t="str">
        <f>HLOOKUP('Getting Started'!H$2,J:N,ROW(),FALSE)</f>
        <v>Storing information</v>
      </c>
      <c r="D570" s="252" t="s">
        <v>508</v>
      </c>
      <c r="E570" s="255" t="s">
        <v>813</v>
      </c>
      <c r="F570" s="255" t="s">
        <v>1394</v>
      </c>
      <c r="G570" s="255" t="s">
        <v>1395</v>
      </c>
      <c r="H570" s="255" t="s">
        <v>1396</v>
      </c>
      <c r="I570" s="254"/>
      <c r="J570" s="254" t="s">
        <v>931</v>
      </c>
      <c r="K570" s="254" t="s">
        <v>1070</v>
      </c>
      <c r="L570" s="254" t="s">
        <v>1209</v>
      </c>
      <c r="M570" s="254" t="s">
        <v>1348</v>
      </c>
      <c r="N570" s="256" t="s">
        <v>931</v>
      </c>
      <c r="O570" s="300"/>
      <c r="P570" s="300"/>
      <c r="Q570" s="300"/>
      <c r="R570" s="300"/>
    </row>
    <row r="571" spans="1:18" ht="24" x14ac:dyDescent="0.25">
      <c r="A571" s="252" t="s">
        <v>2730</v>
      </c>
      <c r="B571" s="252" t="str">
        <f>HLOOKUP('Getting Started'!H$2,E:I,ROW(),FALSE)</f>
        <v>Information Management</v>
      </c>
      <c r="C571" s="252" t="str">
        <f>HLOOKUP('Getting Started'!H$2,J:N,ROW(),FALSE)</f>
        <v>Changing information in the archive</v>
      </c>
      <c r="D571" s="252" t="s">
        <v>508</v>
      </c>
      <c r="E571" s="255" t="s">
        <v>813</v>
      </c>
      <c r="F571" s="255" t="s">
        <v>1394</v>
      </c>
      <c r="G571" s="255" t="s">
        <v>1395</v>
      </c>
      <c r="H571" s="255" t="s">
        <v>1396</v>
      </c>
      <c r="I571" s="254"/>
      <c r="J571" s="254" t="s">
        <v>932</v>
      </c>
      <c r="K571" s="254" t="s">
        <v>1071</v>
      </c>
      <c r="L571" s="254" t="s">
        <v>1210</v>
      </c>
      <c r="M571" s="254" t="s">
        <v>1349</v>
      </c>
      <c r="N571" s="256" t="s">
        <v>932</v>
      </c>
      <c r="O571" s="300"/>
      <c r="P571" s="300"/>
      <c r="Q571" s="300"/>
      <c r="R571" s="300"/>
    </row>
    <row r="572" spans="1:18" ht="51" x14ac:dyDescent="0.25">
      <c r="A572" s="252" t="s">
        <v>2731</v>
      </c>
      <c r="B572" s="252" t="str">
        <f>HLOOKUP('Getting Started'!H$2,E:I,ROW(),FALSE)</f>
        <v>Information Management</v>
      </c>
      <c r="C572" s="252" t="str">
        <f>HLOOKUP('Getting Started'!H$2,J:N,ROW(),FALSE)</f>
        <v>Ensuring protection of records from external deteriorating factors such as humidity, fire, insects, sunlight, etc.</v>
      </c>
      <c r="D572" s="252" t="s">
        <v>508</v>
      </c>
      <c r="E572" s="255" t="s">
        <v>813</v>
      </c>
      <c r="F572" s="255" t="s">
        <v>1394</v>
      </c>
      <c r="G572" s="255" t="s">
        <v>1395</v>
      </c>
      <c r="H572" s="255" t="s">
        <v>1396</v>
      </c>
      <c r="I572" s="254"/>
      <c r="J572" s="254" t="s">
        <v>933</v>
      </c>
      <c r="K572" s="254" t="s">
        <v>1072</v>
      </c>
      <c r="L572" s="254" t="s">
        <v>1211</v>
      </c>
      <c r="M572" s="254" t="s">
        <v>1350</v>
      </c>
      <c r="N572" s="256" t="s">
        <v>933</v>
      </c>
      <c r="O572" s="300"/>
      <c r="P572" s="300"/>
      <c r="Q572" s="300"/>
      <c r="R572" s="300"/>
    </row>
    <row r="573" spans="1:18" ht="51" x14ac:dyDescent="0.25">
      <c r="A573" s="252" t="s">
        <v>2732</v>
      </c>
      <c r="B573" s="252" t="str">
        <f>HLOOKUP('Getting Started'!H$2,E:I,ROW(),FALSE)</f>
        <v>Information Management</v>
      </c>
      <c r="C573" s="252" t="str">
        <f>HLOOKUP('Getting Started'!H$2,J:N,ROW(),FALSE)</f>
        <v>Defining authorizations for accessing, accessing and storing laboratory information, and accessing, storing and changing laboratory information in the archive</v>
      </c>
      <c r="D573" s="252" t="s">
        <v>508</v>
      </c>
      <c r="E573" s="255" t="s">
        <v>813</v>
      </c>
      <c r="F573" s="255" t="s">
        <v>1394</v>
      </c>
      <c r="G573" s="255" t="s">
        <v>1395</v>
      </c>
      <c r="H573" s="255" t="s">
        <v>1396</v>
      </c>
      <c r="I573" s="254"/>
      <c r="J573" s="254" t="s">
        <v>934</v>
      </c>
      <c r="K573" s="254" t="s">
        <v>1073</v>
      </c>
      <c r="L573" s="254" t="s">
        <v>1212</v>
      </c>
      <c r="M573" s="254" t="s">
        <v>1351</v>
      </c>
      <c r="N573" s="256" t="s">
        <v>934</v>
      </c>
      <c r="O573" s="300"/>
      <c r="P573" s="300"/>
      <c r="Q573" s="300"/>
      <c r="R573" s="300"/>
    </row>
    <row r="574" spans="1:18" ht="31.5" x14ac:dyDescent="0.25">
      <c r="A574" s="252" t="s">
        <v>1860</v>
      </c>
      <c r="B574" s="252" t="str">
        <f>HLOOKUP('Getting Started'!H$2,E:I,ROW(),FALSE)</f>
        <v>Customer Focus</v>
      </c>
      <c r="C574" s="252" t="str">
        <f>HLOOKUP('Getting Started'!H$2,J:N,ROW(),FALSE)</f>
        <v>Is a client satisfaction survey conducted on a two-yearly basis?</v>
      </c>
      <c r="D574" s="252" t="s">
        <v>508</v>
      </c>
      <c r="E574" s="255" t="s">
        <v>814</v>
      </c>
      <c r="F574" s="255" t="s">
        <v>1382</v>
      </c>
      <c r="G574" s="255" t="s">
        <v>1383</v>
      </c>
      <c r="H574" s="255" t="s">
        <v>1384</v>
      </c>
      <c r="I574" s="254"/>
      <c r="J574" s="254" t="s">
        <v>935</v>
      </c>
      <c r="K574" s="254" t="s">
        <v>1074</v>
      </c>
      <c r="L574" s="254" t="s">
        <v>1213</v>
      </c>
      <c r="M574" s="254" t="s">
        <v>1352</v>
      </c>
      <c r="N574" s="256" t="s">
        <v>3751</v>
      </c>
      <c r="O574" s="258" t="s">
        <v>1</v>
      </c>
      <c r="P574" s="258" t="s">
        <v>121</v>
      </c>
      <c r="Q574" s="258" t="s">
        <v>241</v>
      </c>
      <c r="R574" s="258" t="s">
        <v>361</v>
      </c>
    </row>
    <row r="575" spans="1:18" ht="47.25" x14ac:dyDescent="0.25">
      <c r="A575" s="252" t="s">
        <v>1861</v>
      </c>
      <c r="B575" s="252" t="str">
        <f>HLOOKUP('Getting Started'!H$2,E:I,ROW(),FALSE)</f>
        <v>Customer Focus</v>
      </c>
      <c r="C575" s="252" t="str">
        <f>HLOOKUP('Getting Started'!H$2,J:N,ROW(),FALSE)</f>
        <v>Is a report drafted of the client satisfaction survey that shows the main findings and points for improvement that were identified?</v>
      </c>
      <c r="D575" s="252" t="s">
        <v>508</v>
      </c>
      <c r="E575" s="255" t="s">
        <v>814</v>
      </c>
      <c r="F575" s="255" t="s">
        <v>1382</v>
      </c>
      <c r="G575" s="255" t="s">
        <v>1383</v>
      </c>
      <c r="H575" s="255" t="s">
        <v>1384</v>
      </c>
      <c r="I575" s="254"/>
      <c r="J575" s="254" t="s">
        <v>936</v>
      </c>
      <c r="K575" s="254" t="s">
        <v>1075</v>
      </c>
      <c r="L575" s="254" t="s">
        <v>1214</v>
      </c>
      <c r="M575" s="254" t="s">
        <v>1353</v>
      </c>
      <c r="N575" s="256" t="s">
        <v>3752</v>
      </c>
      <c r="O575" s="258" t="s">
        <v>1</v>
      </c>
      <c r="P575" s="258" t="s">
        <v>121</v>
      </c>
      <c r="Q575" s="258" t="s">
        <v>241</v>
      </c>
      <c r="R575" s="258" t="s">
        <v>361</v>
      </c>
    </row>
    <row r="576" spans="1:18" ht="51" x14ac:dyDescent="0.25">
      <c r="A576" s="252" t="s">
        <v>1862</v>
      </c>
      <c r="B576" s="252" t="str">
        <f>HLOOKUP('Getting Started'!H$2,E:I,ROW(),FALSE)</f>
        <v>Customer Focus</v>
      </c>
      <c r="C576" s="252" t="str">
        <f>HLOOKUP('Getting Started'!H$2,J:N,ROW(),FALSE)</f>
        <v>Is a SMART action plan drafted to implement points for improvement identified in client satisfaction surveys in practice?</v>
      </c>
      <c r="D576" s="252" t="s">
        <v>508</v>
      </c>
      <c r="E576" s="255" t="s">
        <v>814</v>
      </c>
      <c r="F576" s="255" t="s">
        <v>1382</v>
      </c>
      <c r="G576" s="255" t="s">
        <v>1383</v>
      </c>
      <c r="H576" s="255" t="s">
        <v>1384</v>
      </c>
      <c r="I576" s="254"/>
      <c r="J576" s="254" t="s">
        <v>937</v>
      </c>
      <c r="K576" s="254" t="s">
        <v>1076</v>
      </c>
      <c r="L576" s="254" t="s">
        <v>1215</v>
      </c>
      <c r="M576" s="254" t="s">
        <v>1354</v>
      </c>
      <c r="N576" s="256" t="s">
        <v>3753</v>
      </c>
      <c r="O576" s="258" t="s">
        <v>1</v>
      </c>
      <c r="P576" s="258" t="s">
        <v>121</v>
      </c>
      <c r="Q576" s="258" t="s">
        <v>241</v>
      </c>
      <c r="R576" s="258" t="s">
        <v>361</v>
      </c>
    </row>
    <row r="577" spans="1:18" ht="31.5" x14ac:dyDescent="0.25">
      <c r="A577" s="252" t="s">
        <v>1863</v>
      </c>
      <c r="B577" s="252" t="str">
        <f>HLOOKUP('Getting Started'!H$2,E:I,ROW(),FALSE)</f>
        <v>Customer Focus</v>
      </c>
      <c r="C577" s="252" t="str">
        <f>HLOOKUP('Getting Started'!H$2,J:N,ROW(),FALSE)</f>
        <v>Does the laboratory have a standardized procedure for entering into a contract for service delivery?</v>
      </c>
      <c r="D577" s="252" t="s">
        <v>508</v>
      </c>
      <c r="E577" s="255" t="s">
        <v>814</v>
      </c>
      <c r="F577" s="255" t="s">
        <v>1382</v>
      </c>
      <c r="G577" s="255" t="s">
        <v>1383</v>
      </c>
      <c r="H577" s="255" t="s">
        <v>1384</v>
      </c>
      <c r="I577" s="254"/>
      <c r="J577" s="254" t="s">
        <v>938</v>
      </c>
      <c r="K577" s="254" t="s">
        <v>1077</v>
      </c>
      <c r="L577" s="254" t="s">
        <v>1216</v>
      </c>
      <c r="M577" s="254" t="s">
        <v>1355</v>
      </c>
      <c r="N577" s="256" t="s">
        <v>3754</v>
      </c>
      <c r="O577" s="258" t="s">
        <v>1</v>
      </c>
      <c r="P577" s="258" t="s">
        <v>121</v>
      </c>
      <c r="Q577" s="258" t="s">
        <v>241</v>
      </c>
      <c r="R577" s="258" t="s">
        <v>361</v>
      </c>
    </row>
    <row r="578" spans="1:18" ht="47.25" x14ac:dyDescent="0.25">
      <c r="A578" s="252" t="s">
        <v>1864</v>
      </c>
      <c r="B578" s="252" t="str">
        <f>HLOOKUP('Getting Started'!H$2,E:I,ROW(),FALSE)</f>
        <v>Customer Focus</v>
      </c>
      <c r="C578" s="252" t="str">
        <f>HLOOKUP('Getting Started'!H$2,J:N,ROW(),FALSE)</f>
        <v>Does the laboratory maintain minutes of meetings to discuss the contents of the contracts for service delivery?</v>
      </c>
      <c r="D578" s="252" t="s">
        <v>508</v>
      </c>
      <c r="E578" s="255" t="s">
        <v>814</v>
      </c>
      <c r="F578" s="255" t="s">
        <v>1382</v>
      </c>
      <c r="G578" s="255" t="s">
        <v>1383</v>
      </c>
      <c r="H578" s="255" t="s">
        <v>1384</v>
      </c>
      <c r="I578" s="254"/>
      <c r="J578" s="254" t="s">
        <v>939</v>
      </c>
      <c r="K578" s="254" t="s">
        <v>1078</v>
      </c>
      <c r="L578" s="254" t="s">
        <v>1217</v>
      </c>
      <c r="M578" s="254" t="s">
        <v>1356</v>
      </c>
      <c r="N578" s="256" t="s">
        <v>3755</v>
      </c>
      <c r="O578" s="258" t="s">
        <v>1</v>
      </c>
      <c r="P578" s="258" t="s">
        <v>121</v>
      </c>
      <c r="Q578" s="258" t="s">
        <v>241</v>
      </c>
      <c r="R578" s="258" t="s">
        <v>361</v>
      </c>
    </row>
    <row r="579" spans="1:18" ht="150" x14ac:dyDescent="0.25">
      <c r="A579" s="252" t="s">
        <v>1865</v>
      </c>
      <c r="B579" s="252" t="str">
        <f>HLOOKUP('Getting Started'!H$2,E:I,ROW(),FALSE)</f>
        <v>Assessment</v>
      </c>
      <c r="C579" s="252" t="str">
        <f>HLOOKUP('Getting Started'!H$2,J:N,ROW(),FALSE)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579" s="252" t="s">
        <v>508</v>
      </c>
      <c r="E579" s="255" t="s">
        <v>517</v>
      </c>
      <c r="F579" s="255" t="s">
        <v>1379</v>
      </c>
      <c r="G579" s="255" t="s">
        <v>1380</v>
      </c>
      <c r="H579" s="255" t="s">
        <v>1381</v>
      </c>
      <c r="I579" s="254"/>
      <c r="J579" s="254" t="s">
        <v>2745</v>
      </c>
      <c r="K579" s="254" t="s">
        <v>2746</v>
      </c>
      <c r="L579" s="254" t="s">
        <v>2747</v>
      </c>
      <c r="M579" s="254" t="s">
        <v>2748</v>
      </c>
      <c r="N579" s="256" t="s">
        <v>3756</v>
      </c>
      <c r="O579" s="258" t="s">
        <v>1</v>
      </c>
      <c r="P579" s="258" t="s">
        <v>121</v>
      </c>
      <c r="Q579" s="258" t="s">
        <v>241</v>
      </c>
      <c r="R579" s="258" t="s">
        <v>361</v>
      </c>
    </row>
    <row r="580" spans="1:18" ht="15.75" x14ac:dyDescent="0.25">
      <c r="A580" s="252" t="s">
        <v>1866</v>
      </c>
      <c r="B580" s="252" t="str">
        <f>HLOOKUP('Getting Started'!H$2,E:I,ROW(),FALSE)</f>
        <v>Assessment</v>
      </c>
      <c r="C580" s="252" t="str">
        <f>HLOOKUP('Getting Started'!H$2,J:N,ROW(),FALSE)</f>
        <v>Is the Quality Officer appointed as Internal Auditor?</v>
      </c>
      <c r="D580" s="252" t="s">
        <v>508</v>
      </c>
      <c r="E580" s="255" t="s">
        <v>517</v>
      </c>
      <c r="F580" s="255" t="s">
        <v>1379</v>
      </c>
      <c r="G580" s="255" t="s">
        <v>1380</v>
      </c>
      <c r="H580" s="255" t="s">
        <v>1381</v>
      </c>
      <c r="I580" s="254"/>
      <c r="J580" s="254" t="s">
        <v>940</v>
      </c>
      <c r="K580" s="254" t="s">
        <v>1079</v>
      </c>
      <c r="L580" s="254" t="s">
        <v>1218</v>
      </c>
      <c r="M580" s="254" t="s">
        <v>1357</v>
      </c>
      <c r="N580" s="256" t="s">
        <v>3757</v>
      </c>
      <c r="O580" s="258" t="s">
        <v>1</v>
      </c>
      <c r="P580" s="258" t="s">
        <v>121</v>
      </c>
      <c r="Q580" s="258" t="s">
        <v>241</v>
      </c>
      <c r="R580" s="258" t="s">
        <v>361</v>
      </c>
    </row>
    <row r="581" spans="1:18" ht="31.5" x14ac:dyDescent="0.25">
      <c r="A581" s="252" t="s">
        <v>1867</v>
      </c>
      <c r="B581" s="252" t="str">
        <f>HLOOKUP('Getting Started'!H$2,E:I,ROW(),FALSE)</f>
        <v>Assessment</v>
      </c>
      <c r="C581" s="252" t="str">
        <f>HLOOKUP('Getting Started'!H$2,J:N,ROW(),FALSE)</f>
        <v>Have Internal Auditors been appropriately trained and certified?</v>
      </c>
      <c r="D581" s="252" t="s">
        <v>508</v>
      </c>
      <c r="E581" s="255" t="s">
        <v>517</v>
      </c>
      <c r="F581" s="255" t="s">
        <v>1379</v>
      </c>
      <c r="G581" s="255" t="s">
        <v>1380</v>
      </c>
      <c r="H581" s="255" t="s">
        <v>1381</v>
      </c>
      <c r="I581" s="254"/>
      <c r="J581" s="254" t="s">
        <v>941</v>
      </c>
      <c r="K581" s="254" t="s">
        <v>1080</v>
      </c>
      <c r="L581" s="254" t="s">
        <v>1219</v>
      </c>
      <c r="M581" s="254" t="s">
        <v>1358</v>
      </c>
      <c r="N581" s="256" t="s">
        <v>3758</v>
      </c>
      <c r="O581" s="258" t="s">
        <v>1</v>
      </c>
      <c r="P581" s="258" t="s">
        <v>121</v>
      </c>
      <c r="Q581" s="258" t="s">
        <v>241</v>
      </c>
      <c r="R581" s="258" t="s">
        <v>361</v>
      </c>
    </row>
    <row r="582" spans="1:18" ht="31.5" x14ac:dyDescent="0.25">
      <c r="A582" s="252" t="s">
        <v>1868</v>
      </c>
      <c r="B582" s="252" t="str">
        <f>HLOOKUP('Getting Started'!H$2,E:I,ROW(),FALSE)</f>
        <v>Assessment</v>
      </c>
      <c r="C582" s="252" t="str">
        <f>HLOOKUP('Getting Started'!H$2,J:N,ROW(),FALSE)</f>
        <v>Is a Position Job Description present for the position of Internal Auditor?</v>
      </c>
      <c r="D582" s="252" t="s">
        <v>508</v>
      </c>
      <c r="E582" s="255" t="s">
        <v>517</v>
      </c>
      <c r="F582" s="255" t="s">
        <v>1379</v>
      </c>
      <c r="G582" s="255" t="s">
        <v>1380</v>
      </c>
      <c r="H582" s="255" t="s">
        <v>1381</v>
      </c>
      <c r="I582" s="254"/>
      <c r="J582" s="254" t="s">
        <v>942</v>
      </c>
      <c r="K582" s="254" t="s">
        <v>1081</v>
      </c>
      <c r="L582" s="254" t="s">
        <v>1220</v>
      </c>
      <c r="M582" s="254" t="s">
        <v>1359</v>
      </c>
      <c r="N582" s="256" t="s">
        <v>3759</v>
      </c>
      <c r="O582" s="258" t="s">
        <v>1</v>
      </c>
      <c r="P582" s="258" t="s">
        <v>121</v>
      </c>
      <c r="Q582" s="258" t="s">
        <v>241</v>
      </c>
      <c r="R582" s="258" t="s">
        <v>361</v>
      </c>
    </row>
    <row r="583" spans="1:18" ht="63" x14ac:dyDescent="0.25">
      <c r="A583" s="252" t="s">
        <v>1869</v>
      </c>
      <c r="B583" s="252" t="str">
        <f>HLOOKUP('Getting Started'!H$2,E:I,ROW(),FALSE)</f>
        <v>Assessment</v>
      </c>
      <c r="C583" s="252" t="str">
        <f>HLOOKUP('Getting Started'!H$2,J:N,ROW(),FALSE)</f>
        <v>Have the Personal Job Descriptions of the staff members appointed as Internal Auditors been adapted to include the tasks and responsibilities for their position as Internal Auditor?</v>
      </c>
      <c r="D583" s="252" t="s">
        <v>508</v>
      </c>
      <c r="E583" s="255" t="s">
        <v>517</v>
      </c>
      <c r="F583" s="255" t="s">
        <v>1379</v>
      </c>
      <c r="G583" s="255" t="s">
        <v>1380</v>
      </c>
      <c r="H583" s="255" t="s">
        <v>1381</v>
      </c>
      <c r="I583" s="254"/>
      <c r="J583" s="254" t="s">
        <v>943</v>
      </c>
      <c r="K583" s="254" t="s">
        <v>1082</v>
      </c>
      <c r="L583" s="254" t="s">
        <v>1221</v>
      </c>
      <c r="M583" s="254" t="s">
        <v>1360</v>
      </c>
      <c r="N583" s="256" t="s">
        <v>3760</v>
      </c>
      <c r="O583" s="258" t="s">
        <v>1</v>
      </c>
      <c r="P583" s="258" t="s">
        <v>121</v>
      </c>
      <c r="Q583" s="258" t="s">
        <v>241</v>
      </c>
      <c r="R583" s="258" t="s">
        <v>361</v>
      </c>
    </row>
    <row r="584" spans="1:18" ht="47.25" x14ac:dyDescent="0.25">
      <c r="A584" s="252" t="s">
        <v>1870</v>
      </c>
      <c r="B584" s="252" t="str">
        <f>HLOOKUP('Getting Started'!H$2,E:I,ROW(),FALSE)</f>
        <v>Assessment</v>
      </c>
      <c r="C584" s="252" t="str">
        <f>HLOOKUP('Getting Started'!H$2,J:N,ROW(),FALSE)</f>
        <v>Does the Authorization Matrix include the tasks and responsibilities pertaining to the position of Internal Auditor?</v>
      </c>
      <c r="D584" s="252" t="s">
        <v>508</v>
      </c>
      <c r="E584" s="255" t="s">
        <v>517</v>
      </c>
      <c r="F584" s="255" t="s">
        <v>1379</v>
      </c>
      <c r="G584" s="255" t="s">
        <v>1380</v>
      </c>
      <c r="H584" s="255" t="s">
        <v>1381</v>
      </c>
      <c r="I584" s="254"/>
      <c r="J584" s="254" t="s">
        <v>944</v>
      </c>
      <c r="K584" s="254" t="s">
        <v>1083</v>
      </c>
      <c r="L584" s="254" t="s">
        <v>1222</v>
      </c>
      <c r="M584" s="254" t="s">
        <v>1361</v>
      </c>
      <c r="N584" s="256" t="s">
        <v>3761</v>
      </c>
      <c r="O584" s="258" t="s">
        <v>1</v>
      </c>
      <c r="P584" s="258" t="s">
        <v>121</v>
      </c>
      <c r="Q584" s="258" t="s">
        <v>241</v>
      </c>
      <c r="R584" s="258" t="s">
        <v>361</v>
      </c>
    </row>
    <row r="585" spans="1:18" ht="45" x14ac:dyDescent="0.25">
      <c r="A585" s="252" t="s">
        <v>1871</v>
      </c>
      <c r="B585" s="252" t="str">
        <f>HLOOKUP('Getting Started'!H$2,E:I,ROW(),FALSE)</f>
        <v>Assessment</v>
      </c>
      <c r="C585" s="252" t="str">
        <f>HLOOKUP('Getting Started'!H$2,J:N,ROW(),FALSE)</f>
        <v>Have staff adequately been informed about what internal auditing is, why it is done, and who the Internal Auditors are?</v>
      </c>
      <c r="D585" s="252" t="s">
        <v>508</v>
      </c>
      <c r="E585" s="255" t="s">
        <v>517</v>
      </c>
      <c r="F585" s="255" t="s">
        <v>1379</v>
      </c>
      <c r="G585" s="255" t="s">
        <v>1380</v>
      </c>
      <c r="H585" s="255" t="s">
        <v>1381</v>
      </c>
      <c r="I585" s="254"/>
      <c r="J585" s="254" t="s">
        <v>945</v>
      </c>
      <c r="K585" s="254" t="s">
        <v>1084</v>
      </c>
      <c r="L585" s="254" t="s">
        <v>1223</v>
      </c>
      <c r="M585" s="254" t="s">
        <v>1362</v>
      </c>
      <c r="N585" s="256" t="s">
        <v>3762</v>
      </c>
      <c r="O585" s="258" t="s">
        <v>1</v>
      </c>
      <c r="P585" s="258" t="s">
        <v>121</v>
      </c>
      <c r="Q585" s="258" t="s">
        <v>241</v>
      </c>
      <c r="R585" s="258" t="s">
        <v>361</v>
      </c>
    </row>
    <row r="586" spans="1:18" ht="47.25" x14ac:dyDescent="0.25">
      <c r="A586" s="252" t="s">
        <v>1872</v>
      </c>
      <c r="B586" s="252" t="str">
        <f>HLOOKUP('Getting Started'!H$2,E:I,ROW(),FALSE)</f>
        <v>Assessment</v>
      </c>
      <c r="C586" s="252" t="str">
        <f>HLOOKUP('Getting Started'!H$2,J:N,ROW(),FALSE)</f>
        <v>Are internal audits planned on a yearly basis and is this audit plan communicated to all the laboratory staff involved?</v>
      </c>
      <c r="D586" s="252" t="s">
        <v>508</v>
      </c>
      <c r="E586" s="255" t="s">
        <v>517</v>
      </c>
      <c r="F586" s="255" t="s">
        <v>1379</v>
      </c>
      <c r="G586" s="255" t="s">
        <v>1380</v>
      </c>
      <c r="H586" s="255" t="s">
        <v>1381</v>
      </c>
      <c r="I586" s="254"/>
      <c r="J586" s="254" t="s">
        <v>946</v>
      </c>
      <c r="K586" s="254" t="s">
        <v>1085</v>
      </c>
      <c r="L586" s="254" t="s">
        <v>1224</v>
      </c>
      <c r="M586" s="254" t="s">
        <v>1363</v>
      </c>
      <c r="N586" s="256" t="s">
        <v>3763</v>
      </c>
      <c r="O586" s="258" t="s">
        <v>1</v>
      </c>
      <c r="P586" s="258" t="s">
        <v>121</v>
      </c>
      <c r="Q586" s="258" t="s">
        <v>241</v>
      </c>
      <c r="R586" s="258" t="s">
        <v>361</v>
      </c>
    </row>
    <row r="587" spans="1:18" ht="47.25" x14ac:dyDescent="0.25">
      <c r="A587" s="252" t="s">
        <v>1873</v>
      </c>
      <c r="B587" s="252" t="str">
        <f>HLOOKUP('Getting Started'!H$2,E:I,ROW(),FALSE)</f>
        <v>Assessment</v>
      </c>
      <c r="C587" s="252" t="str">
        <f>HLOOKUP('Getting Started'!H$2,J:N,ROW(),FALSE)</f>
        <v>Are internal audits carried out in such a way that the complete quality management system and all examinations are audited every 12 months?</v>
      </c>
      <c r="D587" s="252" t="s">
        <v>508</v>
      </c>
      <c r="E587" s="255" t="s">
        <v>517</v>
      </c>
      <c r="F587" s="255" t="s">
        <v>1379</v>
      </c>
      <c r="G587" s="255" t="s">
        <v>1380</v>
      </c>
      <c r="H587" s="255" t="s">
        <v>1381</v>
      </c>
      <c r="I587" s="254"/>
      <c r="J587" s="254" t="s">
        <v>947</v>
      </c>
      <c r="K587" s="254" t="s">
        <v>1086</v>
      </c>
      <c r="L587" s="254" t="s">
        <v>1225</v>
      </c>
      <c r="M587" s="254" t="s">
        <v>1364</v>
      </c>
      <c r="N587" s="256" t="s">
        <v>3764</v>
      </c>
      <c r="O587" s="258" t="s">
        <v>1</v>
      </c>
      <c r="P587" s="258" t="s">
        <v>121</v>
      </c>
      <c r="Q587" s="258" t="s">
        <v>241</v>
      </c>
      <c r="R587" s="258" t="s">
        <v>361</v>
      </c>
    </row>
    <row r="588" spans="1:18" ht="63" x14ac:dyDescent="0.25">
      <c r="A588" s="252" t="s">
        <v>1874</v>
      </c>
      <c r="B588" s="252" t="str">
        <f>HLOOKUP('Getting Started'!H$2,E:I,ROW(),FALSE)</f>
        <v>Assessment</v>
      </c>
      <c r="C588" s="252" t="str">
        <f>HLOOKUP('Getting Started'!H$2,J:N,ROW(),FALSE)</f>
        <v>Are observations made during internal audits reported and are nonconformities identified and scored according to severity?</v>
      </c>
      <c r="D588" s="252" t="s">
        <v>508</v>
      </c>
      <c r="E588" s="255" t="s">
        <v>517</v>
      </c>
      <c r="F588" s="255" t="s">
        <v>1379</v>
      </c>
      <c r="G588" s="255" t="s">
        <v>1380</v>
      </c>
      <c r="H588" s="255" t="s">
        <v>1381</v>
      </c>
      <c r="I588" s="254"/>
      <c r="J588" s="254" t="s">
        <v>948</v>
      </c>
      <c r="K588" s="254" t="s">
        <v>1087</v>
      </c>
      <c r="L588" s="254" t="s">
        <v>1226</v>
      </c>
      <c r="M588" s="254" t="s">
        <v>1365</v>
      </c>
      <c r="N588" s="256" t="s">
        <v>3765</v>
      </c>
      <c r="O588" s="258" t="s">
        <v>1</v>
      </c>
      <c r="P588" s="258" t="s">
        <v>121</v>
      </c>
      <c r="Q588" s="258" t="s">
        <v>241</v>
      </c>
      <c r="R588" s="258" t="s">
        <v>361</v>
      </c>
    </row>
    <row r="589" spans="1:18" ht="63.75" x14ac:dyDescent="0.25">
      <c r="A589" s="252" t="s">
        <v>1875</v>
      </c>
      <c r="B589" s="252" t="str">
        <f>HLOOKUP('Getting Started'!H$2,E:I,ROW(),FALSE)</f>
        <v>Assessment</v>
      </c>
      <c r="C589" s="252" t="str">
        <f>HLOOKUP('Getting Started'!H$2,J:N,ROW(),FALSE)</f>
        <v>Is the audit report submitted to laboratory management for translation into a SMART action plan to ensure correcting/solving of all the nonconformities noted?</v>
      </c>
      <c r="D589" s="252" t="s">
        <v>508</v>
      </c>
      <c r="E589" s="255" t="s">
        <v>517</v>
      </c>
      <c r="F589" s="255" t="s">
        <v>1379</v>
      </c>
      <c r="G589" s="255" t="s">
        <v>1380</v>
      </c>
      <c r="H589" s="255" t="s">
        <v>1381</v>
      </c>
      <c r="I589" s="254"/>
      <c r="J589" s="254" t="s">
        <v>949</v>
      </c>
      <c r="K589" s="254" t="s">
        <v>1088</v>
      </c>
      <c r="L589" s="254" t="s">
        <v>1227</v>
      </c>
      <c r="M589" s="254" t="s">
        <v>1366</v>
      </c>
      <c r="N589" s="256" t="s">
        <v>3766</v>
      </c>
      <c r="O589" s="258" t="s">
        <v>1</v>
      </c>
      <c r="P589" s="258" t="s">
        <v>121</v>
      </c>
      <c r="Q589" s="258" t="s">
        <v>241</v>
      </c>
      <c r="R589" s="258" t="s">
        <v>361</v>
      </c>
    </row>
    <row r="590" spans="1:18" ht="78.75" x14ac:dyDescent="0.25">
      <c r="A590" s="252" t="s">
        <v>1876</v>
      </c>
      <c r="B590" s="252" t="str">
        <f>HLOOKUP('Getting Started'!H$2,E:I,ROW(),FALSE)</f>
        <v>Assessment</v>
      </c>
      <c r="C590" s="252" t="str">
        <f>HLOOKUP('Getting Started'!H$2,J:N,ROW(),FALSE)</f>
        <v>Are action plans made to solve/correct the nonconformities identified in internal audits with corrective actions, control steps and preventive actions when necessary and applicable?</v>
      </c>
      <c r="D590" s="252" t="s">
        <v>508</v>
      </c>
      <c r="E590" s="255" t="s">
        <v>517</v>
      </c>
      <c r="F590" s="255" t="s">
        <v>1379</v>
      </c>
      <c r="G590" s="255" t="s">
        <v>1380</v>
      </c>
      <c r="H590" s="255" t="s">
        <v>1381</v>
      </c>
      <c r="I590" s="254"/>
      <c r="J590" s="254" t="s">
        <v>950</v>
      </c>
      <c r="K590" s="254" t="s">
        <v>1089</v>
      </c>
      <c r="L590" s="254" t="s">
        <v>1228</v>
      </c>
      <c r="M590" s="254" t="s">
        <v>1367</v>
      </c>
      <c r="N590" s="256" t="s">
        <v>3767</v>
      </c>
      <c r="O590" s="258" t="s">
        <v>1</v>
      </c>
      <c r="P590" s="258" t="s">
        <v>121</v>
      </c>
      <c r="Q590" s="258" t="s">
        <v>241</v>
      </c>
      <c r="R590" s="258" t="s">
        <v>361</v>
      </c>
    </row>
    <row r="591" spans="1:18" ht="38.25" x14ac:dyDescent="0.25">
      <c r="A591" s="252" t="s">
        <v>1877</v>
      </c>
      <c r="B591" s="252" t="str">
        <f>HLOOKUP('Getting Started'!H$2,E:I,ROW(),FALSE)</f>
        <v>Assessment</v>
      </c>
      <c r="C591" s="252" t="str">
        <f>HLOOKUP('Getting Started'!H$2,J:N,ROW(),FALSE)</f>
        <v>Is timely implementation of the action plans following internal audit monitored?</v>
      </c>
      <c r="D591" s="252" t="s">
        <v>508</v>
      </c>
      <c r="E591" s="255" t="s">
        <v>517</v>
      </c>
      <c r="F591" s="255" t="s">
        <v>1379</v>
      </c>
      <c r="G591" s="255" t="s">
        <v>1380</v>
      </c>
      <c r="H591" s="255" t="s">
        <v>1381</v>
      </c>
      <c r="I591" s="254"/>
      <c r="J591" s="254" t="s">
        <v>951</v>
      </c>
      <c r="K591" s="254" t="s">
        <v>1090</v>
      </c>
      <c r="L591" s="254" t="s">
        <v>1229</v>
      </c>
      <c r="M591" s="254" t="s">
        <v>1368</v>
      </c>
      <c r="N591" s="256" t="s">
        <v>3768</v>
      </c>
      <c r="O591" s="258" t="s">
        <v>1</v>
      </c>
      <c r="P591" s="258" t="s">
        <v>121</v>
      </c>
      <c r="Q591" s="258" t="s">
        <v>241</v>
      </c>
      <c r="R591" s="258" t="s">
        <v>361</v>
      </c>
    </row>
    <row r="592" spans="1:18" ht="47.25" x14ac:dyDescent="0.25">
      <c r="A592" s="252" t="s">
        <v>1878</v>
      </c>
      <c r="B592" s="252" t="str">
        <f>HLOOKUP('Getting Started'!H$2,E:I,ROW(),FALSE)</f>
        <v>Assessment</v>
      </c>
      <c r="C592" s="252" t="str">
        <f>HLOOKUP('Getting Started'!H$2,J:N,ROW(),FALSE)</f>
        <v>Are Internal Audit Reports with action plans archived when all action points have been completed?</v>
      </c>
      <c r="D592" s="252" t="s">
        <v>508</v>
      </c>
      <c r="E592" s="255" t="s">
        <v>517</v>
      </c>
      <c r="F592" s="255" t="s">
        <v>1379</v>
      </c>
      <c r="G592" s="255" t="s">
        <v>1380</v>
      </c>
      <c r="H592" s="255" t="s">
        <v>1381</v>
      </c>
      <c r="I592" s="254"/>
      <c r="J592" s="254" t="s">
        <v>952</v>
      </c>
      <c r="K592" s="254" t="s">
        <v>1091</v>
      </c>
      <c r="L592" s="254" t="s">
        <v>1230</v>
      </c>
      <c r="M592" s="254" t="s">
        <v>1369</v>
      </c>
      <c r="N592" s="256" t="s">
        <v>3769</v>
      </c>
      <c r="O592" s="258" t="s">
        <v>1</v>
      </c>
      <c r="P592" s="258" t="s">
        <v>121</v>
      </c>
      <c r="Q592" s="258" t="s">
        <v>241</v>
      </c>
      <c r="R592" s="258" t="s">
        <v>361</v>
      </c>
    </row>
    <row r="593" spans="1:18" ht="31.5" x14ac:dyDescent="0.25">
      <c r="A593" s="252" t="s">
        <v>1879</v>
      </c>
      <c r="B593" s="252" t="str">
        <f>HLOOKUP('Getting Started'!H$2,E:I,ROW(),FALSE)</f>
        <v>Assessment</v>
      </c>
      <c r="C593" s="252" t="str">
        <f>HLOOKUP('Getting Started'!H$2,J:N,ROW(),FALSE)</f>
        <v>Is the procedure for planning, conducting and processing internal audits standardized in an SOP?</v>
      </c>
      <c r="D593" s="252" t="s">
        <v>508</v>
      </c>
      <c r="E593" s="255" t="s">
        <v>517</v>
      </c>
      <c r="F593" s="255" t="s">
        <v>1379</v>
      </c>
      <c r="G593" s="255" t="s">
        <v>1380</v>
      </c>
      <c r="H593" s="255" t="s">
        <v>1381</v>
      </c>
      <c r="I593" s="254"/>
      <c r="J593" s="254" t="s">
        <v>953</v>
      </c>
      <c r="K593" s="254" t="s">
        <v>1092</v>
      </c>
      <c r="L593" s="254" t="s">
        <v>1231</v>
      </c>
      <c r="M593" s="254" t="s">
        <v>1370</v>
      </c>
      <c r="N593" s="256" t="s">
        <v>3770</v>
      </c>
      <c r="O593" s="258" t="s">
        <v>1</v>
      </c>
      <c r="P593" s="258" t="s">
        <v>121</v>
      </c>
      <c r="Q593" s="258" t="s">
        <v>241</v>
      </c>
      <c r="R593" s="258" t="s">
        <v>1371</v>
      </c>
    </row>
    <row r="594" spans="1:18" ht="90" x14ac:dyDescent="0.25">
      <c r="A594" s="252" t="s">
        <v>2761</v>
      </c>
      <c r="B594" s="252" t="str">
        <f>HLOOKUP('Getting Started'!H$2,E:I,ROW(),FALSE)</f>
        <v>Organization</v>
      </c>
      <c r="C594" s="252" t="str">
        <f>HLOOKUP('Getting Started'!H$2,J:N,ROW(),FALSE)</f>
        <v>Is the SOP on performing a management review up-to-date?
Compare elements in most recent Management Review Report with required elements defined in the SOP.</v>
      </c>
      <c r="D594" s="252" t="s">
        <v>509</v>
      </c>
      <c r="E594" s="255" t="s">
        <v>511</v>
      </c>
      <c r="F594" s="255" t="s">
        <v>1397</v>
      </c>
      <c r="G594" s="255" t="s">
        <v>1398</v>
      </c>
      <c r="H594" s="255" t="s">
        <v>1399</v>
      </c>
      <c r="I594" s="263"/>
      <c r="J594" s="254" t="s">
        <v>2762</v>
      </c>
      <c r="K594" s="254" t="s">
        <v>2763</v>
      </c>
      <c r="L594" s="254" t="s">
        <v>2764</v>
      </c>
      <c r="M594" s="254" t="s">
        <v>2765</v>
      </c>
      <c r="N594" s="256" t="s">
        <v>3771</v>
      </c>
      <c r="O594" s="264" t="s">
        <v>1</v>
      </c>
      <c r="P594" s="264" t="s">
        <v>121</v>
      </c>
      <c r="Q594" s="264" t="s">
        <v>241</v>
      </c>
      <c r="R594" s="264" t="s">
        <v>361</v>
      </c>
    </row>
    <row r="595" spans="1:18" ht="31.5" x14ac:dyDescent="0.25">
      <c r="A595" s="252" t="s">
        <v>2766</v>
      </c>
      <c r="B595" s="252" t="str">
        <f>HLOOKUP('Getting Started'!H$2,E:I,ROW(),FALSE)</f>
        <v>Personnel</v>
      </c>
      <c r="C595" s="252" t="str">
        <f>HLOOKUP('Getting Started'!H$2,J:N,ROW(),FALSE)</f>
        <v>Is staff safeguarded from overburdening?</v>
      </c>
      <c r="D595" s="252" t="s">
        <v>509</v>
      </c>
      <c r="E595" s="255" t="s">
        <v>512</v>
      </c>
      <c r="F595" s="255" t="s">
        <v>512</v>
      </c>
      <c r="G595" s="255" t="s">
        <v>1400</v>
      </c>
      <c r="H595" s="255" t="s">
        <v>1401</v>
      </c>
      <c r="I595" s="252"/>
      <c r="J595" s="265" t="s">
        <v>2767</v>
      </c>
      <c r="K595" s="254" t="s">
        <v>2798</v>
      </c>
      <c r="L595" s="265" t="s">
        <v>2829</v>
      </c>
      <c r="M595" s="254" t="s">
        <v>2860</v>
      </c>
      <c r="N595" s="260" t="s">
        <v>3772</v>
      </c>
      <c r="O595" s="258" t="s">
        <v>1</v>
      </c>
      <c r="P595" s="258" t="s">
        <v>121</v>
      </c>
      <c r="Q595" s="258" t="s">
        <v>241</v>
      </c>
      <c r="R595" s="258" t="s">
        <v>361</v>
      </c>
    </row>
    <row r="596" spans="1:18" ht="51" x14ac:dyDescent="0.25">
      <c r="A596" s="252" t="s">
        <v>2891</v>
      </c>
      <c r="B596" s="252" t="str">
        <f>HLOOKUP('Getting Started'!H$2,E:I,ROW(),FALSE)</f>
        <v>Personnel</v>
      </c>
      <c r="C596" s="252" t="str">
        <f>HLOOKUP('Getting Started'!H$2,J:N,ROW(),FALSE)</f>
        <v>Does the laboratory have a standardized procedure for hiring new permanent and temporary staff, and having guests?</v>
      </c>
      <c r="D596" s="252" t="s">
        <v>509</v>
      </c>
      <c r="E596" s="255" t="s">
        <v>512</v>
      </c>
      <c r="F596" s="255" t="s">
        <v>512</v>
      </c>
      <c r="G596" s="255" t="s">
        <v>1400</v>
      </c>
      <c r="H596" s="255" t="s">
        <v>1401</v>
      </c>
      <c r="I596" s="252"/>
      <c r="J596" s="254" t="s">
        <v>2768</v>
      </c>
      <c r="K596" s="254" t="s">
        <v>2799</v>
      </c>
      <c r="L596" s="254" t="s">
        <v>2830</v>
      </c>
      <c r="M596" s="254" t="s">
        <v>2861</v>
      </c>
      <c r="N596" s="256" t="s">
        <v>3773</v>
      </c>
      <c r="O596" s="258" t="s">
        <v>1</v>
      </c>
      <c r="P596" s="258" t="s">
        <v>121</v>
      </c>
      <c r="Q596" s="258" t="s">
        <v>241</v>
      </c>
      <c r="R596" s="258" t="s">
        <v>361</v>
      </c>
    </row>
    <row r="597" spans="1:18" ht="47.25" x14ac:dyDescent="0.25">
      <c r="A597" s="252" t="s">
        <v>2892</v>
      </c>
      <c r="B597" s="252" t="str">
        <f>HLOOKUP('Getting Started'!H$2,E:I,ROW(),FALSE)</f>
        <v>Personnel</v>
      </c>
      <c r="C597" s="252" t="str">
        <f>HLOOKUP('Getting Started'!H$2,J:N,ROW(),FALSE)</f>
        <v>Is the procedure for hiring new permanent and temporary staff and having guests correctly documented?</v>
      </c>
      <c r="D597" s="252" t="s">
        <v>509</v>
      </c>
      <c r="E597" s="255" t="s">
        <v>512</v>
      </c>
      <c r="F597" s="255" t="s">
        <v>512</v>
      </c>
      <c r="G597" s="255" t="s">
        <v>1400</v>
      </c>
      <c r="H597" s="255" t="s">
        <v>1401</v>
      </c>
      <c r="I597" s="252"/>
      <c r="J597" s="254" t="s">
        <v>2769</v>
      </c>
      <c r="K597" s="254" t="s">
        <v>2800</v>
      </c>
      <c r="L597" s="254" t="s">
        <v>2831</v>
      </c>
      <c r="M597" s="254" t="s">
        <v>2862</v>
      </c>
      <c r="N597" s="256" t="s">
        <v>3774</v>
      </c>
      <c r="O597" s="258" t="s">
        <v>1</v>
      </c>
      <c r="P597" s="258" t="s">
        <v>121</v>
      </c>
      <c r="Q597" s="258" t="s">
        <v>241</v>
      </c>
      <c r="R597" s="258" t="s">
        <v>361</v>
      </c>
    </row>
    <row r="598" spans="1:18" ht="38.25" x14ac:dyDescent="0.25">
      <c r="A598" s="252" t="s">
        <v>2893</v>
      </c>
      <c r="B598" s="252" t="str">
        <f>HLOOKUP('Getting Started'!H$2,E:I,ROW(),FALSE)</f>
        <v>Personnel</v>
      </c>
      <c r="C598" s="252" t="str">
        <f>HLOOKUP('Getting Started'!H$2,J:N,ROW(),FALSE)</f>
        <v>Does the procedure for hiring new permanent and temporary staff cover all the following elements:</v>
      </c>
      <c r="D598" s="252" t="s">
        <v>509</v>
      </c>
      <c r="E598" s="255" t="s">
        <v>512</v>
      </c>
      <c r="F598" s="255" t="s">
        <v>512</v>
      </c>
      <c r="G598" s="255" t="s">
        <v>1400</v>
      </c>
      <c r="H598" s="255" t="s">
        <v>1401</v>
      </c>
      <c r="I598" s="252"/>
      <c r="J598" s="254" t="s">
        <v>2770</v>
      </c>
      <c r="K598" s="254" t="s">
        <v>2801</v>
      </c>
      <c r="L598" s="254" t="s">
        <v>2832</v>
      </c>
      <c r="M598" s="254" t="s">
        <v>2863</v>
      </c>
      <c r="N598" s="256" t="s">
        <v>3775</v>
      </c>
      <c r="O598" s="300" t="s">
        <v>1</v>
      </c>
      <c r="P598" s="300" t="s">
        <v>121</v>
      </c>
      <c r="Q598" s="300" t="s">
        <v>241</v>
      </c>
      <c r="R598" s="300" t="s">
        <v>361</v>
      </c>
    </row>
    <row r="599" spans="1:18" ht="15.75" x14ac:dyDescent="0.25">
      <c r="A599" s="252" t="s">
        <v>3112</v>
      </c>
      <c r="B599" s="252" t="str">
        <f>HLOOKUP('Getting Started'!H$2,E:I,ROW(),FALSE)</f>
        <v>Personnel</v>
      </c>
      <c r="C599" s="252" t="str">
        <f>HLOOKUP('Getting Started'!H$2,J:N,ROW(),FALSE)</f>
        <v>Regarding permanent and temporary staff:</v>
      </c>
      <c r="D599" s="252" t="s">
        <v>509</v>
      </c>
      <c r="E599" s="255" t="s">
        <v>512</v>
      </c>
      <c r="F599" s="255" t="s">
        <v>512</v>
      </c>
      <c r="G599" s="255" t="s">
        <v>1400</v>
      </c>
      <c r="H599" s="255" t="s">
        <v>1401</v>
      </c>
      <c r="I599" s="252"/>
      <c r="J599" s="254" t="s">
        <v>2771</v>
      </c>
      <c r="K599" s="254" t="s">
        <v>2802</v>
      </c>
      <c r="L599" s="254" t="s">
        <v>2833</v>
      </c>
      <c r="M599" s="254" t="s">
        <v>2864</v>
      </c>
      <c r="N599" s="256" t="s">
        <v>3776</v>
      </c>
      <c r="O599" s="300"/>
      <c r="P599" s="300"/>
      <c r="Q599" s="300"/>
      <c r="R599" s="300"/>
    </row>
    <row r="600" spans="1:18" ht="15.75" x14ac:dyDescent="0.25">
      <c r="A600" s="252" t="s">
        <v>3113</v>
      </c>
      <c r="B600" s="252" t="str">
        <f>HLOOKUP('Getting Started'!H$2,E:I,ROW(),FALSE)</f>
        <v>Personnel</v>
      </c>
      <c r="C600" s="252" t="str">
        <f>HLOOKUP('Getting Started'!H$2,J:N,ROW(),FALSE)</f>
        <v>Criteria to which all applicants must comply</v>
      </c>
      <c r="D600" s="252" t="s">
        <v>509</v>
      </c>
      <c r="E600" s="255" t="s">
        <v>512</v>
      </c>
      <c r="F600" s="255" t="s">
        <v>512</v>
      </c>
      <c r="G600" s="255" t="s">
        <v>1400</v>
      </c>
      <c r="H600" s="255" t="s">
        <v>1401</v>
      </c>
      <c r="I600" s="252"/>
      <c r="J600" s="254" t="s">
        <v>2772</v>
      </c>
      <c r="K600" s="254" t="s">
        <v>2803</v>
      </c>
      <c r="L600" s="254" t="s">
        <v>2834</v>
      </c>
      <c r="M600" s="254" t="s">
        <v>2865</v>
      </c>
      <c r="N600" s="256" t="s">
        <v>3777</v>
      </c>
      <c r="O600" s="300"/>
      <c r="P600" s="300"/>
      <c r="Q600" s="300"/>
      <c r="R600" s="300"/>
    </row>
    <row r="601" spans="1:18" ht="31.5" x14ac:dyDescent="0.25">
      <c r="A601" s="252" t="s">
        <v>3114</v>
      </c>
      <c r="B601" s="252" t="str">
        <f>HLOOKUP('Getting Started'!H$2,E:I,ROW(),FALSE)</f>
        <v>Personnel</v>
      </c>
      <c r="C601" s="252" t="str">
        <f>HLOOKUP('Getting Started'!H$2,J:N,ROW(),FALSE)</f>
        <v>Procedure for defining specific criteria for the vacancy</v>
      </c>
      <c r="D601" s="252" t="s">
        <v>509</v>
      </c>
      <c r="E601" s="255" t="s">
        <v>512</v>
      </c>
      <c r="F601" s="255" t="s">
        <v>512</v>
      </c>
      <c r="G601" s="255" t="s">
        <v>1400</v>
      </c>
      <c r="H601" s="255" t="s">
        <v>1401</v>
      </c>
      <c r="I601" s="252"/>
      <c r="J601" s="254" t="s">
        <v>2773</v>
      </c>
      <c r="K601" s="254" t="s">
        <v>2804</v>
      </c>
      <c r="L601" s="254" t="s">
        <v>2835</v>
      </c>
      <c r="M601" s="254" t="s">
        <v>2866</v>
      </c>
      <c r="N601" s="256" t="s">
        <v>3778</v>
      </c>
      <c r="O601" s="300"/>
      <c r="P601" s="300"/>
      <c r="Q601" s="300"/>
      <c r="R601" s="300"/>
    </row>
    <row r="602" spans="1:18" ht="25.5" x14ac:dyDescent="0.25">
      <c r="A602" s="252" t="s">
        <v>3115</v>
      </c>
      <c r="B602" s="252" t="str">
        <f>HLOOKUP('Getting Started'!H$2,E:I,ROW(),FALSE)</f>
        <v>Personnel</v>
      </c>
      <c r="C602" s="252" t="str">
        <f>HLOOKUP('Getting Started'!H$2,J:N,ROW(),FALSE)</f>
        <v>Procedure of drafting and publishing the vacancy</v>
      </c>
      <c r="D602" s="252" t="s">
        <v>509</v>
      </c>
      <c r="E602" s="255" t="s">
        <v>512</v>
      </c>
      <c r="F602" s="255" t="s">
        <v>512</v>
      </c>
      <c r="G602" s="255" t="s">
        <v>1400</v>
      </c>
      <c r="H602" s="255" t="s">
        <v>1401</v>
      </c>
      <c r="I602" s="252"/>
      <c r="J602" s="254" t="s">
        <v>2774</v>
      </c>
      <c r="K602" s="254" t="s">
        <v>2805</v>
      </c>
      <c r="L602" s="254" t="s">
        <v>2836</v>
      </c>
      <c r="M602" s="254" t="s">
        <v>2867</v>
      </c>
      <c r="N602" s="256" t="s">
        <v>3779</v>
      </c>
      <c r="O602" s="300"/>
      <c r="P602" s="300"/>
      <c r="Q602" s="300"/>
      <c r="R602" s="300"/>
    </row>
    <row r="603" spans="1:18" ht="31.5" x14ac:dyDescent="0.25">
      <c r="A603" s="252" t="s">
        <v>3116</v>
      </c>
      <c r="B603" s="252" t="str">
        <f>HLOOKUP('Getting Started'!H$2,E:I,ROW(),FALSE)</f>
        <v>Personnel</v>
      </c>
      <c r="C603" s="252" t="str">
        <f>HLOOKUP('Getting Started'!H$2,J:N,ROW(),FALSE)</f>
        <v>Procedure of selecting suitable applicants based on application letters</v>
      </c>
      <c r="D603" s="252" t="s">
        <v>509</v>
      </c>
      <c r="E603" s="255" t="s">
        <v>512</v>
      </c>
      <c r="F603" s="255" t="s">
        <v>512</v>
      </c>
      <c r="G603" s="255" t="s">
        <v>1400</v>
      </c>
      <c r="H603" s="255" t="s">
        <v>1401</v>
      </c>
      <c r="I603" s="252"/>
      <c r="J603" s="254" t="s">
        <v>2775</v>
      </c>
      <c r="K603" s="254" t="s">
        <v>2806</v>
      </c>
      <c r="L603" s="254" t="s">
        <v>2837</v>
      </c>
      <c r="M603" s="254" t="s">
        <v>2868</v>
      </c>
      <c r="N603" s="256" t="s">
        <v>3780</v>
      </c>
      <c r="O603" s="300"/>
      <c r="P603" s="300"/>
      <c r="Q603" s="300"/>
      <c r="R603" s="300"/>
    </row>
    <row r="604" spans="1:18" ht="31.5" x14ac:dyDescent="0.25">
      <c r="A604" s="252" t="s">
        <v>3117</v>
      </c>
      <c r="B604" s="252" t="str">
        <f>HLOOKUP('Getting Started'!H$2,E:I,ROW(),FALSE)</f>
        <v>Personnel</v>
      </c>
      <c r="C604" s="252" t="str">
        <f>HLOOKUP('Getting Started'!H$2,J:N,ROW(),FALSE)</f>
        <v>Procedure of inviting applicants and organizing the application interview</v>
      </c>
      <c r="D604" s="252" t="s">
        <v>509</v>
      </c>
      <c r="E604" s="255" t="s">
        <v>512</v>
      </c>
      <c r="F604" s="255" t="s">
        <v>512</v>
      </c>
      <c r="G604" s="255" t="s">
        <v>1400</v>
      </c>
      <c r="H604" s="255" t="s">
        <v>1401</v>
      </c>
      <c r="I604" s="252"/>
      <c r="J604" s="254" t="s">
        <v>2776</v>
      </c>
      <c r="K604" s="254" t="s">
        <v>2807</v>
      </c>
      <c r="L604" s="254" t="s">
        <v>2838</v>
      </c>
      <c r="M604" s="254" t="s">
        <v>2869</v>
      </c>
      <c r="N604" s="256" t="s">
        <v>3781</v>
      </c>
      <c r="O604" s="300"/>
      <c r="P604" s="300"/>
      <c r="Q604" s="300"/>
      <c r="R604" s="300"/>
    </row>
    <row r="605" spans="1:18" ht="31.5" x14ac:dyDescent="0.25">
      <c r="A605" s="252" t="s">
        <v>3118</v>
      </c>
      <c r="B605" s="252" t="str">
        <f>HLOOKUP('Getting Started'!H$2,E:I,ROW(),FALSE)</f>
        <v>Personnel</v>
      </c>
      <c r="C605" s="252" t="str">
        <f>HLOOKUP('Getting Started'!H$2,J:N,ROW(),FALSE)</f>
        <v>Procedure of selecting applicants based on the application interview</v>
      </c>
      <c r="D605" s="252" t="s">
        <v>509</v>
      </c>
      <c r="E605" s="255" t="s">
        <v>512</v>
      </c>
      <c r="F605" s="255" t="s">
        <v>512</v>
      </c>
      <c r="G605" s="255" t="s">
        <v>1400</v>
      </c>
      <c r="H605" s="255" t="s">
        <v>1401</v>
      </c>
      <c r="I605" s="252"/>
      <c r="J605" s="254" t="s">
        <v>2777</v>
      </c>
      <c r="K605" s="254" t="s">
        <v>2808</v>
      </c>
      <c r="L605" s="254" t="s">
        <v>2839</v>
      </c>
      <c r="M605" s="254" t="s">
        <v>2870</v>
      </c>
      <c r="N605" s="256" t="s">
        <v>3782</v>
      </c>
      <c r="O605" s="300"/>
      <c r="P605" s="300"/>
      <c r="Q605" s="300"/>
      <c r="R605" s="300"/>
    </row>
    <row r="606" spans="1:18" ht="25.5" x14ac:dyDescent="0.25">
      <c r="A606" s="252" t="s">
        <v>3119</v>
      </c>
      <c r="B606" s="252" t="str">
        <f>HLOOKUP('Getting Started'!H$2,E:I,ROW(),FALSE)</f>
        <v>Personnel</v>
      </c>
      <c r="C606" s="252" t="str">
        <f>HLOOKUP('Getting Started'!H$2,J:N,ROW(),FALSE)</f>
        <v>Procedure of hiring suitable applicant, including:</v>
      </c>
      <c r="D606" s="252" t="s">
        <v>509</v>
      </c>
      <c r="E606" s="255" t="s">
        <v>512</v>
      </c>
      <c r="F606" s="255" t="s">
        <v>512</v>
      </c>
      <c r="G606" s="255" t="s">
        <v>1400</v>
      </c>
      <c r="H606" s="255" t="s">
        <v>1401</v>
      </c>
      <c r="I606" s="252"/>
      <c r="J606" s="254" t="s">
        <v>2778</v>
      </c>
      <c r="K606" s="254" t="s">
        <v>2809</v>
      </c>
      <c r="L606" s="254" t="s">
        <v>2840</v>
      </c>
      <c r="M606" s="254" t="s">
        <v>2871</v>
      </c>
      <c r="N606" s="256" t="s">
        <v>3783</v>
      </c>
      <c r="O606" s="300"/>
      <c r="P606" s="300"/>
      <c r="Q606" s="300"/>
      <c r="R606" s="300"/>
    </row>
    <row r="607" spans="1:18" ht="15.75" x14ac:dyDescent="0.25">
      <c r="A607" s="252" t="s">
        <v>3120</v>
      </c>
      <c r="B607" s="252" t="str">
        <f>HLOOKUP('Getting Started'!H$2,E:I,ROW(),FALSE)</f>
        <v>Personnel</v>
      </c>
      <c r="C607" s="252" t="str">
        <f>HLOOKUP('Getting Started'!H$2,J:N,ROW(),FALSE)</f>
        <v>Determining salary</v>
      </c>
      <c r="D607" s="252" t="s">
        <v>509</v>
      </c>
      <c r="E607" s="255" t="s">
        <v>512</v>
      </c>
      <c r="F607" s="255" t="s">
        <v>512</v>
      </c>
      <c r="G607" s="255" t="s">
        <v>1400</v>
      </c>
      <c r="H607" s="255" t="s">
        <v>1401</v>
      </c>
      <c r="I607" s="252"/>
      <c r="J607" s="254" t="s">
        <v>2779</v>
      </c>
      <c r="K607" s="254" t="s">
        <v>2810</v>
      </c>
      <c r="L607" s="254" t="s">
        <v>2841</v>
      </c>
      <c r="M607" s="254" t="s">
        <v>2872</v>
      </c>
      <c r="N607" s="256" t="s">
        <v>3784</v>
      </c>
      <c r="O607" s="300"/>
      <c r="P607" s="300"/>
      <c r="Q607" s="300"/>
      <c r="R607" s="300"/>
    </row>
    <row r="608" spans="1:18" ht="15.75" x14ac:dyDescent="0.25">
      <c r="A608" s="252" t="s">
        <v>3121</v>
      </c>
      <c r="B608" s="252" t="str">
        <f>HLOOKUP('Getting Started'!H$2,E:I,ROW(),FALSE)</f>
        <v>Personnel</v>
      </c>
      <c r="C608" s="252" t="str">
        <f>HLOOKUP('Getting Started'!H$2,J:N,ROW(),FALSE)</f>
        <v>Writing Personal Job Description</v>
      </c>
      <c r="D608" s="252" t="s">
        <v>509</v>
      </c>
      <c r="E608" s="255" t="s">
        <v>512</v>
      </c>
      <c r="F608" s="255" t="s">
        <v>512</v>
      </c>
      <c r="G608" s="255" t="s">
        <v>1400</v>
      </c>
      <c r="H608" s="255" t="s">
        <v>1401</v>
      </c>
      <c r="I608" s="252"/>
      <c r="J608" s="254" t="s">
        <v>2780</v>
      </c>
      <c r="K608" s="254" t="s">
        <v>2811</v>
      </c>
      <c r="L608" s="254" t="s">
        <v>2842</v>
      </c>
      <c r="M608" s="254" t="s">
        <v>2873</v>
      </c>
      <c r="N608" s="256" t="s">
        <v>3785</v>
      </c>
      <c r="O608" s="300"/>
      <c r="P608" s="300"/>
      <c r="Q608" s="300"/>
      <c r="R608" s="300"/>
    </row>
    <row r="609" spans="1:18" ht="15.75" x14ac:dyDescent="0.25">
      <c r="A609" s="252" t="s">
        <v>3122</v>
      </c>
      <c r="B609" s="252" t="str">
        <f>HLOOKUP('Getting Started'!H$2,E:I,ROW(),FALSE)</f>
        <v>Personnel</v>
      </c>
      <c r="C609" s="252" t="str">
        <f>HLOOKUP('Getting Started'!H$2,J:N,ROW(),FALSE)</f>
        <v>Adapting Authorization Matrix</v>
      </c>
      <c r="D609" s="252" t="s">
        <v>509</v>
      </c>
      <c r="E609" s="255" t="s">
        <v>512</v>
      </c>
      <c r="F609" s="255" t="s">
        <v>512</v>
      </c>
      <c r="G609" s="255" t="s">
        <v>1400</v>
      </c>
      <c r="H609" s="255" t="s">
        <v>1401</v>
      </c>
      <c r="I609" s="252"/>
      <c r="J609" s="254" t="s">
        <v>2781</v>
      </c>
      <c r="K609" s="254" t="s">
        <v>2812</v>
      </c>
      <c r="L609" s="254" t="s">
        <v>2843</v>
      </c>
      <c r="M609" s="254" t="s">
        <v>2874</v>
      </c>
      <c r="N609" s="256" t="s">
        <v>3786</v>
      </c>
      <c r="O609" s="300"/>
      <c r="P609" s="300"/>
      <c r="Q609" s="300"/>
      <c r="R609" s="300"/>
    </row>
    <row r="610" spans="1:18" ht="15.75" x14ac:dyDescent="0.25">
      <c r="A610" s="252" t="s">
        <v>3123</v>
      </c>
      <c r="B610" s="252" t="str">
        <f>HLOOKUP('Getting Started'!H$2,E:I,ROW(),FALSE)</f>
        <v>Personnel</v>
      </c>
      <c r="C610" s="252" t="str">
        <f>HLOOKUP('Getting Started'!H$2,J:N,ROW(),FALSE)</f>
        <v>Creating a personnel file</v>
      </c>
      <c r="D610" s="252" t="s">
        <v>509</v>
      </c>
      <c r="E610" s="255" t="s">
        <v>512</v>
      </c>
      <c r="F610" s="255" t="s">
        <v>512</v>
      </c>
      <c r="G610" s="255" t="s">
        <v>1400</v>
      </c>
      <c r="H610" s="255" t="s">
        <v>1401</v>
      </c>
      <c r="I610" s="252"/>
      <c r="J610" s="254" t="s">
        <v>2782</v>
      </c>
      <c r="K610" s="254" t="s">
        <v>2813</v>
      </c>
      <c r="L610" s="254" t="s">
        <v>2844</v>
      </c>
      <c r="M610" s="254" t="s">
        <v>2875</v>
      </c>
      <c r="N610" s="256" t="s">
        <v>3787</v>
      </c>
      <c r="O610" s="300"/>
      <c r="P610" s="300"/>
      <c r="Q610" s="300"/>
      <c r="R610" s="300"/>
    </row>
    <row r="611" spans="1:18" ht="38.25" x14ac:dyDescent="0.25">
      <c r="A611" s="252" t="s">
        <v>3124</v>
      </c>
      <c r="B611" s="252" t="str">
        <f>HLOOKUP('Getting Started'!H$2,E:I,ROW(),FALSE)</f>
        <v>Personnel</v>
      </c>
      <c r="C611" s="252" t="str">
        <f>HLOOKUP('Getting Started'!H$2,J:N,ROW(),FALSE)</f>
        <v>Ensuring that staff member is properly induced according to the SOP for Induction of New Personnel</v>
      </c>
      <c r="D611" s="252" t="s">
        <v>509</v>
      </c>
      <c r="E611" s="255" t="s">
        <v>512</v>
      </c>
      <c r="F611" s="255" t="s">
        <v>512</v>
      </c>
      <c r="G611" s="255" t="s">
        <v>1400</v>
      </c>
      <c r="H611" s="255" t="s">
        <v>1401</v>
      </c>
      <c r="I611" s="252"/>
      <c r="J611" s="254" t="s">
        <v>2783</v>
      </c>
      <c r="K611" s="254" t="s">
        <v>2814</v>
      </c>
      <c r="L611" s="254" t="s">
        <v>2845</v>
      </c>
      <c r="M611" s="254" t="s">
        <v>2876</v>
      </c>
      <c r="N611" s="256" t="s">
        <v>3788</v>
      </c>
      <c r="O611" s="300"/>
      <c r="P611" s="300"/>
      <c r="Q611" s="300"/>
      <c r="R611" s="300"/>
    </row>
    <row r="612" spans="1:18" ht="63.75" x14ac:dyDescent="0.25">
      <c r="A612" s="252" t="s">
        <v>3125</v>
      </c>
      <c r="B612" s="252" t="str">
        <f>HLOOKUP('Getting Started'!H$2,E:I,ROW(),FALSE)</f>
        <v>Personnel</v>
      </c>
      <c r="C612" s="252" t="str">
        <f>HLOOKUP('Getting Started'!H$2,J:N,ROW(),FALSE)</f>
        <v>Providing training to new staff (e.g. training into quality management to ensure that the staff member understands and works via the quality management system).</v>
      </c>
      <c r="D612" s="252" t="s">
        <v>509</v>
      </c>
      <c r="E612" s="255" t="s">
        <v>512</v>
      </c>
      <c r="F612" s="255" t="s">
        <v>512</v>
      </c>
      <c r="G612" s="255" t="s">
        <v>1400</v>
      </c>
      <c r="H612" s="255" t="s">
        <v>1401</v>
      </c>
      <c r="I612" s="252"/>
      <c r="J612" s="254" t="s">
        <v>2784</v>
      </c>
      <c r="K612" s="254" t="s">
        <v>2815</v>
      </c>
      <c r="L612" s="254" t="s">
        <v>2846</v>
      </c>
      <c r="M612" s="254" t="s">
        <v>2877</v>
      </c>
      <c r="N612" s="256" t="s">
        <v>3789</v>
      </c>
      <c r="O612" s="300"/>
      <c r="P612" s="300"/>
      <c r="Q612" s="300"/>
      <c r="R612" s="300"/>
    </row>
    <row r="613" spans="1:18" ht="15.75" x14ac:dyDescent="0.25">
      <c r="A613" s="252" t="s">
        <v>3126</v>
      </c>
      <c r="B613" s="252" t="str">
        <f>HLOOKUP('Getting Started'!H$2,E:I,ROW(),FALSE)</f>
        <v>Personnel</v>
      </c>
      <c r="C613" s="252" t="str">
        <f>HLOOKUP('Getting Started'!H$2,J:N,ROW(),FALSE)</f>
        <v>Regarding guests:</v>
      </c>
      <c r="D613" s="252" t="s">
        <v>509</v>
      </c>
      <c r="E613" s="255" t="s">
        <v>512</v>
      </c>
      <c r="F613" s="255" t="s">
        <v>512</v>
      </c>
      <c r="G613" s="255" t="s">
        <v>1400</v>
      </c>
      <c r="H613" s="255" t="s">
        <v>1401</v>
      </c>
      <c r="I613" s="252"/>
      <c r="J613" s="254" t="s">
        <v>2785</v>
      </c>
      <c r="K613" s="254" t="s">
        <v>2816</v>
      </c>
      <c r="L613" s="254" t="s">
        <v>2847</v>
      </c>
      <c r="M613" s="254" t="s">
        <v>2878</v>
      </c>
      <c r="N613" s="256" t="s">
        <v>3790</v>
      </c>
      <c r="O613" s="300"/>
      <c r="P613" s="300"/>
      <c r="Q613" s="300"/>
      <c r="R613" s="300"/>
    </row>
    <row r="614" spans="1:18" ht="31.5" x14ac:dyDescent="0.25">
      <c r="A614" s="252" t="s">
        <v>3127</v>
      </c>
      <c r="B614" s="252" t="str">
        <f>HLOOKUP('Getting Started'!H$2,E:I,ROW(),FALSE)</f>
        <v>Personnel</v>
      </c>
      <c r="C614" s="252" t="str">
        <f>HLOOKUP('Getting Started'!H$2,J:N,ROW(),FALSE)</f>
        <v>Procedure of identification and recording of guest details</v>
      </c>
      <c r="D614" s="252" t="s">
        <v>509</v>
      </c>
      <c r="E614" s="255" t="s">
        <v>512</v>
      </c>
      <c r="F614" s="255" t="s">
        <v>512</v>
      </c>
      <c r="G614" s="255" t="s">
        <v>1400</v>
      </c>
      <c r="H614" s="255" t="s">
        <v>1401</v>
      </c>
      <c r="I614" s="252"/>
      <c r="J614" s="254" t="s">
        <v>2786</v>
      </c>
      <c r="K614" s="254" t="s">
        <v>2817</v>
      </c>
      <c r="L614" s="254" t="s">
        <v>2848</v>
      </c>
      <c r="M614" s="254" t="s">
        <v>2879</v>
      </c>
      <c r="N614" s="256" t="s">
        <v>3791</v>
      </c>
      <c r="O614" s="300"/>
      <c r="P614" s="300"/>
      <c r="Q614" s="300"/>
      <c r="R614" s="300"/>
    </row>
    <row r="615" spans="1:18" ht="25.5" x14ac:dyDescent="0.25">
      <c r="A615" s="252" t="s">
        <v>3128</v>
      </c>
      <c r="B615" s="252" t="str">
        <f>HLOOKUP('Getting Started'!H$2,E:I,ROW(),FALSE)</f>
        <v>Personnel</v>
      </c>
      <c r="C615" s="252" t="str">
        <f>HLOOKUP('Getting Started'!H$2,J:N,ROW(),FALSE)</f>
        <v>Procedure of recording details of the visit</v>
      </c>
      <c r="D615" s="252" t="s">
        <v>509</v>
      </c>
      <c r="E615" s="255" t="s">
        <v>512</v>
      </c>
      <c r="F615" s="255" t="s">
        <v>512</v>
      </c>
      <c r="G615" s="255" t="s">
        <v>1400</v>
      </c>
      <c r="H615" s="255" t="s">
        <v>1401</v>
      </c>
      <c r="I615" s="252"/>
      <c r="J615" s="254" t="s">
        <v>2787</v>
      </c>
      <c r="K615" s="254" t="s">
        <v>2818</v>
      </c>
      <c r="L615" s="254" t="s">
        <v>2849</v>
      </c>
      <c r="M615" s="254" t="s">
        <v>2880</v>
      </c>
      <c r="N615" s="256" t="s">
        <v>3792</v>
      </c>
      <c r="O615" s="300"/>
      <c r="P615" s="300"/>
      <c r="Q615" s="300"/>
      <c r="R615" s="300"/>
    </row>
    <row r="616" spans="1:18" ht="60" x14ac:dyDescent="0.25">
      <c r="A616" s="252" t="s">
        <v>3129</v>
      </c>
      <c r="B616" s="252" t="str">
        <f>HLOOKUP('Getting Started'!H$2,E:I,ROW(),FALSE)</f>
        <v>Personnel</v>
      </c>
      <c r="C616" s="252" t="str">
        <f>HLOOKUP('Getting Started'!H$2,J:N,ROW(),FALSE)</f>
        <v>Procedure of allowing access of the staff member to the laboratory (including a health check to determine if the guest’s health allows for accessing the testing areas).</v>
      </c>
      <c r="D616" s="252" t="s">
        <v>509</v>
      </c>
      <c r="E616" s="255" t="s">
        <v>512</v>
      </c>
      <c r="F616" s="255" t="s">
        <v>512</v>
      </c>
      <c r="G616" s="255" t="s">
        <v>1400</v>
      </c>
      <c r="H616" s="255" t="s">
        <v>1401</v>
      </c>
      <c r="I616" s="252"/>
      <c r="J616" s="254" t="s">
        <v>2788</v>
      </c>
      <c r="K616" s="254" t="s">
        <v>2819</v>
      </c>
      <c r="L616" s="254" t="s">
        <v>2850</v>
      </c>
      <c r="M616" s="254" t="s">
        <v>2881</v>
      </c>
      <c r="N616" s="256" t="s">
        <v>3793</v>
      </c>
      <c r="O616" s="300"/>
      <c r="P616" s="300"/>
      <c r="Q616" s="300"/>
      <c r="R616" s="300"/>
    </row>
    <row r="617" spans="1:18" ht="31.5" x14ac:dyDescent="0.25">
      <c r="A617" s="252" t="s">
        <v>2894</v>
      </c>
      <c r="B617" s="252" t="str">
        <f>HLOOKUP('Getting Started'!H$2,E:I,ROW(),FALSE)</f>
        <v>Personnel</v>
      </c>
      <c r="C617" s="252" t="str">
        <f>HLOOKUP('Getting Started'!H$2,J:N,ROW(),FALSE)</f>
        <v>Are all staff members appropriately trained for the tasks performed?</v>
      </c>
      <c r="D617" s="252" t="s">
        <v>509</v>
      </c>
      <c r="E617" s="255" t="s">
        <v>512</v>
      </c>
      <c r="F617" s="255" t="s">
        <v>512</v>
      </c>
      <c r="G617" s="255" t="s">
        <v>1400</v>
      </c>
      <c r="H617" s="255" t="s">
        <v>1401</v>
      </c>
      <c r="I617" s="252"/>
      <c r="J617" s="254" t="s">
        <v>2789</v>
      </c>
      <c r="K617" s="254" t="s">
        <v>2820</v>
      </c>
      <c r="L617" s="254" t="s">
        <v>2851</v>
      </c>
      <c r="M617" s="254" t="s">
        <v>2882</v>
      </c>
      <c r="N617" s="256" t="s">
        <v>3794</v>
      </c>
      <c r="O617" s="258" t="s">
        <v>1</v>
      </c>
      <c r="P617" s="258" t="s">
        <v>121</v>
      </c>
      <c r="Q617" s="258" t="s">
        <v>241</v>
      </c>
      <c r="R617" s="258" t="s">
        <v>361</v>
      </c>
    </row>
    <row r="618" spans="1:18" ht="38.25" x14ac:dyDescent="0.25">
      <c r="A618" s="252" t="s">
        <v>2895</v>
      </c>
      <c r="B618" s="252" t="str">
        <f>HLOOKUP('Getting Started'!H$2,E:I,ROW(),FALSE)</f>
        <v>Personnel</v>
      </c>
      <c r="C618" s="252" t="str">
        <f>HLOOKUP('Getting Started'!H$2,J:N,ROW(),FALSE)</f>
        <v>Are educational needs consistently assessed in competency assessments and performance appraisals?</v>
      </c>
      <c r="D618" s="252" t="s">
        <v>509</v>
      </c>
      <c r="E618" s="255" t="s">
        <v>512</v>
      </c>
      <c r="F618" s="255" t="s">
        <v>512</v>
      </c>
      <c r="G618" s="255" t="s">
        <v>1400</v>
      </c>
      <c r="H618" s="255" t="s">
        <v>1401</v>
      </c>
      <c r="I618" s="252"/>
      <c r="J618" s="254" t="s">
        <v>2790</v>
      </c>
      <c r="K618" s="254" t="s">
        <v>2821</v>
      </c>
      <c r="L618" s="254" t="s">
        <v>2852</v>
      </c>
      <c r="M618" s="254" t="s">
        <v>2883</v>
      </c>
      <c r="N618" s="256" t="s">
        <v>3795</v>
      </c>
      <c r="O618" s="258" t="s">
        <v>1</v>
      </c>
      <c r="P618" s="258" t="s">
        <v>121</v>
      </c>
      <c r="Q618" s="258" t="s">
        <v>241</v>
      </c>
      <c r="R618" s="258" t="s">
        <v>361</v>
      </c>
    </row>
    <row r="619" spans="1:18" ht="31.5" x14ac:dyDescent="0.25">
      <c r="A619" s="252" t="s">
        <v>2896</v>
      </c>
      <c r="B619" s="252" t="str">
        <f>HLOOKUP('Getting Started'!H$2,E:I,ROW(),FALSE)</f>
        <v>Personnel</v>
      </c>
      <c r="C619" s="252" t="str">
        <f>HLOOKUP('Getting Started'!H$2,J:N,ROW(),FALSE)</f>
        <v>Are training needs consistently fulfilled?</v>
      </c>
      <c r="D619" s="252" t="s">
        <v>509</v>
      </c>
      <c r="E619" s="255" t="s">
        <v>512</v>
      </c>
      <c r="F619" s="255" t="s">
        <v>512</v>
      </c>
      <c r="G619" s="255" t="s">
        <v>1400</v>
      </c>
      <c r="H619" s="255" t="s">
        <v>1401</v>
      </c>
      <c r="I619" s="252"/>
      <c r="J619" s="254" t="s">
        <v>2791</v>
      </c>
      <c r="K619" s="254" t="s">
        <v>2822</v>
      </c>
      <c r="L619" s="254" t="s">
        <v>2853</v>
      </c>
      <c r="M619" s="254" t="s">
        <v>2884</v>
      </c>
      <c r="N619" s="256" t="s">
        <v>3796</v>
      </c>
      <c r="O619" s="258" t="s">
        <v>1</v>
      </c>
      <c r="P619" s="258" t="s">
        <v>121</v>
      </c>
      <c r="Q619" s="258" t="s">
        <v>241</v>
      </c>
      <c r="R619" s="258" t="s">
        <v>361</v>
      </c>
    </row>
    <row r="620" spans="1:18" ht="30" x14ac:dyDescent="0.25">
      <c r="A620" s="252" t="s">
        <v>2897</v>
      </c>
      <c r="B620" s="252" t="str">
        <f>HLOOKUP('Getting Started'!H$2,E:I,ROW(),FALSE)</f>
        <v>Personnel</v>
      </c>
      <c r="C620" s="252" t="str">
        <f>HLOOKUP('Getting Started'!H$2,J:N,ROW(),FALSE)</f>
        <v>Does the laboratory have a Continuous Education Program?</v>
      </c>
      <c r="D620" s="252" t="s">
        <v>509</v>
      </c>
      <c r="E620" s="255" t="s">
        <v>512</v>
      </c>
      <c r="F620" s="255" t="s">
        <v>512</v>
      </c>
      <c r="G620" s="255" t="s">
        <v>1400</v>
      </c>
      <c r="H620" s="255" t="s">
        <v>1401</v>
      </c>
      <c r="I620" s="252"/>
      <c r="J620" s="254" t="s">
        <v>2792</v>
      </c>
      <c r="K620" s="254" t="s">
        <v>2823</v>
      </c>
      <c r="L620" s="254" t="s">
        <v>2854</v>
      </c>
      <c r="M620" s="254" t="s">
        <v>2885</v>
      </c>
      <c r="N620" s="256" t="s">
        <v>3797</v>
      </c>
      <c r="O620" s="258" t="s">
        <v>1</v>
      </c>
      <c r="P620" s="258" t="s">
        <v>121</v>
      </c>
      <c r="Q620" s="258" t="s">
        <v>241</v>
      </c>
      <c r="R620" s="258" t="s">
        <v>361</v>
      </c>
    </row>
    <row r="621" spans="1:18" ht="30" x14ac:dyDescent="0.25">
      <c r="A621" s="252" t="s">
        <v>2898</v>
      </c>
      <c r="B621" s="252" t="str">
        <f>HLOOKUP('Getting Started'!H$2,E:I,ROW(),FALSE)</f>
        <v>Personnel</v>
      </c>
      <c r="C621" s="252" t="str">
        <f>HLOOKUP('Getting Started'!H$2,J:N,ROW(),FALSE)</f>
        <v>Is budget available for the Continuous Education Program?</v>
      </c>
      <c r="D621" s="252" t="s">
        <v>509</v>
      </c>
      <c r="E621" s="255" t="s">
        <v>512</v>
      </c>
      <c r="F621" s="255" t="s">
        <v>512</v>
      </c>
      <c r="G621" s="255" t="s">
        <v>1400</v>
      </c>
      <c r="H621" s="255" t="s">
        <v>1401</v>
      </c>
      <c r="I621" s="252"/>
      <c r="J621" s="254" t="s">
        <v>2793</v>
      </c>
      <c r="K621" s="254" t="s">
        <v>2824</v>
      </c>
      <c r="L621" s="254" t="s">
        <v>2855</v>
      </c>
      <c r="M621" s="254" t="s">
        <v>2886</v>
      </c>
      <c r="N621" s="256" t="s">
        <v>3798</v>
      </c>
      <c r="O621" s="258" t="s">
        <v>1</v>
      </c>
      <c r="P621" s="258" t="s">
        <v>121</v>
      </c>
      <c r="Q621" s="258" t="s">
        <v>241</v>
      </c>
      <c r="R621" s="258" t="s">
        <v>361</v>
      </c>
    </row>
    <row r="622" spans="1:18" ht="31.5" x14ac:dyDescent="0.25">
      <c r="A622" s="252" t="s">
        <v>2899</v>
      </c>
      <c r="B622" s="252" t="str">
        <f>HLOOKUP('Getting Started'!H$2,E:I,ROW(),FALSE)</f>
        <v>Personnel</v>
      </c>
      <c r="C622" s="252" t="str">
        <f>HLOOKUP('Getting Started'!H$2,J:N,ROW(),FALSE)</f>
        <v>Is the Continuous Education Program included as element in the Quality Year Plan?</v>
      </c>
      <c r="D622" s="252" t="s">
        <v>509</v>
      </c>
      <c r="E622" s="255" t="s">
        <v>512</v>
      </c>
      <c r="F622" s="255" t="s">
        <v>512</v>
      </c>
      <c r="G622" s="255" t="s">
        <v>1400</v>
      </c>
      <c r="H622" s="255" t="s">
        <v>1401</v>
      </c>
      <c r="I622" s="252"/>
      <c r="J622" s="254" t="s">
        <v>2794</v>
      </c>
      <c r="K622" s="254" t="s">
        <v>2825</v>
      </c>
      <c r="L622" s="254" t="s">
        <v>2856</v>
      </c>
      <c r="M622" s="254" t="s">
        <v>2887</v>
      </c>
      <c r="N622" s="256" t="s">
        <v>3799</v>
      </c>
      <c r="O622" s="258" t="s">
        <v>1</v>
      </c>
      <c r="P622" s="258" t="s">
        <v>121</v>
      </c>
      <c r="Q622" s="258" t="s">
        <v>241</v>
      </c>
      <c r="R622" s="258" t="s">
        <v>361</v>
      </c>
    </row>
    <row r="623" spans="1:18" ht="63" x14ac:dyDescent="0.25">
      <c r="A623" s="252" t="s">
        <v>2900</v>
      </c>
      <c r="B623" s="252" t="str">
        <f>HLOOKUP('Getting Started'!H$2,E:I,ROW(),FALSE)</f>
        <v>Personnel</v>
      </c>
      <c r="C623" s="252" t="str">
        <f>HLOOKUP('Getting Started'!H$2,J:N,ROW(),FALSE)</f>
        <v>Is the ability of all technical staff members to correctly perform examinations observed by letting them analyze external quality assessment samples and evaluating the results?</v>
      </c>
      <c r="D623" s="252" t="s">
        <v>509</v>
      </c>
      <c r="E623" s="255" t="s">
        <v>512</v>
      </c>
      <c r="F623" s="255" t="s">
        <v>512</v>
      </c>
      <c r="G623" s="255" t="s">
        <v>1400</v>
      </c>
      <c r="H623" s="255" t="s">
        <v>1401</v>
      </c>
      <c r="I623" s="252"/>
      <c r="J623" s="254" t="s">
        <v>2795</v>
      </c>
      <c r="K623" s="254" t="s">
        <v>2826</v>
      </c>
      <c r="L623" s="254" t="s">
        <v>2857</v>
      </c>
      <c r="M623" s="254" t="s">
        <v>2888</v>
      </c>
      <c r="N623" s="256" t="s">
        <v>3800</v>
      </c>
      <c r="O623" s="258" t="s">
        <v>1</v>
      </c>
      <c r="P623" s="258" t="s">
        <v>121</v>
      </c>
      <c r="Q623" s="258" t="s">
        <v>241</v>
      </c>
      <c r="R623" s="258" t="s">
        <v>361</v>
      </c>
    </row>
    <row r="624" spans="1:18" ht="47.25" x14ac:dyDescent="0.25">
      <c r="A624" s="252" t="s">
        <v>2901</v>
      </c>
      <c r="B624" s="252" t="str">
        <f>HLOOKUP('Getting Started'!H$2,E:I,ROW(),FALSE)</f>
        <v>Personnel</v>
      </c>
      <c r="C624" s="252" t="str">
        <f>HLOOKUP('Getting Started'!H$2,J:N,ROW(),FALSE)</f>
        <v>Has a laboratory staff member appropriately been trained in performing failure-mode-effect-analyses?</v>
      </c>
      <c r="D624" s="252" t="s">
        <v>509</v>
      </c>
      <c r="E624" s="255" t="s">
        <v>512</v>
      </c>
      <c r="F624" s="255" t="s">
        <v>512</v>
      </c>
      <c r="G624" s="255" t="s">
        <v>1400</v>
      </c>
      <c r="H624" s="255" t="s">
        <v>1401</v>
      </c>
      <c r="I624" s="252"/>
      <c r="J624" s="254" t="s">
        <v>2796</v>
      </c>
      <c r="K624" s="254" t="s">
        <v>2827</v>
      </c>
      <c r="L624" s="254" t="s">
        <v>2858</v>
      </c>
      <c r="M624" s="254" t="s">
        <v>2889</v>
      </c>
      <c r="N624" s="256" t="s">
        <v>3801</v>
      </c>
      <c r="O624" s="258" t="s">
        <v>1</v>
      </c>
      <c r="P624" s="258" t="s">
        <v>121</v>
      </c>
      <c r="Q624" s="258" t="s">
        <v>241</v>
      </c>
      <c r="R624" s="258" t="s">
        <v>361</v>
      </c>
    </row>
    <row r="625" spans="1:18" ht="47.25" x14ac:dyDescent="0.25">
      <c r="A625" s="252" t="s">
        <v>2902</v>
      </c>
      <c r="B625" s="252" t="str">
        <f>HLOOKUP('Getting Started'!H$2,E:I,ROW(),FALSE)</f>
        <v>Personnel</v>
      </c>
      <c r="C625" s="252" t="str">
        <f>HLOOKUP('Getting Started'!H$2,J:N,ROW(),FALSE)</f>
        <v>Has the personnel file of the staff member participating in failure mode effect analysis training been updated after completing this training?</v>
      </c>
      <c r="D625" s="252" t="s">
        <v>509</v>
      </c>
      <c r="E625" s="255" t="s">
        <v>512</v>
      </c>
      <c r="F625" s="255" t="s">
        <v>512</v>
      </c>
      <c r="G625" s="255" t="s">
        <v>1400</v>
      </c>
      <c r="H625" s="255" t="s">
        <v>1401</v>
      </c>
      <c r="I625" s="252"/>
      <c r="J625" s="254" t="s">
        <v>2797</v>
      </c>
      <c r="K625" s="254" t="s">
        <v>2828</v>
      </c>
      <c r="L625" s="254" t="s">
        <v>2859</v>
      </c>
      <c r="M625" s="254" t="s">
        <v>2890</v>
      </c>
      <c r="N625" s="256" t="s">
        <v>3802</v>
      </c>
      <c r="O625" s="258" t="s">
        <v>1</v>
      </c>
      <c r="P625" s="258" t="s">
        <v>121</v>
      </c>
      <c r="Q625" s="258" t="s">
        <v>241</v>
      </c>
      <c r="R625" s="258" t="s">
        <v>361</v>
      </c>
    </row>
    <row r="626" spans="1:18" ht="47.25" x14ac:dyDescent="0.25">
      <c r="A626" s="252" t="s">
        <v>2923</v>
      </c>
      <c r="B626" s="252" t="str">
        <f>HLOOKUP('Getting Started'!H$2,E:I,ROW(),FALSE)</f>
        <v>Equipment</v>
      </c>
      <c r="C626" s="252" t="str">
        <f>HLOOKUP('Getting Started'!H$2,J:N,ROW(),FALSE)</f>
        <v>Have all pieces of equipment that have a direct influence on the outcome of examinations been validated?</v>
      </c>
      <c r="D626" s="252" t="s">
        <v>509</v>
      </c>
      <c r="E626" s="255" t="s">
        <v>513</v>
      </c>
      <c r="F626" s="255" t="s">
        <v>1388</v>
      </c>
      <c r="G626" s="255" t="s">
        <v>1389</v>
      </c>
      <c r="H626" s="255" t="s">
        <v>1390</v>
      </c>
      <c r="J626" s="254" t="s">
        <v>2903</v>
      </c>
      <c r="K626" s="254" t="s">
        <v>2907</v>
      </c>
      <c r="L626" s="254" t="s">
        <v>2911</v>
      </c>
      <c r="M626" s="254" t="s">
        <v>2915</v>
      </c>
      <c r="N626" s="256" t="s">
        <v>3803</v>
      </c>
      <c r="O626" s="258" t="s">
        <v>1</v>
      </c>
      <c r="P626" s="258" t="s">
        <v>121</v>
      </c>
      <c r="Q626" s="258" t="s">
        <v>241</v>
      </c>
      <c r="R626" s="258" t="s">
        <v>361</v>
      </c>
    </row>
    <row r="627" spans="1:18" ht="51" x14ac:dyDescent="0.25">
      <c r="A627" s="252" t="s">
        <v>2924</v>
      </c>
      <c r="B627" s="252" t="str">
        <f>HLOOKUP('Getting Started'!H$2,E:I,ROW(),FALSE)</f>
        <v>Equipment</v>
      </c>
      <c r="C627" s="252" t="str">
        <f>HLOOKUP('Getting Started'!H$2,J:N,ROW(),FALSE)</f>
        <v>Are all findings of validations (both validation of examination methods and validation of equipment) documented in validation reports?</v>
      </c>
      <c r="D627" s="252" t="s">
        <v>509</v>
      </c>
      <c r="E627" s="255" t="s">
        <v>513</v>
      </c>
      <c r="F627" s="255" t="s">
        <v>1388</v>
      </c>
      <c r="G627" s="255" t="s">
        <v>1389</v>
      </c>
      <c r="H627" s="255" t="s">
        <v>1390</v>
      </c>
      <c r="J627" s="254" t="s">
        <v>2904</v>
      </c>
      <c r="K627" s="254" t="s">
        <v>2908</v>
      </c>
      <c r="L627" s="254" t="s">
        <v>2912</v>
      </c>
      <c r="M627" s="254" t="s">
        <v>2916</v>
      </c>
      <c r="N627" s="256" t="s">
        <v>3804</v>
      </c>
      <c r="O627" s="258" t="s">
        <v>1</v>
      </c>
      <c r="P627" s="258" t="s">
        <v>121</v>
      </c>
      <c r="Q627" s="258" t="s">
        <v>241</v>
      </c>
      <c r="R627" s="258" t="s">
        <v>361</v>
      </c>
    </row>
    <row r="628" spans="1:18" ht="60" x14ac:dyDescent="0.25">
      <c r="A628" s="252" t="s">
        <v>2925</v>
      </c>
      <c r="B628" s="252" t="str">
        <f>HLOOKUP('Getting Started'!H$2,E:I,ROW(),FALSE)</f>
        <v>Equipment</v>
      </c>
      <c r="C628" s="252" t="str">
        <f>HLOOKUP('Getting Started'!H$2,J:N,ROW(),FALSE)</f>
        <v>Is there an standardized procedure in place assuring that the laboratory determines and corrects the negative influence of defective equipment on laboratory testing?</v>
      </c>
      <c r="D628" s="252" t="s">
        <v>509</v>
      </c>
      <c r="E628" s="255" t="s">
        <v>513</v>
      </c>
      <c r="F628" s="255" t="s">
        <v>1388</v>
      </c>
      <c r="G628" s="255" t="s">
        <v>1389</v>
      </c>
      <c r="H628" s="255" t="s">
        <v>1390</v>
      </c>
      <c r="J628" s="254" t="s">
        <v>2905</v>
      </c>
      <c r="K628" s="254" t="s">
        <v>2909</v>
      </c>
      <c r="L628" s="254" t="s">
        <v>2913</v>
      </c>
      <c r="M628" s="254" t="s">
        <v>2917</v>
      </c>
      <c r="N628" s="256" t="s">
        <v>3805</v>
      </c>
      <c r="O628" s="258" t="s">
        <v>1</v>
      </c>
      <c r="P628" s="258" t="s">
        <v>121</v>
      </c>
      <c r="Q628" s="258" t="s">
        <v>241</v>
      </c>
      <c r="R628" s="258" t="s">
        <v>361</v>
      </c>
    </row>
    <row r="629" spans="1:18" ht="63" x14ac:dyDescent="0.25">
      <c r="A629" s="252" t="s">
        <v>2926</v>
      </c>
      <c r="B629" s="252" t="str">
        <f>HLOOKUP('Getting Started'!H$2,E:I,ROW(),FALSE)</f>
        <v>Equipment</v>
      </c>
      <c r="C629" s="252" t="str">
        <f>HLOOKUP('Getting Started'!H$2,J:N,ROW(),FALSE)</f>
        <v>Is the procedure for determining and correcting the negative influence of defective equipment documented in an SOP?</v>
      </c>
      <c r="D629" s="252" t="s">
        <v>509</v>
      </c>
      <c r="E629" s="255" t="s">
        <v>513</v>
      </c>
      <c r="F629" s="255" t="s">
        <v>1388</v>
      </c>
      <c r="G629" s="255" t="s">
        <v>1389</v>
      </c>
      <c r="H629" s="255" t="s">
        <v>1390</v>
      </c>
      <c r="J629" s="254" t="s">
        <v>2906</v>
      </c>
      <c r="K629" s="254" t="s">
        <v>2910</v>
      </c>
      <c r="L629" s="254" t="s">
        <v>2914</v>
      </c>
      <c r="M629" s="254" t="s">
        <v>2918</v>
      </c>
      <c r="N629" s="256" t="s">
        <v>3806</v>
      </c>
      <c r="O629" s="258" t="s">
        <v>1</v>
      </c>
      <c r="P629" s="258" t="s">
        <v>121</v>
      </c>
      <c r="Q629" s="258" t="s">
        <v>241</v>
      </c>
      <c r="R629" s="258" t="s">
        <v>361</v>
      </c>
    </row>
    <row r="630" spans="1:18" ht="90" x14ac:dyDescent="0.25">
      <c r="A630" s="252" t="s">
        <v>2927</v>
      </c>
      <c r="B630" s="252" t="str">
        <f>HLOOKUP('Getting Started'!H$2,E:I,ROW(),FALSE)</f>
        <v>Equipment</v>
      </c>
      <c r="C630" s="252" t="str">
        <f>HLOOKUP('Getting Started'!H$2,J:N,ROW(),FALSE)</f>
        <v>Has procedure for determining and correcting the negative influence of defective equipment routinely been performed in the past when equipment appeared to be defective?
Ask the interviewee to show an example.</v>
      </c>
      <c r="D630" s="252" t="s">
        <v>509</v>
      </c>
      <c r="E630" s="255" t="s">
        <v>513</v>
      </c>
      <c r="F630" s="255" t="s">
        <v>1388</v>
      </c>
      <c r="G630" s="255" t="s">
        <v>1389</v>
      </c>
      <c r="H630" s="255" t="s">
        <v>1390</v>
      </c>
      <c r="J630" s="254" t="s">
        <v>2919</v>
      </c>
      <c r="K630" s="254" t="s">
        <v>2920</v>
      </c>
      <c r="L630" s="254" t="s">
        <v>2921</v>
      </c>
      <c r="M630" s="254" t="s">
        <v>2922</v>
      </c>
      <c r="N630" s="256" t="s">
        <v>3807</v>
      </c>
      <c r="O630" s="264" t="s">
        <v>1</v>
      </c>
      <c r="P630" s="264" t="s">
        <v>121</v>
      </c>
      <c r="Q630" s="264" t="s">
        <v>241</v>
      </c>
      <c r="R630" s="264" t="s">
        <v>361</v>
      </c>
    </row>
    <row r="631" spans="1:18" ht="78.75" x14ac:dyDescent="0.25">
      <c r="A631" s="252" t="s">
        <v>2968</v>
      </c>
      <c r="B631" s="252" t="str">
        <f>HLOOKUP('Getting Started'!H$2,E:I,ROW(),FALSE)</f>
        <v>Process Management</v>
      </c>
      <c r="C631" s="252" t="str">
        <f>HLOOKUP('Getting Started'!H$2,J:N,ROW(),FALSE)</f>
        <v>Is there an SOP that covers all the more simple procedures for which it is too laborious/inefficient to make separate SOPs but that are critical for proper functioning of the laboratory?</v>
      </c>
      <c r="D631" s="252" t="s">
        <v>509</v>
      </c>
      <c r="E631" s="255" t="s">
        <v>515</v>
      </c>
      <c r="F631" s="255" t="s">
        <v>1402</v>
      </c>
      <c r="G631" s="255" t="s">
        <v>1403</v>
      </c>
      <c r="H631" s="255" t="s">
        <v>1404</v>
      </c>
      <c r="J631" s="254" t="s">
        <v>2928</v>
      </c>
      <c r="K631" s="254" t="s">
        <v>2938</v>
      </c>
      <c r="L631" s="254" t="s">
        <v>2948</v>
      </c>
      <c r="M631" s="254" t="s">
        <v>2958</v>
      </c>
      <c r="N631" s="256" t="s">
        <v>3808</v>
      </c>
      <c r="O631" s="258" t="s">
        <v>1</v>
      </c>
      <c r="P631" s="258" t="s">
        <v>121</v>
      </c>
      <c r="Q631" s="264" t="s">
        <v>241</v>
      </c>
      <c r="R631" s="258" t="s">
        <v>361</v>
      </c>
    </row>
    <row r="632" spans="1:18" ht="63.75" x14ac:dyDescent="0.25">
      <c r="A632" s="252" t="s">
        <v>2969</v>
      </c>
      <c r="B632" s="252" t="str">
        <f>HLOOKUP('Getting Started'!H$2,E:I,ROW(),FALSE)</f>
        <v>Process Management</v>
      </c>
      <c r="C632" s="252" t="str">
        <f>HLOOKUP('Getting Started'!H$2,J:N,ROW(),FALSE)</f>
        <v>Is correct transportation of samples monitored on a continuous basis by the laboratory by checking of the transportation requirements in the SOP for Sample Collection are met?</v>
      </c>
      <c r="D632" s="252" t="s">
        <v>509</v>
      </c>
      <c r="E632" s="255" t="s">
        <v>515</v>
      </c>
      <c r="F632" s="255" t="s">
        <v>1402</v>
      </c>
      <c r="G632" s="255" t="s">
        <v>1403</v>
      </c>
      <c r="H632" s="255" t="s">
        <v>1404</v>
      </c>
      <c r="J632" s="254" t="s">
        <v>2929</v>
      </c>
      <c r="K632" s="254" t="s">
        <v>2939</v>
      </c>
      <c r="L632" s="254" t="s">
        <v>2949</v>
      </c>
      <c r="M632" s="254" t="s">
        <v>2959</v>
      </c>
      <c r="N632" s="256" t="s">
        <v>3809</v>
      </c>
      <c r="O632" s="258" t="s">
        <v>1</v>
      </c>
      <c r="P632" s="258" t="s">
        <v>121</v>
      </c>
      <c r="Q632" s="264" t="s">
        <v>241</v>
      </c>
      <c r="R632" s="258" t="s">
        <v>361</v>
      </c>
    </row>
    <row r="633" spans="1:18" ht="47.25" x14ac:dyDescent="0.25">
      <c r="A633" s="252" t="s">
        <v>2970</v>
      </c>
      <c r="B633" s="252" t="str">
        <f>HLOOKUP('Getting Started'!H$2,E:I,ROW(),FALSE)</f>
        <v>Process Management</v>
      </c>
      <c r="C633" s="252" t="str">
        <f>HLOOKUP('Getting Started'!H$2,J:N,ROW(),FALSE)</f>
        <v>If problems arise in transportation of samples, does the laboratory investigate these problems to find the cause?</v>
      </c>
      <c r="D633" s="252" t="s">
        <v>509</v>
      </c>
      <c r="E633" s="255" t="s">
        <v>515</v>
      </c>
      <c r="F633" s="255" t="s">
        <v>1402</v>
      </c>
      <c r="G633" s="255" t="s">
        <v>1403</v>
      </c>
      <c r="H633" s="255" t="s">
        <v>1404</v>
      </c>
      <c r="J633" s="254" t="s">
        <v>2930</v>
      </c>
      <c r="K633" s="254" t="s">
        <v>2940</v>
      </c>
      <c r="L633" s="254" t="s">
        <v>2950</v>
      </c>
      <c r="M633" s="254" t="s">
        <v>2960</v>
      </c>
      <c r="N633" s="256" t="s">
        <v>3810</v>
      </c>
      <c r="O633" s="258" t="s">
        <v>1</v>
      </c>
      <c r="P633" s="258" t="s">
        <v>121</v>
      </c>
      <c r="Q633" s="264" t="s">
        <v>241</v>
      </c>
      <c r="R633" s="258" t="s">
        <v>361</v>
      </c>
    </row>
    <row r="634" spans="1:18" ht="47.25" x14ac:dyDescent="0.25">
      <c r="A634" s="252" t="s">
        <v>2971</v>
      </c>
      <c r="B634" s="252" t="str">
        <f>HLOOKUP('Getting Started'!H$2,E:I,ROW(),FALSE)</f>
        <v>Process Management</v>
      </c>
      <c r="C634" s="252" t="str">
        <f>HLOOKUP('Getting Started'!H$2,J:N,ROW(),FALSE)</f>
        <v>If problems arise in transportation of samples, is a nonconformity form always completed?</v>
      </c>
      <c r="D634" s="252" t="s">
        <v>509</v>
      </c>
      <c r="E634" s="255" t="s">
        <v>515</v>
      </c>
      <c r="F634" s="255" t="s">
        <v>1402</v>
      </c>
      <c r="G634" s="255" t="s">
        <v>1403</v>
      </c>
      <c r="H634" s="255" t="s">
        <v>1404</v>
      </c>
      <c r="J634" s="254" t="s">
        <v>2931</v>
      </c>
      <c r="K634" s="254" t="s">
        <v>2941</v>
      </c>
      <c r="L634" s="254" t="s">
        <v>2951</v>
      </c>
      <c r="M634" s="254" t="s">
        <v>2961</v>
      </c>
      <c r="N634" s="256" t="s">
        <v>3811</v>
      </c>
      <c r="O634" s="258" t="s">
        <v>1</v>
      </c>
      <c r="P634" s="258" t="s">
        <v>121</v>
      </c>
      <c r="Q634" s="264" t="s">
        <v>241</v>
      </c>
      <c r="R634" s="258" t="s">
        <v>361</v>
      </c>
    </row>
    <row r="635" spans="1:18" ht="47.25" x14ac:dyDescent="0.25">
      <c r="A635" s="252" t="s">
        <v>2972</v>
      </c>
      <c r="B635" s="252" t="str">
        <f>HLOOKUP('Getting Started'!H$2,E:I,ROW(),FALSE)</f>
        <v>Process Management</v>
      </c>
      <c r="C635" s="252" t="str">
        <f>HLOOKUP('Getting Started'!H$2,J:N,ROW(),FALSE)</f>
        <v>Are corrective and preventive actions undertaken to solve problems in sample transportation?</v>
      </c>
      <c r="D635" s="252" t="s">
        <v>509</v>
      </c>
      <c r="E635" s="255" t="s">
        <v>515</v>
      </c>
      <c r="F635" s="255" t="s">
        <v>1402</v>
      </c>
      <c r="G635" s="255" t="s">
        <v>1403</v>
      </c>
      <c r="H635" s="255" t="s">
        <v>1404</v>
      </c>
      <c r="J635" s="254" t="s">
        <v>2932</v>
      </c>
      <c r="K635" s="254" t="s">
        <v>2942</v>
      </c>
      <c r="L635" s="254" t="s">
        <v>2952</v>
      </c>
      <c r="M635" s="254" t="s">
        <v>2962</v>
      </c>
      <c r="N635" s="256" t="s">
        <v>3812</v>
      </c>
      <c r="O635" s="258" t="s">
        <v>1</v>
      </c>
      <c r="P635" s="258" t="s">
        <v>121</v>
      </c>
      <c r="Q635" s="264" t="s">
        <v>241</v>
      </c>
      <c r="R635" s="258" t="s">
        <v>361</v>
      </c>
    </row>
    <row r="636" spans="1:18" ht="47.25" x14ac:dyDescent="0.25">
      <c r="A636" s="252" t="s">
        <v>2973</v>
      </c>
      <c r="B636" s="252" t="str">
        <f>HLOOKUP('Getting Started'!H$2,E:I,ROW(),FALSE)</f>
        <v>Process Management</v>
      </c>
      <c r="C636" s="252" t="str">
        <f>HLOOKUP('Getting Started'!H$2,J:N,ROW(),FALSE)</f>
        <v>Is the effect of the preventive/corrective actions to solve problems regarding sample transport evaluated to see if they worked?</v>
      </c>
      <c r="D636" s="252" t="s">
        <v>509</v>
      </c>
      <c r="E636" s="255" t="s">
        <v>515</v>
      </c>
      <c r="F636" s="255" t="s">
        <v>1402</v>
      </c>
      <c r="G636" s="255" t="s">
        <v>1403</v>
      </c>
      <c r="H636" s="255" t="s">
        <v>1404</v>
      </c>
      <c r="J636" s="254" t="s">
        <v>2933</v>
      </c>
      <c r="K636" s="254" t="s">
        <v>2943</v>
      </c>
      <c r="L636" s="254" t="s">
        <v>2953</v>
      </c>
      <c r="M636" s="254" t="s">
        <v>2963</v>
      </c>
      <c r="N636" s="256" t="s">
        <v>3813</v>
      </c>
      <c r="O636" s="258" t="s">
        <v>1</v>
      </c>
      <c r="P636" s="258" t="s">
        <v>121</v>
      </c>
      <c r="Q636" s="264" t="s">
        <v>241</v>
      </c>
      <c r="R636" s="258" t="s">
        <v>361</v>
      </c>
    </row>
    <row r="637" spans="1:18" ht="47.25" x14ac:dyDescent="0.25">
      <c r="A637" s="252" t="s">
        <v>2974</v>
      </c>
      <c r="B637" s="252" t="str">
        <f>HLOOKUP('Getting Started'!H$2,E:I,ROW(),FALSE)</f>
        <v>Process Management</v>
      </c>
      <c r="C637" s="252" t="str">
        <f>HLOOKUP('Getting Started'!H$2,J:N,ROW(),FALSE)</f>
        <v>Does the laboratory monitor correct performance of all its processes using quality indicators?</v>
      </c>
      <c r="D637" s="252" t="s">
        <v>509</v>
      </c>
      <c r="E637" s="255" t="s">
        <v>515</v>
      </c>
      <c r="F637" s="255" t="s">
        <v>1402</v>
      </c>
      <c r="G637" s="255" t="s">
        <v>1403</v>
      </c>
      <c r="H637" s="255" t="s">
        <v>1404</v>
      </c>
      <c r="J637" s="254" t="s">
        <v>2934</v>
      </c>
      <c r="K637" s="254" t="s">
        <v>2944</v>
      </c>
      <c r="L637" s="254" t="s">
        <v>2954</v>
      </c>
      <c r="M637" s="254" t="s">
        <v>2964</v>
      </c>
      <c r="N637" s="256" t="s">
        <v>3814</v>
      </c>
      <c r="O637" s="258" t="s">
        <v>1</v>
      </c>
      <c r="P637" s="258" t="s">
        <v>121</v>
      </c>
      <c r="Q637" s="264" t="s">
        <v>241</v>
      </c>
      <c r="R637" s="258" t="s">
        <v>361</v>
      </c>
    </row>
    <row r="638" spans="1:18" ht="63" x14ac:dyDescent="0.25">
      <c r="A638" s="252" t="s">
        <v>2975</v>
      </c>
      <c r="B638" s="252" t="str">
        <f>HLOOKUP('Getting Started'!H$2,E:I,ROW(),FALSE)</f>
        <v>Process Management</v>
      </c>
      <c r="C638" s="252" t="str">
        <f>HLOOKUP('Getting Started'!H$2,J:N,ROW(),FALSE)</f>
        <v>Is action undertaken upon detection of a sudden change in the value of a quality indictors to identify and solve the problem and prevent it from reoccurring?</v>
      </c>
      <c r="D638" s="252" t="s">
        <v>509</v>
      </c>
      <c r="E638" s="255" t="s">
        <v>515</v>
      </c>
      <c r="F638" s="255" t="s">
        <v>1402</v>
      </c>
      <c r="G638" s="255" t="s">
        <v>1403</v>
      </c>
      <c r="H638" s="255" t="s">
        <v>1404</v>
      </c>
      <c r="J638" s="254" t="s">
        <v>2935</v>
      </c>
      <c r="K638" s="254" t="s">
        <v>2945</v>
      </c>
      <c r="L638" s="254" t="s">
        <v>2955</v>
      </c>
      <c r="M638" s="254" t="s">
        <v>2965</v>
      </c>
      <c r="N638" s="256" t="s">
        <v>3815</v>
      </c>
      <c r="O638" s="258" t="s">
        <v>1</v>
      </c>
      <c r="P638" s="258" t="s">
        <v>121</v>
      </c>
      <c r="Q638" s="264" t="s">
        <v>241</v>
      </c>
      <c r="R638" s="258" t="s">
        <v>361</v>
      </c>
    </row>
    <row r="639" spans="1:18" ht="47.25" x14ac:dyDescent="0.25">
      <c r="A639" s="252" t="s">
        <v>2976</v>
      </c>
      <c r="B639" s="252" t="str">
        <f>HLOOKUP('Getting Started'!H$2,E:I,ROW(),FALSE)</f>
        <v>Process Management</v>
      </c>
      <c r="C639" s="252" t="str">
        <f>HLOOKUP('Getting Started'!H$2,J:N,ROW(),FALSE)</f>
        <v>Have limits of acceptability been set for each quality indicator?</v>
      </c>
      <c r="D639" s="252" t="s">
        <v>509</v>
      </c>
      <c r="E639" s="255" t="s">
        <v>515</v>
      </c>
      <c r="F639" s="255" t="s">
        <v>1402</v>
      </c>
      <c r="G639" s="255" t="s">
        <v>1403</v>
      </c>
      <c r="H639" s="255" t="s">
        <v>1404</v>
      </c>
      <c r="J639" s="254" t="s">
        <v>2936</v>
      </c>
      <c r="K639" s="254" t="s">
        <v>2946</v>
      </c>
      <c r="L639" s="254" t="s">
        <v>2956</v>
      </c>
      <c r="M639" s="254" t="s">
        <v>2966</v>
      </c>
      <c r="N639" s="256" t="s">
        <v>3816</v>
      </c>
      <c r="O639" s="258" t="s">
        <v>1</v>
      </c>
      <c r="P639" s="258" t="s">
        <v>121</v>
      </c>
      <c r="Q639" s="264" t="s">
        <v>241</v>
      </c>
      <c r="R639" s="258" t="s">
        <v>361</v>
      </c>
    </row>
    <row r="640" spans="1:18" ht="63" x14ac:dyDescent="0.25">
      <c r="A640" s="252" t="s">
        <v>2977</v>
      </c>
      <c r="B640" s="252" t="str">
        <f>HLOOKUP('Getting Started'!H$2,E:I,ROW(),FALSE)</f>
        <v>Process Management</v>
      </c>
      <c r="C640" s="252" t="str">
        <f>HLOOKUP('Getting Started'!H$2,J:N,ROW(),FALSE)</f>
        <v>Are actions undertaken to optimize the laboratory processes such that the limits of acceptability for each quality indicator aren’t exceeded any longer?</v>
      </c>
      <c r="D640" s="252" t="s">
        <v>509</v>
      </c>
      <c r="E640" s="255" t="s">
        <v>515</v>
      </c>
      <c r="F640" s="255" t="s">
        <v>1402</v>
      </c>
      <c r="G640" s="255" t="s">
        <v>1403</v>
      </c>
      <c r="H640" s="255" t="s">
        <v>1404</v>
      </c>
      <c r="J640" s="254" t="s">
        <v>2937</v>
      </c>
      <c r="K640" s="254" t="s">
        <v>2947</v>
      </c>
      <c r="L640" s="254" t="s">
        <v>2957</v>
      </c>
      <c r="M640" s="254" t="s">
        <v>2967</v>
      </c>
      <c r="N640" s="256" t="s">
        <v>3817</v>
      </c>
      <c r="O640" s="258" t="s">
        <v>1</v>
      </c>
      <c r="Q640" s="264" t="s">
        <v>241</v>
      </c>
      <c r="R640" s="258" t="s">
        <v>361</v>
      </c>
    </row>
    <row r="641" spans="1:18" ht="60" x14ac:dyDescent="0.25">
      <c r="A641" s="252" t="s">
        <v>3002</v>
      </c>
      <c r="B641" s="252" t="str">
        <f>HLOOKUP('Getting Started'!H$2,E:I,ROW(),FALSE)</f>
        <v>Customer Focus</v>
      </c>
      <c r="C641" s="252" t="str">
        <f>HLOOKUP('Getting Started'!H$2,J:N,ROW(),FALSE)</f>
        <v>Have specific staff members been authorized to communicate with clients so that proper communication and information provision to clients is ensured?</v>
      </c>
      <c r="D641" s="252" t="s">
        <v>509</v>
      </c>
      <c r="E641" s="255" t="s">
        <v>814</v>
      </c>
      <c r="F641" s="255" t="s">
        <v>1382</v>
      </c>
      <c r="G641" s="255" t="s">
        <v>1383</v>
      </c>
      <c r="H641" s="255" t="s">
        <v>1384</v>
      </c>
      <c r="J641" s="254" t="s">
        <v>2978</v>
      </c>
      <c r="K641" s="254" t="s">
        <v>2984</v>
      </c>
      <c r="L641" s="254" t="s">
        <v>2990</v>
      </c>
      <c r="M641" s="254" t="s">
        <v>2996</v>
      </c>
      <c r="N641" s="256" t="s">
        <v>3818</v>
      </c>
      <c r="O641" s="258" t="s">
        <v>1</v>
      </c>
      <c r="P641" s="258" t="s">
        <v>121</v>
      </c>
      <c r="Q641" s="258" t="s">
        <v>241</v>
      </c>
      <c r="R641" s="258" t="s">
        <v>361</v>
      </c>
    </row>
    <row r="642" spans="1:18" ht="31.5" x14ac:dyDescent="0.25">
      <c r="A642" s="252" t="s">
        <v>3003</v>
      </c>
      <c r="B642" s="252" t="str">
        <f>HLOOKUP('Getting Started'!H$2,E:I,ROW(),FALSE)</f>
        <v>Customer Focus</v>
      </c>
      <c r="C642" s="252" t="str">
        <f>HLOOKUP('Getting Started'!H$2,J:N,ROW(),FALSE)</f>
        <v>Are specific laboratory staff members authorized to participate in clinical rounds?</v>
      </c>
      <c r="D642" s="252" t="s">
        <v>509</v>
      </c>
      <c r="E642" s="255" t="s">
        <v>814</v>
      </c>
      <c r="F642" s="255" t="s">
        <v>1382</v>
      </c>
      <c r="G642" s="255" t="s">
        <v>1383</v>
      </c>
      <c r="H642" s="255" t="s">
        <v>1384</v>
      </c>
      <c r="J642" s="254" t="s">
        <v>2979</v>
      </c>
      <c r="K642" s="254" t="s">
        <v>2985</v>
      </c>
      <c r="L642" s="254" t="s">
        <v>2991</v>
      </c>
      <c r="M642" s="254" t="s">
        <v>2997</v>
      </c>
      <c r="N642" s="256" t="s">
        <v>3819</v>
      </c>
      <c r="O642" s="258" t="s">
        <v>1</v>
      </c>
      <c r="P642" s="258" t="s">
        <v>121</v>
      </c>
      <c r="Q642" s="258" t="s">
        <v>241</v>
      </c>
      <c r="R642" s="258" t="s">
        <v>361</v>
      </c>
    </row>
    <row r="643" spans="1:18" ht="47.25" x14ac:dyDescent="0.25">
      <c r="A643" s="252" t="s">
        <v>3004</v>
      </c>
      <c r="B643" s="252" t="str">
        <f>HLOOKUP('Getting Started'!H$2,E:I,ROW(),FALSE)</f>
        <v>Customer Focus</v>
      </c>
      <c r="C643" s="252" t="str">
        <f>HLOOKUP('Getting Started'!H$2,J:N,ROW(),FALSE)</f>
        <v>Do laboratory staff members participate in clinical rounds at least 4 times per year?</v>
      </c>
      <c r="D643" s="252" t="s">
        <v>509</v>
      </c>
      <c r="E643" s="255" t="s">
        <v>814</v>
      </c>
      <c r="F643" s="255" t="s">
        <v>1382</v>
      </c>
      <c r="G643" s="255" t="s">
        <v>1383</v>
      </c>
      <c r="H643" s="255" t="s">
        <v>1384</v>
      </c>
      <c r="J643" s="254" t="s">
        <v>2980</v>
      </c>
      <c r="K643" s="254" t="s">
        <v>2986</v>
      </c>
      <c r="L643" s="254" t="s">
        <v>2992</v>
      </c>
      <c r="M643" s="254" t="s">
        <v>2998</v>
      </c>
      <c r="N643" s="256" t="s">
        <v>3820</v>
      </c>
      <c r="O643" s="258" t="s">
        <v>1</v>
      </c>
      <c r="P643" s="258" t="s">
        <v>121</v>
      </c>
      <c r="Q643" s="258" t="s">
        <v>241</v>
      </c>
      <c r="R643" s="258" t="s">
        <v>361</v>
      </c>
    </row>
    <row r="644" spans="1:18" ht="47.25" x14ac:dyDescent="0.25">
      <c r="A644" s="252" t="s">
        <v>3005</v>
      </c>
      <c r="B644" s="252" t="str">
        <f>HLOOKUP('Getting Started'!H$2,E:I,ROW(),FALSE)</f>
        <v>Customer Focus</v>
      </c>
      <c r="C644" s="252" t="str">
        <f>HLOOKUP('Getting Started'!H$2,J:N,ROW(),FALSE)</f>
        <v>Are meetings between laboratory staff and clinical staff held at least 4 times per year?</v>
      </c>
      <c r="D644" s="252" t="s">
        <v>509</v>
      </c>
      <c r="E644" s="255" t="s">
        <v>814</v>
      </c>
      <c r="F644" s="255" t="s">
        <v>1382</v>
      </c>
      <c r="G644" s="255" t="s">
        <v>1383</v>
      </c>
      <c r="H644" s="255" t="s">
        <v>1384</v>
      </c>
      <c r="J644" s="254" t="s">
        <v>2981</v>
      </c>
      <c r="K644" s="254" t="s">
        <v>2987</v>
      </c>
      <c r="L644" s="254" t="s">
        <v>2993</v>
      </c>
      <c r="M644" s="254" t="s">
        <v>2999</v>
      </c>
      <c r="N644" s="256" t="s">
        <v>3821</v>
      </c>
      <c r="O644" s="258" t="s">
        <v>1</v>
      </c>
      <c r="P644" s="258" t="s">
        <v>121</v>
      </c>
      <c r="Q644" s="258" t="s">
        <v>241</v>
      </c>
      <c r="R644" s="258" t="s">
        <v>361</v>
      </c>
    </row>
    <row r="645" spans="1:18" ht="31.5" x14ac:dyDescent="0.25">
      <c r="A645" s="252" t="s">
        <v>3006</v>
      </c>
      <c r="B645" s="252" t="str">
        <f>HLOOKUP('Getting Started'!H$2,E:I,ROW(),FALSE)</f>
        <v>Customer Focus</v>
      </c>
      <c r="C645" s="252" t="str">
        <f>HLOOKUP('Getting Started'!H$2,J:N,ROW(),FALSE)</f>
        <v>Are minutes made of meetings between laboratory staff and clinical staff?</v>
      </c>
      <c r="D645" s="252" t="s">
        <v>509</v>
      </c>
      <c r="E645" s="255" t="s">
        <v>814</v>
      </c>
      <c r="F645" s="255" t="s">
        <v>1382</v>
      </c>
      <c r="G645" s="255" t="s">
        <v>1383</v>
      </c>
      <c r="H645" s="255" t="s">
        <v>1384</v>
      </c>
      <c r="J645" s="254" t="s">
        <v>2982</v>
      </c>
      <c r="K645" s="254" t="s">
        <v>2988</v>
      </c>
      <c r="L645" s="254" t="s">
        <v>2994</v>
      </c>
      <c r="M645" s="254" t="s">
        <v>3000</v>
      </c>
      <c r="N645" s="256" t="s">
        <v>3822</v>
      </c>
      <c r="O645" s="258" t="s">
        <v>1</v>
      </c>
      <c r="P645" s="258" t="s">
        <v>121</v>
      </c>
      <c r="Q645" s="258" t="s">
        <v>241</v>
      </c>
      <c r="R645" s="258" t="s">
        <v>361</v>
      </c>
    </row>
    <row r="646" spans="1:18" ht="51" x14ac:dyDescent="0.25">
      <c r="A646" s="252" t="s">
        <v>3007</v>
      </c>
      <c r="B646" s="252" t="str">
        <f>HLOOKUP('Getting Started'!H$2,E:I,ROW(),FALSE)</f>
        <v>Customer Focus</v>
      </c>
      <c r="C646" s="252" t="str">
        <f>HLOOKUP('Getting Started'!H$2,J:N,ROW(),FALSE)</f>
        <v>If action points arise from a meeting between clinical staff and laboratory staff, is feedback given in the following meeting?</v>
      </c>
      <c r="D646" s="252" t="s">
        <v>509</v>
      </c>
      <c r="E646" s="255" t="s">
        <v>814</v>
      </c>
      <c r="F646" s="255" t="s">
        <v>1382</v>
      </c>
      <c r="G646" s="255" t="s">
        <v>1383</v>
      </c>
      <c r="H646" s="255" t="s">
        <v>1384</v>
      </c>
      <c r="J646" s="254" t="s">
        <v>2983</v>
      </c>
      <c r="K646" s="254" t="s">
        <v>2989</v>
      </c>
      <c r="L646" s="254" t="s">
        <v>2995</v>
      </c>
      <c r="M646" s="254" t="s">
        <v>3001</v>
      </c>
      <c r="N646" s="256" t="s">
        <v>3823</v>
      </c>
      <c r="O646" s="258" t="s">
        <v>1</v>
      </c>
      <c r="P646" s="258" t="s">
        <v>121</v>
      </c>
      <c r="Q646" s="258" t="s">
        <v>241</v>
      </c>
      <c r="R646" s="258" t="s">
        <v>361</v>
      </c>
    </row>
    <row r="647" spans="1:18" ht="63" x14ac:dyDescent="0.25">
      <c r="A647" s="252" t="s">
        <v>3024</v>
      </c>
      <c r="B647" s="252" t="str">
        <f>HLOOKUP('Getting Started'!H$2,E:I,ROW(),FALSE)</f>
        <v>Assessment</v>
      </c>
      <c r="C647" s="252" t="str">
        <f>HLOOKUP('Getting Started'!H$2,J:N,ROW(),FALSE)</f>
        <v>Has an external audit been performed to verify complete and correct implementation of the quality management system in compliance with ISO 15189 before the laboratory applies for accreditation?</v>
      </c>
      <c r="D647" s="252" t="s">
        <v>509</v>
      </c>
      <c r="E647" s="255" t="s">
        <v>517</v>
      </c>
      <c r="F647" s="255" t="s">
        <v>1379</v>
      </c>
      <c r="G647" s="255" t="s">
        <v>1380</v>
      </c>
      <c r="H647" s="255" t="s">
        <v>1381</v>
      </c>
      <c r="I647" s="267"/>
      <c r="J647" s="254" t="s">
        <v>3008</v>
      </c>
      <c r="K647" s="254" t="s">
        <v>3012</v>
      </c>
      <c r="L647" s="254" t="s">
        <v>3016</v>
      </c>
      <c r="M647" s="254" t="s">
        <v>3020</v>
      </c>
      <c r="N647" s="256" t="s">
        <v>3824</v>
      </c>
      <c r="O647" s="258" t="s">
        <v>1</v>
      </c>
      <c r="P647" s="258" t="s">
        <v>121</v>
      </c>
      <c r="Q647" s="258" t="s">
        <v>241</v>
      </c>
      <c r="R647" s="258" t="s">
        <v>361</v>
      </c>
    </row>
    <row r="648" spans="1:18" ht="94.5" x14ac:dyDescent="0.25">
      <c r="A648" s="252" t="s">
        <v>3025</v>
      </c>
      <c r="B648" s="252" t="str">
        <f>HLOOKUP('Getting Started'!H$2,E:I,ROW(),FALSE)</f>
        <v>Assessment</v>
      </c>
      <c r="C648" s="252" t="str">
        <f>HLOOKUP('Getting Started'!H$2,J:N,ROW(),FALSE)</f>
        <v>Are action plans made to solve/correct the nonconformities identified in the external mock audit with corrective actions and control steps and preventive actions when necessary and applicable?</v>
      </c>
      <c r="D648" s="252" t="s">
        <v>509</v>
      </c>
      <c r="E648" s="255" t="s">
        <v>517</v>
      </c>
      <c r="F648" s="255" t="s">
        <v>1379</v>
      </c>
      <c r="G648" s="255" t="s">
        <v>1380</v>
      </c>
      <c r="H648" s="255" t="s">
        <v>1381</v>
      </c>
      <c r="I648" s="267"/>
      <c r="J648" s="254" t="s">
        <v>3009</v>
      </c>
      <c r="K648" s="254" t="s">
        <v>3013</v>
      </c>
      <c r="L648" s="254" t="s">
        <v>3017</v>
      </c>
      <c r="M648" s="254" t="s">
        <v>3021</v>
      </c>
      <c r="N648" s="256" t="s">
        <v>3825</v>
      </c>
      <c r="O648" s="258" t="s">
        <v>1</v>
      </c>
      <c r="P648" s="258" t="s">
        <v>121</v>
      </c>
      <c r="Q648" s="258" t="s">
        <v>241</v>
      </c>
      <c r="R648" s="258" t="s">
        <v>361</v>
      </c>
    </row>
    <row r="649" spans="1:18" ht="47.25" x14ac:dyDescent="0.25">
      <c r="A649" s="252" t="s">
        <v>3026</v>
      </c>
      <c r="B649" s="252" t="str">
        <f>HLOOKUP('Getting Started'!H$2,E:I,ROW(),FALSE)</f>
        <v>Assessment</v>
      </c>
      <c r="C649" s="252" t="str">
        <f>HLOOKUP('Getting Started'!H$2,J:N,ROW(),FALSE)</f>
        <v>Is timely implementation of the action plans following the external mock audit monitored?</v>
      </c>
      <c r="D649" s="252" t="s">
        <v>509</v>
      </c>
      <c r="E649" s="255" t="s">
        <v>517</v>
      </c>
      <c r="F649" s="255" t="s">
        <v>1379</v>
      </c>
      <c r="G649" s="255" t="s">
        <v>1380</v>
      </c>
      <c r="H649" s="255" t="s">
        <v>1381</v>
      </c>
      <c r="I649" s="267"/>
      <c r="J649" s="254" t="s">
        <v>3010</v>
      </c>
      <c r="K649" s="254" t="s">
        <v>3014</v>
      </c>
      <c r="L649" s="254" t="s">
        <v>3018</v>
      </c>
      <c r="M649" s="254" t="s">
        <v>3022</v>
      </c>
      <c r="N649" s="256" t="s">
        <v>3826</v>
      </c>
      <c r="O649" s="258" t="s">
        <v>1</v>
      </c>
      <c r="P649" s="258" t="s">
        <v>121</v>
      </c>
      <c r="Q649" s="258" t="s">
        <v>241</v>
      </c>
      <c r="R649" s="258" t="s">
        <v>361</v>
      </c>
    </row>
    <row r="650" spans="1:18" ht="47.25" x14ac:dyDescent="0.25">
      <c r="A650" s="252" t="s">
        <v>3027</v>
      </c>
      <c r="B650" s="252" t="str">
        <f>HLOOKUP('Getting Started'!H$2,E:I,ROW(),FALSE)</f>
        <v>Assessment</v>
      </c>
      <c r="C650" s="252" t="str">
        <f>HLOOKUP('Getting Started'!H$2,J:N,ROW(),FALSE)</f>
        <v>Is the audit report of the external mock audit with the action plan archived when all action points have been completed?</v>
      </c>
      <c r="D650" s="252" t="s">
        <v>509</v>
      </c>
      <c r="E650" s="255" t="s">
        <v>517</v>
      </c>
      <c r="F650" s="255" t="s">
        <v>1379</v>
      </c>
      <c r="G650" s="255" t="s">
        <v>1380</v>
      </c>
      <c r="H650" s="255" t="s">
        <v>1381</v>
      </c>
      <c r="I650" s="267"/>
      <c r="J650" s="254" t="s">
        <v>3011</v>
      </c>
      <c r="K650" s="254" t="s">
        <v>3015</v>
      </c>
      <c r="L650" s="254" t="s">
        <v>3019</v>
      </c>
      <c r="M650" s="254" t="s">
        <v>3023</v>
      </c>
      <c r="N650" s="256" t="s">
        <v>3827</v>
      </c>
      <c r="O650" s="258" t="s">
        <v>1</v>
      </c>
      <c r="P650" s="258" t="s">
        <v>121</v>
      </c>
      <c r="Q650" s="258" t="s">
        <v>241</v>
      </c>
      <c r="R650" s="258" t="s">
        <v>361</v>
      </c>
    </row>
    <row r="651" spans="1:18" ht="110.25" x14ac:dyDescent="0.25">
      <c r="A651" s="252" t="s">
        <v>3072</v>
      </c>
      <c r="B651" s="252" t="str">
        <f>HLOOKUP('Getting Started'!H$2,E:I,ROW(),FALSE)</f>
        <v>Nonconforming Event Management</v>
      </c>
      <c r="C651" s="252" t="str">
        <f>HLOOKUP('Getting Started'!H$2,J:N,ROW(),FALSE)</f>
        <v>Does the laboratory have an SOP for Nonconformity Management that ensures that nonconformities are always solved/corrected in a standardized way with corrective and preventive actions and, if necessary and applicable, control steps?</v>
      </c>
      <c r="D651" s="252" t="s">
        <v>509</v>
      </c>
      <c r="E651" s="255" t="s">
        <v>3071</v>
      </c>
      <c r="F651" s="255" t="s">
        <v>3070</v>
      </c>
      <c r="G651" s="255" t="s">
        <v>3069</v>
      </c>
      <c r="H651" s="255" t="s">
        <v>3068</v>
      </c>
      <c r="I651" s="255"/>
      <c r="J651" s="254" t="s">
        <v>3028</v>
      </c>
      <c r="K651" s="254" t="s">
        <v>3038</v>
      </c>
      <c r="L651" s="254" t="s">
        <v>3048</v>
      </c>
      <c r="M651" s="254" t="s">
        <v>3058</v>
      </c>
      <c r="N651" s="256" t="s">
        <v>3828</v>
      </c>
      <c r="O651" s="258" t="s">
        <v>1</v>
      </c>
      <c r="P651" s="258" t="s">
        <v>121</v>
      </c>
      <c r="Q651" s="258" t="s">
        <v>241</v>
      </c>
      <c r="R651" s="258" t="s">
        <v>361</v>
      </c>
    </row>
    <row r="652" spans="1:18" ht="36" x14ac:dyDescent="0.25">
      <c r="A652" s="252" t="s">
        <v>3073</v>
      </c>
      <c r="B652" s="252" t="str">
        <f>HLOOKUP('Getting Started'!H$2,E:I,ROW(),FALSE)</f>
        <v>Nonconforming Event Management</v>
      </c>
      <c r="C652" s="252" t="str">
        <f>HLOOKUP('Getting Started'!H$2,J:N,ROW(),FALSE)</f>
        <v>Does the laboratory have an SOP on Handling of Complaints?</v>
      </c>
      <c r="D652" s="252" t="s">
        <v>509</v>
      </c>
      <c r="E652" s="255" t="s">
        <v>3071</v>
      </c>
      <c r="F652" s="255" t="s">
        <v>3070</v>
      </c>
      <c r="G652" s="255" t="s">
        <v>3069</v>
      </c>
      <c r="H652" s="255" t="s">
        <v>3068</v>
      </c>
      <c r="I652" s="267"/>
      <c r="J652" s="254" t="s">
        <v>3029</v>
      </c>
      <c r="K652" s="254" t="s">
        <v>3039</v>
      </c>
      <c r="L652" s="254" t="s">
        <v>3049</v>
      </c>
      <c r="M652" s="254" t="s">
        <v>3059</v>
      </c>
      <c r="N652" s="256" t="s">
        <v>3829</v>
      </c>
      <c r="O652" s="258" t="s">
        <v>1</v>
      </c>
      <c r="P652" s="258" t="s">
        <v>121</v>
      </c>
      <c r="Q652" s="258" t="s">
        <v>241</v>
      </c>
      <c r="R652" s="258" t="s">
        <v>361</v>
      </c>
    </row>
    <row r="653" spans="1:18" ht="36" x14ac:dyDescent="0.25">
      <c r="A653" s="252" t="s">
        <v>3074</v>
      </c>
      <c r="B653" s="252" t="str">
        <f>HLOOKUP('Getting Started'!H$2,E:I,ROW(),FALSE)</f>
        <v>Nonconforming Event Management</v>
      </c>
      <c r="C653" s="252" t="str">
        <f>HLOOKUP('Getting Started'!H$2,J:N,ROW(),FALSE)</f>
        <v>Are complaints handled in a standardized way?</v>
      </c>
      <c r="D653" s="252" t="s">
        <v>509</v>
      </c>
      <c r="E653" s="255" t="s">
        <v>3071</v>
      </c>
      <c r="F653" s="255" t="s">
        <v>3070</v>
      </c>
      <c r="G653" s="255" t="s">
        <v>3069</v>
      </c>
      <c r="H653" s="255" t="s">
        <v>3068</v>
      </c>
      <c r="I653" s="267"/>
      <c r="J653" s="254" t="s">
        <v>3030</v>
      </c>
      <c r="K653" s="254" t="s">
        <v>3040</v>
      </c>
      <c r="L653" s="254" t="s">
        <v>3050</v>
      </c>
      <c r="M653" s="254" t="s">
        <v>3060</v>
      </c>
      <c r="N653" s="256" t="s">
        <v>3830</v>
      </c>
      <c r="O653" s="258" t="s">
        <v>1</v>
      </c>
      <c r="P653" s="258" t="s">
        <v>121</v>
      </c>
      <c r="Q653" s="258" t="s">
        <v>241</v>
      </c>
      <c r="R653" s="258" t="s">
        <v>361</v>
      </c>
    </row>
    <row r="654" spans="1:18" ht="47.25" x14ac:dyDescent="0.25">
      <c r="A654" s="252" t="s">
        <v>3075</v>
      </c>
      <c r="B654" s="252" t="str">
        <f>HLOOKUP('Getting Started'!H$2,E:I,ROW(),FALSE)</f>
        <v>Nonconforming Event Management</v>
      </c>
      <c r="C654" s="252" t="str">
        <f>HLOOKUP('Getting Started'!H$2,J:N,ROW(),FALSE)</f>
        <v>Are complainers informed about the solution that was developed based on their complaint?</v>
      </c>
      <c r="D654" s="252" t="s">
        <v>509</v>
      </c>
      <c r="E654" s="255" t="s">
        <v>3071</v>
      </c>
      <c r="F654" s="255" t="s">
        <v>3070</v>
      </c>
      <c r="G654" s="255" t="s">
        <v>3069</v>
      </c>
      <c r="H654" s="255" t="s">
        <v>3068</v>
      </c>
      <c r="I654" s="267"/>
      <c r="J654" s="254" t="s">
        <v>3031</v>
      </c>
      <c r="K654" s="254" t="s">
        <v>3041</v>
      </c>
      <c r="L654" s="254" t="s">
        <v>3051</v>
      </c>
      <c r="M654" s="254" t="s">
        <v>3061</v>
      </c>
      <c r="N654" s="256" t="s">
        <v>3831</v>
      </c>
      <c r="O654" s="258" t="s">
        <v>1</v>
      </c>
      <c r="P654" s="258" t="s">
        <v>121</v>
      </c>
      <c r="Q654" s="258" t="s">
        <v>241</v>
      </c>
      <c r="R654" s="258" t="s">
        <v>361</v>
      </c>
    </row>
    <row r="655" spans="1:18" ht="38.25" x14ac:dyDescent="0.25">
      <c r="A655" s="252" t="s">
        <v>3076</v>
      </c>
      <c r="B655" s="252" t="str">
        <f>HLOOKUP('Getting Started'!H$2,E:I,ROW(),FALSE)</f>
        <v>Nonconforming Event Management</v>
      </c>
      <c r="C655" s="252" t="str">
        <f>HLOOKUP('Getting Started'!H$2,J:N,ROW(),FALSE)</f>
        <v>Has the laboratory procedures in place on how to act in specific emergency situations?</v>
      </c>
      <c r="D655" s="252" t="s">
        <v>509</v>
      </c>
      <c r="E655" s="255" t="s">
        <v>3071</v>
      </c>
      <c r="F655" s="255" t="s">
        <v>3070</v>
      </c>
      <c r="G655" s="255" t="s">
        <v>3069</v>
      </c>
      <c r="H655" s="255" t="s">
        <v>3068</v>
      </c>
      <c r="I655" s="267"/>
      <c r="J655" s="254" t="s">
        <v>3032</v>
      </c>
      <c r="K655" s="254" t="s">
        <v>3042</v>
      </c>
      <c r="L655" s="254" t="s">
        <v>3052</v>
      </c>
      <c r="M655" s="254" t="s">
        <v>3062</v>
      </c>
      <c r="N655" s="256" t="s">
        <v>3832</v>
      </c>
      <c r="O655" s="258" t="s">
        <v>1</v>
      </c>
      <c r="P655" s="258" t="s">
        <v>121</v>
      </c>
      <c r="Q655" s="258" t="s">
        <v>241</v>
      </c>
      <c r="R655" s="258" t="s">
        <v>361</v>
      </c>
    </row>
    <row r="656" spans="1:18" ht="36" x14ac:dyDescent="0.25">
      <c r="A656" s="252" t="s">
        <v>3077</v>
      </c>
      <c r="B656" s="252" t="str">
        <f>HLOOKUP('Getting Started'!H$2,E:I,ROW(),FALSE)</f>
        <v>Nonconforming Event Management</v>
      </c>
      <c r="C656" s="252" t="str">
        <f>HLOOKUP('Getting Started'!H$2,J:N,ROW(),FALSE)</f>
        <v>Is firefighting equipment in place?</v>
      </c>
      <c r="D656" s="252" t="s">
        <v>509</v>
      </c>
      <c r="E656" s="255" t="s">
        <v>3071</v>
      </c>
      <c r="F656" s="255" t="s">
        <v>3070</v>
      </c>
      <c r="G656" s="255" t="s">
        <v>3069</v>
      </c>
      <c r="H656" s="255" t="s">
        <v>3068</v>
      </c>
      <c r="I656" s="267"/>
      <c r="J656" s="254" t="s">
        <v>3033</v>
      </c>
      <c r="K656" s="254" t="s">
        <v>3043</v>
      </c>
      <c r="L656" s="254" t="s">
        <v>3053</v>
      </c>
      <c r="M656" s="254" t="s">
        <v>3063</v>
      </c>
      <c r="N656" s="256" t="s">
        <v>3833</v>
      </c>
      <c r="O656" s="258" t="s">
        <v>1</v>
      </c>
      <c r="P656" s="258" t="s">
        <v>121</v>
      </c>
      <c r="Q656" s="258" t="s">
        <v>241</v>
      </c>
      <c r="R656" s="258" t="s">
        <v>361</v>
      </c>
    </row>
    <row r="657" spans="1:18" ht="36" x14ac:dyDescent="0.25">
      <c r="A657" s="252" t="s">
        <v>3078</v>
      </c>
      <c r="B657" s="252" t="str">
        <f>HLOOKUP('Getting Started'!H$2,E:I,ROW(),FALSE)</f>
        <v>Nonconforming Event Management</v>
      </c>
      <c r="C657" s="252" t="str">
        <f>HLOOKUP('Getting Started'!H$2,J:N,ROW(),FALSE)</f>
        <v>Is an evacuation plan in place?</v>
      </c>
      <c r="D657" s="252" t="s">
        <v>509</v>
      </c>
      <c r="E657" s="255" t="s">
        <v>3071</v>
      </c>
      <c r="F657" s="255" t="s">
        <v>3070</v>
      </c>
      <c r="G657" s="255" t="s">
        <v>3069</v>
      </c>
      <c r="H657" s="255" t="s">
        <v>3068</v>
      </c>
      <c r="I657" s="267"/>
      <c r="J657" s="254" t="s">
        <v>3034</v>
      </c>
      <c r="K657" s="254" t="s">
        <v>3044</v>
      </c>
      <c r="L657" s="254" t="s">
        <v>3054</v>
      </c>
      <c r="M657" s="254" t="s">
        <v>3064</v>
      </c>
      <c r="N657" s="256" t="s">
        <v>3834</v>
      </c>
      <c r="O657" s="258" t="s">
        <v>1</v>
      </c>
      <c r="P657" s="258" t="s">
        <v>121</v>
      </c>
      <c r="Q657" s="258" t="s">
        <v>241</v>
      </c>
      <c r="R657" s="258" t="s">
        <v>361</v>
      </c>
    </row>
    <row r="658" spans="1:18" ht="36" x14ac:dyDescent="0.25">
      <c r="A658" s="252" t="s">
        <v>3079</v>
      </c>
      <c r="B658" s="252" t="str">
        <f>HLOOKUP('Getting Started'!H$2,E:I,ROW(),FALSE)</f>
        <v>Nonconforming Event Management</v>
      </c>
      <c r="C658" s="252" t="str">
        <f>HLOOKUP('Getting Started'!H$2,J:N,ROW(),FALSE)</f>
        <v>Are evacuation routes indicated?</v>
      </c>
      <c r="D658" s="252" t="s">
        <v>509</v>
      </c>
      <c r="E658" s="255" t="s">
        <v>3071</v>
      </c>
      <c r="F658" s="255" t="s">
        <v>3070</v>
      </c>
      <c r="G658" s="255" t="s">
        <v>3069</v>
      </c>
      <c r="H658" s="255" t="s">
        <v>3068</v>
      </c>
      <c r="I658" s="267"/>
      <c r="J658" s="254" t="s">
        <v>3035</v>
      </c>
      <c r="K658" s="254" t="s">
        <v>3045</v>
      </c>
      <c r="L658" s="254" t="s">
        <v>3055</v>
      </c>
      <c r="M658" s="254" t="s">
        <v>3065</v>
      </c>
      <c r="N658" s="256" t="s">
        <v>3835</v>
      </c>
      <c r="O658" s="258" t="s">
        <v>1</v>
      </c>
      <c r="P658" s="258" t="s">
        <v>121</v>
      </c>
      <c r="Q658" s="258" t="s">
        <v>241</v>
      </c>
      <c r="R658" s="258" t="s">
        <v>361</v>
      </c>
    </row>
    <row r="659" spans="1:18" ht="51" x14ac:dyDescent="0.25">
      <c r="A659" s="252" t="s">
        <v>3080</v>
      </c>
      <c r="B659" s="252" t="str">
        <f>HLOOKUP('Getting Started'!H$2,E:I,ROW(),FALSE)</f>
        <v>Nonconforming Event Management</v>
      </c>
      <c r="C659" s="252" t="str">
        <f>HLOOKUP('Getting Started'!H$2,J:N,ROW(),FALSE)</f>
        <v>Are there organizational emergency arrangements in place including a division of roles and responsibilities for specific emergency situations?</v>
      </c>
      <c r="D659" s="252" t="s">
        <v>509</v>
      </c>
      <c r="E659" s="255" t="s">
        <v>3071</v>
      </c>
      <c r="F659" s="255" t="s">
        <v>3070</v>
      </c>
      <c r="G659" s="255" t="s">
        <v>3069</v>
      </c>
      <c r="H659" s="255" t="s">
        <v>3068</v>
      </c>
      <c r="I659" s="267"/>
      <c r="J659" s="254" t="s">
        <v>3036</v>
      </c>
      <c r="K659" s="254" t="s">
        <v>3046</v>
      </c>
      <c r="L659" s="254" t="s">
        <v>3056</v>
      </c>
      <c r="M659" s="254" t="s">
        <v>3066</v>
      </c>
      <c r="N659" s="256" t="s">
        <v>3836</v>
      </c>
      <c r="O659" s="258" t="s">
        <v>1</v>
      </c>
      <c r="P659" s="258" t="s">
        <v>121</v>
      </c>
      <c r="Q659" s="258" t="s">
        <v>241</v>
      </c>
      <c r="R659" s="258" t="s">
        <v>361</v>
      </c>
    </row>
    <row r="660" spans="1:18" ht="36" x14ac:dyDescent="0.25">
      <c r="A660" s="252" t="s">
        <v>3081</v>
      </c>
      <c r="B660" s="252" t="str">
        <f>HLOOKUP('Getting Started'!H$2,E:I,ROW(),FALSE)</f>
        <v>Nonconforming Event Management</v>
      </c>
      <c r="C660" s="252" t="str">
        <f>HLOOKUP('Getting Started'!H$2,J:N,ROW(),FALSE)</f>
        <v>Are procedures in place on how to handle in different emergency situations?</v>
      </c>
      <c r="D660" s="252" t="s">
        <v>509</v>
      </c>
      <c r="E660" s="255" t="s">
        <v>3071</v>
      </c>
      <c r="F660" s="255" t="s">
        <v>3070</v>
      </c>
      <c r="G660" s="255" t="s">
        <v>3069</v>
      </c>
      <c r="H660" s="255" t="s">
        <v>3068</v>
      </c>
      <c r="I660" s="267"/>
      <c r="J660" s="254" t="s">
        <v>3037</v>
      </c>
      <c r="K660" s="254" t="s">
        <v>3047</v>
      </c>
      <c r="L660" s="254" t="s">
        <v>3057</v>
      </c>
      <c r="M660" s="254" t="s">
        <v>3067</v>
      </c>
      <c r="N660" s="256" t="s">
        <v>3837</v>
      </c>
      <c r="O660" s="258" t="s">
        <v>1</v>
      </c>
      <c r="P660" s="258" t="s">
        <v>121</v>
      </c>
      <c r="Q660" s="258" t="s">
        <v>241</v>
      </c>
      <c r="R660" s="258" t="s">
        <v>361</v>
      </c>
    </row>
    <row r="661" spans="1:18" ht="63" x14ac:dyDescent="0.25">
      <c r="A661" s="252" t="s">
        <v>3106</v>
      </c>
      <c r="B661" s="252" t="str">
        <f>HLOOKUP('Getting Started'!H$2,E:I,ROW(),FALSE)</f>
        <v>Continual Improvement</v>
      </c>
      <c r="C661" s="252" t="str">
        <f>HLOOKUP('Getting Started'!H$2,J:N,ROW(),FALSE)</f>
        <v>Have failure mode and effect analyses been performed on all the procedures routinely performed in the laboratory to identify potential sources of nonconformity?</v>
      </c>
      <c r="D661" s="252" t="s">
        <v>509</v>
      </c>
      <c r="E661" s="255" t="s">
        <v>3086</v>
      </c>
      <c r="F661" s="255" t="s">
        <v>3087</v>
      </c>
      <c r="G661" s="255" t="s">
        <v>3105</v>
      </c>
      <c r="H661" s="255" t="s">
        <v>3104</v>
      </c>
      <c r="I661" s="267"/>
      <c r="J661" s="254" t="s">
        <v>3082</v>
      </c>
      <c r="K661" s="254" t="s">
        <v>3088</v>
      </c>
      <c r="L661" s="254" t="s">
        <v>3092</v>
      </c>
      <c r="M661" s="254" t="s">
        <v>3096</v>
      </c>
      <c r="N661" s="256" t="s">
        <v>3838</v>
      </c>
      <c r="O661" s="258" t="s">
        <v>1</v>
      </c>
      <c r="P661" s="258" t="s">
        <v>121</v>
      </c>
      <c r="Q661" s="258" t="s">
        <v>241</v>
      </c>
      <c r="R661" s="258" t="s">
        <v>361</v>
      </c>
    </row>
    <row r="662" spans="1:18" ht="195" x14ac:dyDescent="0.25">
      <c r="A662" s="252" t="s">
        <v>3107</v>
      </c>
      <c r="B662" s="252" t="str">
        <f>HLOOKUP('Getting Started'!H$2,E:I,ROW(),FALSE)</f>
        <v>Continual Improvement</v>
      </c>
      <c r="C662" s="252" t="str">
        <f>HLOOKUP('Getting Started'!H$2,J:N,ROW(),FALSE)</f>
        <v>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c r="D662" s="252" t="s">
        <v>509</v>
      </c>
      <c r="E662" s="255" t="s">
        <v>3086</v>
      </c>
      <c r="F662" s="255" t="s">
        <v>3087</v>
      </c>
      <c r="G662" s="255" t="s">
        <v>3105</v>
      </c>
      <c r="H662" s="255" t="s">
        <v>3104</v>
      </c>
      <c r="I662" s="267"/>
      <c r="J662" s="254" t="s">
        <v>3100</v>
      </c>
      <c r="K662" s="254" t="s">
        <v>3101</v>
      </c>
      <c r="L662" s="254" t="s">
        <v>3102</v>
      </c>
      <c r="M662" s="254" t="s">
        <v>3103</v>
      </c>
      <c r="N662" s="256" t="s">
        <v>3839</v>
      </c>
      <c r="O662" s="258" t="s">
        <v>1</v>
      </c>
      <c r="P662" s="258" t="s">
        <v>121</v>
      </c>
      <c r="Q662" s="258" t="s">
        <v>241</v>
      </c>
      <c r="R662" s="258" t="s">
        <v>361</v>
      </c>
    </row>
    <row r="663" spans="1:18" ht="63.75" x14ac:dyDescent="0.25">
      <c r="A663" s="252" t="s">
        <v>3108</v>
      </c>
      <c r="B663" s="252" t="str">
        <f>HLOOKUP('Getting Started'!H$2,E:I,ROW(),FALSE)</f>
        <v>Continual Improvement</v>
      </c>
      <c r="C663" s="252" t="str">
        <f>HLOOKUP('Getting Started'!H$2,J:N,ROW(),FALSE)</f>
        <v>Has the effectiveness of control steps and preventive/corrective actions implemented in the laboratory routine procedures following the Failure-Mode-Effect-Analysis been evaluated?</v>
      </c>
      <c r="D663" s="252" t="s">
        <v>509</v>
      </c>
      <c r="E663" s="255" t="s">
        <v>3086</v>
      </c>
      <c r="F663" s="255" t="s">
        <v>3087</v>
      </c>
      <c r="G663" s="255" t="s">
        <v>3105</v>
      </c>
      <c r="H663" s="255" t="s">
        <v>3104</v>
      </c>
      <c r="I663" s="267"/>
      <c r="J663" s="254" t="s">
        <v>3083</v>
      </c>
      <c r="K663" s="254" t="s">
        <v>3089</v>
      </c>
      <c r="L663" s="254" t="s">
        <v>3093</v>
      </c>
      <c r="M663" s="254" t="s">
        <v>3097</v>
      </c>
      <c r="N663" s="256" t="s">
        <v>3840</v>
      </c>
      <c r="O663" s="258" t="s">
        <v>1</v>
      </c>
      <c r="P663" s="258" t="s">
        <v>121</v>
      </c>
      <c r="Q663" s="258" t="s">
        <v>241</v>
      </c>
      <c r="R663" s="258" t="s">
        <v>361</v>
      </c>
    </row>
    <row r="664" spans="1:18" ht="63.75" x14ac:dyDescent="0.25">
      <c r="A664" s="252" t="s">
        <v>3109</v>
      </c>
      <c r="B664" s="252" t="str">
        <f>HLOOKUP('Getting Started'!H$2,E:I,ROW(),FALSE)</f>
        <v>Continual Improvement</v>
      </c>
      <c r="C664" s="252" t="str">
        <f>HLOOKUP('Getting Started'!H$2,J:N,ROW(),FALSE)</f>
        <v>When control steps and preventive/corrective actions of the Failure-Mode-Effect-Analysis appeared to be ineffective, have they been replaced by more feasible ones?</v>
      </c>
      <c r="D664" s="252" t="s">
        <v>509</v>
      </c>
      <c r="E664" s="255" t="s">
        <v>3086</v>
      </c>
      <c r="F664" s="255" t="s">
        <v>3087</v>
      </c>
      <c r="G664" s="255" t="s">
        <v>3105</v>
      </c>
      <c r="H664" s="255" t="s">
        <v>3104</v>
      </c>
      <c r="I664" s="267"/>
      <c r="J664" s="254" t="s">
        <v>3084</v>
      </c>
      <c r="K664" s="254" t="s">
        <v>3090</v>
      </c>
      <c r="L664" s="254" t="s">
        <v>3094</v>
      </c>
      <c r="M664" s="254" t="s">
        <v>3098</v>
      </c>
      <c r="N664" s="256" t="s">
        <v>3841</v>
      </c>
      <c r="O664" s="258" t="s">
        <v>1</v>
      </c>
      <c r="P664" s="258" t="s">
        <v>121</v>
      </c>
      <c r="Q664" s="258" t="s">
        <v>241</v>
      </c>
      <c r="R664" s="258" t="s">
        <v>361</v>
      </c>
    </row>
    <row r="665" spans="1:18" ht="63" x14ac:dyDescent="0.25">
      <c r="A665" s="252" t="s">
        <v>3110</v>
      </c>
      <c r="B665" s="252" t="str">
        <f>HLOOKUP('Getting Started'!H$2,E:I,ROW(),FALSE)</f>
        <v>Continual Improvement</v>
      </c>
      <c r="C665" s="252" t="str">
        <f>HLOOKUP('Getting Started'!H$2,J:N,ROW(),FALSE)</f>
        <v>Has the effectiveness and feasibility of the control steps and preventive/corrective actions that were optimized based on the first audit been evaluated in subsequent audits?</v>
      </c>
      <c r="D665" s="252" t="s">
        <v>509</v>
      </c>
      <c r="E665" s="255" t="s">
        <v>3086</v>
      </c>
      <c r="F665" s="255" t="s">
        <v>3087</v>
      </c>
      <c r="G665" s="255" t="s">
        <v>3105</v>
      </c>
      <c r="H665" s="255" t="s">
        <v>3104</v>
      </c>
      <c r="I665" s="267"/>
      <c r="J665" s="254" t="s">
        <v>3085</v>
      </c>
      <c r="K665" s="254" t="s">
        <v>3091</v>
      </c>
      <c r="L665" s="254" t="s">
        <v>3095</v>
      </c>
      <c r="M665" s="254" t="s">
        <v>3099</v>
      </c>
      <c r="N665" s="256" t="s">
        <v>3842</v>
      </c>
      <c r="O665" s="258" t="s">
        <v>1</v>
      </c>
      <c r="P665" s="258" t="s">
        <v>121</v>
      </c>
      <c r="Q665" s="258" t="s">
        <v>241</v>
      </c>
      <c r="R665" s="258" t="s">
        <v>361</v>
      </c>
    </row>
    <row r="666" spans="1:18" ht="15.75" x14ac:dyDescent="0.25">
      <c r="A666" s="252" t="s">
        <v>3197</v>
      </c>
      <c r="C666" s="252" t="str">
        <f>HLOOKUP('Getting Started'!H$2,J:N,ROW(),FALSE)</f>
        <v>Yes</v>
      </c>
      <c r="J666" s="266" t="s">
        <v>3198</v>
      </c>
      <c r="K666" s="266" t="s">
        <v>3198</v>
      </c>
      <c r="L666" s="266" t="s">
        <v>3198</v>
      </c>
      <c r="M666" s="266" t="s">
        <v>3198</v>
      </c>
      <c r="N666" s="260" t="s">
        <v>3843</v>
      </c>
    </row>
    <row r="667" spans="1:18" ht="15.75" x14ac:dyDescent="0.25">
      <c r="A667" s="252" t="s">
        <v>3202</v>
      </c>
      <c r="C667" s="252" t="str">
        <f>HLOOKUP('Getting Started'!H$2,J:N,ROW(),FALSE)</f>
        <v>No</v>
      </c>
      <c r="J667" s="266" t="s">
        <v>3199</v>
      </c>
      <c r="K667" s="266" t="s">
        <v>3199</v>
      </c>
      <c r="L667" s="266" t="s">
        <v>3199</v>
      </c>
      <c r="M667" s="266" t="s">
        <v>3199</v>
      </c>
      <c r="N667" s="260" t="s">
        <v>3844</v>
      </c>
    </row>
    <row r="668" spans="1:18" ht="15.75" x14ac:dyDescent="0.25">
      <c r="A668" s="252" t="s">
        <v>3203</v>
      </c>
      <c r="C668" s="252" t="str">
        <f>HLOOKUP('Getting Started'!H$2,J:N,ROW(),FALSE)</f>
        <v>In Progress</v>
      </c>
      <c r="J668" s="266" t="s">
        <v>3201</v>
      </c>
      <c r="K668" s="266" t="s">
        <v>3201</v>
      </c>
      <c r="L668" s="266" t="s">
        <v>3201</v>
      </c>
      <c r="M668" s="266" t="s">
        <v>3201</v>
      </c>
      <c r="N668" s="260" t="s">
        <v>3845</v>
      </c>
    </row>
    <row r="669" spans="1:18" ht="15.75" x14ac:dyDescent="0.25">
      <c r="A669" s="252" t="s">
        <v>3204</v>
      </c>
      <c r="C669" s="252" t="str">
        <f>HLOOKUP('Getting Started'!H$2,J:N,ROW(),FALSE)</f>
        <v>Non Applicable</v>
      </c>
      <c r="J669" s="266" t="s">
        <v>3200</v>
      </c>
      <c r="K669" s="266" t="s">
        <v>3200</v>
      </c>
      <c r="L669" s="266" t="s">
        <v>3200</v>
      </c>
      <c r="M669" s="266" t="s">
        <v>3200</v>
      </c>
      <c r="N669" s="260" t="s">
        <v>3846</v>
      </c>
    </row>
    <row r="670" spans="1:18" x14ac:dyDescent="0.25">
      <c r="M670" s="268"/>
      <c r="N670" s="252"/>
    </row>
    <row r="671" spans="1:18" x14ac:dyDescent="0.25">
      <c r="M671" s="268"/>
      <c r="N671" s="252"/>
    </row>
    <row r="672" spans="1:18" x14ac:dyDescent="0.25">
      <c r="M672" s="268"/>
      <c r="N672" s="252"/>
    </row>
    <row r="673" spans="13:14" x14ac:dyDescent="0.25">
      <c r="M673" s="268"/>
      <c r="N673" s="252"/>
    </row>
    <row r="674" spans="13:14" x14ac:dyDescent="0.25">
      <c r="M674" s="268"/>
      <c r="N674" s="252"/>
    </row>
    <row r="675" spans="13:14" x14ac:dyDescent="0.25">
      <c r="M675" s="268"/>
      <c r="N675" s="252"/>
    </row>
    <row r="676" spans="13:14" x14ac:dyDescent="0.25">
      <c r="M676" s="268"/>
      <c r="N676" s="252"/>
    </row>
    <row r="677" spans="13:14" x14ac:dyDescent="0.25">
      <c r="M677" s="268"/>
      <c r="N677" s="252"/>
    </row>
    <row r="678" spans="13:14" x14ac:dyDescent="0.25">
      <c r="M678" s="268"/>
    </row>
  </sheetData>
  <autoFilter ref="C1:W593"/>
  <mergeCells count="35">
    <mergeCell ref="R468:R476"/>
    <mergeCell ref="O560:O573"/>
    <mergeCell ref="P560:P573"/>
    <mergeCell ref="Q560:Q573"/>
    <mergeCell ref="R560:R573"/>
    <mergeCell ref="Q86:Q101"/>
    <mergeCell ref="O384:O394"/>
    <mergeCell ref="O410:O433"/>
    <mergeCell ref="R111:R118"/>
    <mergeCell ref="O367:O383"/>
    <mergeCell ref="O360:O363"/>
    <mergeCell ref="O341:O351"/>
    <mergeCell ref="O320:O331"/>
    <mergeCell ref="O306:O311"/>
    <mergeCell ref="O294:O300"/>
    <mergeCell ref="O282:O292"/>
    <mergeCell ref="O271:O278"/>
    <mergeCell ref="O252:O269"/>
    <mergeCell ref="O234:O240"/>
    <mergeCell ref="R598:R616"/>
    <mergeCell ref="Q598:Q616"/>
    <mergeCell ref="P598:P616"/>
    <mergeCell ref="O598:O616"/>
    <mergeCell ref="P86:P101"/>
    <mergeCell ref="P111:P118"/>
    <mergeCell ref="O86:O101"/>
    <mergeCell ref="O221:O228"/>
    <mergeCell ref="O204:O207"/>
    <mergeCell ref="O190:O193"/>
    <mergeCell ref="O111:O118"/>
    <mergeCell ref="Q111:Q118"/>
    <mergeCell ref="O468:O476"/>
    <mergeCell ref="P468:P476"/>
    <mergeCell ref="Q468:Q476"/>
    <mergeCell ref="R86:R101"/>
  </mergeCells>
  <hyperlinks>
    <hyperlink ref="O3" r:id="rId1" display="https://extranet.who.int/lqsi/content/train-staff-recognize-symptoms-laboratory-associated-infections-and-facilitate-access"/>
    <hyperlink ref="O4" r:id="rId2" display="https://extranet.who.int/lqsi/content/determine-which-biosafety-level-facilities-need-comply"/>
    <hyperlink ref="O5" r:id="rId3" display="https://extranet.who.int/lqsi/content/perform-facility-and-safety-assessment"/>
    <hyperlink ref="O6" r:id="rId4" display="https://extranet.who.int/lqsi/content/perform-facility-and-safety-assessment"/>
    <hyperlink ref="O7" r:id="rId5" display="https://extranet.who.int/lqsi/content/perform-facility-and-safety-assessment"/>
    <hyperlink ref="O8" r:id="rId6" display="https://extranet.who.int/lqsi/content/perform-facility-and-safety-assessment"/>
    <hyperlink ref="O9" r:id="rId7" display="https://extranet.who.int/lqsi/content/perform-facility-and-safety-assessment"/>
    <hyperlink ref="O10" r:id="rId8" display="https://extranet.who.int/lqsi/content/write-and-implement-sop-waste-segregation-and-disposal"/>
    <hyperlink ref="O11" r:id="rId9" display="https://extranet.who.int/lqsi/content/write-and-implement-sop-waste-segregation-and-disposal"/>
    <hyperlink ref="O12" r:id="rId10" display="https://extranet.who.int/lqsi/content/write-and-implement-sop-waste-segregation-and-disposal"/>
    <hyperlink ref="O13" r:id="rId11" display="https://extranet.who.int/lqsi/content/write-and-implement-sop-waste-segregation-and-disposal"/>
    <hyperlink ref="O14" r:id="rId12" display="https://extranet.who.int/lqsi/content/write-and-implement-sop-waste-segregation-and-disposal"/>
    <hyperlink ref="O15" r:id="rId13" display="https://extranet.who.int/lqsi/content/write-and-implement-sop-waste-segregation-and-disposal"/>
    <hyperlink ref="O16" r:id="rId14" display="https://extranet.who.int/lqsi/content/write-and-implement-sop-waste-segregation-and-disposal"/>
    <hyperlink ref="O17" r:id="rId15" display="https://extranet.who.int/lqsi/content/write-and-implement-sop-waste-segregation-and-disposal"/>
    <hyperlink ref="O18" r:id="rId16" display="https://extranet.who.int/lqsi/content/write-and-implement-sop-waste-segregation-and-disposal"/>
    <hyperlink ref="O19" r:id="rId17" display="https://extranet.who.int/lqsi/content/write-and-implement-sop-waste-segregation-and-disposal"/>
    <hyperlink ref="O20" r:id="rId18" display="https://extranet.who.int/lqsi/content/write-and-implement-sop-waste-segregation-and-disposal"/>
    <hyperlink ref="O21" r:id="rId19" display="https://extranet.who.int/lqsi/content/write-and-implement-sop-waste-segregation-and-disposal"/>
    <hyperlink ref="O22" r:id="rId20" display="https://extranet.who.int/lqsi/content/write-and-implement-sop-waste-segregation-and-disposal"/>
    <hyperlink ref="O23" r:id="rId21" display="https://extranet.who.int/lqsi/content/write-biosafety-manual-and-make-sure-it-read-and-signed-all-staff"/>
    <hyperlink ref="O24" r:id="rId22" display="https://extranet.who.int/lqsi/content/write-biosafety-manual-and-make-sure-it-read-and-signed-all-staff"/>
    <hyperlink ref="O25" r:id="rId23" display="https://extranet.who.int/lqsi/content/write-biosafety-manual-and-make-sure-it-read-and-signed-all-staff"/>
    <hyperlink ref="O26" r:id="rId24" display="https://extranet.who.int/lqsi/content/write-biosafety-manual-and-make-sure-it-read-and-signed-all-staff"/>
    <hyperlink ref="O27" r:id="rId25" display="https://extranet.who.int/lqsi/content/write-biosafety-manual-and-make-sure-it-read-and-signed-all-staff"/>
    <hyperlink ref="O28" r:id="rId26" display="https://extranet.who.int/lqsi/content/write-biosafety-manual-and-make-sure-it-read-and-signed-all-staff"/>
    <hyperlink ref="O29" r:id="rId27" display="https://extranet.who.int/lqsi/content/write-biosafety-manual-and-make-sure-it-read-and-signed-all-staff"/>
    <hyperlink ref="O30" r:id="rId28" display="https://extranet.who.int/lqsi/content/write-biosafety-manual-and-make-sure-it-read-and-signed-all-staff"/>
    <hyperlink ref="O31" r:id="rId29" display="https://extranet.who.int/lqsi/content/arrange-standardized-regular-cleaning-laboratory"/>
    <hyperlink ref="O32" r:id="rId30" display="https://extranet.who.int/lqsi/content/arrange-standardized-regular-cleaning-laboratory"/>
    <hyperlink ref="O33" r:id="rId31" display="https://extranet.who.int/lqsi/content/arrange-standardized-regular-cleaning-laboratory"/>
    <hyperlink ref="O34" r:id="rId32" display="https://extranet.who.int/lqsi/content/arrange-standardized-regular-cleaning-laboratory"/>
    <hyperlink ref="O35" r:id="rId33" display="https://extranet.who.int/lqsi/content/arrange-standardized-regular-cleaning-laboratory"/>
    <hyperlink ref="O36" r:id="rId34" display="https://extranet.who.int/lqsi/content/purchase-spill-kits-and-write-and-implement-sop-dealing-spills"/>
    <hyperlink ref="O37" r:id="rId35" display="https://extranet.who.int/lqsi/content/purchase-spill-kits-and-write-and-implement-sop-dealing-spills"/>
    <hyperlink ref="O38" r:id="rId36" display="https://extranet.who.int/lqsi/content/purchase-first-aid-kits-and-train-selection-personnel-members-become-first-aid-providers"/>
    <hyperlink ref="O39" r:id="rId37" display="https://extranet.who.int/lqsi/content/purchase-first-aid-kits-and-train-selection-personnel-members-become-first-aid-providers"/>
    <hyperlink ref="O40" r:id="rId38" display="https://extranet.who.int/lqsi/content/appoint-quality-project-team-chair-team-appointed-quality-focal-point"/>
    <hyperlink ref="O41" r:id="rId39" display="https://extranet.who.int/lqsi/content/appoint-quality-project-team-chair-team-appointed-quality-focal-point"/>
    <hyperlink ref="O42" r:id="rId40" display="https://extranet.who.int/lqsi/content/appoint-quality-project-team-chair-team-appointed-quality-focal-point"/>
    <hyperlink ref="O43" r:id="rId41" display="https://extranet.who.int/lqsi/content/appoint-quality-project-team-chair-team-appointed-quality-focal-point"/>
    <hyperlink ref="O44" r:id="rId42" display="https://extranet.who.int/lqsi/content/make-and-use-action-plans-smart-action-points"/>
    <hyperlink ref="O45" r:id="rId43" display="https://extranet.who.int/lqsi/content/make-and-use-action-plans-smart-action-points"/>
    <hyperlink ref="O46" r:id="rId44" display="https://extranet.who.int/lqsi/content/make-and-use-action-plans-smart-action-points"/>
    <hyperlink ref="O47" r:id="rId45" display="https://extranet.who.int/lqsi/content/start-organizing-regular-weekly-staff-meetings"/>
    <hyperlink ref="O48" r:id="rId46" display="https://extranet.who.int/lqsi/content/start-organizing-regular-weekly-staff-meetings"/>
    <hyperlink ref="O49" r:id="rId47" display="https://extranet.who.int/lqsi/content/start-organizing-regular-weekly-staff-meetings"/>
    <hyperlink ref="O50" r:id="rId48" display="https://extranet.who.int/lqsi/content/start-organizing-regular-weekly-staff-meetings"/>
    <hyperlink ref="O51" r:id="rId49" display="https://extranet.who.int/lqsi/content/appoint-biosafety-officer"/>
    <hyperlink ref="O52" r:id="rId50" display="https://extranet.who.int/lqsi/content/appoint-biosafety-officer"/>
    <hyperlink ref="O53" r:id="rId51" display="https://extranet.who.int/lqsi/content/appoint-biosafety-officer"/>
    <hyperlink ref="O54" r:id="rId52" display="https://extranet.who.int/lqsi/content/appoint-biosafety-officer"/>
    <hyperlink ref="O55" r:id="rId53" display="https://extranet.who.int/lqsi/content/appoint-equipment-officer"/>
    <hyperlink ref="O56" r:id="rId54" display="https://extranet.who.int/lqsi/content/appoint-equipment-officer"/>
    <hyperlink ref="O57" r:id="rId55" display="https://extranet.who.int/lqsi/content/appoint-equipment-officer"/>
    <hyperlink ref="O58" r:id="rId56" display="https://extranet.who.int/lqsi/content/appoint-staff-member-who-responsible-monitoring-stocks-and-ordering-supplies-and-reagents"/>
    <hyperlink ref="O59" r:id="rId57" display="https://extranet.who.int/lqsi/content/appoint-staff-member-who-responsible-monitoring-stocks-and-ordering-supplies-and-reagents"/>
    <hyperlink ref="O60" r:id="rId58" display="https://extranet.who.int/lqsi/content/appoint-staff-member-who-responsible-monitoring-stocks-and-ordering-supplies-and-reagents"/>
    <hyperlink ref="O61" r:id="rId59" display="https://extranet.who.int/lqsi/content/appoint-staff-member-who-responsible-monitoring-stocks-and-ordering-supplies-and-reagents"/>
    <hyperlink ref="O62" r:id="rId60" display="https://extranet.who.int/lqsi/content/make-organizational-charts"/>
    <hyperlink ref="O63" r:id="rId61" display="https://extranet.who.int/lqsi/content/make-organizational-charts"/>
    <hyperlink ref="O64" r:id="rId62" display="https://extranet.who.int/lqsi/content/make-organizational-charts"/>
    <hyperlink ref="O65" r:id="rId63" display="https://extranet.who.int/lqsi/content/make-organizational-charts"/>
    <hyperlink ref="O66" r:id="rId64" display="https://extranet.who.int/lqsi/content/make-organizational-charts"/>
    <hyperlink ref="O67" r:id="rId65" display="https://extranet.who.int/lqsi/content/create-commitment-go-accreditation-0"/>
    <hyperlink ref="O68" r:id="rId66" display="https://extranet.who.int/lqsi/content/provide-staff-basic-orientation-principles-quality-management-and-quality-management-system"/>
    <hyperlink ref="O69" r:id="rId67" display="https://extranet.who.int/lqsi/content/provide-staff-basic-orientation-principles-quality-management-and-quality-management-system"/>
    <hyperlink ref="O70" r:id="rId68" display="https://extranet.who.int/lqsi/content/provide-biosafety-officer-biosafety-training-so-heshe-capable-fully-perform-hisher-job-tasks"/>
    <hyperlink ref="O71" r:id="rId69" display="https://extranet.who.int/lqsi/content/provide-biosafety-officer-biosafety-training-so-heshe-capable-fully-perform-hisher-job-tasks"/>
    <hyperlink ref="O72" r:id="rId70" display="https://extranet.who.int/lqsi/content/make-authorization-matrix"/>
    <hyperlink ref="O73" r:id="rId71" display="https://extranet.who.int/lqsi/content/make-authorization-matrix"/>
    <hyperlink ref="O74" r:id="rId72" display="https://extranet.who.int/lqsi/content/make-authorization-matrix"/>
    <hyperlink ref="O75" r:id="rId73" display="https://extranet.who.int/lqsi/content/make-authorization-matrix"/>
    <hyperlink ref="O76" r:id="rId74" display="https://extranet.who.int/lqsi/content/make-authorization-matrix"/>
    <hyperlink ref="O77" r:id="rId75" display="https://extranet.who.int/lqsi/content/make-authorization-matrix"/>
    <hyperlink ref="O78" r:id="rId76" display="https://extranet.who.int/lqsi/content/make-job-description-each-position-laboratory"/>
    <hyperlink ref="O79" r:id="rId77" display="https://extranet.who.int/lqsi/content/make-job-description-each-position-laboratory"/>
    <hyperlink ref="O80" r:id="rId78" display="https://extranet.who.int/lqsi/content/make-personal-job-description-specific-each-staff-member"/>
    <hyperlink ref="O81" r:id="rId79" display="https://extranet.who.int/lqsi/content/make-personal-job-description-specific-each-staff-member"/>
    <hyperlink ref="O82" r:id="rId80" display="https://extranet.who.int/lqsi/content/make-personal-job-description-specific-each-staff-member"/>
    <hyperlink ref="O83" r:id="rId81" display="https://extranet.who.int/lqsi/content/ensure-adequately-qualified-staff"/>
    <hyperlink ref="O84" r:id="rId82" display="https://extranet.who.int/lqsi/content/ensure-adequately-qualified-staff"/>
    <hyperlink ref="O85" r:id="rId83" display="https://extranet.who.int/lqsi/content/make-equipment-register-and-check-proper-functioning-equipment"/>
    <hyperlink ref="O86" r:id="rId84" display="https://extranet.who.int/lqsi/content/make-equipment-register-and-check-proper-functioning-equipment"/>
    <hyperlink ref="O102" r:id="rId85" display="https://extranet.who.int/lqsi/content/make-equipment-register-and-check-proper-functioning-equipment"/>
    <hyperlink ref="O103" r:id="rId86" display="https://extranet.who.int/lqsi/content/make-equipment-register-and-check-proper-functioning-equipment"/>
    <hyperlink ref="O104" r:id="rId87" display="https://extranet.who.int/lqsi/content/write-procedures-operating-equipment"/>
    <hyperlink ref="O105" r:id="rId88" display="https://extranet.who.int/lqsi/content/write-procedures-operating-equipment"/>
    <hyperlink ref="O106" r:id="rId89" display="https://extranet.who.int/lqsi/content/write-procedures-operating-equipment"/>
    <hyperlink ref="O107" r:id="rId90" display="https://extranet.who.int/lqsi/content/write-procedures-operating-equipment"/>
    <hyperlink ref="O108" r:id="rId91" display="https://extranet.who.int/lqsi/content/prepare-stock-cards-and-set-inventory-management-system"/>
    <hyperlink ref="O109" r:id="rId92" display="https://extranet.who.int/lqsi/content/prepare-stock-cards-and-set-inventory-management-system"/>
    <hyperlink ref="O110" r:id="rId93" display="https://extranet.who.int/lqsi/content/prepare-stock-cards-and-set-inventory-management-system"/>
    <hyperlink ref="O111" r:id="rId94" display="https://extranet.who.int/lqsi/content/develop-request-form-laboratory-testing"/>
    <hyperlink ref="O119" r:id="rId95" display="https://extranet.who.int/lqsi/content/develop-request-form-laboratory-testing"/>
    <hyperlink ref="O120" r:id="rId96" display="https://extranet.who.int/lqsi/content/develop-request-form-laboratory-testing"/>
    <hyperlink ref="O121" r:id="rId97" display="https://extranet.who.int/lqsi/content/make-list-all-tests-performed-laboratory"/>
    <hyperlink ref="O122" r:id="rId98" display="https://extranet.who.int/lqsi/content/make-sops-all-tests-performed-laboratory"/>
    <hyperlink ref="O123" r:id="rId99" display="https://extranet.who.int/lqsi/content/make-sops-all-tests-performed-laboratory"/>
    <hyperlink ref="O124" r:id="rId100" display="https://extranet.who.int/lqsi/content/make-sops-all-tests-performed-laboratory"/>
    <hyperlink ref="O125" r:id="rId101" display="https://extranet.who.int/lqsi/content/write-master-sop"/>
    <hyperlink ref="O126" r:id="rId102" display="https://extranet.who.int/lqsi/content/write-master-sop"/>
    <hyperlink ref="O127" r:id="rId103" display="https://extranet.who.int/lqsi/content/conduct-baseline-assessment-laboratory"/>
    <hyperlink ref="P2" r:id="rId104" display="https://extranet.who.int/lqsi/fr/content/former-le-personnel-afin-quil-puisse-reconna%C3%AEtre-les-sympt%C3%B4mes-dinfections-pouvant-%C3%AAtre"/>
    <hyperlink ref="P3" r:id="rId105" display="https://extranet.who.int/lqsi/fr/content/former-le-personnel-afin-quil-puisse-reconna%C3%AEtre-les-sympt%C3%B4mes-dinfections-pouvant-%C3%AAtre"/>
    <hyperlink ref="P4" r:id="rId106" display="https://extranet.who.int/lqsi/fr/content/d%C3%A9terminer-%C3%A0-quel-niveau-de-s%C3%A9curit%C3%A9-biologique-le-laboratoire-doit-se-conformer"/>
    <hyperlink ref="P5" r:id="rId107" display="https://extranet.who.int/lqsi/fr/content/effectuer-une-%C3%A9valuation-des-b%C3%A2timents-et-de-la-s%C3%A9curit%C3%A9"/>
    <hyperlink ref="P6" r:id="rId108" display="https://extranet.who.int/lqsi/fr/content/effectuer-une-%C3%A9valuation-des-b%C3%A2timents-et-de-la-s%C3%A9curit%C3%A9"/>
    <hyperlink ref="P7" r:id="rId109" display="https://extranet.who.int/lqsi/fr/content/effectuer-une-%C3%A9valuation-des-b%C3%A2timents-et-de-la-s%C3%A9curit%C3%A9"/>
    <hyperlink ref="P8" r:id="rId110" display="https://extranet.who.int/lqsi/fr/content/effectuer-une-%C3%A9valuation-des-b%C3%A2timents-et-de-la-s%C3%A9curit%C3%A9"/>
    <hyperlink ref="P9" r:id="rId111" display="https://extranet.who.int/lqsi/fr/content/effectuer-une-%C3%A9valuation-des-b%C3%A2timents-et-de-la-s%C3%A9curit%C3%A9"/>
    <hyperlink ref="P10" r:id="rId112" display="https://extranet.who.int/lqsi/fr/content/r%C3%A9diger-et-mettre-en-%C5%93uvre-une-pos-pour-la-s%C3%A9paration-des-d%C3%A9chets-et-leur-%C3%A9limination"/>
    <hyperlink ref="P11" r:id="rId113" display="https://extranet.who.int/lqsi/fr/content/r%C3%A9diger-et-mettre-en-%C5%93uvre-une-pos-pour-la-s%C3%A9paration-des-d%C3%A9chets-et-leur-%C3%A9limination"/>
    <hyperlink ref="P12" r:id="rId114" display="https://extranet.who.int/lqsi/fr/content/r%C3%A9diger-et-mettre-en-%C5%93uvre-une-pos-pour-la-s%C3%A9paration-des-d%C3%A9chets-et-leur-%C3%A9limination"/>
    <hyperlink ref="P13" r:id="rId115" display="https://extranet.who.int/lqsi/fr/content/r%C3%A9diger-et-mettre-en-%C5%93uvre-une-pos-pour-la-s%C3%A9paration-des-d%C3%A9chets-et-leur-%C3%A9limination"/>
    <hyperlink ref="P14" r:id="rId116" display="https://extranet.who.int/lqsi/fr/content/r%C3%A9diger-et-mettre-en-%C5%93uvre-une-pos-pour-la-s%C3%A9paration-des-d%C3%A9chets-et-leur-%C3%A9limination"/>
    <hyperlink ref="P15" r:id="rId117" display="https://extranet.who.int/lqsi/fr/content/r%C3%A9diger-et-mettre-en-%C5%93uvre-une-pos-pour-la-s%C3%A9paration-des-d%C3%A9chets-et-leur-%C3%A9limination"/>
    <hyperlink ref="P16" r:id="rId118" display="https://extranet.who.int/lqsi/fr/content/r%C3%A9diger-et-mettre-en-%C5%93uvre-une-pos-pour-la-s%C3%A9paration-des-d%C3%A9chets-et-leur-%C3%A9limination"/>
    <hyperlink ref="P17" r:id="rId119" display="https://extranet.who.int/lqsi/fr/content/r%C3%A9diger-et-mettre-en-%C5%93uvre-une-pos-pour-la-s%C3%A9paration-des-d%C3%A9chets-et-leur-%C3%A9limination"/>
    <hyperlink ref="P18" r:id="rId120" display="https://extranet.who.int/lqsi/fr/content/r%C3%A9diger-et-mettre-en-%C5%93uvre-une-pos-pour-la-s%C3%A9paration-des-d%C3%A9chets-et-leur-%C3%A9limination"/>
    <hyperlink ref="P19" r:id="rId121" display="https://extranet.who.int/lqsi/fr/content/r%C3%A9diger-et-mettre-en-%C5%93uvre-une-pos-pour-la-s%C3%A9paration-des-d%C3%A9chets-et-leur-%C3%A9limination"/>
    <hyperlink ref="P20" r:id="rId122" display="https://extranet.who.int/lqsi/fr/content/r%C3%A9diger-et-mettre-en-%C5%93uvre-une-pos-pour-la-s%C3%A9paration-des-d%C3%A9chets-et-leur-%C3%A9limination"/>
    <hyperlink ref="P21" r:id="rId123" display="https://extranet.who.int/lqsi/fr/content/r%C3%A9diger-et-mettre-en-%C5%93uvre-une-pos-pour-la-s%C3%A9paration-des-d%C3%A9chets-et-leur-%C3%A9limination"/>
    <hyperlink ref="P22" r:id="rId124" display="https://extranet.who.int/lqsi/fr/content/r%C3%A9diger-et-mettre-en-%C5%93uvre-une-pos-pour-la-s%C3%A9paration-des-d%C3%A9chets-et-leur-%C3%A9limination"/>
    <hyperlink ref="P23" r:id="rId125" display="https://extranet.who.int/lqsi/fr/content/r%C3%A9diger-un-manuel-de-s%C3%A9curit%C3%A9-biologique-et-sassurer-que-tout-le-personnel-la-lu-et-sign%C3%A9"/>
    <hyperlink ref="P24" r:id="rId126" display="https://extranet.who.int/lqsi/fr/content/r%C3%A9diger-un-manuel-de-s%C3%A9curit%C3%A9-biologique-et-sassurer-que-tout-le-personnel-la-lu-et-sign%C3%A9"/>
    <hyperlink ref="P25" r:id="rId127" display="https://extranet.who.int/lqsi/fr/content/r%C3%A9diger-un-manuel-de-s%C3%A9curit%C3%A9-biologique-et-sassurer-que-tout-le-personnel-la-lu-et-sign%C3%A9"/>
    <hyperlink ref="P26" r:id="rId128" display="https://extranet.who.int/lqsi/fr/content/r%C3%A9diger-un-manuel-de-s%C3%A9curit%C3%A9-biologique-et-sassurer-que-tout-le-personnel-la-lu-et-sign%C3%A9"/>
    <hyperlink ref="P27" r:id="rId129" display="https://extranet.who.int/lqsi/fr/content/r%C3%A9diger-un-manuel-de-s%C3%A9curit%C3%A9-biologique-et-sassurer-que-tout-le-personnel-la-lu-et-sign%C3%A9"/>
    <hyperlink ref="P28" r:id="rId130" display="https://extranet.who.int/lqsi/fr/content/r%C3%A9diger-un-manuel-de-s%C3%A9curit%C3%A9-biologique-et-sassurer-que-tout-le-personnel-la-lu-et-sign%C3%A9"/>
    <hyperlink ref="P29" r:id="rId131" display="https://extranet.who.int/lqsi/fr/content/r%C3%A9diger-un-manuel-de-s%C3%A9curit%C3%A9-biologique-et-sassurer-que-tout-le-personnel-la-lu-et-sign%C3%A9"/>
    <hyperlink ref="P30" r:id="rId132" display="https://extranet.who.int/lqsi/fr/content/r%C3%A9diger-un-manuel-de-s%C3%A9curit%C3%A9-biologique-et-sassurer-que-tout-le-personnel-la-lu-et-sign%C3%A9"/>
    <hyperlink ref="P31" r:id="rId133" display="https://extranet.who.int/lqsi/fr/content/organiser-un-nettoyage-standardis%C3%A9-r%C3%A9gulier-du-laboratoire"/>
    <hyperlink ref="P32" r:id="rId134" display="https://extranet.who.int/lqsi/fr/content/organiser-un-nettoyage-standardis%C3%A9-r%C3%A9gulier-du-laboratoire"/>
    <hyperlink ref="P33" r:id="rId135" display="https://extranet.who.int/lqsi/fr/content/organiser-un-nettoyage-standardis%C3%A9-r%C3%A9gulier-du-laboratoire"/>
    <hyperlink ref="P34" r:id="rId136" display="https://extranet.who.int/lqsi/fr/content/organiser-un-nettoyage-standardis%C3%A9-r%C3%A9gulier-du-laboratoire"/>
    <hyperlink ref="P35" r:id="rId137" display="https://extranet.who.int/lqsi/fr/content/organiser-un-nettoyage-standardis%C3%A9-r%C3%A9gulier-du-laboratoire"/>
    <hyperlink ref="P36" r:id="rId138" display="https://extranet.who.int/lqsi/fr/content/commander-des-n%C3%A9cessaires-pour-le-nettoyage-des-produits-r%C3%A9pandus-r%C3%A9diger-et-mettre-en-%C5%93uvre"/>
    <hyperlink ref="P37" r:id="rId139" display="https://extranet.who.int/lqsi/fr/content/commander-des-n%C3%A9cessaires-pour-le-nettoyage-des-produits-r%C3%A9pandus-r%C3%A9diger-et-mettre-en-%C5%93uvre"/>
    <hyperlink ref="P38" r:id="rId140" display="https://extranet.who.int/lqsi/fr/content/acheter-des-trousses-de-premiers-secours-et-donner-%C3%A0-un-groupe-de-membres-du-personnel-une"/>
    <hyperlink ref="P39" r:id="rId141" display="https://extranet.who.int/lqsi/fr/content/acheter-des-trousses-de-premiers-secours-et-donner-%C3%A0-un-groupe-de-membres-du-personnel-une"/>
    <hyperlink ref="P40" r:id="rId142" display="https://extranet.who.int/lqsi/fr/content/constituer-une-%C3%A9quipe-de-projet-qualit%C3%A9-le-chef-de-cette-%C3%A9quipe-sera-d%C3%A9sign%C3%A9-point-focal"/>
    <hyperlink ref="P41" r:id="rId143" display="https://extranet.who.int/lqsi/fr/content/constituer-une-%C3%A9quipe-de-projet-qualit%C3%A9-le-chef-de-cette-%C3%A9quipe-sera-d%C3%A9sign%C3%A9-point-focal"/>
    <hyperlink ref="P42" r:id="rId144" display="https://extranet.who.int/lqsi/fr/content/constituer-une-%C3%A9quipe-de-projet-qualit%C3%A9-le-chef-de-cette-%C3%A9quipe-sera-d%C3%A9sign%C3%A9-point-focal"/>
    <hyperlink ref="P43" r:id="rId145" display="https://extranet.who.int/lqsi/fr/content/constituer-une-%C3%A9quipe-de-projet-qualit%C3%A9-le-chef-de-cette-%C3%A9quipe-sera-d%C3%A9sign%C3%A9-point-focal"/>
    <hyperlink ref="P44" r:id="rId146" display="https://extranet.who.int/lqsi/fr/content/%C3%A9laborer-et-utiliser-des-plans-daction-d%C3%A9finissant-les-actions-%C3%A0-mener-selon-la-m%C3%A9thode"/>
    <hyperlink ref="P45" r:id="rId147" display="https://extranet.who.int/lqsi/fr/content/%C3%A9laborer-et-utiliser-des-plans-daction-d%C3%A9finissant-les-actions-%C3%A0-mener-selon-la-m%C3%A9thode"/>
    <hyperlink ref="P46" r:id="rId148" display="https://extranet.who.int/lqsi/fr/content/%C3%A9laborer-et-utiliser-des-plans-daction-d%C3%A9finissant-les-actions-%C3%A0-mener-selon-la-m%C3%A9thode"/>
    <hyperlink ref="P47" r:id="rId149" display="https://extranet.who.int/lqsi/fr/content/commencer-%C3%A0-organiser-des-r%C3%A9unions-r%C3%A9guli%C3%A8res-hebdomadaires-du-personnel"/>
    <hyperlink ref="P48" r:id="rId150" display="https://extranet.who.int/lqsi/fr/content/commencer-%C3%A0-organiser-des-r%C3%A9unions-r%C3%A9guli%C3%A8res-hebdomadaires-du-personnel"/>
    <hyperlink ref="P49" r:id="rId151" display="https://extranet.who.int/lqsi/fr/content/commencer-%C3%A0-organiser-des-r%C3%A9unions-r%C3%A9guli%C3%A8res-hebdomadaires-du-personnel"/>
    <hyperlink ref="P50" r:id="rId152" display="https://extranet.who.int/lqsi/fr/content/commencer-%C3%A0-organiser-des-r%C3%A9unions-r%C3%A9guli%C3%A8res-hebdomadaires-du-personnel"/>
    <hyperlink ref="P51" r:id="rId153" display="https://extranet.who.int/lqsi/fr/content/d%C3%A9signer-un-responsable-de-la-s%C3%A9curit%C3%A9-biologique"/>
    <hyperlink ref="P52" r:id="rId154" display="https://extranet.who.int/lqsi/fr/content/d%C3%A9signer-un-responsable-de-la-s%C3%A9curit%C3%A9-biologique"/>
    <hyperlink ref="P53" r:id="rId155" display="https://extranet.who.int/lqsi/fr/content/d%C3%A9signer-un-responsable-de-la-s%C3%A9curit%C3%A9-biologique"/>
    <hyperlink ref="P54" r:id="rId156" display="https://extranet.who.int/lqsi/fr/content/d%C3%A9signer-un-responsable-de-la-s%C3%A9curit%C3%A9-biologique"/>
    <hyperlink ref="P55" r:id="rId157" display="https://extranet.who.int/lqsi/fr/content/d%C3%A9signer-un-responsable-de-l%C3%A9quipement-de-laboratoire"/>
    <hyperlink ref="P56" r:id="rId158" display="https://extranet.who.int/lqsi/fr/content/d%C3%A9signer-un-responsable-de-l%C3%A9quipement-de-laboratoire"/>
    <hyperlink ref="P57" r:id="rId159" display="https://extranet.who.int/lqsi/fr/content/d%C3%A9signer-un-responsable-de-l%C3%A9quipement-de-laboratoire"/>
    <hyperlink ref="P58" r:id="rId160" display="https://extranet.who.int/lqsi/fr/content/d%C3%A9signer-un-membre-du-personnel-responsable-du-suivi-du-stock-et-de-la-commande-de"/>
    <hyperlink ref="P59" r:id="rId161" display="https://extranet.who.int/lqsi/fr/content/d%C3%A9signer-un-membre-du-personnel-responsable-du-suivi-du-stock-et-de-la-commande-de"/>
    <hyperlink ref="P60" r:id="rId162" display="https://extranet.who.int/lqsi/fr/content/d%C3%A9signer-un-membre-du-personnel-responsable-du-suivi-du-stock-et-de-la-commande-de"/>
    <hyperlink ref="P61" r:id="rId163" display="https://extranet.who.int/lqsi/fr/content/d%C3%A9signer-un-membre-du-personnel-responsable-du-suivi-du-stock-et-de-la-commande-de"/>
    <hyperlink ref="P62" r:id="rId164" display="https://extranet.who.int/lqsi/fr/content/r%C3%A9aliser-des-organigrammes"/>
    <hyperlink ref="P63" r:id="rId165" display="https://extranet.who.int/lqsi/fr/content/r%C3%A9aliser-des-organigrammes"/>
    <hyperlink ref="P64" r:id="rId166" display="https://extranet.who.int/lqsi/fr/content/r%C3%A9aliser-des-organigrammes"/>
    <hyperlink ref="P65" r:id="rId167" display="https://extranet.who.int/lqsi/fr/content/r%C3%A9aliser-des-organigrammes"/>
    <hyperlink ref="P66" r:id="rId168" display="https://extranet.who.int/lqsi/fr/content/r%C3%A9aliser-des-organigrammes"/>
    <hyperlink ref="P67" r:id="rId169" display="https://extranet.who.int/lqsi/fr/content/susciter-lengagement-en-vue-de-lobtention-de-laccr%C3%A9ditation"/>
    <hyperlink ref="P68" r:id="rId170" display="https://extranet.who.int/lqsi/fr/content/enseigner-au-personnel-les-principes-de-base-de-la-gestion-de-la-qualit%C3%A9-et-proposer-un"/>
    <hyperlink ref="P69" r:id="rId171" display="https://extranet.who.int/lqsi/fr/content/enseigner-au-personnel-les-principes-de-base-de-la-gestion-de-la-qualit%C3%A9-et-proposer-un"/>
    <hyperlink ref="P70" r:id="rId172" display="https://extranet.who.int/lqsi/fr/content/assurer-au-responsable-de-la-s%C3%A9curit%C3%A9-biologique-une-formation-lui-permettant-de-r%C3%A9aliser"/>
    <hyperlink ref="P71" r:id="rId173" display="https://extranet.who.int/lqsi/fr/content/assurer-au-responsable-de-la-s%C3%A9curit%C3%A9-biologique-une-formation-lui-permettant-de-r%C3%A9aliser"/>
    <hyperlink ref="P72" r:id="rId174" display="https://extranet.who.int/lqsi/fr/content/faire-une-grille-dautorisation"/>
    <hyperlink ref="P73" r:id="rId175" display="https://extranet.who.int/lqsi/fr/content/faire-une-grille-dautorisation"/>
    <hyperlink ref="P74" r:id="rId176" display="https://extranet.who.int/lqsi/fr/content/faire-une-grille-dautorisation"/>
    <hyperlink ref="P75" r:id="rId177" display="https://extranet.who.int/lqsi/fr/content/faire-une-grille-dautorisation"/>
    <hyperlink ref="P76" r:id="rId178" display="https://extranet.who.int/lqsi/fr/content/faire-une-grille-dautorisation"/>
    <hyperlink ref="P77" r:id="rId179" display="https://extranet.who.int/lqsi/fr/content/faire-une-grille-dautorisation"/>
    <hyperlink ref="P78" r:id="rId180" display="https://extranet.who.int/lqsi/fr/content/faire-un-descriptif-de-la-fonction-pour-chaque-poste-dans-le-laboratoire"/>
    <hyperlink ref="P79" r:id="rId181" display="https://extranet.who.int/lqsi/fr/content/faire-un-descriptif-de-la-fonction-pour-chaque-poste-dans-le-laboratoire"/>
    <hyperlink ref="P80" r:id="rId182" display="https://extranet.who.int/lqsi/fr/content/%C3%A9tablir-un-descriptif-personnalis%C3%A9-de-poste-sp%C3%A9cifique-%C3%A0-chaque-membre-du-personnel"/>
    <hyperlink ref="P81" r:id="rId183" display="https://extranet.who.int/lqsi/fr/content/%C3%A9tablir-un-descriptif-personnalis%C3%A9-de-poste-sp%C3%A9cifique-%C3%A0-chaque-membre-du-personnel"/>
    <hyperlink ref="P82" r:id="rId184" display="https://extranet.who.int/lqsi/fr/content/%C3%A9tablir-un-descriptif-personnalis%C3%A9-de-poste-sp%C3%A9cifique-%C3%A0-chaque-membre-du-personnel"/>
    <hyperlink ref="P83" r:id="rId185" display="https://extranet.who.int/lqsi/fr/content/sassurer-que-le-personnel-les-qualifications-requises"/>
    <hyperlink ref="P84" r:id="rId186" display="https://extranet.who.int/lqsi/fr/content/sassurer-que-le-personnel-les-qualifications-requises"/>
    <hyperlink ref="P85" r:id="rId187" display="https://extranet.who.int/lqsi/fr/content/cr%C3%A9er-un-registre-de-l%C3%A9quipement-et-v%C3%A9rifier-le-bon-fonctionnement-de-l%C3%A9quipement"/>
    <hyperlink ref="P86" r:id="rId188" display="https://extranet.who.int/lqsi/fr/content/cr%C3%A9er-un-registre-de-l%C3%A9quipement-et-v%C3%A9rifier-le-bon-fonctionnement-de-l%C3%A9quipement"/>
    <hyperlink ref="P102" r:id="rId189" display="https://extranet.who.int/lqsi/fr/content/cr%C3%A9er-un-registre-de-l%C3%A9quipement-et-v%C3%A9rifier-le-bon-fonctionnement-de-l%C3%A9quipement"/>
    <hyperlink ref="P103" r:id="rId190" display="https://extranet.who.int/lqsi/fr/content/cr%C3%A9er-un-registre-de-l%C3%A9quipement-et-v%C3%A9rifier-le-bon-fonctionnement-de-l%C3%A9quipement"/>
    <hyperlink ref="P104" r:id="rId191" display="https://extranet.who.int/lqsi/fr/content/r%C3%A9diger-des-proc%C3%A9dures-pour-lutilisation-de-l%C3%A9quipement"/>
    <hyperlink ref="P105" r:id="rId192" display="https://extranet.who.int/lqsi/fr/content/r%C3%A9diger-des-proc%C3%A9dures-pour-lutilisation-de-l%C3%A9quipement"/>
    <hyperlink ref="P106" r:id="rId193" display="https://extranet.who.int/lqsi/fr/content/r%C3%A9diger-des-proc%C3%A9dures-pour-lutilisation-de-l%C3%A9quipement"/>
    <hyperlink ref="P107" r:id="rId194" display="https://extranet.who.int/lqsi/fr/content/r%C3%A9diger-des-proc%C3%A9dures-pour-lutilisation-de-l%C3%A9quipement"/>
    <hyperlink ref="P108" r:id="rId195" display="https://extranet.who.int/lqsi/fr/content/pr%C3%A9parer-des-fiches-de-stock-et-%C3%A9laborer-un-syst%C3%A8me-de-gestion-de-stock"/>
    <hyperlink ref="P109" r:id="rId196" display="https://extranet.who.int/lqsi/fr/content/pr%C3%A9parer-des-fiches-de-stock-et-%C3%A9laborer-un-syst%C3%A8me-de-gestion-de-stock"/>
    <hyperlink ref="P110" r:id="rId197" display="https://extranet.who.int/lqsi/fr/content/pr%C3%A9parer-des-fiches-de-stock-et-%C3%A9laborer-un-syst%C3%A8me-de-gestion-de-stock"/>
    <hyperlink ref="P111" r:id="rId198" display="https://extranet.who.int/lqsi/fr/content/%C3%A9laborer-un-formulaire-de-demande-dexamen-de-laboratoire"/>
    <hyperlink ref="P119" r:id="rId199" display="https://extranet.who.int/lqsi/fr/content/%C3%A9laborer-un-formulaire-de-demande-dexamen-de-laboratoire"/>
    <hyperlink ref="P120" r:id="rId200" display="https://extranet.who.int/lqsi/fr/content/%C3%A9laborer-un-formulaire-de-demande-dexamen-de-laboratoire"/>
    <hyperlink ref="P121" r:id="rId201" display="https://extranet.who.int/lqsi/fr/content/%C3%A9tablir-une-liste-de-tous-les-examens-r%C3%A9alis%C3%A9s-dans-le-laboratoire"/>
    <hyperlink ref="P122" r:id="rId202" display="https://extranet.who.int/lqsi/fr/content/faire-des-pos-pour-tous-les-examens-r%C3%A9alis%C3%A9s-par-le-laboratoire"/>
    <hyperlink ref="P123" r:id="rId203" display="https://extranet.who.int/lqsi/fr/content/faire-des-pos-pour-tous-les-examens-r%C3%A9alis%C3%A9s-par-le-laboratoire"/>
    <hyperlink ref="P124" r:id="rId204" display="https://extranet.who.int/lqsi/fr/content/faire-des-pos-pour-tous-les-examens-r%C3%A9alis%C3%A9s-par-le-laboratoire"/>
    <hyperlink ref="P125" r:id="rId205" display="https://extranet.who.int/lqsi/fr/content/r%C3%A9diger-une-pos-cadre"/>
    <hyperlink ref="P126" r:id="rId206" display="https://extranet.who.int/lqsi/fr/content/r%C3%A9diger-une-pos-cadre"/>
    <hyperlink ref="P127" r:id="rId207" display="https://extranet.who.int/lqsi/fr/content/effectuer-une-%C3%A9valuation-de-la-situation-initiale-du-laboratoire"/>
    <hyperlink ref="Q2" r:id="rId208"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hyperlink ref="Q3" r:id="rId209"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hyperlink ref="Q4" r:id="rId210" display="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hyperlink ref="Q5" r:id="rId211" display="https://extranet.who.int/lqsi/ru/content/%D0%BF%D1%80%D0%BE%D0%B2%D0%B5%D0%B4%D0%B8%D1%82%D0%B5-%D0%BE%D1%86%D0%B5%D0%BD%D0%BA%D1%83-%D0%BF%D0%BE%D0%BC%D0%B5%D1%89%D0%B5%D0%BD%D0%B8%D0%B9-%D0%B8-%D0%B1%D0%B5%D0%B7%D0%BE%D0%BF%D0%B0%D1%81%D0%BD%D0%BE%D1%81%D1%82%D0%B8"/>
    <hyperlink ref="Q6" r:id="rId212" display="https://extranet.who.int/lqsi/ru/content/%D0%BF%D1%80%D0%BE%D0%B2%D0%B5%D0%B4%D0%B8%D1%82%D0%B5-%D0%BE%D1%86%D0%B5%D0%BD%D0%BA%D1%83-%D0%BF%D0%BE%D0%BC%D0%B5%D1%89%D0%B5%D0%BD%D0%B8%D0%B9-%D0%B8-%D0%B1%D0%B5%D0%B7%D0%BE%D0%BF%D0%B0%D1%81%D0%BD%D0%BE%D1%81%D1%82%D0%B8"/>
    <hyperlink ref="Q7" r:id="rId213" display="https://extranet.who.int/lqsi/ru/content/%D0%BF%D1%80%D0%BE%D0%B2%D0%B5%D0%B4%D0%B8%D1%82%D0%B5-%D0%BE%D1%86%D0%B5%D0%BD%D0%BA%D1%83-%D0%BF%D0%BE%D0%BC%D0%B5%D1%89%D0%B5%D0%BD%D0%B8%D0%B9-%D0%B8-%D0%B1%D0%B5%D0%B7%D0%BE%D0%BF%D0%B0%D1%81%D0%BD%D0%BE%D1%81%D1%82%D0%B8"/>
    <hyperlink ref="Q8" r:id="rId214" display="https://extranet.who.int/lqsi/ru/content/%D0%BF%D1%80%D0%BE%D0%B2%D0%B5%D0%B4%D0%B8%D1%82%D0%B5-%D0%BE%D1%86%D0%B5%D0%BD%D0%BA%D1%83-%D0%BF%D0%BE%D0%BC%D0%B5%D1%89%D0%B5%D0%BD%D0%B8%D0%B9-%D0%B8-%D0%B1%D0%B5%D0%B7%D0%BE%D0%BF%D0%B0%D1%81%D0%BD%D0%BE%D1%81%D1%82%D0%B8"/>
    <hyperlink ref="Q9" r:id="rId215" display="https://extranet.who.int/lqsi/ru/content/%D0%BF%D1%80%D0%BE%D0%B2%D0%B5%D0%B4%D0%B8%D1%82%D0%B5-%D0%BE%D1%86%D0%B5%D0%BD%D0%BA%D1%83-%D0%BF%D0%BE%D0%BC%D0%B5%D1%89%D0%B5%D0%BD%D0%B8%D0%B9-%D0%B8-%D0%B1%D0%B5%D0%B7%D0%BE%D0%BF%D0%B0%D1%81%D0%BD%D0%BE%D1%81%D1%82%D0%B8"/>
    <hyperlink ref="Q10" r:id="rId21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1" r:id="rId21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2" r:id="rId21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3" r:id="rId219"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4" r:id="rId220"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5" r:id="rId221"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6" r:id="rId222"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7" r:id="rId223"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8" r:id="rId224"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9" r:id="rId225"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0" r:id="rId22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1" r:id="rId22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2" r:id="rId22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3" r:id="rId229"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4" r:id="rId230"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5" r:id="rId231"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6" r:id="rId232"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7" r:id="rId233"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8" r:id="rId234"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9" r:id="rId235"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30" r:id="rId236"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31" r:id="rId237"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2" r:id="rId238"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3" r:id="rId239"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4" r:id="rId240"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5" r:id="rId241"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6" r:id="rId242"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hyperlink ref="Q37" r:id="rId243"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hyperlink ref="Q38" r:id="rId244"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hyperlink ref="Q39" r:id="rId245"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hyperlink ref="Q40" r:id="rId246"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1" r:id="rId247"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2" r:id="rId248"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3" r:id="rId249"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4" r:id="rId250" display="https://extranet.who.int/lqsi/ru/content/%D0%BF%D0%BE%D0%B4%D0%B3%D0%BE%D1%82%D0%BE%D0%B2%D1%8C%D1%82%D0%B5-%D0%B8-%D0%B8%D1%81%D0%BF%D0%BE%D0%BB%D1%8C%D0%B7%D1%83%D0%B9%D1%82%D0%B5-%D0%BF%D0%BB%D0%B0%D0%BD%D1%8B-%D1%81%D0%BE%D1%81%D1%82%D0%BE%D1%8F%D1%89%D0%B8%D0%B5-%D0%B8%D0%B7-%D0%BA%D0%BE%D0%BD%D0%BA%D1%80%D0%B5%D1%82%D0%BD%D1%8B%D1%85-smart-%D0%B4%D0%B5%D0%B9%D1%81%D1%82%D0%B2%D0%B8%D0%B9"/>
    <hyperlink ref="Q45" r:id="rId251" display="https://extranet.who.int/lqsi/ru/content/%D0%BF%D0%BE%D0%B4%D0%B3%D0%BE%D1%82%D0%BE%D0%B2%D1%8C%D1%82%D0%B5-%D0%B8-%D0%B8%D1%81%D0%BF%D0%BE%D0%BB%D1%8C%D0%B7%D1%83%D0%B9%D1%82%D0%B5-%D0%BF%D0%BB%D0%B0%D0%BD%D1%8B-%D1%81%D0%BE%D1%81%D1%82%D0%BE%D1%8F%D1%89%D0%B8%D0%B5-%D0%B8%D0%B7-%D0%BA%D0%BE%D0%BD%D0%BA%D1%80%D0%B5%D1%82%D0%BD%D1%8B%D1%85-smart-%D0%B4%D0%B5%D0%B9%D1%81%D1%82%D0%B2%D0%B8%D0%B9"/>
    <hyperlink ref="Q46" r:id="rId252" display="https://extranet.who.int/lqsi/ru/content/%D0%BF%D0%BE%D0%B4%D0%B3%D0%BE%D1%82%D0%BE%D0%B2%D1%8C%D1%82%D0%B5-%D0%B8-%D0%B8%D1%81%D0%BF%D0%BE%D0%BB%D1%8C%D0%B7%D1%83%D0%B9%D1%82%D0%B5-%D0%BF%D0%BB%D0%B0%D0%BD%D1%8B-%D1%81%D0%BE%D1%81%D1%82%D0%BE%D1%8F%D1%89%D0%B8%D0%B5-%D0%B8%D0%B7-%D0%BA%D0%BE%D0%BD%D0%BA%D1%80%D0%B5%D1%82%D0%BD%D1%8B%D1%85-smart-%D0%B4%D0%B5%D0%B9%D1%81%D1%82%D0%B2%D0%B8%D0%B9"/>
    <hyperlink ref="Q47" r:id="rId253"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48" r:id="rId254"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49" r:id="rId255"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50" r:id="rId256"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51" r:id="rId257"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2" r:id="rId258"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3" r:id="rId259"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4" r:id="rId260"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5" r:id="rId261" display="https://extranet.who.int/lqsi/ru/content/%D0%BD%D0%B0%D0%B7%D0%BD%D0%B0%D1%87%D1%8C%D1%82%D0%B5-%D1%81%D0%BE%D1%82%D1%80%D1%83%D0%B4%D0%BD%D0%B8%D0%BA%D0%B0-%D0%BE%D1%82%D0%B2%D0%B5%D1%82%D1%81%D1%82%D0%B2%D0%B5%D0%BD%D0%BD%D0%BE%D0%B3%D0%BE-%D0%B7%D0%B0-%D0%BE%D0%B1%D0%BE%D1%80%D1%83%D0%B4%D0%BE%D0%B2%D0%B0%D0%BD%D0%B8%D0%B5"/>
    <hyperlink ref="Q56" r:id="rId262" display="https://extranet.who.int/lqsi/ru/content/%D0%BD%D0%B0%D0%B7%D0%BD%D0%B0%D1%87%D1%8C%D1%82%D0%B5-%D1%81%D0%BE%D1%82%D1%80%D1%83%D0%B4%D0%BD%D0%B8%D0%BA%D0%B0-%D0%BE%D1%82%D0%B2%D0%B5%D1%82%D1%81%D1%82%D0%B2%D0%B5%D0%BD%D0%BD%D0%BE%D0%B3%D0%BE-%D0%B7%D0%B0-%D0%BE%D0%B1%D0%BE%D1%80%D1%83%D0%B4%D0%BE%D0%B2%D0%B0%D0%BD%D0%B8%D0%B5"/>
    <hyperlink ref="Q57" r:id="rId263" display="https://extranet.who.int/lqsi/ru/content/%D0%BD%D0%B0%D0%B7%D0%BD%D0%B0%D1%87%D1%8C%D1%82%D0%B5-%D1%81%D0%BE%D1%82%D1%80%D1%83%D0%B4%D0%BD%D0%B8%D0%BA%D0%B0-%D0%BE%D1%82%D0%B2%D0%B5%D1%82%D1%81%D1%82%D0%B2%D0%B5%D0%BD%D0%BD%D0%BE%D0%B3%D0%BE-%D0%B7%D0%B0-%D0%BE%D0%B1%D0%BE%D1%80%D1%83%D0%B4%D0%BE%D0%B2%D0%B0%D0%BD%D0%B8%D0%B5"/>
    <hyperlink ref="Q58" r:id="rId264"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59" r:id="rId265"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60" r:id="rId266"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61" r:id="rId267"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62" r:id="rId268" display="https://extranet.who.int/lqsi/ru/content/%D1%81%D0%B4%D0%B5%D0%BB%D0%B0%D0%B9%D1%82%D0%B5-%D0%B3%D1%80%D0%B0%D1%84%D0%B8%D1%87%D0%B5%D1%81%D0%BA%D1%83%D1%8E-%D1%81%D1%85%D0%B5%D0%BC%D1%83-%D0%BE%D1%80%D0%B3%D0%B0%D0%BD%D0%B8%D0%B7%D0%B0%D1%86%D0%B8%D0%B8"/>
    <hyperlink ref="Q63" r:id="rId269" display="https://extranet.who.int/lqsi/ru/content/%D1%81%D0%B4%D0%B5%D0%BB%D0%B0%D0%B9%D1%82%D0%B5-%D0%B3%D1%80%D0%B0%D1%84%D0%B8%D1%87%D0%B5%D1%81%D0%BA%D1%83%D1%8E-%D1%81%D1%85%D0%B5%D0%BC%D1%83-%D0%BE%D1%80%D0%B3%D0%B0%D0%BD%D0%B8%D0%B7%D0%B0%D1%86%D0%B8%D0%B8"/>
    <hyperlink ref="Q64" r:id="rId270" display="https://extranet.who.int/lqsi/ru/content/%D1%81%D0%B4%D0%B5%D0%BB%D0%B0%D0%B9%D1%82%D0%B5-%D0%B3%D1%80%D0%B0%D1%84%D0%B8%D1%87%D0%B5%D1%81%D0%BA%D1%83%D1%8E-%D1%81%D1%85%D0%B5%D0%BC%D1%83-%D0%BE%D1%80%D0%B3%D0%B0%D0%BD%D0%B8%D0%B7%D0%B0%D1%86%D0%B8%D0%B8"/>
    <hyperlink ref="Q65" r:id="rId271" display="https://extranet.who.int/lqsi/ru/content/%D1%81%D0%B4%D0%B5%D0%BB%D0%B0%D0%B9%D1%82%D0%B5-%D0%B3%D1%80%D0%B0%D1%84%D0%B8%D1%87%D0%B5%D1%81%D0%BA%D1%83%D1%8E-%D1%81%D1%85%D0%B5%D0%BC%D1%83-%D0%BE%D1%80%D0%B3%D0%B0%D0%BD%D0%B8%D0%B7%D0%B0%D1%86%D0%B8%D0%B8"/>
    <hyperlink ref="Q66" r:id="rId272" display="https://extranet.who.int/lqsi/ru/content/%D1%81%D0%B4%D0%B5%D0%BB%D0%B0%D0%B9%D1%82%D0%B5-%D0%B3%D1%80%D0%B0%D1%84%D0%B8%D1%87%D0%B5%D1%81%D0%BA%D1%83%D1%8E-%D1%81%D1%85%D0%B5%D0%BC%D1%83-%D0%BE%D1%80%D0%B3%D0%B0%D0%BD%D0%B8%D0%B7%D0%B0%D1%86%D0%B8%D0%B8"/>
    <hyperlink ref="Q67" r:id="rId273" display="https://extranet.who.int/lqsi/ru/content/%D1%81%D0%BE%D0%B7%D0%B4%D0%B0%D0%B9%D1%82%D0%B5-%D0%BF%D1%80%D0%B8%D0%B2%D0%B5%D1%80%D0%B6%D0%B5%D0%BD%D0%BD%D0%BE%D1%81%D1%82%D1%8C-%D1%86%D0%B5%D0%BB%D0%B8-%D0%B4%D0%BE%D0%B1%D0%B8%D1%82%D1%8C%D1%81%D1%8F-%D0%B0%D0%BA%D0%BA%D1%80%D0%B5%D0%B4%D0%B8%D1%82%D0%B0%D1%86%D0%B8%D0%B8-1"/>
    <hyperlink ref="Q68" r:id="rId274"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hyperlink ref="Q69" r:id="rId275"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hyperlink ref="Q70" r:id="rId276"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hyperlink ref="Q71" r:id="rId277"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hyperlink ref="Q72" r:id="rId278" display="https://extranet.who.int/lqsi/ru/content/%D1%81%D0%B4%D0%B5%D0%BB%D0%B0%D0%B9%D1%82%D0%B5-%C2%AB%D1%82%D0%B0%D0%B1%D0%BB%D0%B8%D1%86%D1%83-%D0%BF%D0%BE%D0%BB%D0%BD%D0%BE%D0%BC%D0%BE%D1%87%D0%B8%D0%B9%C2%BB"/>
    <hyperlink ref="Q73" r:id="rId279" display="https://extranet.who.int/lqsi/ru/content/%D1%81%D0%B4%D0%B5%D0%BB%D0%B0%D0%B9%D1%82%D0%B5-%C2%AB%D1%82%D0%B0%D0%B1%D0%BB%D0%B8%D1%86%D1%83-%D0%BF%D0%BE%D0%BB%D0%BD%D0%BE%D0%BC%D0%BE%D1%87%D0%B8%D0%B9%C2%BB"/>
    <hyperlink ref="Q74" r:id="rId280" display="https://extranet.who.int/lqsi/ru/content/%D1%81%D0%B4%D0%B5%D0%BB%D0%B0%D0%B9%D1%82%D0%B5-%C2%AB%D1%82%D0%B0%D0%B1%D0%BB%D0%B8%D1%86%D1%83-%D0%BF%D0%BE%D0%BB%D0%BD%D0%BE%D0%BC%D0%BE%D1%87%D0%B8%D0%B9%C2%BB"/>
    <hyperlink ref="Q75" r:id="rId281" display="https://extranet.who.int/lqsi/ru/content/%D1%81%D0%B4%D0%B5%D0%BB%D0%B0%D0%B9%D1%82%D0%B5-%C2%AB%D1%82%D0%B0%D0%B1%D0%BB%D0%B8%D1%86%D1%83-%D0%BF%D0%BE%D0%BB%D0%BD%D0%BE%D0%BC%D0%BE%D1%87%D0%B8%D0%B9%C2%BB"/>
    <hyperlink ref="Q76" r:id="rId282" display="https://extranet.who.int/lqsi/ru/content/%D1%81%D0%B4%D0%B5%D0%BB%D0%B0%D0%B9%D1%82%D0%B5-%C2%AB%D1%82%D0%B0%D0%B1%D0%BB%D0%B8%D1%86%D1%83-%D0%BF%D0%BE%D0%BB%D0%BD%D0%BE%D0%BC%D0%BE%D1%87%D0%B8%D0%B9%C2%BB"/>
    <hyperlink ref="Q77" r:id="rId283" display="https://extranet.who.int/lqsi/ru/content/%D1%81%D0%B4%D0%B5%D0%BB%D0%B0%D0%B9%D1%82%D0%B5-%C2%AB%D1%82%D0%B0%D0%B1%D0%BB%D0%B8%D1%86%D1%83-%D0%BF%D0%BE%D0%BB%D0%BD%D0%BE%D0%BC%D0%BE%D1%87%D0%B8%D0%B9%C2%BB"/>
    <hyperlink ref="Q78" r:id="rId284"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hyperlink ref="Q79" r:id="rId285"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hyperlink ref="Q80" r:id="rId286"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hyperlink ref="Q81" r:id="rId287"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hyperlink ref="Q82" r:id="rId288"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hyperlink ref="Q83" r:id="rId289" display="https://extranet.who.int/lqsi/ru/content/%D0%BE%D0%B1%D0%B5%D1%81%D0%BF%D0%B5%D1%87%D1%8C%D1%82%D0%B5-%D0%B4%D0%BE%D0%BB%D0%B6%D0%BD%D1%83%D1%8E-%D0%BA%D0%B2%D0%B0%D0%BB%D0%B8%D1%84%D0%B8%D0%BA%D0%B0%D1%86%D0%B8%D1%8E-%D1%81%D0%BE%D1%82%D1%80%D1%83%D0%B4%D0%BD%D0%B8%D0%BA%D0%BE%D0%B2"/>
    <hyperlink ref="Q84" r:id="rId290" display="https://extranet.who.int/lqsi/ru/content/%D0%BE%D0%B1%D0%B5%D1%81%D0%BF%D0%B5%D1%87%D1%8C%D1%82%D0%B5-%D0%B4%D0%BE%D0%BB%D0%B6%D0%BD%D1%83%D1%8E-%D0%BA%D0%B2%D0%B0%D0%BB%D0%B8%D1%84%D0%B8%D0%BA%D0%B0%D1%86%D0%B8%D1%8E-%D1%81%D0%BE%D1%82%D1%80%D1%83%D0%B4%D0%BD%D0%B8%D0%BA%D0%BE%D0%B2"/>
    <hyperlink ref="Q85" r:id="rId291"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86" r:id="rId292"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102" r:id="rId293"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103" r:id="rId294"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104" r:id="rId295" display="https://extranet.who.int/lqsi/ru/content/%D0%BF%D0%BE%D0%B4%D0%B3%D0%BE%D1%82%D0%BE%D0%B2%D1%8C%D1%82%D0%B5-%D0%BF%D1%80%D0%BE%D1%86%D0%B5%D0%B4%D1%83%D1%80%D1%8B-%D0%B4%D0%BB%D1%8F-%D1%8D%D0%BA%D1%81%D0%BF%D0%BB%D1%83%D0%B0%D1%82%D0%B0%D1%86%D0%B8%D0%B8-%D0%BE%D0%B1%D0%BE%D1%80%D1%83%D0%B4%D0%BE%D0%B2%D0%B0%D0%BD%D0%B8%D1%8F"/>
    <hyperlink ref="Q105" r:id="rId296" display="https://extranet.who.int/lqsi/ru/content/%D0%BF%D0%BE%D0%B4%D0%B3%D0%BE%D1%82%D0%BE%D0%B2%D1%8C%D1%82%D0%B5-%D0%BF%D1%80%D0%BE%D1%86%D0%B5%D0%B4%D1%83%D1%80%D1%8B-%D0%B4%D0%BB%D1%8F-%D1%8D%D0%BA%D1%81%D0%BF%D0%BB%D1%83%D0%B0%D1%82%D0%B0%D1%86%D0%B8%D0%B8-%D0%BE%D0%B1%D0%BE%D1%80%D1%83%D0%B4%D0%BE%D0%B2%D0%B0%D0%BD%D0%B8%D1%8F"/>
    <hyperlink ref="Q106" r:id="rId297" display="https://extranet.who.int/lqsi/ru/content/%D0%BF%D0%BE%D0%B4%D0%B3%D0%BE%D1%82%D0%BE%D0%B2%D1%8C%D1%82%D0%B5-%D0%BF%D1%80%D0%BE%D1%86%D0%B5%D0%B4%D1%83%D1%80%D1%8B-%D0%B4%D0%BB%D1%8F-%D1%8D%D0%BA%D1%81%D0%BF%D0%BB%D1%83%D0%B0%D1%82%D0%B0%D1%86%D0%B8%D0%B8-%D0%BE%D0%B1%D0%BE%D1%80%D1%83%D0%B4%D0%BE%D0%B2%D0%B0%D0%BD%D0%B8%D1%8F"/>
    <hyperlink ref="Q107" r:id="rId298" display="https://extranet.who.int/lqsi/ru/content/%D0%BF%D0%BE%D0%B4%D0%B3%D0%BE%D1%82%D0%BE%D0%B2%D1%8C%D1%82%D0%B5-%D0%BF%D1%80%D0%BE%D1%86%D0%B5%D0%B4%D1%83%D1%80%D1%8B-%D0%B4%D0%BB%D1%8F-%D1%8D%D0%BA%D1%81%D0%BF%D0%BB%D1%83%D0%B0%D1%82%D0%B0%D1%86%D0%B8%D0%B8-%D0%BE%D0%B1%D0%BE%D1%80%D1%83%D0%B4%D0%BE%D0%B2%D0%B0%D0%BD%D0%B8%D1%8F"/>
    <hyperlink ref="Q108" r:id="rId299"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hyperlink ref="Q109" r:id="rId300"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hyperlink ref="Q110" r:id="rId301"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hyperlink ref="Q111" r:id="rId302" display="https://extranet.who.int/lqsi/ru/content/%D1%80%D0%B0%D0%B7%D1%80%D0%B0%D0%B1%D0%BE%D1%82%D0%B0%D0%B9%D1%82%D0%B5-%C2%AB%D1%84%D0%BE%D1%80%D0%BC%D1%83-%D0%B7%D0%B0%D0%BF%D1%80%D0%BE%D1%81%D0%B0%C2%BB-%D0%B4%D0%BB%D1%8F-%D0%BB%D0%B0%D0%B1%D0%BE%D1%80%D0%B0%D1%82%D0%BE%D1%80%D0%BD%D1%8B%D1%85-%D0%B8%D1%81%D1%81%D0%BB%D0%B5%D0%B4%D0%BE%D0%B2%D0%B0%D0%BD%D0%B8%D0%B9"/>
    <hyperlink ref="Q119" r:id="rId303" display="https://extranet.who.int/lqsi/ru/content/%D1%80%D0%B0%D0%B7%D1%80%D0%B0%D0%B1%D0%BE%D1%82%D0%B0%D0%B9%D1%82%D0%B5-%C2%AB%D1%84%D0%BE%D1%80%D0%BC%D1%83-%D0%B7%D0%B0%D0%BF%D1%80%D0%BE%D1%81%D0%B0%C2%BB-%D0%B4%D0%BB%D1%8F-%D0%BB%D0%B0%D0%B1%D0%BE%D1%80%D0%B0%D1%82%D0%BE%D1%80%D0%BD%D1%8B%D1%85-%D0%B8%D1%81%D1%81%D0%BB%D0%B5%D0%B4%D0%BE%D0%B2%D0%B0%D0%BD%D0%B8%D0%B9"/>
    <hyperlink ref="Q120" r:id="rId304" display="https://extranet.who.int/lqsi/ru/content/%D1%80%D0%B0%D0%B7%D1%80%D0%B0%D0%B1%D0%BE%D1%82%D0%B0%D0%B9%D1%82%D0%B5-%C2%AB%D1%84%D0%BE%D1%80%D0%BC%D1%83-%D0%B7%D0%B0%D0%BF%D1%80%D0%BE%D1%81%D0%B0%C2%BB-%D0%B4%D0%BB%D1%8F-%D0%BB%D0%B0%D0%B1%D0%BE%D1%80%D0%B0%D1%82%D0%BE%D1%80%D0%BD%D1%8B%D1%85-%D0%B8%D1%81%D1%81%D0%BB%D0%B5%D0%B4%D0%BE%D0%B2%D0%B0%D0%BD%D0%B8%D0%B9"/>
    <hyperlink ref="Q121" r:id="rId305" display="https://extranet.who.int/lqsi/ru/content/%D1%81%D0%BE%D1%81%D1%82%D0%B0%D0%B2%D1%8C%D1%82%D0%B5-%D1%81%D0%BF%D0%B8%D1%81%D0%BE%D0%BA-%D0%B2%D1%81%D0%B5%D1%85-%D0%B8%D1%81%D1%81%D0%BB%D0%B5%D0%B4%D0%BE%D0%B2%D0%B0%D0%BD%D0%B8%D0%B9-%D0%B2%D1%8B%D0%BF%D0%BE%D0%BB%D0%BD%D1%8F%D0%B5%D0%BC%D1%8B%D1%85-%D0%B2-%D0%BB%D0%B0%D0%B1%D0%BE%D1%80%D0%B0%D1%82%D0%BE%D1%80%D0%B8%D0%B8"/>
    <hyperlink ref="Q122" r:id="rId306" display="https://extranet.who.int/lqsi/ru/content/%D0%BF%D0%BE%D0%B4%D0%B3%D0%BE%D1%82%D0%BE%D0%B2%D1%8C%D1%82%D0%B5-%D1%81%D0%BE%D0%BF-%D0%B4%D0%BB%D1%8F-%D0%B2%D1%81%D0%B5%D1%85-%D0%B8%D1%81%D1%81%D0%BB%D0%B5%D0%B4%D0%BE%D0%B2%D0%B0%D0%BD%D0%B8%D0%B9-%D0%B2%D1%8B%D0%BF%D0%BE%D0%BB%D0%BD%D1%8F%D0%B5%D0%BC%D1%8B%D1%85-%D0%B2-%D0%BB%D0%B0%D0%B1%D0%BE%D1%80%D0%B0%D1%82%D0%BE%D1%80%D0%B8%D0%B8"/>
    <hyperlink ref="Q123" r:id="rId307" display="https://extranet.who.int/lqsi/ru/content/%D0%BF%D0%BE%D0%B4%D0%B3%D0%BE%D1%82%D0%BE%D0%B2%D1%8C%D1%82%D0%B5-%D1%81%D0%BE%D0%BF-%D0%B4%D0%BB%D1%8F-%D0%B2%D1%81%D0%B5%D1%85-%D0%B8%D1%81%D1%81%D0%BB%D0%B5%D0%B4%D0%BE%D0%B2%D0%B0%D0%BD%D0%B8%D0%B9-%D0%B2%D1%8B%D0%BF%D0%BE%D0%BB%D0%BD%D1%8F%D0%B5%D0%BC%D1%8B%D1%85-%D0%B2-%D0%BB%D0%B0%D0%B1%D0%BE%D1%80%D0%B0%D1%82%D0%BE%D1%80%D0%B8%D0%B8"/>
    <hyperlink ref="Q124" r:id="rId308" display="https://extranet.who.int/lqsi/ru/content/%D0%BF%D0%BE%D0%B4%D0%B3%D0%BE%D1%82%D0%BE%D0%B2%D1%8C%D1%82%D0%B5-%D1%81%D0%BE%D0%BF-%D0%B4%D0%BB%D1%8F-%D0%B2%D1%81%D0%B5%D1%85-%D0%B8%D1%81%D1%81%D0%BB%D0%B5%D0%B4%D0%BE%D0%B2%D0%B0%D0%BD%D0%B8%D0%B9-%D0%B2%D1%8B%D0%BF%D0%BE%D0%BB%D0%BD%D1%8F%D0%B5%D0%BC%D1%8B%D1%85-%D0%B2-%D0%BB%D0%B0%D0%B1%D0%BE%D1%80%D0%B0%D1%82%D0%BE%D1%80%D0%B8%D0%B8"/>
    <hyperlink ref="Q125" r:id="rId309" display="https://extranet.who.int/lqsi/ru/content/%D0%BF%D0%BE%D0%B4%D0%B3%D0%BE%D1%82%D0%BE%D0%B2%D1%8C%D1%82%D0%B5-%C2%AB%D0%BE%D0%B1%D1%80%D0%B0%D0%B7%D0%B5%D1%86-%D1%81%D0%BE%D0%BF%C2%BB"/>
    <hyperlink ref="Q126" r:id="rId310" display="https://extranet.who.int/lqsi/ru/content/%D0%BF%D0%BE%D0%B4%D0%B3%D0%BE%D1%82%D0%BE%D0%B2%D1%8C%D1%82%D0%B5-%C2%AB%D0%BE%D0%B1%D1%80%D0%B0%D0%B7%D0%B5%D1%86-%D1%81%D0%BE%D0%BF%C2%BB"/>
    <hyperlink ref="Q127" r:id="rId311" display="https://extranet.who.int/lqsi/ru/content/%D0%BF%D1%80%D0%BE%D0%B2%D0%B5%D0%B4%D0%B8%D1%82%D0%B5-%D0%BE%D1%86%D0%B5%D0%BD%D0%BA%D1%83-%D0%BD%D1%8B%D0%BD%D0%B5%D1%88%D0%BD%D0%B5%D0%B3%D0%BE-%D1%81%D0%BE%D1%81%D1%82%D0%BE%D1%8F%D0%BD%D0%B8%D1%8F-%D0%BB%D0%B0%D0%B1%D0%BE%D1%80%D0%B0%D1%82%D0%BE%D1%80%D0%B8%D0%B8"/>
    <hyperlink ref="R2" r:id="rId312" display="https://extranet.who.int/lqsi/es/content/formar-al-personal-para-que-reconozca-los-s%C3%ADntomas-de-infecciones-asociadas-un-laboratorio-y"/>
    <hyperlink ref="R3" r:id="rId313" display="https://extranet.who.int/lqsi/es/content/formar-al-personal-para-que-reconozca-los-s%C3%ADntomas-de-infecciones-asociadas-un-laboratorio-y"/>
    <hyperlink ref="R4" r:id="rId314" display="https://extranet.who.int/lqsi/es/content/determinar-el-nivel-de-bioseguridad-que-deben-cumplir-las-instalaciones"/>
    <hyperlink ref="R5" r:id="rId315" display="https://extranet.who.int/lqsi/es/content/realizar-una-evaluaci%C3%B3n-de-las-instalaciones-y-las-condiciones-de-seguridad"/>
    <hyperlink ref="R6" r:id="rId316" display="https://extranet.who.int/lqsi/es/content/realizar-una-evaluaci%C3%B3n-de-las-instalaciones-y-las-condiciones-de-seguridad"/>
    <hyperlink ref="R7" r:id="rId317" display="https://extranet.who.int/lqsi/es/content/realizar-una-evaluaci%C3%B3n-de-las-instalaciones-y-las-condiciones-de-seguridad"/>
    <hyperlink ref="R8" r:id="rId318" display="https://extranet.who.int/lqsi/es/content/realizar-una-evaluaci%C3%B3n-de-las-instalaciones-y-las-condiciones-de-seguridad"/>
    <hyperlink ref="R9" r:id="rId319" display="https://extranet.who.int/lqsi/es/content/realizar-una-evaluaci%C3%B3n-de-las-instalaciones-y-las-condiciones-de-seguridad"/>
    <hyperlink ref="R10" r:id="rId320" display="https://extranet.who.int/lqsi/es/content/redactar-e-implementar-un-poe-de-separaci%C3%B3n-y-eliminaci%C3%B3n-de-residuos"/>
    <hyperlink ref="R11" r:id="rId321" display="https://extranet.who.int/lqsi/es/content/redactar-e-implementar-un-poe-de-separaci%C3%B3n-y-eliminaci%C3%B3n-de-residuos"/>
    <hyperlink ref="R12" r:id="rId322" display="https://extranet.who.int/lqsi/es/content/redactar-e-implementar-un-poe-de-separaci%C3%B3n-y-eliminaci%C3%B3n-de-residuos"/>
    <hyperlink ref="R13" r:id="rId323" display="https://extranet.who.int/lqsi/es/content/redactar-e-implementar-un-poe-de-separaci%C3%B3n-y-eliminaci%C3%B3n-de-residuos"/>
    <hyperlink ref="R14" r:id="rId324" display="https://extranet.who.int/lqsi/es/content/redactar-e-implementar-un-poe-de-separaci%C3%B3n-y-eliminaci%C3%B3n-de-residuos"/>
    <hyperlink ref="R15" r:id="rId325" display="https://extranet.who.int/lqsi/es/content/redactar-e-implementar-un-poe-de-separaci%C3%B3n-y-eliminaci%C3%B3n-de-residuos"/>
    <hyperlink ref="R16" r:id="rId326" display="https://extranet.who.int/lqsi/es/content/redactar-e-implementar-un-poe-de-separaci%C3%B3n-y-eliminaci%C3%B3n-de-residuos"/>
    <hyperlink ref="R17" r:id="rId327" display="https://extranet.who.int/lqsi/es/content/redactar-e-implementar-un-poe-de-separaci%C3%B3n-y-eliminaci%C3%B3n-de-residuos"/>
    <hyperlink ref="R18" r:id="rId328" display="https://extranet.who.int/lqsi/es/content/redactar-e-implementar-un-poe-de-separaci%C3%B3n-y-eliminaci%C3%B3n-de-residuos"/>
    <hyperlink ref="R19" r:id="rId329" display="https://extranet.who.int/lqsi/es/content/redactar-e-implementar-un-poe-de-separaci%C3%B3n-y-eliminaci%C3%B3n-de-residuos"/>
    <hyperlink ref="R20" r:id="rId330" display="https://extranet.who.int/lqsi/es/content/redactar-e-implementar-un-poe-de-separaci%C3%B3n-y-eliminaci%C3%B3n-de-residuos"/>
    <hyperlink ref="R21" r:id="rId331" display="https://extranet.who.int/lqsi/es/content/redactar-e-implementar-un-poe-de-separaci%C3%B3n-y-eliminaci%C3%B3n-de-residuos"/>
    <hyperlink ref="R22" r:id="rId332" display="https://extranet.who.int/lqsi/es/content/redactar-e-implementar-un-poe-de-separaci%C3%B3n-y-eliminaci%C3%B3n-de-residuos"/>
    <hyperlink ref="R23" r:id="rId333" display="https://extranet.who.int/lqsi/es/content/redactar-un-manual-de-bioseguridad-y-asegurarse-de-que-todo-el-personal-lo-lee-y-lo-firma"/>
    <hyperlink ref="R24" r:id="rId334" display="https://extranet.who.int/lqsi/es/content/redactar-un-manual-de-bioseguridad-y-asegurarse-de-que-todo-el-personal-lo-lee-y-lo-firma"/>
    <hyperlink ref="R25" r:id="rId335" display="https://extranet.who.int/lqsi/es/content/redactar-un-manual-de-bioseguridad-y-asegurarse-de-que-todo-el-personal-lo-lee-y-lo-firma"/>
    <hyperlink ref="R26" r:id="rId336" display="https://extranet.who.int/lqsi/es/content/redactar-un-manual-de-bioseguridad-y-asegurarse-de-que-todo-el-personal-lo-lee-y-lo-firma"/>
    <hyperlink ref="R27" r:id="rId337" display="https://extranet.who.int/lqsi/es/content/redactar-un-manual-de-bioseguridad-y-asegurarse-de-que-todo-el-personal-lo-lee-y-lo-firma"/>
    <hyperlink ref="R28" r:id="rId338" display="https://extranet.who.int/lqsi/es/content/redactar-un-manual-de-bioseguridad-y-asegurarse-de-que-todo-el-personal-lo-lee-y-lo-firma"/>
    <hyperlink ref="R29" r:id="rId339" display="https://extranet.who.int/lqsi/es/content/redactar-un-manual-de-bioseguridad-y-asegurarse-de-que-todo-el-personal-lo-lee-y-lo-firma"/>
    <hyperlink ref="R30" r:id="rId340" display="https://extranet.who.int/lqsi/es/content/redactar-un-manual-de-bioseguridad-y-asegurarse-de-que-todo-el-personal-lo-lee-y-lo-firma"/>
    <hyperlink ref="R31" r:id="rId341" display="https://extranet.who.int/lqsi/es/content/organizar-la-limpieza-peri%C3%B3dica-y-normalizada-del-laboratorio"/>
    <hyperlink ref="R32" r:id="rId342" display="https://extranet.who.int/lqsi/es/content/organizar-la-limpieza-peri%C3%B3dica-y-normalizada-del-laboratorio"/>
    <hyperlink ref="R33" r:id="rId343" display="https://extranet.who.int/lqsi/es/content/organizar-la-limpieza-peri%C3%B3dica-y-normalizada-del-laboratorio"/>
    <hyperlink ref="R34" r:id="rId344" display="https://extranet.who.int/lqsi/es/content/organizar-la-limpieza-peri%C3%B3dica-y-normalizada-del-laboratorio"/>
    <hyperlink ref="R35" r:id="rId345" display="https://extranet.who.int/lqsi/es/content/organizar-la-limpieza-peri%C3%B3dica-y-normalizada-del-laboratorio"/>
    <hyperlink ref="R36" r:id="rId346" display="https://extranet.who.int/lqsi/es/content/adquirir-kits-para-derrames-y-redactar-e-implementar-un-poe-de-control-de-derrames"/>
    <hyperlink ref="R37" r:id="rId347" display="https://extranet.who.int/lqsi/es/content/adquirir-kits-para-derrames-y-redactar-e-implementar-un-poe-de-control-de-derrames"/>
    <hyperlink ref="R38" r:id="rId348" display="https://extranet.who.int/lqsi/es/content/adquirir-botiquines-de-primeros-auxilios-y-formar-un-grupo-de-miembros-del-personal-para-la"/>
    <hyperlink ref="R39" r:id="rId349" display="https://extranet.who.int/lqsi/es/content/adquirir-botiquines-de-primeros-auxilios-y-formar-un-grupo-de-miembros-del-personal-para-la"/>
    <hyperlink ref="R40" r:id="rId350" display="https://extranet.who.int/lqsi/es/content/crear-un-equipo-del-proyecto-de-calidad-al-coordinador-de-este-equipo-se-le-designar%C3%A1-como"/>
    <hyperlink ref="R41" r:id="rId351" display="https://extranet.who.int/lqsi/es/content/crear-un-equipo-del-proyecto-de-calidad-al-coordinador-de-este-equipo-se-le-designar%C3%A1-como"/>
    <hyperlink ref="R42" r:id="rId352" display="https://extranet.who.int/lqsi/es/content/crear-un-equipo-del-proyecto-de-calidad-al-coordinador-de-este-equipo-se-le-designar%C3%A1-como"/>
    <hyperlink ref="R43" r:id="rId353" display="https://extranet.who.int/lqsi/es/content/crear-un-equipo-del-proyecto-de-calidad-al-coordinador-de-este-equipo-se-le-designar%C3%A1-como"/>
    <hyperlink ref="R44" r:id="rId354" display="https://extranet.who.int/lqsi/es/content/formular-y-utilizar-planes-de-acci%C3%B3n-con-puntos-de-acci%C3%B3n-smart"/>
    <hyperlink ref="R45" r:id="rId355" display="https://extranet.who.int/lqsi/es/content/formular-y-utilizar-planes-de-acci%C3%B3n-con-puntos-de-acci%C3%B3n-smart"/>
    <hyperlink ref="R46" r:id="rId356" display="https://extranet.who.int/lqsi/es/content/formular-y-utilizar-planes-de-acci%C3%B3n-con-puntos-de-acci%C3%B3n-smart"/>
    <hyperlink ref="R47" r:id="rId357" display="https://extranet.who.int/lqsi/es/content/empezar-organizar-reuniones-de-personal-regulares-semanales"/>
    <hyperlink ref="R48" r:id="rId358" display="https://extranet.who.int/lqsi/es/content/empezar-organizar-reuniones-de-personal-regulares-semanales"/>
    <hyperlink ref="R49" r:id="rId359" display="https://extranet.who.int/lqsi/es/content/empezar-organizar-reuniones-de-personal-regulares-semanales"/>
    <hyperlink ref="R50" r:id="rId360" display="https://extranet.who.int/lqsi/es/content/empezar-organizar-reuniones-de-personal-regulares-semanales"/>
    <hyperlink ref="R51" r:id="rId361" display="https://extranet.who.int/lqsi/es/content/designar-un-encargado-de-bioseguridad"/>
    <hyperlink ref="R52" r:id="rId362" display="https://extranet.who.int/lqsi/es/content/designar-un-encargado-de-bioseguridad"/>
    <hyperlink ref="R53" r:id="rId363" display="https://extranet.who.int/lqsi/es/content/designar-un-encargado-de-bioseguridad"/>
    <hyperlink ref="R54" r:id="rId364" display="https://extranet.who.int/lqsi/es/content/designar-un-encargado-de-bioseguridad"/>
    <hyperlink ref="R55" r:id="rId365" display="https://extranet.who.int/lqsi/es/content/designar-un-encargado-de-equipos"/>
    <hyperlink ref="R56" r:id="rId366" display="https://extranet.who.int/lqsi/es/content/designar-un-encargado-de-equipos"/>
    <hyperlink ref="R57" r:id="rId367" display="https://extranet.who.int/lqsi/es/content/designar-un-encargado-de-equipos"/>
    <hyperlink ref="R58" r:id="rId368" display="https://extranet.who.int/lqsi/es/content/designar-un-miembro-del-personal-responsable-de-realizar-el-seguimiento-de-las-existencias-y"/>
    <hyperlink ref="R59" r:id="rId369" display="https://extranet.who.int/lqsi/es/content/designar-un-miembro-del-personal-responsable-de-realizar-el-seguimiento-de-las-existencias-y"/>
    <hyperlink ref="R60" r:id="rId370" display="https://extranet.who.int/lqsi/es/content/designar-un-miembro-del-personal-responsable-de-realizar-el-seguimiento-de-las-existencias-y"/>
    <hyperlink ref="R61" r:id="rId371" display="https://extranet.who.int/lqsi/es/content/designar-un-miembro-del-personal-responsable-de-realizar-el-seguimiento-de-las-existencias-y"/>
    <hyperlink ref="R62" r:id="rId372" display="https://extranet.who.int/lqsi/es/content/crear-organigramas"/>
    <hyperlink ref="R63" r:id="rId373" display="https://extranet.who.int/lqsi/es/content/crear-organigramas"/>
    <hyperlink ref="R64" r:id="rId374" display="https://extranet.who.int/lqsi/es/content/crear-organigramas"/>
    <hyperlink ref="R65" r:id="rId375" display="https://extranet.who.int/lqsi/es/content/crear-organigramas"/>
    <hyperlink ref="R66" r:id="rId376" display="https://extranet.who.int/lqsi/es/content/crear-organigramas"/>
    <hyperlink ref="R67" r:id="rId377" display="https://extranet.who.int/lqsi/es/content/generar-compromiso-para-obtener-la-acreditaci%C3%B3n"/>
    <hyperlink ref="R68" r:id="rId378" display="https://extranet.who.int/lqsi/es/content/proporcionar-al-personal-unas-pautas-generales-sobre-los-principios-b%C3%A1sicos-de-la-gesti%C3%B3n-de"/>
    <hyperlink ref="R69" r:id="rId379" display="https://extranet.who.int/lqsi/es/content/proporcionar-al-personal-unas-pautas-generales-sobre-los-principios-b%C3%A1sicos-de-la-gesti%C3%B3n-de"/>
    <hyperlink ref="R70" r:id="rId380" display="https://extranet.who.int/lqsi/es/content/formar-al-encargado-de-bioseguridad-en-materia-de-bioseguridad-para-que-pueda-desempe%C3%B1ar"/>
    <hyperlink ref="R71" r:id="rId381" display="https://extranet.who.int/lqsi/es/content/formar-al-encargado-de-bioseguridad-en-materia-de-bioseguridad-para-que-pueda-desempe%C3%B1ar"/>
    <hyperlink ref="R72" r:id="rId382" display="https://extranet.who.int/lqsi/es/content/crear-una-matriz-de-autorizaci%C3%B3n"/>
    <hyperlink ref="R73" r:id="rId383" display="https://extranet.who.int/lqsi/es/content/crear-una-matriz-de-autorizaci%C3%B3n"/>
    <hyperlink ref="R74" r:id="rId384" display="https://extranet.who.int/lqsi/es/content/crear-una-matriz-de-autorizaci%C3%B3n"/>
    <hyperlink ref="R75" r:id="rId385" display="https://extranet.who.int/lqsi/es/content/crear-una-matriz-de-autorizaci%C3%B3n"/>
    <hyperlink ref="R76" r:id="rId386" display="https://extranet.who.int/lqsi/es/content/crear-una-matriz-de-autorizaci%C3%B3n"/>
    <hyperlink ref="R77" r:id="rId387" display="https://extranet.who.int/lqsi/es/content/crear-una-matriz-de-autorizaci%C3%B3n"/>
    <hyperlink ref="R78" r:id="rId388" display="https://extranet.who.int/lqsi/es/content/elaborar-una-descripci%C3%B3n-del-puesto-de-trabajo-de-cada-uno-de-los-puestos-del-laboratorio"/>
    <hyperlink ref="R79" r:id="rId389" display="https://extranet.who.int/lqsi/es/content/elaborar-una-descripci%C3%B3n-del-puesto-de-trabajo-de-cada-uno-de-los-puestos-del-laboratorio"/>
    <hyperlink ref="R80" r:id="rId390" display="https://extranet.who.int/lqsi/es/content/elaborar-una-descripci%C3%B3n-del-puesto-de-trabajo-personal-espec%C3%ADfica-para-cada-miembro-del"/>
    <hyperlink ref="R81" r:id="rId391" display="https://extranet.who.int/lqsi/es/content/elaborar-una-descripci%C3%B3n-del-puesto-de-trabajo-personal-espec%C3%ADfica-para-cada-miembro-del"/>
    <hyperlink ref="R82" r:id="rId392" display="https://extranet.who.int/lqsi/es/content/elaborar-una-descripci%C3%B3n-del-puesto-de-trabajo-personal-espec%C3%ADfica-para-cada-miembro-del"/>
    <hyperlink ref="R83" r:id="rId393" display="https://extranet.who.int/lqsi/es/content/garantizar-que-el-personal-est%C3%A1-debidamente-cualificado"/>
    <hyperlink ref="R84" r:id="rId394" display="https://extranet.who.int/lqsi/es/content/garantizar-que-el-personal-est%C3%A1-debidamente-cualificado"/>
    <hyperlink ref="R85" r:id="rId395" display="https://extranet.who.int/lqsi/es/content/crear-un-registro-de-equipos-y-comprobar-el-adecuado-funcionamiento-de-los-equipos"/>
    <hyperlink ref="R86" r:id="rId396" display="https://extranet.who.int/lqsi/es/content/crear-un-registro-de-equipos-y-comprobar-el-adecuado-funcionamiento-de-los-equipos"/>
    <hyperlink ref="R102" r:id="rId397" display="https://extranet.who.int/lqsi/es/content/crear-un-registro-de-equipos-y-comprobar-el-adecuado-funcionamiento-de-los-equipos"/>
    <hyperlink ref="R103" r:id="rId398" display="https://extranet.who.int/lqsi/es/content/crear-un-registro-de-equipos-y-comprobar-el-adecuado-funcionamiento-de-los-equipos"/>
    <hyperlink ref="R104" r:id="rId399" display="https://extranet.who.int/lqsi/es/content/redactar-procedimientos-para-operar-los-equipos"/>
    <hyperlink ref="R105" r:id="rId400" display="https://extranet.who.int/lqsi/es/content/redactar-procedimientos-para-operar-los-equipos"/>
    <hyperlink ref="R106" r:id="rId401" display="https://extranet.who.int/lqsi/es/content/redactar-procedimientos-para-operar-los-equipos"/>
    <hyperlink ref="R107" r:id="rId402" display="https://extranet.who.int/lqsi/es/content/redactar-procedimientos-para-operar-los-equipos"/>
    <hyperlink ref="R108" r:id="rId403" display="https://extranet.who.int/lqsi/es/content/preparar-tarjetas-de-existencias-y-establecer-el-sistema-de-gesti%C3%B3n-del-inventario"/>
    <hyperlink ref="R109" r:id="rId404" display="https://extranet.who.int/lqsi/es/content/preparar-tarjetas-de-existencias-y-establecer-el-sistema-de-gesti%C3%B3n-del-inventario"/>
    <hyperlink ref="R110" r:id="rId405" display="https://extranet.who.int/lqsi/es/content/preparar-tarjetas-de-existencias-y-establecer-el-sistema-de-gesti%C3%B3n-del-inventario"/>
    <hyperlink ref="R111" r:id="rId406" display="https://extranet.who.int/lqsi/es/content/elaborar-una-hoja-de-petici%C3%B3n-para-pruebas-anal%C3%ADticas"/>
    <hyperlink ref="R119" r:id="rId407" display="https://extranet.who.int/lqsi/es/content/elaborar-una-hoja-de-petici%C3%B3n-para-pruebas-anal%C3%ADticas"/>
    <hyperlink ref="R120" r:id="rId408" display="https://extranet.who.int/lqsi/es/content/elaborar-una-hoja-de-petici%C3%B3n-para-pruebas-anal%C3%ADticas"/>
    <hyperlink ref="R121" r:id="rId409" display="https://extranet.who.int/lqsi/es/content/elaborar-una-lista-con-todas-las-pruebas-realizadas-en-el-laboratorio"/>
    <hyperlink ref="R122" r:id="rId410" display="https://extranet.who.int/lqsi/es/content/redactar-poe-para-todas-las-pruebas-que-se-realizan-en-el-laboratorio"/>
    <hyperlink ref="R123" r:id="rId411" display="https://extranet.who.int/lqsi/es/content/redactar-poe-para-todas-las-pruebas-que-se-realizan-en-el-laboratorio"/>
    <hyperlink ref="R124" r:id="rId412" display="https://extranet.who.int/lqsi/es/content/redactar-poe-para-todas-las-pruebas-que-se-realizan-en-el-laboratorio"/>
    <hyperlink ref="R125" r:id="rId413" display="https://extranet.who.int/lqsi/es/content/redactar-un-poe-principal"/>
    <hyperlink ref="R126" r:id="rId414" display="https://extranet.who.int/lqsi/es/content/redactar-un-poe-principal"/>
    <hyperlink ref="R127" r:id="rId415" display="https://extranet.who.int/lqsi/es/content/evaluar-la-situaci%C3%B3n-inicial-del-laboratorio"/>
    <hyperlink ref="O128" r:id="rId416" display="https://extranet.who.int/lqsi/content/install-system-prevent-access-unauthorized-persons-laboratory"/>
    <hyperlink ref="O129" r:id="rId417" display="https://extranet.who.int/lqsi/content/install-system-prevent-access-unauthorized-persons-laboratory"/>
    <hyperlink ref="O130" r:id="rId418" display="https://extranet.who.int/lqsi/content/separate-laboratory-areas-prevent-cross-contamination-and-optimize-floor-plan"/>
    <hyperlink ref="O131" r:id="rId419" display="https://extranet.who.int/lqsi/content/separate-laboratory-areas-prevent-cross-contamination-and-optimize-floor-plan"/>
    <hyperlink ref="O132" r:id="rId420" display="https://extranet.who.int/lqsi/content/separate-laboratory-areas-prevent-cross-contamination-and-optimize-floor-plan"/>
    <hyperlink ref="O133" r:id="rId421" display="https://extranet.who.int/lqsi/content/separate-laboratory-areas-prevent-cross-contamination-and-optimize-floor-plan"/>
    <hyperlink ref="O134" r:id="rId422" display="https://extranet.who.int/lqsi/content/separate-laboratory-areas-prevent-cross-contamination-and-optimize-floor-plan"/>
    <hyperlink ref="O135" r:id="rId423" display="https://extranet.who.int/lqsi/content/separate-laboratory-areas-prevent-cross-contamination-and-optimize-floor-plan"/>
    <hyperlink ref="O136" r:id="rId424" display="https://extranet.who.int/lqsi/content/separate-laboratory-areas-prevent-cross-contamination-and-optimize-floor-plan"/>
    <hyperlink ref="O137" r:id="rId425" display="https://extranet.who.int/lqsi/content/optimize-communication-channels-within-laboratory-building-appropriate-size-building"/>
    <hyperlink ref="O138" r:id="rId426" display="https://extranet.who.int/lqsi/content/optimize-communication-channels-within-laboratory-building-appropriate-size-building"/>
    <hyperlink ref="O139" r:id="rId427" display="https://extranet.who.int/lqsi/content/optimize-communication-channels-within-laboratory-building-appropriate-size-building"/>
    <hyperlink ref="O140" r:id="rId428" display="https://extranet.who.int/lqsi/content/ensure-uninterrupted-supply-electricity"/>
    <hyperlink ref="O141" r:id="rId429" display="https://extranet.who.int/lqsi/content/ensure-uninterrupted-supply-electricity"/>
    <hyperlink ref="O142" r:id="rId430" display="https://extranet.who.int/lqsi/content/install-visual-indicator-directional-airflow-laboratory-rooms"/>
    <hyperlink ref="O143" r:id="rId431" display="https://extranet.who.int/lqsi/content/make-inventory-list-all-hazardous-materials-and-their-location-within-facility"/>
    <hyperlink ref="O144" r:id="rId432" display="https://extranet.who.int/lqsi/content/make-inventory-list-all-hazardous-materials-and-their-location-within-facility"/>
    <hyperlink ref="O145" r:id="rId433" display="https://extranet.who.int/lqsi/content/make-inventory-list-all-hazardous-materials-and-their-location-within-facility"/>
    <hyperlink ref="O146" r:id="rId434" display="https://extranet.who.int/lqsi/content/monitor-and-record-environmental-parameters-and-equipment-parameters"/>
    <hyperlink ref="O147" r:id="rId435" display="https://extranet.who.int/lqsi/content/monitor-and-record-environmental-parameters-and-equipment-parameters"/>
    <hyperlink ref="O148" r:id="rId436" display="https://extranet.who.int/lqsi/content/monitor-and-record-environmental-parameters-and-equipment-parameters"/>
    <hyperlink ref="O149" r:id="rId437" display="https://extranet.who.int/lqsi/content/monitor-and-record-environmental-parameters-and-equipment-parameters"/>
    <hyperlink ref="O150" r:id="rId438" display="https://extranet.who.int/lqsi/content/appoint-quality-officer"/>
    <hyperlink ref="O151" r:id="rId439" display="https://extranet.who.int/lqsi/content/appoint-quality-officer"/>
    <hyperlink ref="O152" r:id="rId440" display="https://extranet.who.int/lqsi/content/appoint-quality-officer"/>
    <hyperlink ref="O153" r:id="rId441" display="https://extranet.who.int/lqsi/content/appoint-quality-officer"/>
    <hyperlink ref="O154" r:id="rId442" display="https://extranet.who.int/lqsi/content/appoint-quality-officer"/>
    <hyperlink ref="O155" r:id="rId443" display="https://extranet.who.int/lqsi/content/appoint-quality-officer"/>
    <hyperlink ref="O156" r:id="rId444" display="https://extranet.who.int/lqsi/content/it-strongly-advised-laboratory-manager-trained-change-management"/>
    <hyperlink ref="O157" r:id="rId445" display="https://extranet.who.int/lqsi/content/create-daily-routine-work-schedules"/>
    <hyperlink ref="O158" r:id="rId446" display="https://extranet.who.int/lqsi/content/create-daily-routine-work-schedules"/>
    <hyperlink ref="O159" r:id="rId447" display="https://extranet.who.int/lqsi/content/create-daily-routine-work-schedules"/>
    <hyperlink ref="O160" r:id="rId448" display="https://extranet.who.int/lqsi/content/ensure-laboratory-legally-identifiable-and-recognized-national-or-regional-if-applicable"/>
    <hyperlink ref="O161" r:id="rId449" display="https://extranet.who.int/lqsi/content/ensure-laboratory-legally-identifiable-and-recognized-national-or-regional-if-applicable"/>
    <hyperlink ref="O162" r:id="rId450" display="https://extranet.who.int/lqsi/content/phase-1-organizational-chart-laboratory-was-developed-revise-situation-created-phase-2"/>
    <hyperlink ref="O163" r:id="rId451" display="https://extranet.who.int/lqsi/content/phase-1-organizational-chart-laboratory-was-developed-revise-situation-created-phase-2"/>
    <hyperlink ref="O164" r:id="rId452" display="https://extranet.who.int/lqsi/content/perform-staff-competency-assessments"/>
    <hyperlink ref="O165" r:id="rId453" display="https://extranet.who.int/lqsi/content/perform-staff-competency-assessments"/>
    <hyperlink ref="O166" r:id="rId454" display="https://extranet.who.int/lqsi/content/perform-staff-competency-assessments"/>
    <hyperlink ref="O167" r:id="rId455" display="https://extranet.who.int/lqsi/content/perform-staff-competency-assessments"/>
    <hyperlink ref="O168" r:id="rId456" display="https://extranet.who.int/lqsi/content/perform-staff-competency-assessments"/>
    <hyperlink ref="O169" r:id="rId457" display="https://extranet.who.int/lqsi/content/perform-staff-competency-assessments"/>
    <hyperlink ref="O170" r:id="rId458" display="https://extranet.who.int/lqsi/content/perform-staff-competency-assessments"/>
    <hyperlink ref="O171" r:id="rId459" display="https://extranet.who.int/lqsi/content/perform-staff-competency-assessments"/>
    <hyperlink ref="O172" r:id="rId460" display="https://extranet.who.int/lqsi/content/develop-appropriate-documented-induction-program-new-personnel"/>
    <hyperlink ref="O173" r:id="rId461" display="https://extranet.who.int/lqsi/content/develop-appropriate-documented-induction-program-new-personnel"/>
    <hyperlink ref="O174" r:id="rId462" display="https://extranet.who.int/lqsi/content/develop-appropriate-documented-induction-program-new-personnel"/>
    <hyperlink ref="O175" r:id="rId463" display="https://extranet.who.int/lqsi/content/develop-appropriate-documented-induction-program-new-personnel"/>
    <hyperlink ref="O176" r:id="rId464" display="https://extranet.who.int/lqsi/content/organize-performance-appraisals-staff-members"/>
    <hyperlink ref="O177" r:id="rId465" display="https://extranet.who.int/lqsi/content/organize-performance-appraisals-staff-members"/>
    <hyperlink ref="O178" r:id="rId466" display="https://extranet.who.int/lqsi/content/organize-performance-appraisals-staff-members"/>
    <hyperlink ref="O179" r:id="rId467" display="https://extranet.who.int/lqsi/content/develop-personnel-files-all-staff-members"/>
    <hyperlink ref="O180" r:id="rId468" display="https://extranet.who.int/lqsi/content/develop-personnel-files-all-staff-members"/>
    <hyperlink ref="O181" r:id="rId469" display="https://extranet.who.int/lqsi/content/develop-personnel-files-all-staff-members"/>
    <hyperlink ref="O182" r:id="rId470" display="https://extranet.who.int/lqsi/content/develop-personnel-files-all-staff-members"/>
    <hyperlink ref="O183" r:id="rId471" display="https://extranet.who.int/lqsi/content/write-sop-procurement-and-reception-equipment"/>
    <hyperlink ref="O184" r:id="rId472" display="https://extranet.who.int/lqsi/content/write-sop-procurement-and-reception-equipment"/>
    <hyperlink ref="O185" r:id="rId473" display="https://extranet.who.int/lqsi/content/write-sop-procurement-and-reception-equipment"/>
    <hyperlink ref="O186" r:id="rId474" display="https://extranet.who.int/lqsi/content/write-sop-procurement-and-reception-equipment"/>
    <hyperlink ref="O187" r:id="rId475" display="https://extranet.who.int/lqsi/content/write-sop-procurement-and-reception-equipment"/>
    <hyperlink ref="O188" r:id="rId476" display="https://extranet.who.int/lqsi/content/write-sop-procurement-and-reception-equipment"/>
    <hyperlink ref="O189" r:id="rId477" display="https://extranet.who.int/lqsi/content/label-all-equipment-accordance-codes-inventory-list-made-phase-1-under-equipment"/>
    <hyperlink ref="O190" r:id="rId478" display="https://extranet.who.int/lqsi/content/label-all-equipment-accordance-codes-inventory-list-made-phase-1-under-equipment"/>
    <hyperlink ref="O194" r:id="rId479" display="https://extranet.who.int/lqsi/content/label-all-equipment-accordance-codes-inventory-list-made-phase-1-under-equipment"/>
    <hyperlink ref="O195" r:id="rId480" display="https://extranet.who.int/lqsi/content/determine-which-staff-members-are-authorized-and-which-are-responsible-use-each-piece"/>
    <hyperlink ref="O196" r:id="rId481" display="https://extranet.who.int/lqsi/content/determine-which-staff-members-are-authorized-and-which-are-responsible-use-each-piece"/>
    <hyperlink ref="O197" r:id="rId482" display="https://extranet.who.int/lqsi/content/determine-which-staff-members-are-authorized-and-which-are-responsible-use-each-piece"/>
    <hyperlink ref="O198" r:id="rId483" display="https://extranet.who.int/lqsi/content/develop-maintenance-and-usage-log-sheetslogbooks-each-piece-equipment"/>
    <hyperlink ref="O199" r:id="rId484" display="https://extranet.who.int/lqsi/content/develop-maintenance-and-usage-log-sheetslogbooks-each-piece-equipment"/>
    <hyperlink ref="O200" r:id="rId485" display="https://extranet.who.int/lqsi/content/develop-maintenance-and-usage-log-sheetslogbooks-each-piece-equipment"/>
    <hyperlink ref="O201" r:id="rId486" display="https://extranet.who.int/lqsi/content/develop-maintenance-and-usage-log-sheetslogbooks-each-piece-equipment"/>
    <hyperlink ref="O202" r:id="rId487" display="https://extranet.who.int/lqsi/content/develop-maintenance-and-usage-log-sheetslogbooks-each-piece-equipment"/>
    <hyperlink ref="O203" r:id="rId488" display="https://extranet.who.int/lqsi/content/collect-all-equipment-documents-and-records-and-store-these-equipment-archive"/>
    <hyperlink ref="O204" r:id="rId489" display="https://extranet.who.int/lqsi/content/write-sop-explaining-system-used-identification-and-management-equipment"/>
    <hyperlink ref="O208" r:id="rId490" display="https://extranet.who.int/lqsi/content/prepare-bench-aids-each-piece-equipment-including-daily-maintenance-instructions"/>
    <hyperlink ref="O209" r:id="rId491" display="https://extranet.who.int/lqsi/content/prepare-bench-aids-each-piece-equipment-including-daily-maintenance-instructions"/>
    <hyperlink ref="O210" r:id="rId492" display="https://extranet.who.int/lqsi/content/decide-method-maintenance-and-calibration-each-piece-equipment"/>
    <hyperlink ref="O211" r:id="rId493" display="https://extranet.who.int/lqsi/content/decide-method-maintenance-and-calibration-each-piece-equipment"/>
    <hyperlink ref="O212" r:id="rId494" display="https://extranet.who.int/lqsi/content/decide-method-maintenance-and-calibration-each-piece-equipment"/>
    <hyperlink ref="O213" r:id="rId495" display="https://extranet.who.int/lqsi/content/decide-method-maintenance-and-calibration-each-piece-equipment"/>
    <hyperlink ref="O214" r:id="rId496" display="https://extranet.who.int/lqsi/content/establish-preventive-maintenance-program-equipment"/>
    <hyperlink ref="O215" r:id="rId497" display="https://extranet.who.int/lqsi/content/establish-preventive-maintenance-program-equipment"/>
    <hyperlink ref="O216" r:id="rId498" display="https://extranet.who.int/lqsi/content/define-sop-maintenance-schedule-all-listed-equipment"/>
    <hyperlink ref="O217" r:id="rId499" display="https://extranet.who.int/lqsi/content/ensure-defective-equipment-taken-out-service-clearly-labeled-and-disinfected-and-proper"/>
    <hyperlink ref="O218" r:id="rId500" display="https://extranet.who.int/lqsi/content/ensure-defective-equipment-taken-out-service-clearly-labeled-and-disinfected-and-proper"/>
    <hyperlink ref="O219" r:id="rId501" display="https://extranet.who.int/lqsi/content/make-inventory-all-supplies-their-specifications-and-suppliers"/>
    <hyperlink ref="O220" r:id="rId502" display="https://extranet.who.int/lqsi/content/make-inventory-all-supplies-their-specifications-and-suppliers"/>
    <hyperlink ref="O221" r:id="rId503" display="https://extranet.who.int/lqsi/content/make-inventory-control-register"/>
    <hyperlink ref="O229" r:id="rId504" display="https://extranet.who.int/lqsi/content/make-inventory-control-register"/>
    <hyperlink ref="O230" r:id="rId505" display="https://extranet.who.int/lqsi/content/start-performing-acceptance-tests-upon-delivery-new-supplies"/>
    <hyperlink ref="O231" r:id="rId506" display="https://extranet.who.int/lqsi/content/standardize-stock-and-ordering-system-sop"/>
    <hyperlink ref="O232" r:id="rId507" display="https://extranet.who.int/lqsi/content/standardize-stock-and-ordering-system-sop"/>
    <hyperlink ref="O233" r:id="rId508" display="https://extranet.who.int/lqsi/content/store-supplies-appropriately"/>
    <hyperlink ref="O234" r:id="rId509" display="https://extranet.who.int/lqsi/content/store-supplies-appropriately"/>
    <hyperlink ref="O241" r:id="rId510" display="https://extranet.who.int/lqsi/content/store-supplies-appropriately"/>
    <hyperlink ref="O242" r:id="rId511" display="https://extranet.who.int/lqsi/content/store-supplies-appropriately"/>
    <hyperlink ref="O243" r:id="rId512" display="https://extranet.who.int/lqsi/content/store-supplies-appropriately"/>
    <hyperlink ref="O244" r:id="rId513" display="https://extranet.who.int/lqsi/content/store-supplies-appropriately"/>
    <hyperlink ref="O245" r:id="rId514" display="https://extranet.who.int/lqsi/content/store-supplies-appropriately"/>
    <hyperlink ref="O246" r:id="rId515" display="https://extranet.who.int/lqsi/content/store-supplies-appropriately"/>
    <hyperlink ref="O247" r:id="rId516" display="https://extranet.who.int/lqsi/content/store-supplies-appropriately"/>
    <hyperlink ref="O248" r:id="rId517" display="https://extranet.who.int/lqsi/content/store-supplies-appropriately"/>
    <hyperlink ref="O249" r:id="rId518" display="https://extranet.who.int/lqsi/content/store-supplies-appropriately"/>
    <hyperlink ref="O250" r:id="rId519" display="https://extranet.who.int/lqsi/content/develop-sample-acceptationrejection-criteria"/>
    <hyperlink ref="O251" r:id="rId520" display="https://extranet.who.int/lqsi/content/write-sop-sample-collection"/>
    <hyperlink ref="O252" r:id="rId521" display="https://extranet.who.int/lqsi/content/write-sop-sample-collection"/>
    <hyperlink ref="O270" r:id="rId522" display="https://extranet.who.int/lqsi/content/develop-sop-sample-reception-and-processing-and-start-registering-all-samples-received"/>
    <hyperlink ref="O271" r:id="rId523" display="https://extranet.who.int/lqsi/content/develop-sop-sample-reception-and-processing-and-start-registering-all-samples-received"/>
    <hyperlink ref="O279" r:id="rId524" display="https://extranet.who.int/lqsi/content/develop-sop-sample-reception-and-processing-and-start-registering-all-samples-received"/>
    <hyperlink ref="O280" r:id="rId525" display="https://extranet.who.int/lqsi/content/develop-sop-sample-reception-and-processing-and-start-registering-all-samples-received"/>
    <hyperlink ref="O281" r:id="rId526" display="https://extranet.who.int/lqsi/content/develop-sop-sample-reception-and-processing-and-start-registering-all-samples-received"/>
    <hyperlink ref="O282" r:id="rId527" display="https://extranet.who.int/lqsi/content/develop-sop-sample-reception-and-processing-and-start-registering-all-samples-received"/>
    <hyperlink ref="O293" r:id="rId528" display="https://extranet.who.int/lqsi/content/describe-procedure-rejecting-sample-make-sample-rejection-form-and-send-requester-when"/>
    <hyperlink ref="O294" r:id="rId529" display="https://extranet.who.int/lqsi/content/describe-procedure-rejecting-sample-make-sample-rejection-form-and-send-requester-when"/>
    <hyperlink ref="O301" r:id="rId530" display="https://extranet.who.int/lqsi/content/describe-procedure-rejecting-sample-make-sample-rejection-form-and-send-requester-when"/>
    <hyperlink ref="O302" r:id="rId531" display="https://extranet.who.int/lqsi/content/make-process-flowcharts"/>
    <hyperlink ref="O303" r:id="rId532" display="https://extranet.who.int/lqsi/content/formulate-and-start-monitoring-internal-quality-controls"/>
    <hyperlink ref="O304" r:id="rId533" display="https://extranet.who.int/lqsi/content/formulate-and-start-monitoring-internal-quality-controls"/>
    <hyperlink ref="O305" r:id="rId534" display="https://extranet.who.int/lqsi/content/formulate-and-start-monitoring-internal-quality-controls"/>
    <hyperlink ref="O306" r:id="rId535" display="https://extranet.who.int/lqsi/content/formulate-and-start-monitoring-internal-quality-controls"/>
    <hyperlink ref="O312" r:id="rId536" display="https://extranet.who.int/lqsi/content/formulate-and-start-monitoring-internal-quality-controls"/>
    <hyperlink ref="O313" r:id="rId537" display="https://extranet.who.int/lqsi/content/monitor-and-investigate-failure-internal-controls-and-improve-accordingly"/>
    <hyperlink ref="O314" r:id="rId538" display="https://extranet.who.int/lqsi/content/monitor-and-investigate-failure-internal-controls-and-improve-accordingly"/>
    <hyperlink ref="O315" r:id="rId539" display="https://extranet.who.int/lqsi/content/monitor-and-investigate-failure-internal-controls-and-improve-accordingly"/>
    <hyperlink ref="O316" r:id="rId540" display="https://extranet.who.int/lqsi/content/define-which-sops-are-necessary-based-process-flowcharts-made-earlier-phase"/>
    <hyperlink ref="O317" r:id="rId541" display="https://extranet.who.int/lqsi/content/develop-sops-entire-primary-process"/>
    <hyperlink ref="O318" r:id="rId542" display="https://extranet.who.int/lqsi/content/develop-sops-entire-primary-process"/>
    <hyperlink ref="O319" r:id="rId543" display="https://extranet.who.int/lqsi/content/make-fixed-format-result-reports"/>
    <hyperlink ref="O320" r:id="rId544" display="https://extranet.who.int/lqsi/content/make-fixed-format-result-reports"/>
    <hyperlink ref="O332" r:id="rId545" display="https://extranet.who.int/lqsi/content/make-fixed-format-result-reports"/>
    <hyperlink ref="O333" r:id="rId546" display="https://extranet.who.int/lqsi/content/start-reviewing-and-authorizing-results-ie-validation-results-releasing-report"/>
    <hyperlink ref="O334" r:id="rId547" display="https://extranet.who.int/lqsi/content/start-reviewing-and-authorizing-results-ie-validation-results-releasing-report"/>
    <hyperlink ref="O335" r:id="rId548" display="https://extranet.who.int/lqsi/content/establish-system-immediate-notification-requester-samples-marked-urgent-and-results-fall"/>
    <hyperlink ref="O336" r:id="rId549" display="https://extranet.who.int/lqsi/content/establish-system-immediate-notification-requester-samples-marked-urgent-and-results-fall"/>
    <hyperlink ref="O337" r:id="rId550" display="https://extranet.who.int/lqsi/content/discuss-clients-laboratory-best-method-assure-result-reports-are-always-received-requester"/>
    <hyperlink ref="O338" r:id="rId551" display="https://extranet.who.int/lqsi/content/discuss-clients-laboratory-best-method-assure-result-reports-are-always-received-requester"/>
    <hyperlink ref="O339" r:id="rId552" display="https://extranet.who.int/lqsi/content/if-patient-data-are-recorded-paper-system-ensure-secure-and-proper-storage"/>
    <hyperlink ref="O340" r:id="rId553" display="https://extranet.who.int/lqsi/content/if-patient-data-are-recorded-paper-system-ensure-secure-and-proper-storage"/>
    <hyperlink ref="O341" r:id="rId554" display="https://extranet.who.int/lqsi/content/write-sop-recording-reporting-and-archiving-results"/>
    <hyperlink ref="O352" r:id="rId555" display="https://extranet.who.int/lqsi/content/write-sop-recording-reporting-and-archiving-results"/>
    <hyperlink ref="O353" r:id="rId556" display="https://extranet.who.int/lqsi/content/write-sop-recording-reporting-and-archiving-results"/>
    <hyperlink ref="O354" r:id="rId557" display="https://extranet.who.int/lqsi/content/develop-signature-list-all-staff-members"/>
    <hyperlink ref="O355" r:id="rId558" display="https://extranet.who.int/lqsi/content/ensure-confidentiality-patient-information-maintained-all-personnel"/>
    <hyperlink ref="O356" r:id="rId559" display="https://extranet.who.int/lqsi/content/organize-regular-backup-computerized-systems"/>
    <hyperlink ref="O357" r:id="rId560" display="https://extranet.who.int/lqsi/content/organize-regular-backup-computerized-systems"/>
    <hyperlink ref="O358" r:id="rId561" display="https://extranet.who.int/lqsi/content/create-document-retention-list-determine-storage-time-and-location-all-types-documents-used"/>
    <hyperlink ref="O359" r:id="rId562" display="https://extranet.who.int/lqsi/content/create-document-retention-list-determine-storage-time-and-location-all-types-documents-used"/>
    <hyperlink ref="O360" r:id="rId563" display="https://extranet.who.int/lqsi/content/create-folders-storing-sops-most-convenient-locations-staff-have-access-sops-when-needed"/>
    <hyperlink ref="O364" r:id="rId564" display="https://extranet.who.int/lqsi/content/design-document-revision-form"/>
    <hyperlink ref="O365" r:id="rId565" display="https://extranet.who.int/lqsi/content/design-document-revision-form"/>
    <hyperlink ref="O366" r:id="rId566" display="https://extranet.who.int/lqsi/content/design-document-revision-form"/>
    <hyperlink ref="O367" r:id="rId567" display="https://extranet.who.int/lqsi/content/make-document-control-log"/>
    <hyperlink ref="O384" r:id="rId568" display="https://extranet.who.int/lqsi/content/add-front-page-each-quality-document-used-laboratory"/>
    <hyperlink ref="O395" r:id="rId569" display="https://extranet.who.int/lqsi/content/roll-out-document-control-system"/>
    <hyperlink ref="O396" r:id="rId570" display="https://extranet.who.int/lqsi/content/roll-out-document-control-system"/>
    <hyperlink ref="O397" r:id="rId571" display="https://extranet.who.int/lqsi/content/roll-out-document-control-system"/>
    <hyperlink ref="O398" r:id="rId572" display="https://extranet.who.int/lqsi/content/roll-out-document-control-system"/>
    <hyperlink ref="O399" r:id="rId573" display="https://extranet.who.int/lqsi/content/roll-out-document-control-system"/>
    <hyperlink ref="O400" r:id="rId574" display="https://extranet.who.int/lqsi/content/roll-out-document-control-system"/>
    <hyperlink ref="O401" r:id="rId575" display="https://extranet.who.int/lqsi/content/roll-out-document-control-system"/>
    <hyperlink ref="O402" r:id="rId576" display="https://extranet.who.int/lqsi/content/create-archive-dedicated-quality-management-documentation"/>
    <hyperlink ref="O403" r:id="rId577" display="https://extranet.who.int/lqsi/content/write-sop-document-control-including-document-retention-list"/>
    <hyperlink ref="O404" r:id="rId578" display="https://extranet.who.int/lqsi/content/write-sop-document-control-including-document-retention-list"/>
    <hyperlink ref="O405" r:id="rId579" display="https://extranet.who.int/lqsi/content/amend-equipment-sops-developed-phase-1"/>
    <hyperlink ref="O406" r:id="rId580" display="https://extranet.who.int/lqsi/content/make-inventory-clients-your-laboratory-services"/>
    <hyperlink ref="O407" r:id="rId581" display="https://extranet.who.int/lqsi/content/document-biological-reference-intervalsdecision-values-all-examinations-performed"/>
    <hyperlink ref="O408" r:id="rId582" display="https://extranet.who.int/lqsi/content/document-biological-reference-intervalsdecision-values-all-examinations-performed"/>
    <hyperlink ref="O409" r:id="rId583" display="https://extranet.who.int/lqsi/content/document-biological-reference-intervalsdecision-values-all-examinations-performed"/>
    <hyperlink ref="O410" r:id="rId584" display="https://extranet.who.int/lqsi/content/write-laboratory-service-manual-and-start-follow-procedures-formulated-manual"/>
    <hyperlink ref="O434" r:id="rId585" display="https://extranet.who.int/lqsi/content/write-laboratory-service-manual-and-start-follow-procedures-formulated-manual"/>
    <hyperlink ref="O435" r:id="rId586" display="https://extranet.who.int/lqsi/content/write-laboratory-service-manual-and-start-follow-procedures-formulated-manual"/>
    <hyperlink ref="O436" r:id="rId587" display="https://extranet.who.int/lqsi/content/write-laboratory-service-manual-and-start-follow-procedures-formulated-manual"/>
    <hyperlink ref="O437" r:id="rId588" display="https://extranet.who.int/lqsi/content/write-laboratory-service-manual-and-start-follow-procedures-formulated-manual"/>
    <hyperlink ref="O438" r:id="rId589" display="https://extranet.who.int/lqsi/content/participate-proficiency-testing-scheme-each-examination-performed-laboratory"/>
    <hyperlink ref="O439" r:id="rId590" display="https://extranet.who.int/lqsi/content/participate-proficiency-testing-scheme-each-examination-performed-laboratory"/>
    <hyperlink ref="O440" r:id="rId591" display="https://extranet.who.int/lqsi/content/participate-proficiency-testing-scheme-each-examination-performed-laboratory"/>
    <hyperlink ref="O441" r:id="rId592" display="https://extranet.who.int/lqsi/content/write-sop-external-quality-assessment-procedures"/>
    <hyperlink ref="O442" r:id="rId593" display="https://extranet.who.int/lqsi/content/write-sop-external-quality-assessment-procedures"/>
    <hyperlink ref="O443" r:id="rId594" display="https://extranet.who.int/lqsi/content/write-sop-external-quality-assessment-procedures"/>
    <hyperlink ref="O444" r:id="rId595" display="https://extranet.who.int/lqsi/content/make-sure-enough-staff-members-are-trained-providing-first-aid-or-access-first-aid-ensured"/>
    <hyperlink ref="O445" r:id="rId596" display="https://extranet.who.int/lqsi/content/make-sure-enough-staff-members-are-trained-providing-first-aid-or-access-first-aid-ensured"/>
    <hyperlink ref="O446" r:id="rId597" display="https://extranet.who.int/lqsi/content/make-sure-enough-staff-members-are-trained-providing-first-aid-or-access-first-aid-ensured"/>
    <hyperlink ref="O447" r:id="rId598" display="https://extranet.who.int/lqsi/content/make-sure-enough-staff-members-are-trained-providing-first-aid-or-access-first-aid-ensured"/>
    <hyperlink ref="O448" r:id="rId599" display="https://extranet.who.int/lqsi/content/make-sure-enough-staff-members-are-trained-providing-first-aid-or-access-first-aid-ensured"/>
    <hyperlink ref="O449" r:id="rId600" display="https://extranet.who.int/lqsi/content/make-sure-enough-staff-members-are-trained-providing-first-aid-or-access-first-aid-ensured"/>
    <hyperlink ref="O450" r:id="rId601" display="https://extranet.who.int/lqsi/content/when-laboratory-works-pathogens-requiring-biosafety-level-bsl-iii-facility-create-negative"/>
    <hyperlink ref="O451" r:id="rId602" display="https://extranet.who.int/lqsi/content/when-laboratory-works-pathogens-requiring-biosafety-level-bsl-iii-facility-create-negative"/>
    <hyperlink ref="O452" r:id="rId603" display="https://extranet.who.int/lqsi/content/when-laboratory-works-pathogens-requiring-biosafety-level-bsl-iii-facility-create-negative"/>
    <hyperlink ref="O453" r:id="rId604" display="https://extranet.who.int/lqsi/content/when-laboratory-works-pathogens-requiring-biosafety-level-bsl-iii-facility-create-negative"/>
    <hyperlink ref="O454" r:id="rId605" display="https://extranet.who.int/lqsi/content/when-laboratory-works-pathogens-requiring-biosafety-level-bsl-iii-facility-create-negative"/>
    <hyperlink ref="O455" r:id="rId606" display="https://extranet.who.int/lqsi/content/create-primary-sample-collection-facility-separate-laboratory"/>
    <hyperlink ref="O456" r:id="rId607" display="https://extranet.who.int/lqsi/content/create-primary-sample-collection-facility-separate-laboratory"/>
    <hyperlink ref="O457" r:id="rId608" display="https://extranet.who.int/lqsi/content/create-primary-sample-collection-facility-separate-laboratory"/>
    <hyperlink ref="O458" r:id="rId609" display="https://extranet.who.int/lqsi/content/create-primary-sample-collection-facility-separate-laboratory"/>
    <hyperlink ref="O459" r:id="rId610" display="https://extranet.who.int/lqsi/content/create-primary-sample-collection-facility-separate-laboratory"/>
    <hyperlink ref="O460" r:id="rId611" display="https://extranet.who.int/lqsi/content/arrange-and-monitor-adequate-storage-space-and-conditions-samples-documents-records"/>
    <hyperlink ref="O461" r:id="rId612" display="https://extranet.who.int/lqsi/content/arrange-and-monitor-adequate-storage-space-and-conditions-samples-documents-records"/>
    <hyperlink ref="O462" r:id="rId613" display="https://extranet.who.int/lqsi/content/arrange-and-monitor-adequate-storage-space-and-conditions-samples-documents-records"/>
    <hyperlink ref="O463" r:id="rId614" display="https://extranet.who.int/lqsi/content/arrange-and-monitor-adequate-storage-space-and-conditions-samples-documents-records"/>
    <hyperlink ref="O464" r:id="rId615" display="https://extranet.who.int/lqsi/content/arrange-and-monitor-adequate-storage-space-and-conditions-samples-documents-records"/>
    <hyperlink ref="O465" r:id="rId616" display="https://extranet.who.int/lqsi/content/arrange-and-monitor-adequate-storage-space-and-conditions-samples-documents-records"/>
    <hyperlink ref="O466" r:id="rId617" display="https://extranet.who.int/lqsi/content/arrange-and-monitor-adequate-storage-space-and-conditions-samples-documents-records"/>
    <hyperlink ref="O467" r:id="rId618" display="https://extranet.who.int/lqsi/content/define-length-storagearchiving-different-items-retention-list"/>
    <hyperlink ref="O468" r:id="rId619" display="https://extranet.who.int/lqsi/content/define-length-storagearchiving-different-items-retention-list"/>
    <hyperlink ref="O477" r:id="rId620" display="https://extranet.who.int/lqsi/content/formulate-vision-laboratory-reason-why-laboratory-exists"/>
    <hyperlink ref="O478" r:id="rId621" display="https://extranet.who.int/lqsi/content/formulate-vision-laboratory-reason-why-laboratory-exists"/>
    <hyperlink ref="O479" r:id="rId622" display="https://extranet.who.int/lqsi/content/formulate-mission-laboratory"/>
    <hyperlink ref="O480" r:id="rId623" display="https://extranet.who.int/lqsi/content/formulate-mission-laboratory"/>
    <hyperlink ref="O481" r:id="rId624" display="https://extranet.who.int/lqsi/content/formulate-long-term-goals-laboratory"/>
    <hyperlink ref="O482" r:id="rId625" display="https://extranet.who.int/lqsi/content/formulate-long-term-goals-laboratory"/>
    <hyperlink ref="O483" r:id="rId626" display="https://extranet.who.int/lqsi/content/formulate-long-term-goals-laboratory"/>
    <hyperlink ref="O484" r:id="rId627" display="https://extranet.who.int/lqsi/content/formulate-long-term-goals-laboratory"/>
    <hyperlink ref="O485" r:id="rId628" display="https://extranet.who.int/lqsi/content/formulate-quality-policy"/>
    <hyperlink ref="O486" r:id="rId629" display="https://extranet.who.int/lqsi/content/formulate-quality-policy"/>
    <hyperlink ref="O487" r:id="rId630" display="https://extranet.who.int/lqsi/content/formulate-quality-policy"/>
    <hyperlink ref="O488" r:id="rId631" display="https://extranet.who.int/lqsi/content/formulate-quality-policy"/>
    <hyperlink ref="O489" r:id="rId632" display="https://extranet.who.int/lqsi/content/formulate-quality-policy"/>
    <hyperlink ref="O490" r:id="rId633" display="https://extranet.who.int/lqsi/content/formulate-quality-policy"/>
    <hyperlink ref="O491" r:id="rId634" display="https://extranet.who.int/lqsi/content/formulate-quality-policy"/>
    <hyperlink ref="O492" r:id="rId635" display="https://extranet.who.int/lqsi/content/formulate-quality-policy"/>
    <hyperlink ref="O493" r:id="rId636" display="https://extranet.who.int/lqsi/content/formulate-quality-policy"/>
    <hyperlink ref="O494" r:id="rId637" display="https://extranet.who.int/lqsi/content/plan-purchasing-new-equipment-and-equipment-maintenance-annual-budget-planning"/>
    <hyperlink ref="O495" r:id="rId638" display="https://extranet.who.int/lqsi/content/plan-purchasing-new-equipment-and-equipment-maintenance-annual-budget-planning"/>
    <hyperlink ref="O496" r:id="rId639" display="https://extranet.who.int/lqsi/content/plan-purchasing-new-equipment-and-equipment-maintenance-annual-budget-planning"/>
    <hyperlink ref="O497" r:id="rId640" display="https://extranet.who.int/lqsi/content/formulate-goals-coming-year-specifically-respect-quality-management-system"/>
    <hyperlink ref="O498" r:id="rId641" display="https://extranet.who.int/lqsi/content/formulate-first-quality-year-plan"/>
    <hyperlink ref="O499" r:id="rId642" display="https://extranet.who.int/lqsi/content/formulate-first-quality-year-plan"/>
    <hyperlink ref="O500" r:id="rId643" display="https://extranet.who.int/lqsi/content/formulate-first-quality-year-plan"/>
    <hyperlink ref="O501" r:id="rId644" display="https://extranet.who.int/lqsi/content/formulate-first-quality-year-plan"/>
    <hyperlink ref="O502" r:id="rId645" display="https://extranet.who.int/lqsi/content/formulate-first-quality-year-plan"/>
    <hyperlink ref="O503" r:id="rId646" display="https://extranet.who.int/lqsi/content/translate-quality-year-plan-smart-action-plan"/>
    <hyperlink ref="O504" r:id="rId647" display="https://extranet.who.int/lqsi/content/translate-quality-year-plan-smart-action-plan"/>
    <hyperlink ref="O505" r:id="rId648" display="https://extranet.who.int/lqsi/content/translate-quality-year-plan-smart-action-plan"/>
    <hyperlink ref="O506" r:id="rId649" display="https://extranet.who.int/lqsi/content/translate-quality-year-plan-smart-action-plan"/>
    <hyperlink ref="O507" r:id="rId650" display="https://extranet.who.int/lqsi/content/develop-quality-manual"/>
    <hyperlink ref="O508" r:id="rId651" display="https://extranet.who.int/lqsi/content/develop-quality-manual"/>
    <hyperlink ref="O509" r:id="rId652" display="https://extranet.who.int/lqsi/content/develop-quality-manual"/>
    <hyperlink ref="O510" r:id="rId653" display="https://extranet.who.int/lqsi/content/start-monitoring-functioning-quality-management-system-and-produce-quarterly-reports"/>
    <hyperlink ref="O511" r:id="rId654" display="https://extranet.who.int/lqsi/content/perform-management-review-end-quality-year"/>
    <hyperlink ref="O512" r:id="rId655" display="https://extranet.who.int/lqsi/content/perform-management-review-end-quality-year"/>
    <hyperlink ref="O513" r:id="rId656" display="https://extranet.who.int/lqsi/content/perform-management-review-end-quality-year"/>
    <hyperlink ref="O514" r:id="rId657" display="https://extranet.who.int/lqsi/content/perform-management-review-end-quality-year"/>
    <hyperlink ref="O515" r:id="rId658" display="https://extranet.who.int/lqsi/content/perform-management-review-end-quality-year"/>
    <hyperlink ref="O516" r:id="rId659" display="https://extranet.who.int/lqsi/content/develop-quality-year-plan-following-year-based-conclusions-management-review"/>
    <hyperlink ref="O517" r:id="rId660" display="https://extranet.who.int/lqsi/content/develop-quality-year-plan-following-year-based-conclusions-management-review"/>
    <hyperlink ref="O518" r:id="rId661" display="https://extranet.who.int/lqsi/content/develop-quality-year-plan-following-year-based-conclusions-management-review"/>
    <hyperlink ref="O519" r:id="rId662" display="https://extranet.who.int/lqsi/content/develop-quality-year-plan-following-year-based-conclusions-management-review"/>
    <hyperlink ref="O520" r:id="rId663" display="https://extranet.who.int/lqsi/content/standardize-and-document-policy-cycle-sops"/>
    <hyperlink ref="O523" r:id="rId664" display="https://extranet.who.int/lqsi/content/create-personnel-replacement-matrix"/>
    <hyperlink ref="O524" r:id="rId665" display="https://extranet.who.int/lqsi/content/create-personnel-replacement-matrix"/>
    <hyperlink ref="O525" r:id="rId666" display="https://extranet.who.int/lqsi/content/create-personnel-replacement-matrix"/>
    <hyperlink ref="O526" r:id="rId667" display="https://extranet.who.int/lqsi/content/create-personnel-replacement-matrix"/>
    <hyperlink ref="O527" r:id="rId668" display="https://extranet.who.int/lqsi/content/perform-financial-analysis-resources-needed-ensure-quality-laboratory"/>
    <hyperlink ref="O528" r:id="rId669" display="https://extranet.who.int/lqsi/content/standardize-method-choosing-suppliers-and-evaluating-contracts-purchasing-and-delivery-goods"/>
    <hyperlink ref="O529" r:id="rId670" display="https://extranet.who.int/lqsi/content/standardize-method-choosing-suppliers-and-evaluating-contracts-purchasing-and-delivery-goods"/>
    <hyperlink ref="O530" r:id="rId671" display="https://extranet.who.int/lqsi/content/standardize-method-choosing-suppliers-and-evaluating-contracts-purchasing-and-delivery-goods"/>
    <hyperlink ref="O531" r:id="rId672" display="https://extranet.who.int/lqsi/content/standardize-method-choosing-suppliers-and-evaluating-contracts-purchasing-and-delivery-goods"/>
    <hyperlink ref="O532" r:id="rId673" display="https://extranet.who.int/lqsi/content/standardize-method-choosing-suppliers-and-evaluating-contracts-purchasing-and-delivery-goods"/>
    <hyperlink ref="O533" r:id="rId674" display="https://extranet.who.int/lqsi/content/make-procedure-selection-and-regular-monitoring-functioning-referral-laboratories"/>
    <hyperlink ref="O534" r:id="rId675" display="https://extranet.who.int/lqsi/content/make-procedure-selection-and-regular-monitoring-functioning-referral-laboratories"/>
    <hyperlink ref="O535" r:id="rId676" display="https://extranet.who.int/lqsi/content/make-procedure-selection-and-regular-monitoring-functioning-referral-laboratories"/>
    <hyperlink ref="O536" r:id="rId677" display="https://extranet.who.int/lqsi/content/make-procedure-selection-and-regular-monitoring-functioning-referral-laboratories"/>
    <hyperlink ref="O537" r:id="rId678" display="https://extranet.who.int/lqsi/content/determine-turnaround-time-each-examination-performed-laboratory"/>
    <hyperlink ref="O538" r:id="rId679" display="https://extranet.who.int/lqsi/content/determine-turnaround-time-each-examination-performed-laboratory"/>
    <hyperlink ref="O539" r:id="rId680" display="https://extranet.who.int/lqsi/content/determine-turnaround-time-each-examination-performed-laboratory"/>
    <hyperlink ref="O540" r:id="rId681" display="https://extranet.who.int/lqsi/content/determine-turnaround-time-each-examination-performed-laboratory"/>
    <hyperlink ref="O541" r:id="rId682" display="https://extranet.who.int/lqsi/content/determine-turnaround-time-each-examination-performed-laboratory"/>
    <hyperlink ref="O542" r:id="rId683" display="https://extranet.who.int/lqsi/content/monitor-adherence-turnaround-times-determined-each-examination"/>
    <hyperlink ref="O543" r:id="rId684" display="https://extranet.who.int/lqsi/content/monitor-adherence-turnaround-times-determined-each-examination"/>
    <hyperlink ref="O544" r:id="rId685" display="https://extranet.who.int/lqsi/content/monitor-adherence-turnaround-times-determined-each-examination"/>
    <hyperlink ref="O545" r:id="rId686" display="https://extranet.who.int/lqsi/content/monitor-adherence-turnaround-times-determined-each-examination"/>
    <hyperlink ref="O546" r:id="rId687" display="https://extranet.who.int/lqsi/content/monitor-adherence-turnaround-times-determined-each-examination"/>
    <hyperlink ref="O547" r:id="rId688" display="https://extranet.who.int/lqsi/content/write-sop-validation-examinations-and-equipment"/>
    <hyperlink ref="O548" r:id="rId689" display="https://extranet.who.int/lqsi/content/validate-all-examination-procedures-performed-laboratory"/>
    <hyperlink ref="O549" r:id="rId690" display="https://extranet.who.int/lqsi/content/validate-all-examination-procedures-performed-laboratory"/>
    <hyperlink ref="O550" r:id="rId691" display="https://extranet.who.int/lqsi/content/establish-archive-ensuring-protection-laboratory-information-also-enables-quick-retrieval"/>
    <hyperlink ref="O551" r:id="rId692" display="https://extranet.who.int/lqsi/content/establish-archive-ensuring-protection-laboratory-information-also-enables-quick-retrieval"/>
    <hyperlink ref="O552" r:id="rId693" display="https://extranet.who.int/lqsi/content/establish-archive-ensuring-protection-laboratory-information-also-enables-quick-retrieval"/>
    <hyperlink ref="O553" r:id="rId694" display="https://extranet.who.int/lqsi/content/establish-archive-ensuring-protection-laboratory-information-also-enables-quick-retrieval"/>
    <hyperlink ref="O554" r:id="rId695" display="https://extranet.who.int/lqsi/content/make-access-digital-data-laboratory-restricted-both-physically-and-virtually"/>
    <hyperlink ref="O555" r:id="rId696" display="https://extranet.who.int/lqsi/content/make-access-digital-data-laboratory-restricted-both-physically-and-virtually"/>
    <hyperlink ref="O556" r:id="rId697" display="https://extranet.who.int/lqsi/content/make-access-digital-data-laboratory-restricted-both-physically-and-virtually"/>
    <hyperlink ref="O557" r:id="rId698" display="https://extranet.who.int/lqsi/content/make-access-digital-data-laboratory-restricted-both-physically-and-virtually"/>
    <hyperlink ref="O558" r:id="rId699" display="https://extranet.who.int/lqsi/content/if-laboratory-information-only-stored-digitally-create-contingency-plan-ensures-availability"/>
    <hyperlink ref="O559" r:id="rId700" display="https://extranet.who.int/lqsi/content/write-sop-information-management"/>
    <hyperlink ref="O560" r:id="rId701" display="https://extranet.who.int/lqsi/content/write-sop-information-management"/>
    <hyperlink ref="O574" r:id="rId702" display="https://extranet.who.int/lqsi/content/measure-satisfaction-clients-laboratory"/>
    <hyperlink ref="O575" r:id="rId703" display="https://extranet.who.int/lqsi/content/measure-satisfaction-clients-laboratory"/>
    <hyperlink ref="O576" r:id="rId704" display="https://extranet.who.int/lqsi/content/measure-satisfaction-clients-laboratory"/>
    <hyperlink ref="O577" r:id="rId705" display="https://extranet.who.int/lqsi/content/standardize-method-developing-reviewing-and-evaluating-contract-service-delivery"/>
    <hyperlink ref="O578" r:id="rId706" display="https://extranet.who.int/lqsi/content/standardize-method-developing-reviewing-and-evaluating-contract-service-delivery"/>
    <hyperlink ref="O579" r:id="rId707" display="https://extranet.who.int/lqsi/content/arrange-quality-officer-and-other-staff-members-are-trained-internal-auditors"/>
    <hyperlink ref="O580" r:id="rId708" display="https://extranet.who.int/lqsi/content/arrange-quality-officer-and-other-staff-members-are-trained-internal-auditors"/>
    <hyperlink ref="O581" r:id="rId709" display="https://extranet.who.int/lqsi/content/arrange-quality-officer-and-other-staff-members-are-trained-internal-auditors"/>
    <hyperlink ref="O582" r:id="rId710" display="https://extranet.who.int/lqsi/content/arrange-quality-officer-and-other-staff-members-are-trained-internal-auditors"/>
    <hyperlink ref="O583" r:id="rId711" display="https://extranet.who.int/lqsi/content/arrange-quality-officer-and-other-staff-members-are-trained-internal-auditors"/>
    <hyperlink ref="O584" r:id="rId712" display="https://extranet.who.int/lqsi/content/arrange-quality-officer-and-other-staff-members-are-trained-internal-auditors"/>
    <hyperlink ref="O585" r:id="rId713" display="https://extranet.who.int/lqsi/content/arrange-quality-officer-and-other-staff-members-are-trained-internal-auditors"/>
    <hyperlink ref="O586" r:id="rId714" display="https://extranet.who.int/lqsi/content/make-internal-audit-plan-coming-12-months"/>
    <hyperlink ref="O587" r:id="rId715" display="https://extranet.who.int/lqsi/content/start-carry-out-all-internal-audits-and-write-audit-reports"/>
    <hyperlink ref="O588" r:id="rId716" display="https://extranet.who.int/lqsi/content/start-carry-out-all-internal-audits-and-write-audit-reports"/>
    <hyperlink ref="O589" r:id="rId717" display="https://extranet.who.int/lqsi/content/start-carry-out-all-internal-audits-and-write-audit-reports"/>
    <hyperlink ref="O590" r:id="rId718" display="https://extranet.who.int/lqsi/content/formulate-action-plan-based-audit-report-and-monitor-its-implementation"/>
    <hyperlink ref="O591" r:id="rId719" display="https://extranet.who.int/lqsi/content/formulate-action-plan-based-audit-report-and-monitor-its-implementation"/>
    <hyperlink ref="O592" r:id="rId720" display="https://extranet.who.int/lqsi/content/formulate-action-plan-based-audit-report-and-monitor-its-implementation"/>
    <hyperlink ref="O593" r:id="rId721" display="https://extranet.who.int/lqsi/content/write-sop-internal-audit"/>
    <hyperlink ref="P444" r:id="rId722" display="https://extranet.who.int/lqsi/fr/content/veiller-%C3%A0-ce-quun-nombre-suffisant-de-membres-du-personnel-poss%C3%A8dent-une-formation-de"/>
    <hyperlink ref="P445" r:id="rId723" display="https://extranet.who.int/lqsi/fr/content/veiller-%C3%A0-ce-quun-nombre-suffisant-de-membres-du-personnel-poss%C3%A8dent-une-formation-de"/>
    <hyperlink ref="P446" r:id="rId724" display="https://extranet.who.int/lqsi/fr/content/veiller-%C3%A0-ce-quun-nombre-suffisant-de-membres-du-personnel-poss%C3%A8dent-une-formation-de"/>
    <hyperlink ref="P447" r:id="rId725" display="https://extranet.who.int/lqsi/fr/content/veiller-%C3%A0-ce-quun-nombre-suffisant-de-membres-du-personnel-poss%C3%A8dent-une-formation-de"/>
    <hyperlink ref="P448" r:id="rId726" display="https://extranet.who.int/lqsi/fr/content/veiller-%C3%A0-ce-quun-nombre-suffisant-de-membres-du-personnel-poss%C3%A8dent-une-formation-de"/>
    <hyperlink ref="P449" r:id="rId727" display="https://extranet.who.int/lqsi/fr/content/veiller-%C3%A0-ce-quun-nombre-suffisant-de-membres-du-personnel-poss%C3%A8dent-une-formation-de"/>
    <hyperlink ref="P450" r:id="rId728" display="https://extranet.who.int/lqsi/fr/content/quand-le-laboratoire-travaille-avec-des-organismes-pathog%C3%A8nes-n%C3%A9cessitant-un-b%C3%A2timent-de"/>
    <hyperlink ref="P451" r:id="rId729" display="https://extranet.who.int/lqsi/fr/content/quand-le-laboratoire-travaille-avec-des-organismes-pathog%C3%A8nes-n%C3%A9cessitant-un-b%C3%A2timent-de"/>
    <hyperlink ref="P452" r:id="rId730" display="https://extranet.who.int/lqsi/fr/content/quand-le-laboratoire-travaille-avec-des-organismes-pathog%C3%A8nes-n%C3%A9cessitant-un-b%C3%A2timent-de"/>
    <hyperlink ref="P453" r:id="rId731" display="https://extranet.who.int/lqsi/fr/content/quand-le-laboratoire-travaille-avec-des-organismes-pathog%C3%A8nes-n%C3%A9cessitant-un-b%C3%A2timent-de"/>
    <hyperlink ref="P454" r:id="rId732" display="https://extranet.who.int/lqsi/fr/content/quand-le-laboratoire-travaille-avec-des-organismes-pathog%C3%A8nes-n%C3%A9cessitant-un-b%C3%A2timent-de"/>
    <hyperlink ref="P455" r:id="rId733" display="https://extranet.who.int/lqsi/fr/content/am%C3%A9nager-un-local-destin%C3%A9-au-pr%C3%A9l%C3%A8vement-d%C3%A9chantillons-primaires-s%C3%A9par%C3%A9-du-laboratoire"/>
    <hyperlink ref="P456" r:id="rId734" display="https://extranet.who.int/lqsi/fr/content/am%C3%A9nager-un-local-destin%C3%A9-au-pr%C3%A9l%C3%A8vement-d%C3%A9chantillons-primaires-s%C3%A9par%C3%A9-du-laboratoire"/>
    <hyperlink ref="P457" r:id="rId735" display="https://extranet.who.int/lqsi/fr/content/am%C3%A9nager-un-local-destin%C3%A9-au-pr%C3%A9l%C3%A8vement-d%C3%A9chantillons-primaires-s%C3%A9par%C3%A9-du-laboratoire"/>
    <hyperlink ref="P458" r:id="rId736" display="https://extranet.who.int/lqsi/fr/content/am%C3%A9nager-un-local-destin%C3%A9-au-pr%C3%A9l%C3%A8vement-d%C3%A9chantillons-primaires-s%C3%A9par%C3%A9-du-laboratoire"/>
    <hyperlink ref="P459" r:id="rId737" display="https://extranet.who.int/lqsi/fr/content/am%C3%A9nager-un-local-destin%C3%A9-au-pr%C3%A9l%C3%A8vement-d%C3%A9chantillons-primaires-s%C3%A9par%C3%A9-du-laboratoire"/>
    <hyperlink ref="P460" r:id="rId738" display="https://extranet.who.int/lqsi/fr/content/am%C3%A9nager-et-surveiller-un-espace-et-des-conditions-de-stockage-appropri%C3%A9s-pour-les"/>
    <hyperlink ref="P461" r:id="rId739" display="https://extranet.who.int/lqsi/fr/content/am%C3%A9nager-et-surveiller-un-espace-et-des-conditions-de-stockage-appropri%C3%A9s-pour-les"/>
    <hyperlink ref="P462" r:id="rId740" display="https://extranet.who.int/lqsi/fr/content/am%C3%A9nager-et-surveiller-un-espace-et-des-conditions-de-stockage-appropri%C3%A9s-pour-les"/>
    <hyperlink ref="P463" r:id="rId741" display="https://extranet.who.int/lqsi/fr/content/am%C3%A9nager-et-surveiller-un-espace-et-des-conditions-de-stockage-appropri%C3%A9s-pour-les"/>
    <hyperlink ref="P464" r:id="rId742" display="https://extranet.who.int/lqsi/fr/content/am%C3%A9nager-et-surveiller-un-espace-et-des-conditions-de-stockage-appropri%C3%A9s-pour-les"/>
    <hyperlink ref="P465" r:id="rId743" display="https://extranet.who.int/lqsi/fr/content/am%C3%A9nager-et-surveiller-un-espace-et-des-conditions-de-stockage-appropri%C3%A9s-pour-les"/>
    <hyperlink ref="P466" r:id="rId744" display="https://extranet.who.int/lqsi/fr/content/am%C3%A9nager-et-surveiller-un-espace-et-des-conditions-de-stockage-appropri%C3%A9s-pour-les"/>
    <hyperlink ref="P467" r:id="rId745" display="https://extranet.who.int/lqsi/fr/content/dresser-une-liste-de-dur%C3%A9es-de-stockagearchivage-de-diff%C3%A9rents-%C3%A9l%C3%A9ments"/>
    <hyperlink ref="P468" r:id="rId746" display="https://extranet.who.int/lqsi/fr/content/dresser-une-liste-de-dur%C3%A9es-de-stockagearchivage-de-diff%C3%A9rents-%C3%A9l%C3%A9ments"/>
    <hyperlink ref="P477" r:id="rId747" display="https://extranet.who.int/lqsi/fr/content/formuler-la-vision-du-laboratoire-sa-raison-d%C3%AAtre"/>
    <hyperlink ref="P478" r:id="rId748" display="https://extranet.who.int/lqsi/fr/content/formuler-la-vision-du-laboratoire-sa-raison-d%C3%AAtre"/>
    <hyperlink ref="P479" r:id="rId749" display="https://extranet.who.int/lqsi/fr/content/formuler-la-mission-du-laboratoire"/>
    <hyperlink ref="P480" r:id="rId750" display="https://extranet.who.int/lqsi/fr/content/formuler-la-mission-du-laboratoire"/>
    <hyperlink ref="P481" r:id="rId751" display="https://extranet.who.int/lqsi/fr/content/formuler-les-objectifs-%C3%A0-long-terme-du-laboratoire"/>
    <hyperlink ref="P482" r:id="rId752" display="https://extranet.who.int/lqsi/fr/content/formuler-les-objectifs-%C3%A0-long-terme-du-laboratoire"/>
    <hyperlink ref="P483" r:id="rId753" display="https://extranet.who.int/lqsi/fr/content/formuler-les-objectifs-%C3%A0-long-terme-du-laboratoire"/>
    <hyperlink ref="P484" r:id="rId754" display="https://extranet.who.int/lqsi/fr/content/formuler-les-objectifs-%C3%A0-long-terme-du-laboratoire"/>
    <hyperlink ref="P485" r:id="rId755" display="https://extranet.who.int/lqsi/fr/content/formuler-la-politique-de-la-qualit%C3%A9"/>
    <hyperlink ref="P486" r:id="rId756" display="https://extranet.who.int/lqsi/fr/content/formuler-la-politique-de-la-qualit%C3%A9"/>
    <hyperlink ref="P487" r:id="rId757" display="https://extranet.who.int/lqsi/fr/content/formuler-la-politique-de-la-qualit%C3%A9"/>
    <hyperlink ref="P488" r:id="rId758" display="https://extranet.who.int/lqsi/fr/content/formuler-la-politique-de-la-qualit%C3%A9"/>
    <hyperlink ref="P489" r:id="rId759" display="https://extranet.who.int/lqsi/fr/content/formuler-la-politique-de-la-qualit%C3%A9"/>
    <hyperlink ref="P490" r:id="rId760" display="https://extranet.who.int/lqsi/fr/content/formuler-la-politique-de-la-qualit%C3%A9"/>
    <hyperlink ref="P491" r:id="rId761" display="https://extranet.who.int/lqsi/fr/content/formuler-la-politique-de-la-qualit%C3%A9"/>
    <hyperlink ref="P492" r:id="rId762" display="https://extranet.who.int/lqsi/fr/content/formuler-la-politique-de-la-qualit%C3%A9"/>
    <hyperlink ref="P494" r:id="rId763" display="https://extranet.who.int/lqsi/fr/content/planifier-lachat-dun-nouvel-%C3%A9quipement-et-le-co%C3%BBt-de-sa-maintenance-dans-le-budget-annuel"/>
    <hyperlink ref="P495" r:id="rId764" display="https://extranet.who.int/lqsi/fr/content/planifier-lachat-dun-nouvel-%C3%A9quipement-et-le-co%C3%BBt-de-sa-maintenance-dans-le-budget-annuel"/>
    <hyperlink ref="P496" r:id="rId765" display="https://extranet.who.int/lqsi/fr/content/planifier-lachat-dun-nouvel-%C3%A9quipement-et-le-co%C3%BBt-de-sa-maintenance-dans-le-budget-annuel"/>
    <hyperlink ref="P497" r:id="rId766" display="https://extranet.who.int/lqsi/fr/content/formuler-les-objectifs-pour-lann%C3%A9e-suivante-en-se-conformant-sp%C3%A9cifiquement-au-syst%C3%A8me-de"/>
    <hyperlink ref="P498" r:id="rId767" display="https://extranet.who.int/lqsi/fr/content/formuler-le-premier-plan-annuel-qualit%C3%A9"/>
    <hyperlink ref="P499" r:id="rId768" display="https://extranet.who.int/lqsi/fr/content/formuler-le-premier-plan-annuel-qualit%C3%A9"/>
    <hyperlink ref="P500" r:id="rId769" display="https://extranet.who.int/lqsi/fr/content/formuler-le-premier-plan-annuel-qualit%C3%A9"/>
    <hyperlink ref="P501" r:id="rId770" display="https://extranet.who.int/lqsi/fr/content/formuler-le-premier-plan-annuel-qualit%C3%A9"/>
    <hyperlink ref="P502" r:id="rId771" display="https://extranet.who.int/lqsi/fr/content/formuler-le-premier-plan-annuel-qualit%C3%A9"/>
    <hyperlink ref="P503" r:id="rId772" display="https://extranet.who.int/lqsi/fr/content/transcrire-le-plan-annuel-qualit%C3%A9-en-actions-%C3%A0-mener-selon-la-m%C3%A9thode-smart"/>
    <hyperlink ref="P504" r:id="rId773" display="https://extranet.who.int/lqsi/fr/content/transcrire-le-plan-annuel-qualit%C3%A9-en-actions-%C3%A0-mener-selon-la-m%C3%A9thode-smart"/>
    <hyperlink ref="P505" r:id="rId774" display="https://extranet.who.int/lqsi/fr/content/transcrire-le-plan-annuel-qualit%C3%A9-en-actions-%C3%A0-mener-selon-la-m%C3%A9thode-smart"/>
    <hyperlink ref="P506" r:id="rId775" display="https://extranet.who.int/lqsi/fr/content/transcrire-le-plan-annuel-qualit%C3%A9-en-actions-%C3%A0-mener-selon-la-m%C3%A9thode-smart"/>
    <hyperlink ref="P507" r:id="rId776" display="https://extranet.who.int/lqsi/fr/content/%C3%A9laborer-un-manuel-de-la-qualit%C3%A9"/>
    <hyperlink ref="P508" r:id="rId777" display="https://extranet.who.int/lqsi/fr/content/%C3%A9laborer-un-manuel-de-la-qualit%C3%A9"/>
    <hyperlink ref="P509" r:id="rId778" display="https://extranet.who.int/lqsi/fr/content/%C3%A9laborer-un-manuel-de-la-qualit%C3%A9"/>
    <hyperlink ref="P510" r:id="rId779" display="https://extranet.who.int/lqsi/fr/content/commencer-%C3%A0-assurer-le-suivi-du-fonctionnement-du-syst%C3%A8me-de-gestion-de-la-qualit%C3%A9-et"/>
    <hyperlink ref="P511" r:id="rId780" display="https://extranet.who.int/lqsi/fr/content/r%C3%A9aliser-une-revue-de-direction-%C3%A0-la-fin-de-lann%C3%A9e-couverte-par-le-plan-qualit%C3%A9"/>
    <hyperlink ref="P512" r:id="rId781" display="https://extranet.who.int/lqsi/fr/content/r%C3%A9aliser-une-revue-de-direction-%C3%A0-la-fin-de-lann%C3%A9e-couverte-par-le-plan-qualit%C3%A9"/>
    <hyperlink ref="P513" r:id="rId782" display="https://extranet.who.int/lqsi/fr/content/r%C3%A9aliser-une-revue-de-direction-%C3%A0-la-fin-de-lann%C3%A9e-couverte-par-le-plan-qualit%C3%A9"/>
    <hyperlink ref="P514" r:id="rId783" display="https://extranet.who.int/lqsi/fr/content/r%C3%A9aliser-une-revue-de-direction-%C3%A0-la-fin-de-lann%C3%A9e-couverte-par-le-plan-qualit%C3%A9"/>
    <hyperlink ref="P515" r:id="rId784" display="https://extranet.who.int/lqsi/fr/content/r%C3%A9aliser-une-revue-de-direction-%C3%A0-la-fin-de-lann%C3%A9e-couverte-par-le-plan-qualit%C3%A9"/>
    <hyperlink ref="P516" r:id="rId785" display="https://extranet.who.int/lqsi/fr/content/%C3%A9laborer-un-plan-annuel-qualit%C3%A9-pour-lann%C3%A9e-suivante-sur-la-base-des-conclusions-de-la-revue"/>
    <hyperlink ref="P517" r:id="rId786" display="https://extranet.who.int/lqsi/fr/content/%C3%A9laborer-un-plan-annuel-qualit%C3%A9-pour-lann%C3%A9e-suivante-sur-la-base-des-conclusions-de-la-revue"/>
    <hyperlink ref="P518" r:id="rId787" display="https://extranet.who.int/lqsi/fr/content/%C3%A9laborer-un-plan-annuel-qualit%C3%A9-pour-lann%C3%A9e-suivante-sur-la-base-des-conclusions-de-la-revue"/>
    <hyperlink ref="P519" r:id="rId788" display="https://extranet.who.int/lqsi/fr/content/%C3%A9laborer-un-plan-annuel-qualit%C3%A9-pour-lann%C3%A9e-suivante-sur-la-base-des-conclusions-de-la-revue"/>
    <hyperlink ref="P520" r:id="rId789" display="https://extranet.who.int/lqsi/fr/content/standardiser-et-d%C3%A9crire-le-cycle-d%C3%A9laboration-de-politiques-dans-des-pos"/>
    <hyperlink ref="P521" r:id="rId790" display="https://extranet.who.int/lqsi/fr/content/identifier-les-conflits-dint%C3%A9r%C3%AAts-potentiels-pour-chaque-membre-du-personnel"/>
    <hyperlink ref="P522" r:id="rId791" display="https://extranet.who.int/lqsi/fr/content/identifier-les-conflits-dint%C3%A9r%C3%AAts-potentiels-pour-chaque-membre-du-personnel"/>
    <hyperlink ref="P523" r:id="rId792" display="https://extranet.who.int/lqsi/fr/content/cr%C3%A9er-une-grille-de-remplacement-du-personnel"/>
    <hyperlink ref="P524" r:id="rId793" display="https://extranet.who.int/lqsi/fr/content/cr%C3%A9er-une-grille-de-remplacement-du-personnel"/>
    <hyperlink ref="P525" r:id="rId794" display="https://extranet.who.int/lqsi/fr/content/cr%C3%A9er-une-grille-de-remplacement-du-personnel"/>
    <hyperlink ref="P526" r:id="rId795" display="https://extranet.who.int/lqsi/fr/content/cr%C3%A9er-une-grille-de-remplacement-du-personnel"/>
    <hyperlink ref="P527" r:id="rId796" display="https://extranet.who.int/lqsi/fr/content/effectuer-une-analyse-financi%C3%A8re-des-ressources-n%C3%A9cessaires-pour-garantir-la-qualit%C3%A9-au"/>
    <hyperlink ref="P528" r:id="rId797" display="https://extranet.who.int/lqsi/fr/content/standardiser-la-m%C3%A9thode-permettant-de-choisir-les-fournisseurs-et-d%C3%A9valuer-les-contrats"/>
    <hyperlink ref="P529" r:id="rId798" display="https://extranet.who.int/lqsi/fr/content/standardiser-la-m%C3%A9thode-permettant-de-choisir-les-fournisseurs-et-d%C3%A9valuer-les-contrats"/>
    <hyperlink ref="P530" r:id="rId799" display="https://extranet.who.int/lqsi/fr/content/standardiser-la-m%C3%A9thode-permettant-de-choisir-les-fournisseurs-et-d%C3%A9valuer-les-contrats"/>
    <hyperlink ref="P531" r:id="rId800" display="https://extranet.who.int/lqsi/fr/content/standardiser-la-m%C3%A9thode-permettant-de-choisir-les-fournisseurs-et-d%C3%A9valuer-les-contrats"/>
    <hyperlink ref="P532" r:id="rId801" display="https://extranet.who.int/lqsi/fr/content/standardiser-la-m%C3%A9thode-permettant-de-choisir-les-fournisseurs-et-d%C3%A9valuer-les-contrats"/>
    <hyperlink ref="P533" r:id="rId802" display="https://extranet.who.int/lqsi/fr/content/%C3%A9tablir-une-proc%C3%A9dure-pour-la-s%C3%A9lection-et-le-suivi-r%C3%A9gulier-du-fonctionnement-de"/>
    <hyperlink ref="P534" r:id="rId803" display="https://extranet.who.int/lqsi/fr/content/%C3%A9tablir-une-proc%C3%A9dure-pour-la-s%C3%A9lection-et-le-suivi-r%C3%A9gulier-du-fonctionnement-de"/>
    <hyperlink ref="P535" r:id="rId804" display="https://extranet.who.int/lqsi/fr/content/%C3%A9tablir-une-proc%C3%A9dure-pour-la-s%C3%A9lection-et-le-suivi-r%C3%A9gulier-du-fonctionnement-de"/>
    <hyperlink ref="P536" r:id="rId805" display="https://extranet.who.int/lqsi/fr/content/%C3%A9tablir-une-proc%C3%A9dure-pour-la-s%C3%A9lection-et-le-suivi-r%C3%A9gulier-du-fonctionnement-de"/>
    <hyperlink ref="P537" r:id="rId806" display="https://extranet.who.int/lqsi/fr/content/d%C3%A9terminer-les-temps-dobtention-des-r%C3%A9sultats-de-chaque-examen-r%C3%A9alis%C3%A9-dans-le-laboratoire"/>
    <hyperlink ref="P538" r:id="rId807" display="https://extranet.who.int/lqsi/fr/content/d%C3%A9terminer-les-temps-dobtention-des-r%C3%A9sultats-de-chaque-examen-r%C3%A9alis%C3%A9-dans-le-laboratoire"/>
    <hyperlink ref="P539" r:id="rId808" display="https://extranet.who.int/lqsi/fr/content/d%C3%A9terminer-les-temps-dobtention-des-r%C3%A9sultats-de-chaque-examen-r%C3%A9alis%C3%A9-dans-le-laboratoire"/>
    <hyperlink ref="P540" r:id="rId809" display="https://extranet.who.int/lqsi/fr/content/d%C3%A9terminer-les-temps-dobtention-des-r%C3%A9sultats-de-chaque-examen-r%C3%A9alis%C3%A9-dans-le-laboratoire"/>
    <hyperlink ref="P541" r:id="rId810" display="https://extranet.who.int/lqsi/fr/content/d%C3%A9terminer-les-temps-dobtention-des-r%C3%A9sultats-de-chaque-examen-r%C3%A9alis%C3%A9-dans-le-laboratoire"/>
    <hyperlink ref="P542" r:id="rId811" display="https://extranet.who.int/lqsi/fr/content/surveiller-les-temps-dobtention-des-r%C3%A9sultats-de-chaque-examen"/>
    <hyperlink ref="P543" r:id="rId812" display="https://extranet.who.int/lqsi/fr/content/surveiller-les-temps-dobtention-des-r%C3%A9sultats-de-chaque-examen"/>
    <hyperlink ref="P544" r:id="rId813" display="https://extranet.who.int/lqsi/fr/content/surveiller-les-temps-dobtention-des-r%C3%A9sultats-de-chaque-examen"/>
    <hyperlink ref="P545" r:id="rId814" display="https://extranet.who.int/lqsi/fr/content/surveiller-les-temps-dobtention-des-r%C3%A9sultats-de-chaque-examen"/>
    <hyperlink ref="P546" r:id="rId815" display="https://extranet.who.int/lqsi/fr/content/surveiller-les-temps-dobtention-des-r%C3%A9sultats-de-chaque-examen"/>
    <hyperlink ref="P547" r:id="rId816" display="https://extranet.who.int/lqsi/fr/content/r%C3%A9diger-une-pos-relative-%C3%A0-la-validation-des-examens-et-de-l%C3%A9quipement"/>
    <hyperlink ref="P548" r:id="rId817" display="https://extranet.who.int/lqsi/fr/content/valider-toutes-les-proc%C3%A9dures-dexamen-r%C3%A9alis%C3%A9es-dans-le-laboratoire"/>
    <hyperlink ref="P549" r:id="rId818" display="https://extranet.who.int/lqsi/fr/content/valider-toutes-les-proc%C3%A9dures-dexamen-r%C3%A9alis%C3%A9es-dans-le-laboratoire"/>
    <hyperlink ref="P550" r:id="rId819" display="https://extranet.who.int/lqsi/fr/content/%C3%A9tablir-un-syst%C3%A8me-darchivage-assurant-la-protection-des-informations-du-laboratoire-mais"/>
    <hyperlink ref="P551" r:id="rId820" display="https://extranet.who.int/lqsi/fr/content/%C3%A9tablir-un-syst%C3%A8me-darchivage-assurant-la-protection-des-informations-du-laboratoire-mais"/>
    <hyperlink ref="P552" r:id="rId821" display="https://extranet.who.int/lqsi/fr/content/%C3%A9tablir-un-syst%C3%A8me-darchivage-assurant-la-protection-des-informations-du-laboratoire-mais"/>
    <hyperlink ref="P553" r:id="rId822" display="https://extranet.who.int/lqsi/fr/content/%C3%A9tablir-un-syst%C3%A8me-darchivage-assurant-la-protection-des-informations-du-laboratoire-mais"/>
    <hyperlink ref="P554" r:id="rId823" display="https://extranet.who.int/lqsi/fr/content/restreindre-lacc%C3%A8s-aux-donn%C3%A9es-informatis%C3%A9es-du-laboratoire-acc%C3%A8s-physique-et-virtuel"/>
    <hyperlink ref="P555" r:id="rId824" display="https://extranet.who.int/lqsi/fr/content/restreindre-lacc%C3%A8s-aux-donn%C3%A9es-informatis%C3%A9es-du-laboratoire-acc%C3%A8s-physique-et-virtuel"/>
    <hyperlink ref="P556" r:id="rId825" display="https://extranet.who.int/lqsi/fr/content/restreindre-lacc%C3%A8s-aux-donn%C3%A9es-informatis%C3%A9es-du-laboratoire-acc%C3%A8s-physique-et-virtuel"/>
    <hyperlink ref="P557" r:id="rId826" display="https://extranet.who.int/lqsi/fr/content/restreindre-lacc%C3%A8s-aux-donn%C3%A9es-informatis%C3%A9es-du-laboratoire-acc%C3%A8s-physique-et-virtuel"/>
    <hyperlink ref="P558" r:id="rId827" display="https://extranet.who.int/lqsi/fr/content/si-les-donn%C3%A9es-du-laboratoire-sont-conserv%C3%A9es-uniquement-sous-forme-num%C3%A9rique-%C3%A9tablir-un"/>
    <hyperlink ref="P559" r:id="rId828" display="https://extranet.who.int/lqsi/fr/content/r%C3%A9diger-une-pos-relative-%C3%A0-la-gestion-de-linformation"/>
    <hyperlink ref="P560" r:id="rId829" display="https://extranet.who.int/lqsi/fr/content/r%C3%A9diger-une-pos-relative-%C3%A0-la-gestion-de-linformation"/>
    <hyperlink ref="P574" r:id="rId830" display="https://extranet.who.int/lqsi/fr/content/mesurer-la-satisfaction-des-clients-du-laboratoire"/>
    <hyperlink ref="P575" r:id="rId831" display="https://extranet.who.int/lqsi/fr/content/mesurer-la-satisfaction-des-clients-du-laboratoire"/>
    <hyperlink ref="P576" r:id="rId832" display="https://extranet.who.int/lqsi/fr/content/mesurer-la-satisfaction-des-clients-du-laboratoire"/>
    <hyperlink ref="P577" r:id="rId833" display="https://extranet.who.int/lqsi/fr/content/standardiser-la-m%C3%A9thode-destin%C3%A9e-%C3%A0-%C3%A9tablir-r%C3%A9viser-et-%C3%A9valuer-un-contrat-de-prestation-de"/>
    <hyperlink ref="P578" r:id="rId834" display="https://extranet.who.int/lqsi/fr/content/standardiser-la-m%C3%A9thode-destin%C3%A9e-%C3%A0-%C3%A9tablir-r%C3%A9viser-et-%C3%A9valuer-un-contrat-de-prestation-de"/>
    <hyperlink ref="P579" r:id="rId835" display="https://extranet.who.int/lqsi/fr/content/organiser-la-formation-du-responsable-qualit%C3%A9-et-dautres-membres-du-personnel-en-tant"/>
    <hyperlink ref="P580" r:id="rId836" display="https://extranet.who.int/lqsi/fr/content/organiser-la-formation-du-responsable-qualit%C3%A9-et-dautres-membres-du-personnel-en-tant"/>
    <hyperlink ref="P581" r:id="rId837" display="https://extranet.who.int/lqsi/fr/content/organiser-la-formation-du-responsable-qualit%C3%A9-et-dautres-membres-du-personnel-en-tant"/>
    <hyperlink ref="P582" r:id="rId838" display="https://extranet.who.int/lqsi/fr/content/organiser-la-formation-du-responsable-qualit%C3%A9-et-dautres-membres-du-personnel-en-tant"/>
    <hyperlink ref="P583" r:id="rId839" display="https://extranet.who.int/lqsi/fr/content/organiser-la-formation-du-responsable-qualit%C3%A9-et-dautres-membres-du-personnel-en-tant"/>
    <hyperlink ref="P584" r:id="rId840" display="https://extranet.who.int/lqsi/fr/content/organiser-la-formation-du-responsable-qualit%C3%A9-et-dautres-membres-du-personnel-en-tant"/>
    <hyperlink ref="P585" r:id="rId841" display="https://extranet.who.int/lqsi/fr/content/organiser-la-formation-du-responsable-qualit%C3%A9-et-dautres-membres-du-personnel-en-tant"/>
    <hyperlink ref="P586" r:id="rId842" display="https://extranet.who.int/lqsi/fr/content/%C3%A9tablir-un-plan-daudit-interne-pour-les-12-prochains-mois"/>
    <hyperlink ref="P587" r:id="rId843" display="https://extranet.who.int/lqsi/fr/content/commencer-%C3%A0-effectuer-tous-les-audits-internes-et-r%C3%A9diger-des-rapports-daudit"/>
    <hyperlink ref="P588" r:id="rId844" display="https://extranet.who.int/lqsi/fr/content/commencer-%C3%A0-effectuer-tous-les-audits-internes-et-r%C3%A9diger-des-rapports-daudit"/>
    <hyperlink ref="P589" r:id="rId845" display="https://extranet.who.int/lqsi/fr/content/commencer-%C3%A0-effectuer-tous-les-audits-internes-et-r%C3%A9diger-des-rapports-daudit"/>
    <hyperlink ref="P590" r:id="rId846" display="https://extranet.who.int/lqsi/fr/content/formuler-un-plan-daction-fond%C3%A9-sur-le-rapport-daudit-et-suivre-sa-mise-en-%C5%93uvre"/>
    <hyperlink ref="P591" r:id="rId847" display="https://extranet.who.int/lqsi/fr/content/formuler-un-plan-daction-fond%C3%A9-sur-le-rapport-daudit-et-suivre-sa-mise-en-%C5%93uvre"/>
    <hyperlink ref="P592" r:id="rId848" display="https://extranet.who.int/lqsi/fr/content/formuler-un-plan-daction-fond%C3%A9-sur-le-rapport-daudit-et-suivre-sa-mise-en-%C5%93uvre"/>
    <hyperlink ref="P593" r:id="rId849" display="https://extranet.who.int/lqsi/fr/content/r%C3%A9diger-une-pos-relative-aux-audits-internes"/>
    <hyperlink ref="Q444" r:id="rId850"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5" r:id="rId851"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6" r:id="rId852"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7" r:id="rId853"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8" r:id="rId854"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9" r:id="rId855"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50" r:id="rId856"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1" r:id="rId857"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2" r:id="rId858"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3" r:id="rId859"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4" r:id="rId860"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5" r:id="rId861"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6" r:id="rId862"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7" r:id="rId863"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8" r:id="rId864"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9" r:id="rId865"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60" r:id="rId866"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1" r:id="rId867"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2" r:id="rId868"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3" r:id="rId869"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4" r:id="rId870"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5" r:id="rId871"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6" r:id="rId872"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7" r:id="rId873"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hyperlink ref="Q468" r:id="rId874"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hyperlink ref="Q477" r:id="rId875"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hyperlink ref="Q478" r:id="rId876"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hyperlink ref="Q479" r:id="rId877" display="https://extranet.who.int/lqsi/ru/content/%D1%81%D1%84%D0%BE%D1%80%D0%BC%D1%83%D0%BB%D0%B8%D1%80%D1%83%D0%B9%D1%82%D0%B5-%D0%BC%D0%B8%D1%81%D1%81%D0%B8%D1%8E-%D0%BB%D0%B0%D0%B1%D0%BE%D1%80%D0%B0%D1%82%D0%BE%D1%80%D0%B8%D1%8E"/>
    <hyperlink ref="Q480" r:id="rId878" display="https://extranet.who.int/lqsi/ru/content/%D1%81%D1%84%D0%BE%D1%80%D0%BC%D1%83%D0%BB%D0%B8%D1%80%D1%83%D0%B9%D1%82%D0%B5-%D0%BC%D0%B8%D1%81%D1%81%D0%B8%D1%8E-%D0%BB%D0%B0%D0%B1%D0%BE%D1%80%D0%B0%D1%82%D0%BE%D1%80%D0%B8%D1%8E"/>
    <hyperlink ref="Q481" r:id="rId879" display="https://extranet.who.int/lqsi/ru/content/%D1%81%D1%84%D0%BE%D1%80%D0%BC%D1%83%D0%BB%D0%B8%D1%80%D1%83%D0%B9%D1%82%D0%B5-%D0%B4%D0%BE%D0%BB%D0%B3%D0%BE%D1%81%D1%80%D0%BE%D1%87%D0%BD%D1%8B%D0%B5-%D1%86%D0%B5%D0%BB%D0%B8-%D0%BB%D0%B0%D0%B1%D0%BE%D1%80%D0%B0%D1%82%D0%BE%D1%80%D0%B8%D0%B8"/>
    <hyperlink ref="Q482" r:id="rId880" display="https://extranet.who.int/lqsi/ru/content/%D1%81%D1%84%D0%BE%D1%80%D0%BC%D1%83%D0%BB%D0%B8%D1%80%D1%83%D0%B9%D1%82%D0%B5-%D0%B4%D0%BE%D0%BB%D0%B3%D0%BE%D1%81%D1%80%D0%BE%D1%87%D0%BD%D1%8B%D0%B5-%D1%86%D0%B5%D0%BB%D0%B8-%D0%BB%D0%B0%D0%B1%D0%BE%D1%80%D0%B0%D1%82%D0%BE%D1%80%D0%B8%D0%B8"/>
    <hyperlink ref="Q483" r:id="rId881" display="https://extranet.who.int/lqsi/ru/content/%D1%81%D1%84%D0%BE%D1%80%D0%BC%D1%83%D0%BB%D0%B8%D1%80%D1%83%D0%B9%D1%82%D0%B5-%D0%B4%D0%BE%D0%BB%D0%B3%D0%BE%D1%81%D1%80%D0%BE%D1%87%D0%BD%D1%8B%D0%B5-%D1%86%D0%B5%D0%BB%D0%B8-%D0%BB%D0%B0%D0%B1%D0%BE%D1%80%D0%B0%D1%82%D0%BE%D1%80%D0%B8%D0%B8"/>
    <hyperlink ref="Q484" r:id="rId882" display="https://extranet.who.int/lqsi/ru/content/%D1%81%D1%84%D0%BE%D1%80%D0%BC%D1%83%D0%BB%D0%B8%D1%80%D1%83%D0%B9%D1%82%D0%B5-%D0%B4%D0%BE%D0%BB%D0%B3%D0%BE%D1%81%D1%80%D0%BE%D1%87%D0%BD%D1%8B%D0%B5-%D1%86%D0%B5%D0%BB%D0%B8-%D0%BB%D0%B0%D0%B1%D0%BE%D1%80%D0%B0%D1%82%D0%BE%D1%80%D0%B8%D0%B8"/>
    <hyperlink ref="Q485" r:id="rId883" display="https://extranet.who.int/lqsi/ru/content/%D1%81%D1%84%D0%BE%D1%80%D0%BC%D1%83%D0%BB%D0%B8%D1%80%D1%83%D0%B9%D1%82%D0%B5-%D0%BF%D0%BE%D0%BB%D0%B8%D1%82%D0%B8%D0%BA%D1%83-%D0%B2-%D0%BE%D0%B1%D0%BB%D0%B0%D1%81%D1%82%D0%B8-%D0%BA%D0%B0%D1%87%D0%B5%D1%81%D1%82%D0%B2%D0%B0"/>
    <hyperlink ref="Q486" r:id="rId884" display="https://extranet.who.int/lqsi/ru/content/%D1%81%D1%84%D0%BE%D1%80%D0%BC%D1%83%D0%BB%D0%B8%D1%80%D1%83%D0%B9%D1%82%D0%B5-%D0%BF%D0%BE%D0%BB%D0%B8%D1%82%D0%B8%D0%BA%D1%83-%D0%B2-%D0%BE%D0%B1%D0%BB%D0%B0%D1%81%D1%82%D0%B8-%D0%BA%D0%B0%D1%87%D0%B5%D1%81%D1%82%D0%B2%D0%B0"/>
    <hyperlink ref="Q487" r:id="rId885" display="https://extranet.who.int/lqsi/ru/content/%D1%81%D1%84%D0%BE%D1%80%D0%BC%D1%83%D0%BB%D0%B8%D1%80%D1%83%D0%B9%D1%82%D0%B5-%D0%BF%D0%BE%D0%BB%D0%B8%D1%82%D0%B8%D0%BA%D1%83-%D0%B2-%D0%BE%D0%B1%D0%BB%D0%B0%D1%81%D1%82%D0%B8-%D0%BA%D0%B0%D1%87%D0%B5%D1%81%D1%82%D0%B2%D0%B0"/>
    <hyperlink ref="Q488" r:id="rId886" display="https://extranet.who.int/lqsi/ru/content/%D1%81%D1%84%D0%BE%D1%80%D0%BC%D1%83%D0%BB%D0%B8%D1%80%D1%83%D0%B9%D1%82%D0%B5-%D0%BF%D0%BE%D0%BB%D0%B8%D1%82%D0%B8%D0%BA%D1%83-%D0%B2-%D0%BE%D0%B1%D0%BB%D0%B0%D1%81%D1%82%D0%B8-%D0%BA%D0%B0%D1%87%D0%B5%D1%81%D1%82%D0%B2%D0%B0"/>
    <hyperlink ref="Q489" r:id="rId887" display="https://extranet.who.int/lqsi/ru/content/%D1%81%D1%84%D0%BE%D1%80%D0%BC%D1%83%D0%BB%D0%B8%D1%80%D1%83%D0%B9%D1%82%D0%B5-%D0%BF%D0%BE%D0%BB%D0%B8%D1%82%D0%B8%D0%BA%D1%83-%D0%B2-%D0%BE%D0%B1%D0%BB%D0%B0%D1%81%D1%82%D0%B8-%D0%BA%D0%B0%D1%87%D0%B5%D1%81%D1%82%D0%B2%D0%B0"/>
    <hyperlink ref="Q490" r:id="rId888" display="https://extranet.who.int/lqsi/ru/content/%D1%81%D1%84%D0%BE%D1%80%D0%BC%D1%83%D0%BB%D0%B8%D1%80%D1%83%D0%B9%D1%82%D0%B5-%D0%BF%D0%BE%D0%BB%D0%B8%D1%82%D0%B8%D0%BA%D1%83-%D0%B2-%D0%BE%D0%B1%D0%BB%D0%B0%D1%81%D1%82%D0%B8-%D0%BA%D0%B0%D1%87%D0%B5%D1%81%D1%82%D0%B2%D0%B0"/>
    <hyperlink ref="Q491" r:id="rId889" display="https://extranet.who.int/lqsi/ru/content/%D1%81%D1%84%D0%BE%D1%80%D0%BC%D1%83%D0%BB%D0%B8%D1%80%D1%83%D0%B9%D1%82%D0%B5-%D0%BF%D0%BE%D0%BB%D0%B8%D1%82%D0%B8%D0%BA%D1%83-%D0%B2-%D0%BE%D0%B1%D0%BB%D0%B0%D1%81%D1%82%D0%B8-%D0%BA%D0%B0%D1%87%D0%B5%D1%81%D1%82%D0%B2%D0%B0"/>
    <hyperlink ref="Q492" r:id="rId890" display="https://extranet.who.int/lqsi/ru/content/%D1%81%D1%84%D0%BE%D1%80%D0%BC%D1%83%D0%BB%D0%B8%D1%80%D1%83%D0%B9%D1%82%D0%B5-%D0%BF%D0%BE%D0%BB%D0%B8%D1%82%D0%B8%D0%BA%D1%83-%D0%B2-%D0%BE%D0%B1%D0%BB%D0%B0%D1%81%D1%82%D0%B8-%D0%BA%D0%B0%D1%87%D0%B5%D1%81%D1%82%D0%B2%D0%B0"/>
    <hyperlink ref="Q493" r:id="rId891" display="https://extranet.who.int/lqsi/ru/content/%D1%81%D1%84%D0%BE%D1%80%D0%BC%D1%83%D0%BB%D0%B8%D1%80%D1%83%D0%B9%D1%82%D0%B5-%D0%BF%D0%BE%D0%BB%D0%B8%D1%82%D0%B8%D0%BA%D1%83-%D0%B2-%D0%BE%D0%B1%D0%BB%D0%B0%D1%81%D1%82%D0%B8-%D0%BA%D0%B0%D1%87%D0%B5%D1%81%D1%82%D0%B2%D0%B0"/>
    <hyperlink ref="Q494" r:id="rId892"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hyperlink ref="Q495" r:id="rId893"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hyperlink ref="Q496" r:id="rId894"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hyperlink ref="Q497" r:id="rId895" display="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hyperlink ref="Q498" r:id="rId896" display="https://extranet.who.int/lqsi/ru/content/%D1%81%D0%BE%D1%81%D1%82%D0%B0%D0%B2%D1%8C%D1%82%D0%B5-%D0%BF%D0%B5%D1%80%D0%B2%D1%8B%D0%B9-%D0%B3%D0%BE%D0%B4%D0%BE%D0%B2%D0%BE%D0%B9-%D0%BF%D0%BB%D0%B0%D0%BD-%D0%BF%D0%BE-%D0%BA%D0%B0%D1%87%D0%B5%D1%81%D1%82%D0%B2%D1%83"/>
    <hyperlink ref="Q499" r:id="rId897" display="https://extranet.who.int/lqsi/ru/content/%D1%81%D0%BE%D1%81%D1%82%D0%B0%D0%B2%D1%8C%D1%82%D0%B5-%D0%BF%D0%B5%D1%80%D0%B2%D1%8B%D0%B9-%D0%B3%D0%BE%D0%B4%D0%BE%D0%B2%D0%BE%D0%B9-%D0%BF%D0%BB%D0%B0%D0%BD-%D0%BF%D0%BE-%D0%BA%D0%B0%D1%87%D0%B5%D1%81%D1%82%D0%B2%D1%83"/>
    <hyperlink ref="Q500" r:id="rId898" display="https://extranet.who.int/lqsi/ru/content/%D1%81%D0%BE%D1%81%D1%82%D0%B0%D0%B2%D1%8C%D1%82%D0%B5-%D0%BF%D0%B5%D1%80%D0%B2%D1%8B%D0%B9-%D0%B3%D0%BE%D0%B4%D0%BE%D0%B2%D0%BE%D0%B9-%D0%BF%D0%BB%D0%B0%D0%BD-%D0%BF%D0%BE-%D0%BA%D0%B0%D1%87%D0%B5%D1%81%D1%82%D0%B2%D1%83"/>
    <hyperlink ref="Q501" r:id="rId899" display="https://extranet.who.int/lqsi/ru/content/%D1%81%D0%BE%D1%81%D1%82%D0%B0%D0%B2%D1%8C%D1%82%D0%B5-%D0%BF%D0%B5%D1%80%D0%B2%D1%8B%D0%B9-%D0%B3%D0%BE%D0%B4%D0%BE%D0%B2%D0%BE%D0%B9-%D0%BF%D0%BB%D0%B0%D0%BD-%D0%BF%D0%BE-%D0%BA%D0%B0%D1%87%D0%B5%D1%81%D1%82%D0%B2%D1%83"/>
    <hyperlink ref="Q502" r:id="rId900" display="https://extranet.who.int/lqsi/ru/content/%D1%81%D0%BE%D1%81%D1%82%D0%B0%D0%B2%D1%8C%D1%82%D0%B5-%D0%BF%D0%B5%D1%80%D0%B2%D1%8B%D0%B9-%D0%B3%D0%BE%D0%B4%D0%BE%D0%B2%D0%BE%D0%B9-%D0%BF%D0%BB%D0%B0%D0%BD-%D0%BF%D0%BE-%D0%BA%D0%B0%D1%87%D0%B5%D1%81%D1%82%D0%B2%D1%83"/>
    <hyperlink ref="Q503" r:id="rId901" display="https://extranet.who.int/lqsi/ru/content/%D0%BF%D0%B5%D1%80%D0%B5%D0%B2%D0%B5%D0%B4%D0%B8%D1%82%D0%B5-%D0%B3%D0%BE%D0%B4%D0%BE%D0%B2%D0%BE%D0%B9-%D0%BF%D0%BB%D0%B0%D0%BD-%D0%BF%D0%BE-%D0%BA%D0%B0%D1%87%D0%B5%D1%81%D1%82%D0%B2%D1%83-%D0%B2-%D0%BF%D0%BB%D0%B0%D0%BD-smart-%D0%B4%D0%B5%D0%B9%D1%81%D1%82%D0%B2%D0%B8%D0%B9"/>
    <hyperlink ref="Q504" r:id="rId902" display="https://extranet.who.int/lqsi/ru/content/%D0%BF%D0%B5%D1%80%D0%B5%D0%B2%D0%B5%D0%B4%D0%B8%D1%82%D0%B5-%D0%B3%D0%BE%D0%B4%D0%BE%D0%B2%D0%BE%D0%B9-%D0%BF%D0%BB%D0%B0%D0%BD-%D0%BF%D0%BE-%D0%BA%D0%B0%D1%87%D0%B5%D1%81%D1%82%D0%B2%D1%83-%D0%B2-%D0%BF%D0%BB%D0%B0%D0%BD-smart-%D0%B4%D0%B5%D0%B9%D1%81%D1%82%D0%B2%D0%B8%D0%B9"/>
    <hyperlink ref="Q505" r:id="rId903" display="https://extranet.who.int/lqsi/ru/content/%D0%BF%D0%B5%D1%80%D0%B5%D0%B2%D0%B5%D0%B4%D0%B8%D1%82%D0%B5-%D0%B3%D0%BE%D0%B4%D0%BE%D0%B2%D0%BE%D0%B9-%D0%BF%D0%BB%D0%B0%D0%BD-%D0%BF%D0%BE-%D0%BA%D0%B0%D1%87%D0%B5%D1%81%D1%82%D0%B2%D1%83-%D0%B2-%D0%BF%D0%BB%D0%B0%D0%BD-smart-%D0%B4%D0%B5%D0%B9%D1%81%D1%82%D0%B2%D0%B8%D0%B9"/>
    <hyperlink ref="Q506" r:id="rId904" display="https://extranet.who.int/lqsi/ru/content/%D0%BF%D0%B5%D1%80%D0%B5%D0%B2%D0%B5%D0%B4%D0%B8%D1%82%D0%B5-%D0%B3%D0%BE%D0%B4%D0%BE%D0%B2%D0%BE%D0%B9-%D0%BF%D0%BB%D0%B0%D0%BD-%D0%BF%D0%BE-%D0%BA%D0%B0%D1%87%D0%B5%D1%81%D1%82%D0%B2%D1%83-%D0%B2-%D0%BF%D0%BB%D0%B0%D0%BD-smart-%D0%B4%D0%B5%D0%B9%D1%81%D1%82%D0%B2%D0%B8%D0%B9"/>
    <hyperlink ref="Q507" r:id="rId905" display="https://extranet.who.int/lqsi/ru/content/%D0%BF%D0%BE%D0%B4%D0%B3%D0%BE%D1%82%D0%BE%D0%B2%D1%8C%D1%82%D0%B5-%C2%AB%D1%80%D1%83%D0%BA%D0%BE%D0%B2%D0%BE%D0%B4%D1%81%D1%82%D0%B2%D0%BE-%D0%BF%D0%BE-%D0%BA%D0%B0%D1%87%D0%B5%D1%81%D1%82%D0%B2%D1%83%C2%BB"/>
    <hyperlink ref="Q508" r:id="rId906" display="https://extranet.who.int/lqsi/ru/content/%D0%BF%D0%BE%D0%B4%D0%B3%D0%BE%D1%82%D0%BE%D0%B2%D1%8C%D1%82%D0%B5-%C2%AB%D1%80%D1%83%D0%BA%D0%BE%D0%B2%D0%BE%D0%B4%D1%81%D1%82%D0%B2%D0%BE-%D0%BF%D0%BE-%D0%BA%D0%B0%D1%87%D0%B5%D1%81%D1%82%D0%B2%D1%83%C2%BB"/>
    <hyperlink ref="Q509" r:id="rId907" display="https://extranet.who.int/lqsi/ru/content/%D0%BF%D0%BE%D0%B4%D0%B3%D0%BE%D1%82%D0%BE%D0%B2%D1%8C%D1%82%D0%B5-%C2%AB%D1%80%D1%83%D0%BA%D0%BE%D0%B2%D0%BE%D0%B4%D1%81%D1%82%D0%B2%D0%BE-%D0%BF%D0%BE-%D0%BA%D0%B0%D1%87%D0%B5%D1%81%D1%82%D0%B2%D1%83%C2%BB"/>
    <hyperlink ref="Q510" r:id="rId908" display="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hyperlink ref="Q511" r:id="rId909"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2" r:id="rId910"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3" r:id="rId911"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4" r:id="rId912"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5" r:id="rId913"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6" r:id="rId914"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17" r:id="rId915"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18" r:id="rId916"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19" r:id="rId917"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20" r:id="rId918" display="https://extranet.who.int/lqsi/ru/content/%D1%81%D1%82%D0%B0%D0%BD%D0%B4%D0%B0%D1%80%D1%82%D0%B8%D0%B7%D0%B8%D1%80%D1%83%D0%B9%D1%82%D0%B5-%D0%B8-%D0%B7%D0%B0%D0%B4%D0%BE%D0%BA%D1%83%D0%BC%D0%B5%D0%BD%D1%82%D0%B8%D1%80%D1%83%D0%B9%D1%82%D0%B5-%D1%86%D0%B8%D0%BA%D0%BB-%D1%83%D0%BF%D1%80%D0%B0%D0%B2%D0%BB%D0%B5%D0%BD%D0%B8%D1%8F-%D0%B2-%D0%B2%D0%B8%D0%B4%D0%B5-%D1%81%D0%BE%D0%BF"/>
    <hyperlink ref="Q521" r:id="rId919" display="https://extranet.who.int/lqsi/ru/content/%D0%B2%D1%8B%D1%8F%D0%B2%D0%B8%D1%82%D0%B5-%D0%BF%D0%BE%D1%82%D0%B5%D0%BD%D1%86%D0%B8%D0%B0%D0%BB%D1%8C%D0%BD%D1%8B%D0%B9-%D0%BA%D0%BE%D0%BD%D1%84%D0%BB%D0%B8%D0%BA%D1%82-%D0%B8%D0%BD%D1%82%D0%B5%D1%80%D0%B5%D1%81%D0%BE%D0%B2-%D0%B4%D0%BB%D1%8F-%D0%BA%D0%B0%D0%B6%D0%B4%D0%BE%D0%B3%D0%BE-%D1%81%D0%BE%D1%82%D1%80%D1%83%D0%B4%D0%BD%D0%B8%D0%BA%D0%B0"/>
    <hyperlink ref="Q522" r:id="rId920" display="https://extranet.who.int/lqsi/ru/content/%D0%B2%D1%8B%D1%8F%D0%B2%D0%B8%D1%82%D0%B5-%D0%BF%D0%BE%D1%82%D0%B5%D0%BD%D1%86%D0%B8%D0%B0%D0%BB%D1%8C%D0%BD%D1%8B%D0%B9-%D0%BA%D0%BE%D0%BD%D1%84%D0%BB%D0%B8%D0%BA%D1%82-%D0%B8%D0%BD%D1%82%D0%B5%D1%80%D0%B5%D1%81%D0%BE%D0%B2-%D0%B4%D0%BB%D1%8F-%D0%BA%D0%B0%D0%B6%D0%B4%D0%BE%D0%B3%D0%BE-%D1%81%D0%BE%D1%82%D1%80%D1%83%D0%B4%D0%BD%D0%B8%D0%BA%D0%B0"/>
    <hyperlink ref="Q523" r:id="rId921" display="https://extranet.who.int/lqsi/ru/content/%D0%BF%D0%BE%D0%B4%D0%B3%D0%BE%D1%82%D0%BE%D0%B2%D1%8C%D1%82%D0%B5-%D1%82%D0%B0%D0%B1%D0%BB%D0%B8%D1%86%D1%83-%D0%B7%D0%B0%D0%BC%D0%B5%D0%BD-%D0%BF%D0%B5%D1%80%D1%81%D0%BE%D0%BD%D0%B0%D0%BB%D0%B0"/>
    <hyperlink ref="Q524" r:id="rId922" display="https://extranet.who.int/lqsi/ru/content/%D0%BF%D0%BE%D0%B4%D0%B3%D0%BE%D1%82%D0%BE%D0%B2%D1%8C%D1%82%D0%B5-%D1%82%D0%B0%D0%B1%D0%BB%D0%B8%D1%86%D1%83-%D0%B7%D0%B0%D0%BC%D0%B5%D0%BD-%D0%BF%D0%B5%D1%80%D1%81%D0%BE%D0%BD%D0%B0%D0%BB%D0%B0"/>
    <hyperlink ref="Q525" r:id="rId923" display="https://extranet.who.int/lqsi/ru/content/%D0%BF%D0%BE%D0%B4%D0%B3%D0%BE%D1%82%D0%BE%D0%B2%D1%8C%D1%82%D0%B5-%D1%82%D0%B0%D0%B1%D0%BB%D0%B8%D1%86%D1%83-%D0%B7%D0%B0%D0%BC%D0%B5%D0%BD-%D0%BF%D0%B5%D1%80%D1%81%D0%BE%D0%BD%D0%B0%D0%BB%D0%B0"/>
    <hyperlink ref="Q526" r:id="rId924" display="https://extranet.who.int/lqsi/ru/content/%D0%BF%D0%BE%D0%B4%D0%B3%D0%BE%D1%82%D0%BE%D0%B2%D1%8C%D1%82%D0%B5-%D1%82%D0%B0%D0%B1%D0%BB%D0%B8%D1%86%D1%83-%D0%B7%D0%B0%D0%BC%D0%B5%D0%BD-%D0%BF%D0%B5%D1%80%D1%81%D0%BE%D0%BD%D0%B0%D0%BB%D0%B0"/>
    <hyperlink ref="Q527" r:id="rId925" display="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hyperlink ref="Q528" r:id="rId926"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29" r:id="rId927"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0" r:id="rId928"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1" r:id="rId929"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2" r:id="rId930"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3" r:id="rId931"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4" r:id="rId932"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5" r:id="rId933"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6" r:id="rId934"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7" r:id="rId935"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38" r:id="rId936"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39" r:id="rId937"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40" r:id="rId938"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41" r:id="rId939"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42" r:id="rId940"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3" r:id="rId941"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4" r:id="rId942"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5" r:id="rId943"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6" r:id="rId944"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7" r:id="rId945" display="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hyperlink ref="Q548" r:id="rId946"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hyperlink ref="Q549" r:id="rId947"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hyperlink ref="Q550" r:id="rId948"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1" r:id="rId949"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2" r:id="rId950"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3" r:id="rId951"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4" r:id="rId952"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5" r:id="rId953"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6" r:id="rId954"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7" r:id="rId955"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8" r:id="rId956" display="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hyperlink ref="Q559" r:id="rId957" display="https://extranet.who.int/lqsi/ru/content/%D0%BF%D0%BE%D0%B4%D0%B3%D0%BE%D1%82%D0%BE%D0%B2%D1%8C%D1%82%D0%B5-%D1%81%D0%BE%D0%BF-%C2%AB%D1%83%D0%BF%D1%80%D0%B0%D0%B2%D0%BB%D0%B5%D0%BD%D0%B8%D0%B5-%D0%B8%D0%BD%D1%84%D0%BE%D1%80%D0%BC%D0%B0%D1%86%D0%B8%D0%B5%D0%B9%C2%BB"/>
    <hyperlink ref="Q560" r:id="rId958" display="https://extranet.who.int/lqsi/ru/content/%D0%BF%D0%BE%D0%B4%D0%B3%D0%BE%D1%82%D0%BE%D0%B2%D1%8C%D1%82%D0%B5-%D1%81%D0%BE%D0%BF-%C2%AB%D1%83%D0%BF%D1%80%D0%B0%D0%B2%D0%BB%D0%B5%D0%BD%D0%B8%D0%B5-%D0%B8%D0%BD%D1%84%D0%BE%D1%80%D0%BC%D0%B0%D1%86%D0%B8%D0%B5%D0%B9%C2%BB"/>
    <hyperlink ref="Q574" r:id="rId959" display="https://extranet.who.int/lqsi/ru/content/%D0%B8%D0%B7%D0%BC%D0%B5%D1%80%D1%8F%D0%B9%D1%82%D0%B5-%D1%83%D0%B4%D0%BE%D0%B2%D0%BB%D0%B5%D1%82%D0%B2%D0%BE%D1%80%D0%B5%D0%BD%D0%BD%D0%BE%D1%81%D1%82%D1%8C-%D0%BA%D0%BB%D0%B8%D0%B5%D0%BD%D1%82%D0%BE%D0%B2-%D0%BB%D0%B0%D0%B1%D0%BE%D1%80%D0%B0%D1%82%D0%BE%D1%80%D0%B8%D0%B8"/>
    <hyperlink ref="Q575" r:id="rId960" display="https://extranet.who.int/lqsi/ru/content/%D0%B8%D0%B7%D0%BC%D0%B5%D1%80%D1%8F%D0%B9%D1%82%D0%B5-%D1%83%D0%B4%D0%BE%D0%B2%D0%BB%D0%B5%D1%82%D0%B2%D0%BE%D1%80%D0%B5%D0%BD%D0%BD%D0%BE%D1%81%D1%82%D1%8C-%D0%BA%D0%BB%D0%B8%D0%B5%D0%BD%D1%82%D0%BE%D0%B2-%D0%BB%D0%B0%D0%B1%D0%BE%D1%80%D0%B0%D1%82%D0%BE%D1%80%D0%B8%D0%B8"/>
    <hyperlink ref="Q576" r:id="rId961" display="https://extranet.who.int/lqsi/ru/content/%D0%B8%D0%B7%D0%BC%D0%B5%D1%80%D1%8F%D0%B9%D1%82%D0%B5-%D1%83%D0%B4%D0%BE%D0%B2%D0%BB%D0%B5%D1%82%D0%B2%D0%BE%D1%80%D0%B5%D0%BD%D0%BD%D0%BE%D1%81%D1%82%D1%8C-%D0%BA%D0%BB%D0%B8%D0%B5%D0%BD%D1%82%D0%BE%D0%B2-%D0%BB%D0%B0%D0%B1%D0%BE%D1%80%D0%B0%D1%82%D0%BE%D1%80%D0%B8%D0%B8"/>
    <hyperlink ref="Q577" r:id="rId962"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hyperlink ref="Q578" r:id="rId963"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hyperlink ref="Q579" r:id="rId964"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0" r:id="rId965"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1" r:id="rId966"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2" r:id="rId967"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3" r:id="rId968"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4" r:id="rId969"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5" r:id="rId970"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6" r:id="rId971" display="https://extranet.who.int/lqsi/ru/content/%D1%81%D0%BE%D1%81%D1%82%D0%B0%D0%B2%D1%8C%D1%82%D0%B5-%D0%BF%D0%BB%D0%B0%D0%BD-%D0%B2%D0%BD%D1%83%D1%82%D1%80%D0%B5%D0%BD%D0%BD%D0%B8%D1%85-%D0%B0%D1%83%D0%B4%D0%B8%D1%82%D0%BE%D0%B2-%D0%BD%D0%B0-%D0%B1%D0%BB%D0%B8%D0%B6%D0%B0%D0%B9%D1%88%D0%B8%D0%B5-12-%D0%BC%D0%B5%D1%81%D1%8F%D1%86%D0%B5%D0%B2"/>
    <hyperlink ref="Q587" r:id="rId972" display="https://extranet.who.int/lqsi/ru/content/%D0%BD%D0%B0%D1%87%D0%BD%D0%B8%D1%82%D0%B5-%D0%B2%D1%8B%D0%BF%D0%BE%D0%BB%D0%BD%D1%8F%D1%82%D1%8C-%D0%B2%D1%81%D0%B5-%D0%B2%D0%BD%D1%83%D1%82%D1%80%D0%B5%D0%BD%D0%BD%D0%B8%D0%B5-%D0%B0%D1%83%D0%B4%D0%B8%D1%82%D1%8B-%D0%B8-%D0%BF%D0%B8%D1%81%D0%B0%D1%82%D1%8C-%D0%BE%D1%82%D1%87%D0%B5%D1%82%D1%8B-%D0%BF%D0%BE-%D0%B0%D1%83%D0%B4%D0%B8%D1%82%D0%B0%D0%BC"/>
    <hyperlink ref="Q588" r:id="rId973" display="https://extranet.who.int/lqsi/ru/content/%D0%BD%D0%B0%D1%87%D0%BD%D0%B8%D1%82%D0%B5-%D0%B2%D1%8B%D0%BF%D0%BE%D0%BB%D0%BD%D1%8F%D1%82%D1%8C-%D0%B2%D1%81%D0%B5-%D0%B2%D0%BD%D1%83%D1%82%D1%80%D0%B5%D0%BD%D0%BD%D0%B8%D0%B5-%D0%B0%D1%83%D0%B4%D0%B8%D1%82%D1%8B-%D0%B8-%D0%BF%D0%B8%D1%81%D0%B0%D1%82%D1%8C-%D0%BE%D1%82%D1%87%D0%B5%D1%82%D1%8B-%D0%BF%D0%BE-%D0%B0%D1%83%D0%B4%D0%B8%D1%82%D0%B0%D0%BC"/>
    <hyperlink ref="Q589" r:id="rId974" display="https://extranet.who.int/lqsi/ru/content/%D0%BD%D0%B0%D1%87%D0%BD%D0%B8%D1%82%D0%B5-%D0%B2%D1%8B%D0%BF%D0%BE%D0%BB%D0%BD%D1%8F%D1%82%D1%8C-%D0%B2%D1%81%D0%B5-%D0%B2%D0%BD%D1%83%D1%82%D1%80%D0%B5%D0%BD%D0%BD%D0%B8%D0%B5-%D0%B0%D1%83%D0%B4%D0%B8%D1%82%D1%8B-%D0%B8-%D0%BF%D0%B8%D1%81%D0%B0%D1%82%D1%8C-%D0%BE%D1%82%D1%87%D0%B5%D1%82%D1%8B-%D0%BF%D0%BE-%D0%B0%D1%83%D0%B4%D0%B8%D1%82%D0%B0%D0%BC"/>
    <hyperlink ref="Q590" r:id="rId975"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hyperlink ref="Q591" r:id="rId976"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hyperlink ref="Q592" r:id="rId977"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hyperlink ref="Q593" r:id="rId978" display="https://extranet.who.int/lqsi/ru/content/%D0%BD%D0%B0%D0%BF%D0%B8%D1%88%D0%B8%D1%82%D0%B5-%D1%81%D0%BE%D0%BF-%C2%AB%D0%B2%D0%BD%D1%83%D1%82%D1%80%D0%B5%D0%BD%D0%BD%D0%B8%D0%B9-%D0%B0%D1%83%D0%B4%D0%B8%D1%82%C2%BB"/>
    <hyperlink ref="R444" r:id="rId979" display="https://extranet.who.int/lqsi/es/content/garantizar-la-disponibilidad-de-suficientes-miembros-del-personal-capacitados-para-prestar"/>
    <hyperlink ref="R445" r:id="rId980" display="https://extranet.who.int/lqsi/es/content/garantizar-la-disponibilidad-de-suficientes-miembros-del-personal-capacitados-para-prestar"/>
    <hyperlink ref="R446" r:id="rId981" display="https://extranet.who.int/lqsi/es/content/garantizar-la-disponibilidad-de-suficientes-miembros-del-personal-capacitados-para-prestar"/>
    <hyperlink ref="R447" r:id="rId982" display="https://extranet.who.int/lqsi/es/content/garantizar-la-disponibilidad-de-suficientes-miembros-del-personal-capacitados-para-prestar"/>
    <hyperlink ref="R448" r:id="rId983" display="https://extranet.who.int/lqsi/es/content/garantizar-la-disponibilidad-de-suficientes-miembros-del-personal-capacitados-para-prestar"/>
    <hyperlink ref="R449" r:id="rId984" display="https://extranet.who.int/lqsi/es/content/garantizar-la-disponibilidad-de-suficientes-miembros-del-personal-capacitados-para-prestar"/>
    <hyperlink ref="R450" r:id="rId985" display="https://extranet.who.int/lqsi/es/content/crear-un-laboratorio-de-presi%C3%B3n-negativa-cuando-el-laboratorio-trabaje-con-agentes-pat%C3%B3genos"/>
    <hyperlink ref="R451" r:id="rId986" display="https://extranet.who.int/lqsi/es/content/crear-un-laboratorio-de-presi%C3%B3n-negativa-cuando-el-laboratorio-trabaje-con-agentes-pat%C3%B3genos"/>
    <hyperlink ref="R452" r:id="rId987" display="https://extranet.who.int/lqsi/es/content/crear-un-laboratorio-de-presi%C3%B3n-negativa-cuando-el-laboratorio-trabaje-con-agentes-pat%C3%B3genos"/>
    <hyperlink ref="R453" r:id="rId988" display="https://extranet.who.int/lqsi/es/content/crear-un-laboratorio-de-presi%C3%B3n-negativa-cuando-el-laboratorio-trabaje-con-agentes-pat%C3%B3genos"/>
    <hyperlink ref="R454" r:id="rId989" display="https://extranet.who.int/lqsi/es/content/crear-un-laboratorio-de-presi%C3%B3n-negativa-cuando-el-laboratorio-trabaje-con-agentes-pat%C3%B3genos"/>
    <hyperlink ref="R455" r:id="rId990" display="https://extranet.who.int/lqsi/es/content/crear-una-instalaci%C3%B3n-de-obtenci%C3%B3n-de-muestras-primarias-separada-del-laboratorio"/>
    <hyperlink ref="R456" r:id="rId991" display="https://extranet.who.int/lqsi/es/content/crear-una-instalaci%C3%B3n-de-obtenci%C3%B3n-de-muestras-primarias-separada-del-laboratorio"/>
    <hyperlink ref="R457" r:id="rId992" display="https://extranet.who.int/lqsi/es/content/crear-una-instalaci%C3%B3n-de-obtenci%C3%B3n-de-muestras-primarias-separada-del-laboratorio"/>
    <hyperlink ref="R458" r:id="rId993" display="https://extranet.who.int/lqsi/es/content/crear-una-instalaci%C3%B3n-de-obtenci%C3%B3n-de-muestras-primarias-separada-del-laboratorio"/>
    <hyperlink ref="R459" r:id="rId994" display="https://extranet.who.int/lqsi/es/content/crear-una-instalaci%C3%B3n-de-obtenci%C3%B3n-de-muestras-primarias-separada-del-laboratorio"/>
    <hyperlink ref="R460" r:id="rId995" display="https://extranet.who.int/lqsi/es/content/disponer-un-espacio-de-almacenamiento-adecuado-y-unas-condiciones-correctas-para-las"/>
    <hyperlink ref="R461" r:id="rId996" display="https://extranet.who.int/lqsi/es/content/disponer-un-espacio-de-almacenamiento-adecuado-y-unas-condiciones-correctas-para-las"/>
    <hyperlink ref="R462" r:id="rId997" display="https://extranet.who.int/lqsi/es/content/disponer-un-espacio-de-almacenamiento-adecuado-y-unas-condiciones-correctas-para-las"/>
    <hyperlink ref="R463" r:id="rId998" display="https://extranet.who.int/lqsi/es/content/disponer-un-espacio-de-almacenamiento-adecuado-y-unas-condiciones-correctas-para-las"/>
    <hyperlink ref="R464" r:id="rId999" display="https://extranet.who.int/lqsi/es/content/disponer-un-espacio-de-almacenamiento-adecuado-y-unas-condiciones-correctas-para-las"/>
    <hyperlink ref="R465" r:id="rId1000" display="https://extranet.who.int/lqsi/es/content/disponer-un-espacio-de-almacenamiento-adecuado-y-unas-condiciones-correctas-para-las"/>
    <hyperlink ref="R466" r:id="rId1001" display="https://extranet.who.int/lqsi/es/content/disponer-un-espacio-de-almacenamiento-adecuado-y-unas-condiciones-correctas-para-las"/>
    <hyperlink ref="R467" r:id="rId1002" display="https://extranet.who.int/lqsi/es/content/definir-el-tiempo-de-almacenamientoarchivo-de-diferentes-art%C3%ADculos-en-una-lista-de-retenci%C3%B3n"/>
    <hyperlink ref="R468" r:id="rId1003" display="https://extranet.who.int/lqsi/es/content/definir-el-tiempo-de-almacenamientoarchivo-de-diferentes-art%C3%ADculos-en-una-lista-de-retenci%C3%B3n"/>
    <hyperlink ref="R477" r:id="rId1004" display="https://extranet.who.int/lqsi/es/content/formular-la-visi%C3%B3n-del-laboratorio-la-raz%C3%B3n-de-que-exista-el-laboratorio"/>
    <hyperlink ref="R478" r:id="rId1005" display="https://extranet.who.int/lqsi/es/content/formular-la-visi%C3%B3n-del-laboratorio-la-raz%C3%B3n-de-que-exista-el-laboratorio"/>
    <hyperlink ref="R479" r:id="rId1006" display="https://extranet.who.int/lqsi/es/content/formular-la-misi%C3%B3n-del-laboratorio"/>
    <hyperlink ref="R480" r:id="rId1007" display="https://extranet.who.int/lqsi/es/content/formular-la-misi%C3%B3n-del-laboratorio"/>
    <hyperlink ref="R481" r:id="rId1008" display="https://extranet.who.int/lqsi/es/content/formular-los-objetivos-largo-plazo-del-laboratorio"/>
    <hyperlink ref="R482" r:id="rId1009" display="https://extranet.who.int/lqsi/es/content/formular-los-objetivos-largo-plazo-del-laboratorio"/>
    <hyperlink ref="R483" r:id="rId1010" display="https://extranet.who.int/lqsi/es/content/formular-los-objetivos-largo-plazo-del-laboratorio"/>
    <hyperlink ref="R484" r:id="rId1011" display="https://extranet.who.int/lqsi/es/content/formular-los-objetivos-largo-plazo-del-laboratorio"/>
    <hyperlink ref="R485" r:id="rId1012" display="https://extranet.who.int/lqsi/es/content/formular-la-pol%C3%ADtica-de-la-calidad"/>
    <hyperlink ref="R486" r:id="rId1013" display="https://extranet.who.int/lqsi/es/content/formular-la-pol%C3%ADtica-de-la-calidad"/>
    <hyperlink ref="R487" r:id="rId1014" display="https://extranet.who.int/lqsi/es/content/formular-la-pol%C3%ADtica-de-la-calidad"/>
    <hyperlink ref="R488" r:id="rId1015" display="https://extranet.who.int/lqsi/es/content/formular-la-pol%C3%ADtica-de-la-calidad"/>
    <hyperlink ref="R489" r:id="rId1016" display="https://extranet.who.int/lqsi/es/content/formular-la-pol%C3%ADtica-de-la-calidad"/>
    <hyperlink ref="R490" r:id="rId1017" display="https://extranet.who.int/lqsi/es/content/formular-la-pol%C3%ADtica-de-la-calidad"/>
    <hyperlink ref="R491" r:id="rId1018" display="https://extranet.who.int/lqsi/es/content/formular-la-pol%C3%ADtica-de-la-calidad"/>
    <hyperlink ref="R492" r:id="rId1019" display="https://extranet.who.int/lqsi/es/content/formular-la-pol%C3%ADtica-de-la-calidad"/>
    <hyperlink ref="R493" r:id="rId1020" display="https://extranet.who.int/lqsi/es/content/formular-la-pol%C3%ADtica-de-la-calidad"/>
    <hyperlink ref="R494" r:id="rId1021" display="https://extranet.who.int/lqsi/es/content/realizar-la-previsi%C3%B3n-de-compras-de-nuevos-equipos-y-de-mantenimiento-de-equipos-en-la"/>
    <hyperlink ref="R495" r:id="rId1022" display="https://extranet.who.int/lqsi/es/content/realizar-la-previsi%C3%B3n-de-compras-de-nuevos-equipos-y-de-mantenimiento-de-equipos-en-la"/>
    <hyperlink ref="R496" r:id="rId1023" display="https://extranet.who.int/lqsi/es/content/realizar-la-previsi%C3%B3n-de-compras-de-nuevos-equipos-y-de-mantenimiento-de-equipos-en-la"/>
    <hyperlink ref="R497" r:id="rId1024" display="https://extranet.who.int/lqsi/es/content/formular-los-objetivos-del-pr%C3%B3ximo-a%C3%B1o-concretamente-con-respecto-al-sistema-de-gesti%C3%B3n-de"/>
    <hyperlink ref="R498" r:id="rId1025" display="https://extranet.who.int/lqsi/es/content/formular-el-primer-plan-anual-de-calidad"/>
    <hyperlink ref="R499" r:id="rId1026" display="https://extranet.who.int/lqsi/es/content/formular-el-primer-plan-anual-de-calidad"/>
    <hyperlink ref="R500" r:id="rId1027" display="https://extranet.who.int/lqsi/es/content/formular-el-primer-plan-anual-de-calidad"/>
    <hyperlink ref="R501" r:id="rId1028" display="https://extranet.who.int/lqsi/es/content/formular-el-primer-plan-anual-de-calidad"/>
    <hyperlink ref="R502" r:id="rId1029" display="https://extranet.who.int/lqsi/es/content/formular-el-primer-plan-anual-de-calidad"/>
    <hyperlink ref="R503" r:id="rId1030" display="https://extranet.who.int/lqsi/es/content/traducir-el-plan-anual-de-calidad-en-un-plan-de-acci%C3%B3n-smart"/>
    <hyperlink ref="R504" r:id="rId1031" display="https://extranet.who.int/lqsi/es/content/traducir-el-plan-anual-de-calidad-en-un-plan-de-acci%C3%B3n-smart"/>
    <hyperlink ref="R505" r:id="rId1032" display="https://extranet.who.int/lqsi/es/content/traducir-el-plan-anual-de-calidad-en-un-plan-de-acci%C3%B3n-smart"/>
    <hyperlink ref="R506" r:id="rId1033" display="https://extranet.who.int/lqsi/es/content/traducir-el-plan-anual-de-calidad-en-un-plan-de-acci%C3%B3n-smart"/>
    <hyperlink ref="R507" r:id="rId1034" display="https://extranet.who.int/lqsi/es/content/elaborar-un-manual-de-calidad"/>
    <hyperlink ref="R508" r:id="rId1035" display="https://extranet.who.int/lqsi/es/content/elaborar-un-manual-de-calidad"/>
    <hyperlink ref="R509" r:id="rId1036" display="https://extranet.who.int/lqsi/es/content/elaborar-un-manual-de-calidad"/>
    <hyperlink ref="R510" r:id="rId1037" display="https://extranet.who.int/lqsi/es/content/comenzar-realizar-el-seguimiento-del-funcionamiento-del-sistema-de-gesti%C3%B3n-de-la-calidad-y"/>
    <hyperlink ref="R511" r:id="rId1038" display="https://extranet.who.int/lqsi/es/content/realizar-una-revisi%C3%B3n-por-parte-de-la-direcci%C3%B3n-al-final-del-a%C3%B1o-de-calidad"/>
    <hyperlink ref="R512" r:id="rId1039" display="https://extranet.who.int/lqsi/es/content/realizar-una-revisi%C3%B3n-por-parte-de-la-direcci%C3%B3n-al-final-del-a%C3%B1o-de-calidad"/>
    <hyperlink ref="R513" r:id="rId1040" display="https://extranet.who.int/lqsi/es/content/realizar-una-revisi%C3%B3n-por-parte-de-la-direcci%C3%B3n-al-final-del-a%C3%B1o-de-calidad"/>
    <hyperlink ref="R514" r:id="rId1041" display="https://extranet.who.int/lqsi/es/content/realizar-una-revisi%C3%B3n-por-parte-de-la-direcci%C3%B3n-al-final-del-a%C3%B1o-de-calidad"/>
    <hyperlink ref="R515" r:id="rId1042" display="https://extranet.who.int/lqsi/es/content/realizar-una-revisi%C3%B3n-por-parte-de-la-direcci%C3%B3n-al-final-del-a%C3%B1o-de-calidad"/>
    <hyperlink ref="R516" r:id="rId1043" display="https://extranet.who.int/lqsi/es/content/desarrollar-un-plan-anual-de-calidad-para-el-pr%C3%B3ximo-a%C3%B1o-partir-de-las-conclusiones-de-la"/>
    <hyperlink ref="R517" r:id="rId1044" display="https://extranet.who.int/lqsi/es/content/desarrollar-un-plan-anual-de-calidad-para-el-pr%C3%B3ximo-a%C3%B1o-partir-de-las-conclusiones-de-la"/>
    <hyperlink ref="R518" r:id="rId1045" display="https://extranet.who.int/lqsi/es/content/desarrollar-un-plan-anual-de-calidad-para-el-pr%C3%B3ximo-a%C3%B1o-partir-de-las-conclusiones-de-la"/>
    <hyperlink ref="R519" r:id="rId1046" display="https://extranet.who.int/lqsi/es/content/desarrollar-un-plan-anual-de-calidad-para-el-pr%C3%B3ximo-a%C3%B1o-partir-de-las-conclusiones-de-la"/>
    <hyperlink ref="R520" r:id="rId1047" display="https://extranet.who.int/lqsi/es/content/normalizar-y-documentar-en-poe-el-ciclo-de-la-pol%C3%ADtica"/>
    <hyperlink ref="R521" r:id="rId1048" display="https://extranet.who.int/lqsi/es/content/identificar-los-posibles-conflictos-de-intereses-de-todos-los-miembros-del-personal"/>
    <hyperlink ref="R522" r:id="rId1049" display="https://extranet.who.int/lqsi/es/content/identificar-los-posibles-conflictos-de-intereses-de-todos-los-miembros-del-personal"/>
    <hyperlink ref="R523" r:id="rId1050" display="https://extranet.who.int/lqsi/es/content/crear-una-matriz-de-sustituci%C3%B3n-de-personal"/>
    <hyperlink ref="R524" r:id="rId1051" display="https://extranet.who.int/lqsi/es/content/crear-una-matriz-de-sustituci%C3%B3n-de-personal"/>
    <hyperlink ref="R525" r:id="rId1052" display="https://extranet.who.int/lqsi/es/content/crear-una-matriz-de-sustituci%C3%B3n-de-personal"/>
    <hyperlink ref="R526" r:id="rId1053" display="https://extranet.who.int/lqsi/es/content/crear-una-matriz-de-sustituci%C3%B3n-de-personal"/>
    <hyperlink ref="R527" r:id="rId1054" display="https://extranet.who.int/lqsi/es/content/realizar-un-an%C3%A1lisis-financiero-de-los-recursos-necesarios-para-asegurar-un-laboratorio-de"/>
    <hyperlink ref="R528" r:id="rId1055" display="https://extranet.who.int/lqsi/es/content/normalizar-el-m%C3%A9todo-para-escoger-proveedores-y-para-evaluar-los-contratos-de-compra-y"/>
    <hyperlink ref="R529" r:id="rId1056" display="https://extranet.who.int/lqsi/es/content/normalizar-el-m%C3%A9todo-para-escoger-proveedores-y-para-evaluar-los-contratos-de-compra-y"/>
    <hyperlink ref="R530" r:id="rId1057" display="https://extranet.who.int/lqsi/es/content/normalizar-el-m%C3%A9todo-para-escoger-proveedores-y-para-evaluar-los-contratos-de-compra-y"/>
    <hyperlink ref="R531" r:id="rId1058" display="https://extranet.who.int/lqsi/es/content/normalizar-el-m%C3%A9todo-para-escoger-proveedores-y-para-evaluar-los-contratos-de-compra-y"/>
    <hyperlink ref="R532" r:id="rId1059" display="https://extranet.who.int/lqsi/es/content/normalizar-el-m%C3%A9todo-para-escoger-proveedores-y-para-evaluar-los-contratos-de-compra-y"/>
    <hyperlink ref="R533" r:id="rId1060" display="https://extranet.who.int/lqsi/es/content/crear-un-procedimiento-para-la-selecci%C3%B3n-y-el-seguimiento-peri%C3%B3dico-del-funcionamiento-de"/>
    <hyperlink ref="R534" r:id="rId1061" display="https://extranet.who.int/lqsi/es/content/crear-un-procedimiento-para-la-selecci%C3%B3n-y-el-seguimiento-peri%C3%B3dico-del-funcionamiento-de"/>
    <hyperlink ref="R535" r:id="rId1062" display="https://extranet.who.int/lqsi/es/content/crear-un-procedimiento-para-la-selecci%C3%B3n-y-el-seguimiento-peri%C3%B3dico-del-funcionamiento-de"/>
    <hyperlink ref="R536" r:id="rId1063" display="https://extranet.who.int/lqsi/es/content/crear-un-procedimiento-para-la-selecci%C3%B3n-y-el-seguimiento-peri%C3%B3dico-del-funcionamiento-de"/>
    <hyperlink ref="R537" r:id="rId1064" display="https://extranet.who.int/lqsi/es/content/determinar-el-plazo-de-entrega-de-cada-an%C3%A1lisis-que-se-realice-en-el-laboratorio"/>
    <hyperlink ref="R538" r:id="rId1065" display="https://extranet.who.int/lqsi/es/content/determinar-el-plazo-de-entrega-de-cada-an%C3%A1lisis-que-se-realice-en-el-laboratorio"/>
    <hyperlink ref="R539" r:id="rId1066" display="https://extranet.who.int/lqsi/es/content/determinar-el-plazo-de-entrega-de-cada-an%C3%A1lisis-que-se-realice-en-el-laboratorio"/>
    <hyperlink ref="R540" r:id="rId1067" display="https://extranet.who.int/lqsi/es/content/determinar-el-plazo-de-entrega-de-cada-an%C3%A1lisis-que-se-realice-en-el-laboratorio"/>
    <hyperlink ref="R541" r:id="rId1068" display="https://extranet.who.int/lqsi/es/content/determinar-el-plazo-de-entrega-de-cada-an%C3%A1lisis-que-se-realice-en-el-laboratorio"/>
    <hyperlink ref="R542" r:id="rId1069" display="https://extranet.who.int/lqsi/es/content/realizar-el-seguimiento-del-cumplimiento-de-los-plazos-de-entrega-determinados-para-cada"/>
    <hyperlink ref="R543" r:id="rId1070" display="https://extranet.who.int/lqsi/es/content/realizar-el-seguimiento-del-cumplimiento-de-los-plazos-de-entrega-determinados-para-cada"/>
    <hyperlink ref="R544" r:id="rId1071" display="https://extranet.who.int/lqsi/es/content/realizar-el-seguimiento-del-cumplimiento-de-los-plazos-de-entrega-determinados-para-cada"/>
    <hyperlink ref="R545" r:id="rId1072" display="https://extranet.who.int/lqsi/es/content/realizar-el-seguimiento-del-cumplimiento-de-los-plazos-de-entrega-determinados-para-cada"/>
    <hyperlink ref="R546" r:id="rId1073" display="https://extranet.who.int/lqsi/es/content/realizar-el-seguimiento-del-cumplimiento-de-los-plazos-de-entrega-determinados-para-cada"/>
    <hyperlink ref="R547" r:id="rId1074" display="https://extranet.who.int/lqsi/es/content/redactar-un-poe-de-validaci%C3%B3n-de-los-an%C3%A1lisis-y-los-equipos"/>
    <hyperlink ref="R548" r:id="rId1075" display="https://extranet.who.int/lqsi/es/content/validar-todos-los-procedimientos-anal%C3%ADticos-que-se-realizan-en-el-laboratorio"/>
    <hyperlink ref="R549" r:id="rId1076" display="https://extranet.who.int/lqsi/es/content/validar-todos-los-procedimientos-anal%C3%ADticos-que-se-realizan-en-el-laboratorio"/>
    <hyperlink ref="R550" r:id="rId1077" display="https://extranet.who.int/lqsi/es/content/establecer-un-archivo-para-asegurar-la-protecci%C3%B3n-de-la-informaci%C3%B3n-del-laboratorio-pero-que"/>
    <hyperlink ref="R551" r:id="rId1078" display="https://extranet.who.int/lqsi/es/content/establecer-un-archivo-para-asegurar-la-protecci%C3%B3n-de-la-informaci%C3%B3n-del-laboratorio-pero-que"/>
    <hyperlink ref="R552" r:id="rId1079" display="https://extranet.who.int/lqsi/es/content/establecer-un-archivo-para-asegurar-la-protecci%C3%B3n-de-la-informaci%C3%B3n-del-laboratorio-pero-que"/>
    <hyperlink ref="R553" r:id="rId1080" display="https://extranet.who.int/lqsi/es/content/establecer-un-archivo-para-asegurar-la-protecci%C3%B3n-de-la-informaci%C3%B3n-del-laboratorio-pero-que"/>
    <hyperlink ref="R554" r:id="rId1081" display="https://extranet.who.int/lqsi/es/content/restringir-el-acceso-los-datos-digitales-del-laboratorio-tanto-f%C3%ADsicos-como-virtuales"/>
    <hyperlink ref="R555" r:id="rId1082" display="https://extranet.who.int/lqsi/es/content/restringir-el-acceso-los-datos-digitales-del-laboratorio-tanto-f%C3%ADsicos-como-virtuales"/>
    <hyperlink ref="R556" r:id="rId1083" display="https://extranet.who.int/lqsi/es/content/restringir-el-acceso-los-datos-digitales-del-laboratorio-tanto-f%C3%ADsicos-como-virtuales"/>
    <hyperlink ref="R557" r:id="rId1084" display="https://extranet.who.int/lqsi/es/content/restringir-el-acceso-los-datos-digitales-del-laboratorio-tanto-f%C3%ADsicos-como-virtuales"/>
    <hyperlink ref="R558" r:id="rId1085" display="https://extranet.who.int/lqsi/es/content/crear-un-plan-de-contingencia-que-asegure-la-disponibilidad-de-la-informaci%C3%B3n-del"/>
    <hyperlink ref="R559" r:id="rId1086" display="https://extranet.who.int/lqsi/es/content/escribir-un-poe-sobre-gesti%C3%B3n-de-la-informaci%C3%B3n"/>
    <hyperlink ref="R560" r:id="rId1087" display="https://extranet.who.int/lqsi/es/content/escribir-un-poe-sobre-gesti%C3%B3n-de-la-informaci%C3%B3n"/>
    <hyperlink ref="R574" r:id="rId1088" display="https://extranet.who.int/lqsi/es/content/medir-la-satisfacci%C3%B3n-de-los-clientes-del-laboratorio"/>
    <hyperlink ref="R575" r:id="rId1089" display="https://extranet.who.int/lqsi/es/content/medir-la-satisfacci%C3%B3n-de-los-clientes-del-laboratorio"/>
    <hyperlink ref="R576" r:id="rId1090" display="https://extranet.who.int/lqsi/es/content/medir-la-satisfacci%C3%B3n-de-los-clientes-del-laboratorio"/>
    <hyperlink ref="R577" r:id="rId1091" display="https://extranet.who.int/lqsi/es/content/normalizar-el-m%C3%A9todo-de-elaboraci%C3%B3n-revisi%C3%B3n-y-evaluaci%C3%B3n-de-un-contrato-de-prestaci%C3%B3n-de"/>
    <hyperlink ref="R578" r:id="rId1092" display="https://extranet.who.int/lqsi/es/content/normalizar-el-m%C3%A9todo-de-elaboraci%C3%B3n-revisi%C3%B3n-y-evaluaci%C3%B3n-de-un-contrato-de-prestaci%C3%B3n-de"/>
    <hyperlink ref="R579" r:id="rId1093" display="https://extranet.who.int/lqsi/es/content/disponer-que-el-encargado-de-la-calidad-y-otros-miembros-de-personal-reciban-formaci%C3%B3n-para"/>
    <hyperlink ref="R580" r:id="rId1094" display="https://extranet.who.int/lqsi/es/content/disponer-que-el-encargado-de-la-calidad-y-otros-miembros-de-personal-reciban-formaci%C3%B3n-para"/>
    <hyperlink ref="R581" r:id="rId1095" display="https://extranet.who.int/lqsi/es/content/disponer-que-el-encargado-de-la-calidad-y-otros-miembros-de-personal-reciban-formaci%C3%B3n-para"/>
    <hyperlink ref="R582" r:id="rId1096" display="https://extranet.who.int/lqsi/es/content/disponer-que-el-encargado-de-la-calidad-y-otros-miembros-de-personal-reciban-formaci%C3%B3n-para"/>
    <hyperlink ref="R583" r:id="rId1097" display="https://extranet.who.int/lqsi/es/content/disponer-que-el-encargado-de-la-calidad-y-otros-miembros-de-personal-reciban-formaci%C3%B3n-para"/>
    <hyperlink ref="R584" r:id="rId1098" display="https://extranet.who.int/lqsi/es/content/disponer-que-el-encargado-de-la-calidad-y-otros-miembros-de-personal-reciban-formaci%C3%B3n-para"/>
    <hyperlink ref="R585" r:id="rId1099" display="https://extranet.who.int/lqsi/es/content/disponer-que-el-encargado-de-la-calidad-y-otros-miembros-de-personal-reciban-formaci%C3%B3n-para"/>
    <hyperlink ref="R586" r:id="rId1100" display="https://extranet.who.int/lqsi/es/content/hacer-un-plan-de-auditor%C3%ADa-interna-para-los-pr%C3%B3ximos-12%C2%A0meses"/>
    <hyperlink ref="R587" r:id="rId1101" display="https://extranet.who.int/lqsi/es/content/empezar-llevar-cabo-todas-las-auditor%C3%ADas-internas-y-escribir-informes-de-auditor%C3%ADa"/>
    <hyperlink ref="R588" r:id="rId1102" display="https://extranet.who.int/lqsi/es/content/empezar-llevar-cabo-todas-las-auditor%C3%ADas-internas-y-escribir-informes-de-auditor%C3%ADa"/>
    <hyperlink ref="R589" r:id="rId1103" display="https://extranet.who.int/lqsi/es/content/empezar-llevar-cabo-todas-las-auditor%C3%ADas-internas-y-escribir-informes-de-auditor%C3%ADa"/>
    <hyperlink ref="R590" r:id="rId1104" display="https://extranet.who.int/lqsi/es/content/formular-un-plan-de-acci%C3%B3n-partir-del-informe-de-la-auditor%C3%ADa-y-realizar-el-seguimiento-de"/>
    <hyperlink ref="R591" r:id="rId1105" display="https://extranet.who.int/lqsi/es/content/formular-un-plan-de-acci%C3%B3n-partir-del-informe-de-la-auditor%C3%ADa-y-realizar-el-seguimiento-de"/>
    <hyperlink ref="R592" r:id="rId1106" display="https://extranet.who.int/lqsi/es/content/formular-un-plan-de-acci%C3%B3n-partir-del-informe-de-la-auditor%C3%ADa-y-realizar-el-seguimiento-de"/>
    <hyperlink ref="R593" r:id="rId1107" display="https://extranet.who.int/lqsi/es/content/escribir-un-poe-para-la-auditor%C3%ADa-interna"/>
    <hyperlink ref="O522" r:id="rId1108" display="https://extranet.who.int/lqsi/content/identify-potential-conflicts-interest-every-staff-member"/>
    <hyperlink ref="O521" r:id="rId1109" display="https://extranet.who.int/lqsi/content/identify-potential-conflicts-interest-every-staff-member"/>
    <hyperlink ref="O2" r:id="rId1110"/>
    <hyperlink ref="O594" r:id="rId1111" display="https://extranet.who.int/lqsi/content/update-method-performing-management-review"/>
    <hyperlink ref="P594" r:id="rId1112" display="https://extranet.who.int/lqsi/fr/content/actualiser-la-m%C3%A9thode-utilis%C3%A9e-pour-effectuer-une-revue-de-direction"/>
    <hyperlink ref="Q594" r:id="rId1113" display="https://extranet.who.int/lqsi/ru/content/%D0%BE%D0%B1%D0%BD%D0%BE%D0%B2%D0%B8%D1%82%D0%B5-%D0%BC%D0%B5%D1%82%D0%BE%D0%B4-%D0%BF%D1%80%D0%BE%D0%B2%D0%B5%D0%B4%D0%B5%D0%BD%D0%B8%D1%8F-%D0%B0%D0%BD%D0%B0%D0%BB%D0%B8%D0%B7%D0%B0-%D1%80%D1%83%D0%BA%D0%BE%D0%B2%D0%BE%D0%B4%D1%81%D1%82%D0%B2%D0%BE%D0%BC"/>
    <hyperlink ref="R594" r:id="rId1114" display="https://extranet.who.int/lqsi/es/content/actualizar-el-m%C3%A9todo-que-usa-la-direcci%C3%B3n-para-realizar-revisiones"/>
    <hyperlink ref="O595" r:id="rId1115" display="https://extranet.who.int/lqsi/content/assess-if-number-staff-still-sufficient-assure-continuity-work-without-overburdening-staff"/>
    <hyperlink ref="O596" r:id="rId1116" display="https://extranet.who.int/lqsi/content/create-procedure-hiring-new-staff-hiring-temporary-staff-and-having-guests"/>
    <hyperlink ref="O597" r:id="rId1117" display="https://extranet.who.int/lqsi/content/create-procedure-hiring-new-staff-hiring-temporary-staff-and-having-guests"/>
    <hyperlink ref="O598" r:id="rId1118" display="https://extranet.who.int/lqsi/content/create-procedure-hiring-new-staff-hiring-temporary-staff-and-having-guests"/>
    <hyperlink ref="O617" r:id="rId1119" display="https://extranet.who.int/lqsi/content/assess-education-needs-every-staff-member"/>
    <hyperlink ref="O618" r:id="rId1120" display="https://extranet.who.int/lqsi/content/assess-education-needs-every-staff-member"/>
    <hyperlink ref="O619" r:id="rId1121" display="https://extranet.who.int/lqsi/content/assess-education-needs-every-staff-member"/>
    <hyperlink ref="O620" r:id="rId1122" display="https://extranet.who.int/lqsi/content/establish-continuous-education-programme"/>
    <hyperlink ref="O621" r:id="rId1123" display="https://extranet.who.int/lqsi/content/establish-continuous-education-programme"/>
    <hyperlink ref="O622" r:id="rId1124" display="https://extranet.who.int/lqsi/content/establish-continuous-education-programme"/>
    <hyperlink ref="O623" r:id="rId1125" display="https://extranet.who.int/lqsi/content/ensure-all-staff-participate-quality-assurance-programs-relevant-their-positions"/>
    <hyperlink ref="O624" r:id="rId1126" display="https://extranet.who.int/lqsi/content/send-quality-officer-training-failure-mode-effect-analysis"/>
    <hyperlink ref="O625" r:id="rId1127" display="https://extranet.who.int/lqsi/content/send-quality-officer-training-failure-mode-effect-analysis"/>
    <hyperlink ref="P595" r:id="rId1128" display="https://extranet.who.int/lqsi/fr/content/d%C3%A9terminer-si-les-membres-du-personnel-sont-en-nombre-suffisant-pour-assurer-la-continuit%C3%A9"/>
    <hyperlink ref="P596" r:id="rId1129" display="https://extranet.who.int/lqsi/fr/content/cr%C3%A9er-une-proc%C3%A9dure-pour-recruter-un-nouveau-membre-du-personnel-un-agent-temporaire-et"/>
    <hyperlink ref="P597" r:id="rId1130" display="https://extranet.who.int/lqsi/fr/content/cr%C3%A9er-une-proc%C3%A9dure-pour-recruter-un-nouveau-membre-du-personnel-un-agent-temporaire-et"/>
    <hyperlink ref="P598" r:id="rId1131" display="https://extranet.who.int/lqsi/fr/content/cr%C3%A9er-une-proc%C3%A9dure-pour-recruter-un-nouveau-membre-du-personnel-un-agent-temporaire-et"/>
    <hyperlink ref="P617" r:id="rId1132" display="https://extranet.who.int/lqsi/fr/content/%C3%A9valuer-les-besoins-en-termes-de-formation-de-chaque-membre-du-personnel"/>
    <hyperlink ref="P618" r:id="rId1133" display="https://extranet.who.int/lqsi/fr/content/%C3%A9valuer-les-besoins-en-termes-de-formation-de-chaque-membre-du-personnel"/>
    <hyperlink ref="P619" r:id="rId1134" display="https://extranet.who.int/lqsi/fr/content/%C3%A9valuer-les-besoins-en-termes-de-formation-de-chaque-membre-du-personnel"/>
    <hyperlink ref="P620" r:id="rId1135" display="https://extranet.who.int/lqsi/fr/content/mettre-en-place-un-programme-de-formation-continue"/>
    <hyperlink ref="P621" r:id="rId1136" display="https://extranet.who.int/lqsi/fr/content/mettre-en-place-un-programme-de-formation-continue"/>
    <hyperlink ref="P622" r:id="rId1137" display="https://extranet.who.int/lqsi/fr/content/mettre-en-place-un-programme-de-formation-continue"/>
    <hyperlink ref="P623" r:id="rId1138" display="https://extranet.who.int/lqsi/fr/content/veiller-%C3%A0-ce-que-lensemble-des-membres-du-personnel-participe-aux-programmes-dassurance-de"/>
    <hyperlink ref="P624" r:id="rId1139" display="https://extranet.who.int/lqsi/fr/content/convier-le-responsable-qualit%C3%A9-%C3%A0-une-formation-sur-lanalyse-des-modes-de-d%C3%A9faillance-et-de"/>
    <hyperlink ref="P625" r:id="rId1140" display="https://extranet.who.int/lqsi/fr/content/convier-le-responsable-qualit%C3%A9-%C3%A0-une-formation-sur-lanalyse-des-modes-de-d%C3%A9faillance-et-de"/>
    <hyperlink ref="Q595" r:id="rId1141" display="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hyperlink ref="Q596" r:id="rId1142"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hyperlink ref="Q597" r:id="rId1143"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hyperlink ref="Q598" r:id="rId1144"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hyperlink ref="Q617" r:id="rId1145" display="https://extranet.who.int/lqsi/ru/content/%D0%BE%D1%86%D0%B5%D0%BD%D0%B8%D1%82%D0%B5-%D0%BF%D0%BE%D1%82%D1%80%D0%B5%D0%B1%D0%BD%D0%BE%D1%81%D1%82%D1%8C-%D0%BA%D0%B0%D0%B6%D0%B4%D0%BE%D0%B3%D0%BE-%D1%81%D0%BE%D1%82%D1%80%D1%83%D0%B4%D0%BD%D0%B8%D0%BA%D0%B0-%D0%B2-%D0%BE%D0%B1%D1%83%D1%87%D0%B5%D0%BD%D0%B8%D0%B8"/>
    <hyperlink ref="Q618" r:id="rId1146" display="https://extranet.who.int/lqsi/ru/content/%D0%BE%D1%86%D0%B5%D0%BD%D0%B8%D1%82%D0%B5-%D0%BF%D0%BE%D1%82%D1%80%D0%B5%D0%B1%D0%BD%D0%BE%D1%81%D1%82%D1%8C-%D0%BA%D0%B0%D0%B6%D0%B4%D0%BE%D0%B3%D0%BE-%D1%81%D0%BE%D1%82%D1%80%D1%83%D0%B4%D0%BD%D0%B8%D0%BA%D0%B0-%D0%B2-%D0%BE%D0%B1%D1%83%D1%87%D0%B5%D0%BD%D0%B8%D0%B8"/>
    <hyperlink ref="Q619" r:id="rId1147" display="https://extranet.who.int/lqsi/ru/content/%D0%BE%D1%86%D0%B5%D0%BD%D0%B8%D1%82%D0%B5-%D0%BF%D0%BE%D1%82%D1%80%D0%B5%D0%B1%D0%BD%D0%BE%D1%81%D1%82%D1%8C-%D0%BA%D0%B0%D0%B6%D0%B4%D0%BE%D0%B3%D0%BE-%D1%81%D0%BE%D1%82%D1%80%D1%83%D0%B4%D0%BD%D0%B8%D0%BA%D0%B0-%D0%B2-%D0%BE%D0%B1%D1%83%D1%87%D0%B5%D0%BD%D0%B8%D0%B8"/>
    <hyperlink ref="Q620" r:id="rId1148" display="https://extranet.who.int/lqsi/ru/content/%D1%83%D1%81%D1%82%D0%B0%D0%BD%D0%BE%D0%B2%D0%B8%D1%82%D0%B5-%D0%BF%D1%80%D0%BE%D0%B3%D1%80%D0%B0%D0%BC%D0%BC%D1%83-%D0%BF%D1%80%D0%BE%D0%B4%D0%BE%D0%BB%D0%B6%D0%B5%D0%BD%D0%B8%D1%8F-%D0%BE%D0%B1%D1%80%D0%B0%D0%B7%D0%BE%D0%B2%D0%B0%D0%BD%D0%B8%D1%8F"/>
    <hyperlink ref="Q621" r:id="rId1149" display="https://extranet.who.int/lqsi/ru/content/%D1%83%D1%81%D1%82%D0%B0%D0%BD%D0%BE%D0%B2%D0%B8%D1%82%D0%B5-%D0%BF%D1%80%D0%BE%D0%B3%D1%80%D0%B0%D0%BC%D0%BC%D1%83-%D0%BF%D1%80%D0%BE%D0%B4%D0%BE%D0%BB%D0%B6%D0%B5%D0%BD%D0%B8%D1%8F-%D0%BE%D0%B1%D1%80%D0%B0%D0%B7%D0%BE%D0%B2%D0%B0%D0%BD%D0%B8%D1%8F"/>
    <hyperlink ref="Q622" r:id="rId1150" display="https://extranet.who.int/lqsi/ru/content/%D1%83%D1%81%D1%82%D0%B0%D0%BD%D0%BE%D0%B2%D0%B8%D1%82%D0%B5-%D0%BF%D1%80%D0%BE%D0%B3%D1%80%D0%B0%D0%BC%D0%BC%D1%83-%D0%BF%D1%80%D0%BE%D0%B4%D0%BE%D0%BB%D0%B6%D0%B5%D0%BD%D0%B8%D1%8F-%D0%BE%D0%B1%D1%80%D0%B0%D0%B7%D0%BE%D0%B2%D0%B0%D0%BD%D0%B8%D1%8F"/>
    <hyperlink ref="Q623" r:id="rId1151" display="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hyperlink ref="Q624" r:id="rId1152"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hyperlink ref="Q625" r:id="rId1153"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hyperlink ref="R595" r:id="rId1154" display="https://extranet.who.int/lqsi/es/content/evaluar-si-el-n%C3%BAmero-de-miembros-del-personal-sigue-siendo-suficiente-para-garantizar-la"/>
    <hyperlink ref="R596" r:id="rId1155" display="https://extranet.who.int/lqsi/es/content/crear-un-procedimiento-para-la-contrataci%C3%B3n-de-nuevo-personal-permanente-o-temporal-y-para"/>
    <hyperlink ref="R597" r:id="rId1156" display="https://extranet.who.int/lqsi/es/content/crear-un-procedimiento-para-la-contrataci%C3%B3n-de-nuevo-personal-permanente-o-temporal-y-para"/>
    <hyperlink ref="R598" r:id="rId1157" display="https://extranet.who.int/lqsi/es/content/crear-un-procedimiento-para-la-contrataci%C3%B3n-de-nuevo-personal-permanente-o-temporal-y-para"/>
    <hyperlink ref="R617" r:id="rId1158" display="https://extranet.who.int/lqsi/es/content/evaluar-las-necesidades-de-formaci%C3%B3n-de-cada-miembro-del-personal"/>
    <hyperlink ref="R618" r:id="rId1159" display="https://extranet.who.int/lqsi/es/content/evaluar-las-necesidades-de-formaci%C3%B3n-de-cada-miembro-del-personal"/>
    <hyperlink ref="R619" r:id="rId1160" display="https://extranet.who.int/lqsi/es/content/evaluar-las-necesidades-de-formaci%C3%B3n-de-cada-miembro-del-personal"/>
    <hyperlink ref="R620" r:id="rId1161" display="https://extranet.who.int/lqsi/es/content/establecer-un-programa-de-formaci%C3%B3n-continua"/>
    <hyperlink ref="R621" r:id="rId1162" display="https://extranet.who.int/lqsi/es/content/establecer-un-programa-de-formaci%C3%B3n-continua"/>
    <hyperlink ref="R622" r:id="rId1163" display="https://extranet.who.int/lqsi/es/content/establecer-un-programa-de-formaci%C3%B3n-continua"/>
    <hyperlink ref="R623" r:id="rId1164" display="https://extranet.who.int/lqsi/es/content/asegurar-que-todo-el-personal-participa-en-los-programas-de-garant%C3%ADa-de-calidad-relevantes"/>
    <hyperlink ref="R624" r:id="rId1165" display="https://extranet.who.int/lqsi/es/content/facilitar-al-encargado-de-calidad-una-formaci%C3%B3n-en-an%C3%A1lisis-modal-de-fallos-y-efectos"/>
    <hyperlink ref="R625" r:id="rId1166" display="https://extranet.who.int/lqsi/es/content/facilitar-al-encargado-de-calidad-una-formaci%C3%B3n-en-an%C3%A1lisis-modal-de-fallos-y-efectos"/>
    <hyperlink ref="O626" r:id="rId1167" display="https://extranet.who.int/lqsi/content/validate-all-pieces-equipment-used-examination-laboratory-including-software-systems"/>
    <hyperlink ref="O627" r:id="rId1168" display="https://extranet.who.int/lqsi/content/validate-all-pieces-equipment-used-examination-laboratory-including-software-systems"/>
    <hyperlink ref="O628" r:id="rId1169" display="https://extranet.who.int/lqsi/content/when-equipment-appears-be-defective-determine-and-correct-potential-negative-influence"/>
    <hyperlink ref="O629" r:id="rId1170" display="https://extranet.who.int/lqsi/content/when-equipment-appears-be-defective-determine-and-correct-potential-negative-influence"/>
    <hyperlink ref="O630" r:id="rId1171" display="https://extranet.who.int/lqsi/content/when-equipment-appears-be-defective-determine-and-correct-potential-negative-influence"/>
    <hyperlink ref="P626" r:id="rId1172" display="https://extranet.who.int/lqsi/fr/content/valider-toutes-les-unit%C3%A9s-d%C3%A9quipement-utilis%C3%A9es-pour-les-examens-r%C3%A9alis%C3%A9s-dans-le"/>
    <hyperlink ref="P627" r:id="rId1173" display="https://extranet.who.int/lqsi/fr/content/valider-toutes-les-unit%C3%A9s-d%C3%A9quipement-utilis%C3%A9es-pour-les-examens-r%C3%A9alis%C3%A9s-dans-le"/>
    <hyperlink ref="P628" r:id="rId1174" display="https://extranet.who.int/lqsi/fr/content/quand-il-sav%C3%A8re-quun-%C3%A9quipement-est-d%C3%A9fectueux-d%C3%A9terminer-et-corriger-leffet-n%C3%A9gatif"/>
    <hyperlink ref="P629" r:id="rId1175" display="https://extranet.who.int/lqsi/fr/content/quand-il-sav%C3%A8re-quun-%C3%A9quipement-est-d%C3%A9fectueux-d%C3%A9terminer-et-corriger-leffet-n%C3%A9gatif"/>
    <hyperlink ref="Q626" r:id="rId1176"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hyperlink ref="Q627" r:id="rId1177"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hyperlink ref="Q628" r:id="rId1178"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hyperlink ref="Q629" r:id="rId1179"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hyperlink ref="Q630" r:id="rId1180"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hyperlink ref="R626" r:id="rId1181" display="https://extranet.who.int/lqsi/es/content/validar-todas-las-partes-de-los-equipos-que-se-utilizan-para-los-an%C3%A1lisis-del-laboratorio"/>
    <hyperlink ref="R627" r:id="rId1182" display="https://extranet.who.int/lqsi/es/content/validar-todas-las-partes-de-los-equipos-que-se-utilizan-para-los-an%C3%A1lisis-del-laboratorio"/>
    <hyperlink ref="R628" r:id="rId1183" display="https://extranet.who.int/lqsi/es/content/determinar-y-corregir-la-posible-influencia-negativa-sobre-los-resultados-de-an%C3%A1lisis"/>
    <hyperlink ref="R629" r:id="rId1184" display="https://extranet.who.int/lqsi/es/content/determinar-y-corregir-la-posible-influencia-negativa-sobre-los-resultados-de-an%C3%A1lisis"/>
    <hyperlink ref="R630" r:id="rId1185" display="https://extranet.who.int/lqsi/es/content/determinar-y-corregir-la-posible-influencia-negativa-sobre-los-resultados-de-an%C3%A1lisis"/>
    <hyperlink ref="O631" r:id="rId1186" display="https://extranet.who.int/lqsi/content/make-sop-covering-various-support-activities-are-carried-out-such-cleaning-laboratory-and"/>
    <hyperlink ref="O632" r:id="rId1187" display="https://extranet.who.int/lqsi/content/monitor-transportation-samples"/>
    <hyperlink ref="O633" r:id="rId1188" display="https://extranet.who.int/lqsi/content/monitor-transportation-samples"/>
    <hyperlink ref="O634" r:id="rId1189" display="https://extranet.who.int/lqsi/content/monitor-transportation-samples"/>
    <hyperlink ref="O635" r:id="rId1190" display="https://extranet.who.int/lqsi/content/monitor-transportation-samples"/>
    <hyperlink ref="O636" r:id="rId1191" display="https://extranet.who.int/lqsi/content/monitor-transportation-samples"/>
    <hyperlink ref="O637" r:id="rId1192" display="https://extranet.who.int/lqsi/content/identify-and-start-monitoring-critical-parameters-quality-indicators"/>
    <hyperlink ref="O638" r:id="rId1193" display="https://extranet.who.int/lqsi/content/identify-and-start-monitoring-critical-parameters-quality-indicators"/>
    <hyperlink ref="O639" r:id="rId1194" display="https://extranet.who.int/lqsi/content/identify-and-start-monitoring-critical-parameters-quality-indicators"/>
    <hyperlink ref="O640" r:id="rId1195" display="https://extranet.who.int/lqsi/content/identify-and-start-monitoring-critical-parameters-quality-indicators"/>
    <hyperlink ref="P630" r:id="rId1196" display="https://extranet.who.int/lqsi/fr/content/r%C3%A9diger-une-pos-couvrant-les-diff%C3%A9rentes-activit%C3%A9s-dappui-qui-sont-r%C3%A9alis%C3%A9es-dans-le"/>
    <hyperlink ref="P631" r:id="rId1197" display="https://extranet.who.int/lqsi/fr/content/surveiller-le-transport-des-%C3%A9chantillons"/>
    <hyperlink ref="P632" r:id="rId1198" display="https://extranet.who.int/lqsi/fr/content/surveiller-le-transport-des-%C3%A9chantillons"/>
    <hyperlink ref="P633" r:id="rId1199" display="https://extranet.who.int/lqsi/fr/content/surveiller-le-transport-des-%C3%A9chantillons"/>
    <hyperlink ref="P634" r:id="rId1200" display="https://extranet.who.int/lqsi/fr/content/surveiller-le-transport-des-%C3%A9chantillons"/>
    <hyperlink ref="P635" r:id="rId1201" display="https://extranet.who.int/lqsi/fr/content/surveiller-le-transport-des-%C3%A9chantillons"/>
    <hyperlink ref="P636" r:id="rId1202" display="https://extranet.who.int/lqsi/fr/content/identifier-et-commencer-%C3%A0-suivre-les-param%C3%A8tres-critiques-indicateurs-de-qualit%C3%A9"/>
    <hyperlink ref="P637" r:id="rId1203" display="https://extranet.who.int/lqsi/fr/content/identifier-et-commencer-%C3%A0-suivre-les-param%C3%A8tres-critiques-indicateurs-de-qualit%C3%A9"/>
    <hyperlink ref="P638" r:id="rId1204" display="https://extranet.who.int/lqsi/fr/content/identifier-et-commencer-%C3%A0-suivre-les-param%C3%A8tres-critiques-indicateurs-de-qualit%C3%A9"/>
    <hyperlink ref="P639" r:id="rId1205" display="https://extranet.who.int/lqsi/fr/content/identifier-et-commencer-%C3%A0-suivre-les-param%C3%A8tres-critiques-indicateurs-de-qualit%C3%A9"/>
    <hyperlink ref="Q631" r:id="rId1206" display="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hyperlink ref="Q632" r:id="rId1207" display="https://extranet.who.int/lqsi/ru/content/%D1%81%D0%BB%D0%B5%D0%B4%D0%B8%D1%82%D0%B5-%D0%B7%D0%B0-%D1%82%D1%80%D0%B0%D0%BD%D1%81%D0%BF%D0%BE%D1%80%D1%82%D0%B8%D1%80%D0%BE%D0%B2%D0%BA%D0%BE%D0%B9-%D0%BF%D1%80%D0%BE%D0%B1"/>
    <hyperlink ref="Q633" r:id="rId1208" display="https://extranet.who.int/lqsi/ru/content/%D1%81%D0%BB%D0%B5%D0%B4%D0%B8%D1%82%D0%B5-%D0%B7%D0%B0-%D1%82%D1%80%D0%B0%D0%BD%D1%81%D0%BF%D0%BE%D1%80%D1%82%D0%B8%D1%80%D0%BE%D0%B2%D0%BA%D0%BE%D0%B9-%D0%BF%D1%80%D0%BE%D0%B1"/>
    <hyperlink ref="Q634" r:id="rId1209" display="https://extranet.who.int/lqsi/ru/content/%D1%81%D0%BB%D0%B5%D0%B4%D0%B8%D1%82%D0%B5-%D0%B7%D0%B0-%D1%82%D1%80%D0%B0%D0%BD%D1%81%D0%BF%D0%BE%D1%80%D1%82%D0%B8%D1%80%D0%BE%D0%B2%D0%BA%D0%BE%D0%B9-%D0%BF%D1%80%D0%BE%D0%B1"/>
    <hyperlink ref="Q635" r:id="rId1210" display="https://extranet.who.int/lqsi/ru/content/%D1%81%D0%BB%D0%B5%D0%B4%D0%B8%D1%82%D0%B5-%D0%B7%D0%B0-%D1%82%D1%80%D0%B0%D0%BD%D1%81%D0%BF%D0%BE%D1%80%D1%82%D0%B8%D1%80%D0%BE%D0%B2%D0%BA%D0%BE%D0%B9-%D0%BF%D1%80%D0%BE%D0%B1"/>
    <hyperlink ref="Q636" r:id="rId1211" display="https://extranet.who.int/lqsi/ru/content/%D1%81%D0%BB%D0%B5%D0%B4%D0%B8%D1%82%D0%B5-%D0%B7%D0%B0-%D1%82%D1%80%D0%B0%D0%BD%D1%81%D0%BF%D0%BE%D1%80%D1%82%D0%B8%D1%80%D0%BE%D0%B2%D0%BA%D0%BE%D0%B9-%D0%BF%D1%80%D0%BE%D0%B1"/>
    <hyperlink ref="Q637" r:id="rId1212"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Q638" r:id="rId1213"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Q639" r:id="rId1214"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Q640" r:id="rId1215"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R631" r:id="rId1216" display="https://extranet.who.int/lqsi/es/content/elaborar-un-poe-que-cubra-las-diversas-actividades-de-apoyo-como-la-limpieza-del-laboratorio"/>
    <hyperlink ref="R632" r:id="rId1217" display="https://extranet.who.int/lqsi/es/content/realizar-un-seguimiento-del-transporte-de-las-muestras"/>
    <hyperlink ref="R633" r:id="rId1218" display="https://extranet.who.int/lqsi/es/content/realizar-un-seguimiento-del-transporte-de-las-muestras"/>
    <hyperlink ref="R634" r:id="rId1219" display="https://extranet.who.int/lqsi/es/content/realizar-un-seguimiento-del-transporte-de-las-muestras"/>
    <hyperlink ref="R635" r:id="rId1220" display="https://extranet.who.int/lqsi/es/content/realizar-un-seguimiento-del-transporte-de-las-muestras"/>
    <hyperlink ref="R636" r:id="rId1221" display="https://extranet.who.int/lqsi/es/content/realizar-un-seguimiento-del-transporte-de-las-muestras"/>
    <hyperlink ref="R637" r:id="rId1222" display="https://extranet.who.int/lqsi/es/content/identificar-y-empezar-realizar-el-seguimiento-de-los-par%C3%A1metros-cr%C3%ADticos-indicadores-de"/>
    <hyperlink ref="R638" r:id="rId1223" display="https://extranet.who.int/lqsi/es/content/identificar-y-empezar-realizar-el-seguimiento-de-los-par%C3%A1metros-cr%C3%ADticos-indicadores-de"/>
    <hyperlink ref="R639" r:id="rId1224" display="https://extranet.who.int/lqsi/es/content/identificar-y-empezar-realizar-el-seguimiento-de-los-par%C3%A1metros-cr%C3%ADticos-indicadores-de"/>
    <hyperlink ref="R640" r:id="rId1225" display="https://extranet.who.int/lqsi/es/content/identificar-y-empezar-realizar-el-seguimiento-de-los-par%C3%A1metros-cr%C3%ADticos-indicadores-de"/>
    <hyperlink ref="O641" r:id="rId1226" display="https://extranet.who.int/lqsi/content/assign-staff-member-which-clients-can-turn-professional-advice"/>
    <hyperlink ref="O642" r:id="rId1227" display="https://extranet.who.int/lqsi/content/participate-clinical-roundsschedule-regular-discussions-clinical-staff-harmonize-services"/>
    <hyperlink ref="O643" r:id="rId1228" display="https://extranet.who.int/lqsi/content/participate-clinical-roundsschedule-regular-discussions-clinical-staff-harmonize-services"/>
    <hyperlink ref="O644" r:id="rId1229" display="https://extranet.who.int/lqsi/content/participate-clinical-roundsschedule-regular-discussions-clinical-staff-harmonize-services"/>
    <hyperlink ref="O645" r:id="rId1230" display="https://extranet.who.int/lqsi/content/participate-clinical-roundsschedule-regular-discussions-clinical-staff-harmonize-services"/>
    <hyperlink ref="O646" r:id="rId1231" display="https://extranet.who.int/lqsi/content/participate-clinical-roundsschedule-regular-discussions-clinical-staff-harmonize-services"/>
    <hyperlink ref="P641" r:id="rId1232" display="https://extranet.who.int/lqsi/fr/content/d%C3%A9signer-un-membre-du-personnel-%C3%A0-qui-les-clients-pourront-sadresser-pour-recevoir-un"/>
    <hyperlink ref="P642" r:id="rId1233" display="https://extranet.who.int/lqsi/fr/content/participer-aux-sessions-cliniques%C3%A0-des-discussions-r%C3%A9guli%C3%A8rement-organis%C3%A9es-avec-le"/>
    <hyperlink ref="P643" r:id="rId1234" display="https://extranet.who.int/lqsi/fr/content/participer-aux-sessions-cliniques%C3%A0-des-discussions-r%C3%A9guli%C3%A8rement-organis%C3%A9es-avec-le"/>
    <hyperlink ref="P644" r:id="rId1235" display="https://extranet.who.int/lqsi/fr/content/participer-aux-sessions-cliniques%C3%A0-des-discussions-r%C3%A9guli%C3%A8rement-organis%C3%A9es-avec-le"/>
    <hyperlink ref="P645" r:id="rId1236" display="https://extranet.who.int/lqsi/fr/content/participer-aux-sessions-cliniques%C3%A0-des-discussions-r%C3%A9guli%C3%A8rement-organis%C3%A9es-avec-le"/>
    <hyperlink ref="P646" r:id="rId1237" display="https://extranet.who.int/lqsi/fr/content/participer-aux-sessions-cliniques%C3%A0-des-discussions-r%C3%A9guli%C3%A8rement-organis%C3%A9es-avec-le"/>
    <hyperlink ref="Q641" r:id="rId1238" display="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hyperlink ref="Q642" r:id="rId1239"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3" r:id="rId1240"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4" r:id="rId1241"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5" r:id="rId1242"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6" r:id="rId1243"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R641" r:id="rId1244" display="https://extranet.who.int/lqsi/es/content/designar-un-miembro-del-personal-al-que-los-clientes-puedan-solicitar-asesoramiento"/>
    <hyperlink ref="R642" r:id="rId1245" display="https://extranet.who.int/lqsi/es/content/participar-en-rondas-cl%C3%ADnicas-y-programar-debates-peri%C3%B3dicos-con-personal-cl%C3%ADnico-para"/>
    <hyperlink ref="R643" r:id="rId1246" display="https://extranet.who.int/lqsi/es/content/participar-en-rondas-cl%C3%ADnicas-y-programar-debates-peri%C3%B3dicos-con-personal-cl%C3%ADnico-para"/>
    <hyperlink ref="R644" r:id="rId1247" display="https://extranet.who.int/lqsi/es/content/participar-en-rondas-cl%C3%ADnicas-y-programar-debates-peri%C3%B3dicos-con-personal-cl%C3%ADnico-para"/>
    <hyperlink ref="R645" r:id="rId1248" display="https://extranet.who.int/lqsi/es/content/participar-en-rondas-cl%C3%ADnicas-y-programar-debates-peri%C3%B3dicos-con-personal-cl%C3%ADnico-para"/>
    <hyperlink ref="R646" r:id="rId1249" display="https://extranet.who.int/lqsi/es/content/participar-en-rondas-cl%C3%ADnicas-y-programar-debates-peri%C3%B3dicos-con-personal-cl%C3%ADnico-para"/>
    <hyperlink ref="O647" r:id="rId1250" display="https://extranet.who.int/lqsi/content/organize-external-audit-identify-last-improvements-necessary-accreditation"/>
    <hyperlink ref="O648" r:id="rId1251" display="https://extranet.who.int/lqsi/content/make-action-plan-following-report-external-audit-and-monitor-its-implementation"/>
    <hyperlink ref="O649" r:id="rId1252" display="https://extranet.who.int/lqsi/content/make-action-plan-following-report-external-audit-and-monitor-its-implementation"/>
    <hyperlink ref="O650" r:id="rId1253" display="https://extranet.who.int/lqsi/content/make-action-plan-following-report-external-audit-and-monitor-its-implementation"/>
    <hyperlink ref="P647" r:id="rId1254" display="https://extranet.who.int/lqsi/fr/content/organiser-un-audit-externe-pour-identifier-les-derni%C3%A8res-am%C3%A9liorations-n%C3%A9cessaires-en-vue"/>
    <hyperlink ref="P648" r:id="rId1255" display="https://extranet.who.int/lqsi/fr/content/%C3%A9tablir-un-plan-daction-suite-au-rapport-daudit-externe-et-suivre-sa-mise-en-%C5%93uvre"/>
    <hyperlink ref="P649" r:id="rId1256" display="https://extranet.who.int/lqsi/fr/content/%C3%A9tablir-un-plan-daction-suite-au-rapport-daudit-externe-et-suivre-sa-mise-en-%C5%93uvre"/>
    <hyperlink ref="P650" r:id="rId1257" display="https://extranet.who.int/lqsi/fr/content/%C3%A9tablir-un-plan-daction-suite-au-rapport-daudit-externe-et-suivre-sa-mise-en-%C5%93uvre"/>
    <hyperlink ref="Q647" r:id="rId1258" display="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hyperlink ref="Q648" r:id="rId1259"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hyperlink ref="Q649" r:id="rId1260"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hyperlink ref="Q650" r:id="rId1261"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hyperlink ref="R647" r:id="rId1262" display="https://extranet.who.int/lqsi/es/content/organizar-una-auditor%C3%ADa-externa-para-identificar-las-%C3%BAltimas-mejoras-necesarias-para-la"/>
    <hyperlink ref="R648" r:id="rId1263" display="https://extranet.who.int/lqsi/es/content/crear-un-plan-de-acci%C3%B3n-tras-el-informe-de-la-auditor%C3%ADa-externa-y-realizar-un-seguimiento-de"/>
    <hyperlink ref="R649" r:id="rId1264" display="https://extranet.who.int/lqsi/es/content/crear-un-plan-de-acci%C3%B3n-tras-el-informe-de-la-auditor%C3%ADa-externa-y-realizar-un-seguimiento-de"/>
    <hyperlink ref="R650" r:id="rId1265" display="https://extranet.who.int/lqsi/es/content/crear-un-plan-de-acci%C3%B3n-tras-el-informe-de-la-auditor%C3%ADa-externa-y-realizar-un-seguimiento-de"/>
    <hyperlink ref="O651" r:id="rId1266" display="https://extranet.who.int/lqsi/content/develop-sop-handling-nonconformities-and-start-recording-and-solvingcorrecting-them"/>
    <hyperlink ref="O652" r:id="rId1267" display="https://extranet.who.int/lqsi/content/write-sop-handling-complaints-and-start-follow-complaints-standardized-way"/>
    <hyperlink ref="O653" r:id="rId1268" display="https://extranet.who.int/lqsi/content/write-sop-handling-complaints-and-start-follow-complaints-standardized-way"/>
    <hyperlink ref="O654" r:id="rId1269" display="https://extranet.who.int/lqsi/content/write-sop-handling-complaints-and-start-follow-complaints-standardized-way"/>
    <hyperlink ref="O655" r:id="rId1270" display="https://extranet.who.int/lqsi/content/identify-potential-emergencies-could-take-place-and-around-laboratory-and-could-affect-need"/>
    <hyperlink ref="O656" r:id="rId1271" display="https://extranet.who.int/lqsi/content/identify-potential-emergencies-could-take-place-and-around-laboratory-and-could-affect-need"/>
    <hyperlink ref="O657" r:id="rId1272" display="https://extranet.who.int/lqsi/content/identify-potential-emergencies-could-take-place-and-around-laboratory-and-could-affect-need"/>
    <hyperlink ref="O658" r:id="rId1273" display="https://extranet.who.int/lqsi/content/identify-potential-emergencies-could-take-place-and-around-laboratory-and-could-affect-need"/>
    <hyperlink ref="O659" r:id="rId1274" display="https://extranet.who.int/lqsi/content/identify-potential-emergencies-could-take-place-and-around-laboratory-and-could-affect-need"/>
    <hyperlink ref="O660" r:id="rId1275" display="https://extranet.who.int/lqsi/content/identify-potential-emergencies-could-take-place-and-around-laboratory-and-could-affect-need"/>
    <hyperlink ref="P651" r:id="rId1276" display="https://extranet.who.int/lqsi/fr/content/%C3%A9laborer-une-pos-relative-au-traitement-des-non-conformit%C3%A9s-et-commencer-%C3%A0-les-enregistrer"/>
    <hyperlink ref="P652" r:id="rId1277" display="https://extranet.who.int/lqsi/fr/content/r%C3%A9diger-une-pos-relative-au-traitement-des-plaintes-et-initier-le-suivi-des-plaintes-dune"/>
    <hyperlink ref="P653" r:id="rId1278" display="https://extranet.who.int/lqsi/fr/content/r%C3%A9diger-une-pos-relative-au-traitement-des-plaintes-et-initier-le-suivi-des-plaintes-dune"/>
    <hyperlink ref="P654" r:id="rId1279" display="https://extranet.who.int/lqsi/fr/content/r%C3%A9diger-une-pos-relative-au-traitement-des-plaintes-et-initier-le-suivi-des-plaintes-dune"/>
    <hyperlink ref="P655" r:id="rId1280" display="https://extranet.who.int/lqsi/fr/content/identifier-les-situations-durgence-potentielles-qui-pourraient-survenir-dans-le-laboratoire"/>
    <hyperlink ref="P656" r:id="rId1281" display="https://extranet.who.int/lqsi/fr/content/identifier-les-situations-durgence-potentielles-qui-pourraient-survenir-dans-le-laboratoire"/>
    <hyperlink ref="P657" r:id="rId1282" display="https://extranet.who.int/lqsi/fr/content/identifier-les-situations-durgence-potentielles-qui-pourraient-survenir-dans-le-laboratoire"/>
    <hyperlink ref="P658" r:id="rId1283" display="https://extranet.who.int/lqsi/fr/content/identifier-les-situations-durgence-potentielles-qui-pourraient-survenir-dans-le-laboratoire"/>
    <hyperlink ref="P659" r:id="rId1284" display="https://extranet.who.int/lqsi/fr/content/identifier-les-situations-durgence-potentielles-qui-pourraient-survenir-dans-le-laboratoire"/>
    <hyperlink ref="P660" r:id="rId1285" display="https://extranet.who.int/lqsi/fr/content/identifier-les-situations-durgence-potentielles-qui-pourraient-survenir-dans-le-laboratoire"/>
    <hyperlink ref="Q651" r:id="rId1286" display="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hyperlink ref="Q652" r:id="rId1287"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hyperlink ref="Q653" r:id="rId1288"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hyperlink ref="Q654" r:id="rId1289"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hyperlink ref="Q655" r:id="rId1290"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6" r:id="rId1291"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7" r:id="rId1292"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8" r:id="rId1293"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9" r:id="rId1294"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60" r:id="rId1295"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R651" r:id="rId1296" display="https://extranet.who.int/lqsi/es/content/desarrollar-un-poe-de-gesti%C3%B3n-de-las-no-conformidades-y-empezar-registrarlas-y"/>
    <hyperlink ref="R652" r:id="rId1297" display="https://extranet.who.int/lqsi/es/content/redactar-un-poe-de-gesti%C3%B3n-de-reclamaciones-y-empezar-realizar-un-seguimiento-de-las"/>
    <hyperlink ref="R653" r:id="rId1298" display="https://extranet.who.int/lqsi/es/content/redactar-un-poe-de-gesti%C3%B3n-de-reclamaciones-y-empezar-realizar-un-seguimiento-de-las"/>
    <hyperlink ref="R654" r:id="rId1299" display="https://extranet.who.int/lqsi/es/content/redactar-un-poe-de-gesti%C3%B3n-de-reclamaciones-y-empezar-realizar-un-seguimiento-de-las"/>
    <hyperlink ref="R655" r:id="rId1300" display="https://extranet.who.int/lqsi/es/content/identificar-posibles-emergencias-que-se-puedan-producir-en-el-laboratorio-y-sus-alrededores"/>
    <hyperlink ref="R656" r:id="rId1301" display="https://extranet.who.int/lqsi/es/content/identificar-posibles-emergencias-que-se-puedan-producir-en-el-laboratorio-y-sus-alrededores"/>
    <hyperlink ref="R657" r:id="rId1302" display="https://extranet.who.int/lqsi/es/content/identificar-posibles-emergencias-que-se-puedan-producir-en-el-laboratorio-y-sus-alrededores"/>
    <hyperlink ref="R658" r:id="rId1303" display="https://extranet.who.int/lqsi/es/content/identificar-posibles-emergencias-que-se-puedan-producir-en-el-laboratorio-y-sus-alrededores"/>
    <hyperlink ref="R659" r:id="rId1304" display="https://extranet.who.int/lqsi/es/content/identificar-posibles-emergencias-que-se-puedan-producir-en-el-laboratorio-y-sus-alrededores"/>
    <hyperlink ref="R660" r:id="rId1305" display="https://extranet.who.int/lqsi/es/content/identificar-posibles-emergencias-que-se-puedan-producir-en-el-laboratorio-y-sus-alrededores"/>
    <hyperlink ref="O661" r:id="rId1306" display="https://extranet.who.int/lqsi/content/perform-failure-mode-and-effect-analyses-all-processes-laboratory"/>
    <hyperlink ref="O662" r:id="rId1307" display="https://extranet.who.int/lqsi/content/perform-failure-mode-and-effect-analyses-all-processes-laboratory"/>
    <hyperlink ref="O663" r:id="rId1308" display="https://extranet.who.int/lqsi/content/evaluate-effectiveness-preventive-actions-control-steps-and-corrective-actions-implemented"/>
    <hyperlink ref="O664" r:id="rId1309" display="https://extranet.who.int/lqsi/content/evaluate-effectiveness-preventive-actions-control-steps-and-corrective-actions-implemented"/>
    <hyperlink ref="O665" r:id="rId1310" display="https://extranet.who.int/lqsi/content/evaluate-effectiveness-preventive-actions-control-steps-and-corrective-actions-implemented"/>
    <hyperlink ref="P661" r:id="rId1311" display="https://extranet.who.int/lqsi/fr/content/effectuer-des-analyses-des-modes-de-d%C3%A9faillance-et-de-leurs-effets-sur-tous-les-processus-du"/>
    <hyperlink ref="P662" r:id="rId1312" display="https://extranet.who.int/lqsi/fr/content/effectuer-des-analyses-des-modes-de-d%C3%A9faillance-et-de-leurs-effets-sur-tous-les-processus-du"/>
    <hyperlink ref="P663" r:id="rId1313" display="https://extranet.who.int/lqsi/fr/content/%C3%A9valuer-lefficacit%C3%A9-des-actions-pr%C3%A9ventives-des-%C3%A9tapes-de-contr%C3%B4le-et-des-actions"/>
    <hyperlink ref="P664" r:id="rId1314" display="https://extranet.who.int/lqsi/fr/content/%C3%A9valuer-lefficacit%C3%A9-des-actions-pr%C3%A9ventives-des-%C3%A9tapes-de-contr%C3%B4le-et-des-actions"/>
    <hyperlink ref="P665" r:id="rId1315" display="https://extranet.who.int/lqsi/fr/content/%C3%A9valuer-lefficacit%C3%A9-des-actions-pr%C3%A9ventives-des-%C3%A9tapes-de-contr%C3%B4le-et-des-actions"/>
    <hyperlink ref="Q661" r:id="rId1316"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hyperlink ref="Q662" r:id="rId1317"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hyperlink ref="Q663" r:id="rId1318"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hyperlink ref="Q664" r:id="rId1319"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hyperlink ref="Q665" r:id="rId1320"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hyperlink ref="R661" r:id="rId1321" display="https://extranet.who.int/lqsi/es/content/realizar-un-an%C3%A1lisis-modal-de-fallos-y-efectos-de-todos-los-procesos-del-laboratorio"/>
    <hyperlink ref="R662" r:id="rId1322" display="https://extranet.who.int/lqsi/es/content/realizar-un-an%C3%A1lisis-modal-de-fallos-y-efectos-de-todos-los-procesos-del-laboratorio"/>
    <hyperlink ref="R663" r:id="rId1323" display="https://extranet.who.int/lqsi/es/content/evaluar-la-eficacia-de-las-acciones-preventivas-pasos-de-control-y-acciones-correctivas-que"/>
    <hyperlink ref="R664" r:id="rId1324" display="https://extranet.who.int/lqsi/es/content/evaluar-la-eficacia-de-las-acciones-preventivas-pasos-de-control-y-acciones-correctivas-que"/>
    <hyperlink ref="R665" r:id="rId1325" display="https://extranet.who.int/lqsi/es/content/evaluar-la-eficacia-de-las-acciones-preventivas-pasos-de-control-y-acciones-correctivas-que"/>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000"/>
  <sheetViews>
    <sheetView topLeftCell="A265" workbookViewId="0">
      <selection activeCell="B144" sqref="B144"/>
    </sheetView>
  </sheetViews>
  <sheetFormatPr defaultColWidth="68.7109375" defaultRowHeight="15" x14ac:dyDescent="0.25"/>
  <cols>
    <col min="1" max="1" width="12.85546875" style="322" bestFit="1" customWidth="1"/>
    <col min="2" max="2" width="12.85546875" style="322" customWidth="1"/>
    <col min="3" max="16384" width="68.7109375" style="4"/>
  </cols>
  <sheetData>
    <row r="1" spans="1:5" x14ac:dyDescent="0.25">
      <c r="A1" s="322" t="s">
        <v>5312</v>
      </c>
      <c r="B1" s="322" t="s">
        <v>5313</v>
      </c>
      <c r="C1" s="4" t="s">
        <v>5314</v>
      </c>
      <c r="D1" s="4" t="s">
        <v>1372</v>
      </c>
      <c r="E1" s="254" t="s">
        <v>1376</v>
      </c>
    </row>
    <row r="2" spans="1:5" ht="31.5" x14ac:dyDescent="0.25">
      <c r="A2" s="322" t="s">
        <v>4316</v>
      </c>
      <c r="B2" s="322" t="s">
        <v>1468</v>
      </c>
      <c r="C2" s="4" t="str">
        <f>HLOOKUP('Getting Started'!H$2,D:E,ROW(),FALSE)</f>
        <v>1. Presence of the list for pathogens and its symptoms for the pathogens most frequently worked with in the laboratory.</v>
      </c>
      <c r="D2" s="4" t="s">
        <v>1410</v>
      </c>
      <c r="E2" s="303" t="s">
        <v>3847</v>
      </c>
    </row>
    <row r="3" spans="1:5" ht="60" x14ac:dyDescent="0.25">
      <c r="A3" s="322" t="s">
        <v>4317</v>
      </c>
      <c r="B3" s="322" t="s">
        <v>1468</v>
      </c>
      <c r="C3" s="4" t="str">
        <f>HLOOKUP('Getting Started'!H$2,D:E,ROW(),FALSE)</f>
        <v>2. Presence of the minute of meeting/record on the discussion and explanation of the symptoms of the diseases caused by these pathogens with all staff; and explain to the staff members what they should do when they have these symptoms.</v>
      </c>
      <c r="D3" s="4" t="s">
        <v>1411</v>
      </c>
      <c r="E3" s="303" t="s">
        <v>3848</v>
      </c>
    </row>
    <row r="4" spans="1:5" ht="31.5" x14ac:dyDescent="0.25">
      <c r="A4" s="322" t="s">
        <v>4318</v>
      </c>
      <c r="B4" s="322" t="s">
        <v>1468</v>
      </c>
      <c r="C4" s="4" t="str">
        <f>HLOOKUP('Getting Started'!H$2,D:E,ROW(),FALSE)</f>
        <v>3. Presence of policy that staff need to be vaccinated and regular check for TB.</v>
      </c>
      <c r="D4" s="4" t="s">
        <v>1412</v>
      </c>
      <c r="E4" s="303" t="s">
        <v>3849</v>
      </c>
    </row>
    <row r="5" spans="1:5" ht="31.5" x14ac:dyDescent="0.25">
      <c r="A5" s="322" t="s">
        <v>4319</v>
      </c>
      <c r="B5" s="322" t="s">
        <v>1468</v>
      </c>
      <c r="C5" s="4" t="str">
        <f>HLOOKUP('Getting Started'!H$2,D:E,ROW(),FALSE)</f>
        <v>4. Presence of the certificate of vaccination of staff against Hepatitis B.</v>
      </c>
      <c r="D5" s="4" t="s">
        <v>1413</v>
      </c>
      <c r="E5" s="303" t="s">
        <v>3850</v>
      </c>
    </row>
    <row r="6" spans="1:5" ht="63" x14ac:dyDescent="0.25">
      <c r="A6" s="322" t="s">
        <v>4320</v>
      </c>
      <c r="B6" s="322" t="s">
        <v>1469</v>
      </c>
      <c r="C6" s="4" t="str">
        <f>HLOOKUP('Getting Started'!H$2,D:E,ROW(),FALSE)</f>
        <v xml:space="preserve">1. Presence of SOP on what to do when staff members (potentially) have become infected in the laboratory; which includes the pre-exposure prophylaxis and post-exposure prophylaxis. </v>
      </c>
      <c r="D6" s="4" t="s">
        <v>1465</v>
      </c>
      <c r="E6" s="303" t="s">
        <v>3851</v>
      </c>
    </row>
    <row r="7" spans="1:5" ht="31.5" x14ac:dyDescent="0.25">
      <c r="A7" s="322" t="s">
        <v>4321</v>
      </c>
      <c r="B7" s="322" t="s">
        <v>1469</v>
      </c>
      <c r="C7" s="4" t="str">
        <f>HLOOKUP('Getting Started'!H$2,D:E,ROW(),FALSE)</f>
        <v>2. Place its flow charts at the place that all staff could see it easily.</v>
      </c>
      <c r="D7" s="4" t="s">
        <v>1884</v>
      </c>
      <c r="E7" s="303" t="s">
        <v>3852</v>
      </c>
    </row>
    <row r="8" spans="1:5" ht="15.75" x14ac:dyDescent="0.25">
      <c r="A8" s="322" t="s">
        <v>4322</v>
      </c>
      <c r="B8" s="322" t="s">
        <v>1470</v>
      </c>
      <c r="C8" s="4" t="str">
        <f>HLOOKUP('Getting Started'!H$2,D:E,ROW(),FALSE)</f>
        <v>Presence of symbol of risk group on each laboratory room</v>
      </c>
      <c r="D8" s="4" t="s">
        <v>1466</v>
      </c>
      <c r="E8" s="303" t="s">
        <v>3853</v>
      </c>
    </row>
    <row r="9" spans="1:5" ht="31.5" x14ac:dyDescent="0.25">
      <c r="A9" s="322" t="s">
        <v>4323</v>
      </c>
      <c r="B9" s="322" t="s">
        <v>1471</v>
      </c>
      <c r="C9" s="4" t="str">
        <f>HLOOKUP('Getting Started'!H$2,D:E,ROW(),FALSE)</f>
        <v>1. Policy on internal auidit existed (in Quality Manual).</v>
      </c>
      <c r="D9" s="4" t="s">
        <v>1934</v>
      </c>
      <c r="E9" s="303" t="s">
        <v>3854</v>
      </c>
    </row>
    <row r="10" spans="1:5" ht="15.75" x14ac:dyDescent="0.25">
      <c r="A10" s="322" t="s">
        <v>4324</v>
      </c>
      <c r="B10" s="322" t="s">
        <v>1471</v>
      </c>
      <c r="C10" s="4" t="str">
        <f>HLOOKUP('Getting Started'!H$2,D:E,ROW(),FALSE)</f>
        <v>2. Presence of the schedule for internal audit (Quarterly).</v>
      </c>
      <c r="D10" s="4" t="s">
        <v>1935</v>
      </c>
      <c r="E10" s="303" t="s">
        <v>3855</v>
      </c>
    </row>
    <row r="11" spans="1:5" ht="15.75" x14ac:dyDescent="0.25">
      <c r="A11" s="322" t="s">
        <v>4325</v>
      </c>
      <c r="B11" s="322" t="s">
        <v>1471</v>
      </c>
      <c r="C11" s="4" t="str">
        <f>HLOOKUP('Getting Started'!H$2,D:E,ROW(),FALSE)</f>
        <v>3. Checklist (Annex B of ISO 15190)/ LQSI checklist is available.</v>
      </c>
      <c r="D11" s="4" t="s">
        <v>1936</v>
      </c>
      <c r="E11" s="303" t="s">
        <v>3856</v>
      </c>
    </row>
    <row r="12" spans="1:5" ht="15.75" x14ac:dyDescent="0.25">
      <c r="A12" s="322" t="s">
        <v>4326</v>
      </c>
      <c r="B12" s="322" t="s">
        <v>1471</v>
      </c>
      <c r="C12" s="4" t="str">
        <f>HLOOKUP('Getting Started'!H$2,D:E,ROW(),FALSE)</f>
        <v>4. Presence of Minute of staff training on checklist.</v>
      </c>
      <c r="D12" s="4" t="s">
        <v>1937</v>
      </c>
      <c r="E12" s="303" t="s">
        <v>3857</v>
      </c>
    </row>
    <row r="13" spans="1:5" ht="31.5" x14ac:dyDescent="0.25">
      <c r="A13" s="322" t="s">
        <v>4327</v>
      </c>
      <c r="B13" s="322" t="s">
        <v>1471</v>
      </c>
      <c r="C13" s="4" t="str">
        <f>HLOOKUP('Getting Started'!H$2,D:E,ROW(),FALSE)</f>
        <v>5. List of staff and their role and responsibility in conducting internal audit.</v>
      </c>
      <c r="D13" s="4" t="s">
        <v>1938</v>
      </c>
      <c r="E13" s="303" t="s">
        <v>3858</v>
      </c>
    </row>
    <row r="14" spans="1:5" ht="15.75" x14ac:dyDescent="0.25">
      <c r="A14" s="322" t="s">
        <v>4328</v>
      </c>
      <c r="B14" s="322" t="s">
        <v>1471</v>
      </c>
      <c r="C14" s="4" t="str">
        <f>HLOOKUP('Getting Started'!H$2,D:E,ROW(),FALSE)</f>
        <v>6. Baseline score is available.</v>
      </c>
      <c r="D14" s="4" t="s">
        <v>1939</v>
      </c>
      <c r="E14" s="303" t="s">
        <v>3859</v>
      </c>
    </row>
    <row r="15" spans="1:5" ht="15.75" x14ac:dyDescent="0.25">
      <c r="A15" s="322" t="s">
        <v>4329</v>
      </c>
      <c r="B15" s="322" t="s">
        <v>1471</v>
      </c>
      <c r="C15" s="4" t="str">
        <f>HLOOKUP('Getting Started'!H$2,D:E,ROW(),FALSE)</f>
        <v>7. Corrective actions are available.</v>
      </c>
      <c r="D15" s="4" t="s">
        <v>1940</v>
      </c>
      <c r="E15" s="303" t="s">
        <v>3860</v>
      </c>
    </row>
    <row r="16" spans="1:5" ht="30" x14ac:dyDescent="0.25">
      <c r="A16" s="322" t="s">
        <v>4330</v>
      </c>
      <c r="B16" s="322" t="s">
        <v>1472</v>
      </c>
      <c r="C16" s="4" t="str">
        <f>HLOOKUP('Getting Started'!H$2,D:E,ROW(),FALSE)</f>
        <v>1. Presence of action plan based on findings (corrective actions) from internal audit</v>
      </c>
      <c r="D16" s="4" t="s">
        <v>1941</v>
      </c>
      <c r="E16" s="303" t="s">
        <v>3861</v>
      </c>
    </row>
    <row r="17" spans="1:5" ht="15.75" x14ac:dyDescent="0.25">
      <c r="A17" s="322" t="s">
        <v>4331</v>
      </c>
      <c r="B17" s="322" t="s">
        <v>1473</v>
      </c>
      <c r="C17" s="4" t="str">
        <f>HLOOKUP('Getting Started'!H$2,D:E,ROW(),FALSE)</f>
        <v>1. Presence of action plan with SMART method</v>
      </c>
      <c r="D17" s="4" t="s">
        <v>1942</v>
      </c>
      <c r="E17" s="303" t="s">
        <v>3862</v>
      </c>
    </row>
    <row r="18" spans="1:5" ht="15.75" x14ac:dyDescent="0.25">
      <c r="A18" s="322" t="s">
        <v>4332</v>
      </c>
      <c r="B18" s="322" t="s">
        <v>1474</v>
      </c>
      <c r="C18" s="4" t="str">
        <f>HLOOKUP('Getting Started'!H$2,D:E,ROW(),FALSE)</f>
        <v>1. Percentage of activities listed in the action plan had been achieved.</v>
      </c>
      <c r="D18" s="4" t="s">
        <v>1943</v>
      </c>
      <c r="E18" s="303" t="s">
        <v>3863</v>
      </c>
    </row>
    <row r="19" spans="1:5" ht="15.75" x14ac:dyDescent="0.25">
      <c r="A19" s="322" t="s">
        <v>4333</v>
      </c>
      <c r="B19" s="322" t="s">
        <v>1474</v>
      </c>
      <c r="C19" s="4" t="str">
        <f>HLOOKUP('Getting Started'!H$2,D:E,ROW(),FALSE)</f>
        <v>2. Presence of another corrective action for 2nd cycle of PDCA.</v>
      </c>
      <c r="D19" s="4" t="s">
        <v>1944</v>
      </c>
      <c r="E19" s="303" t="s">
        <v>3864</v>
      </c>
    </row>
    <row r="20" spans="1:5" ht="31.5" x14ac:dyDescent="0.25">
      <c r="A20" s="322" t="s">
        <v>4334</v>
      </c>
      <c r="B20" s="322" t="s">
        <v>1475</v>
      </c>
      <c r="C20" s="4" t="str">
        <f>HLOOKUP('Getting Started'!H$2,D:E,ROW(),FALSE)</f>
        <v>Presence of signature and date on every completed action point in the action plan.</v>
      </c>
      <c r="D20" s="4" t="s">
        <v>1945</v>
      </c>
      <c r="E20" s="303" t="s">
        <v>3865</v>
      </c>
    </row>
    <row r="21" spans="1:5" ht="31.5" x14ac:dyDescent="0.25">
      <c r="A21" s="322" t="s">
        <v>4335</v>
      </c>
      <c r="B21" s="322" t="s">
        <v>1476</v>
      </c>
      <c r="C21" s="4" t="str">
        <f>HLOOKUP('Getting Started'!H$2,D:E,ROW(),FALSE)</f>
        <v>1. Presence of written SOP on how to process and dispose of the different types of laboratory wastes.</v>
      </c>
      <c r="D21" s="4" t="s">
        <v>1946</v>
      </c>
      <c r="E21" s="303" t="s">
        <v>3866</v>
      </c>
    </row>
    <row r="22" spans="1:5" ht="78.75" x14ac:dyDescent="0.25">
      <c r="A22" s="322" t="s">
        <v>4336</v>
      </c>
      <c r="B22" s="322" t="s">
        <v>1477</v>
      </c>
      <c r="C22" s="4" t="str">
        <f>HLOOKUP('Getting Started'!H$2,D:E,ROW(),FALSE)</f>
        <v>1.Presence of containers labeled for each waste category:
• Non-infectious (household) waste
• Infectious waste (including sharps)
• Infectious glassware for re-use
• Chemical waste</v>
      </c>
      <c r="D22" s="4" t="s">
        <v>1947</v>
      </c>
      <c r="E22" s="303" t="s">
        <v>3867</v>
      </c>
    </row>
    <row r="23" spans="1:5" ht="15.75" x14ac:dyDescent="0.25">
      <c r="A23" s="322" t="s">
        <v>4337</v>
      </c>
      <c r="B23" s="322" t="s">
        <v>1477</v>
      </c>
      <c r="C23" s="4" t="str">
        <f>HLOOKUP('Getting Started'!H$2,D:E,ROW(),FALSE)</f>
        <v>2. Waste segregation flow chart is on the walls of the laboratory.</v>
      </c>
      <c r="D23" s="4" t="s">
        <v>1948</v>
      </c>
      <c r="E23" s="303" t="s">
        <v>3868</v>
      </c>
    </row>
    <row r="24" spans="1:5" ht="15.75" x14ac:dyDescent="0.25">
      <c r="A24" s="322" t="s">
        <v>4338</v>
      </c>
      <c r="B24" s="322" t="s">
        <v>1477</v>
      </c>
      <c r="C24" s="4" t="str">
        <f>HLOOKUP('Getting Started'!H$2,D:E,ROW(),FALSE)</f>
        <v>3. Staff could explain the waste segregation flow chart (by interview).</v>
      </c>
      <c r="D24" s="4" t="s">
        <v>1949</v>
      </c>
      <c r="E24" s="303" t="s">
        <v>3869</v>
      </c>
    </row>
    <row r="25" spans="1:5" ht="15.75" x14ac:dyDescent="0.25">
      <c r="A25" s="322" t="s">
        <v>4339</v>
      </c>
      <c r="B25" s="322" t="s">
        <v>1478</v>
      </c>
      <c r="C25" s="4" t="str">
        <f>HLOOKUP('Getting Started'!H$2,D:E,ROW(),FALSE)</f>
        <v>MOH ?</v>
      </c>
      <c r="D25" s="4" t="s">
        <v>1950</v>
      </c>
      <c r="E25" s="303" t="s">
        <v>3870</v>
      </c>
    </row>
    <row r="26" spans="1:5" ht="15.75" x14ac:dyDescent="0.25">
      <c r="A26" s="322" t="s">
        <v>4340</v>
      </c>
      <c r="B26" s="322" t="s">
        <v>1479</v>
      </c>
      <c r="C26" s="4" t="str">
        <f>HLOOKUP('Getting Started'!H$2,D:E,ROW(),FALSE)</f>
        <v>MOH ?</v>
      </c>
      <c r="D26" s="4" t="s">
        <v>1950</v>
      </c>
      <c r="E26" s="303" t="s">
        <v>3870</v>
      </c>
    </row>
    <row r="27" spans="1:5" ht="15.75" x14ac:dyDescent="0.25">
      <c r="A27" s="322" t="s">
        <v>4341</v>
      </c>
      <c r="B27" s="322" t="s">
        <v>1480</v>
      </c>
      <c r="C27" s="4" t="str">
        <f>HLOOKUP('Getting Started'!H$2,D:E,ROW(),FALSE)</f>
        <v>1. Presence of working autoclave with autoclave bags</v>
      </c>
      <c r="D27" s="4" t="s">
        <v>1951</v>
      </c>
      <c r="E27" s="303" t="s">
        <v>3871</v>
      </c>
    </row>
    <row r="28" spans="1:5" ht="15.75" x14ac:dyDescent="0.25">
      <c r="A28" s="322" t="s">
        <v>4342</v>
      </c>
      <c r="B28" s="322" t="s">
        <v>1480</v>
      </c>
      <c r="C28" s="4" t="str">
        <f>HLOOKUP('Getting Started'!H$2,D:E,ROW(),FALSE)</f>
        <v>2. Presence of SOP on how to use autoclave</v>
      </c>
      <c r="D28" s="4" t="s">
        <v>1952</v>
      </c>
      <c r="E28" s="303" t="s">
        <v>3872</v>
      </c>
    </row>
    <row r="29" spans="1:5" ht="15.75" x14ac:dyDescent="0.25">
      <c r="A29" s="322" t="s">
        <v>4343</v>
      </c>
      <c r="B29" s="322" t="s">
        <v>1480</v>
      </c>
      <c r="C29" s="4" t="str">
        <f>HLOOKUP('Getting Started'!H$2,D:E,ROW(),FALSE)</f>
        <v>3. Infectious waste stored in autoclave bag at secured location.</v>
      </c>
      <c r="D29" s="4" t="s">
        <v>1953</v>
      </c>
      <c r="E29" s="303" t="s">
        <v>3873</v>
      </c>
    </row>
    <row r="30" spans="1:5" ht="15.75" x14ac:dyDescent="0.25">
      <c r="A30" s="322" t="s">
        <v>4344</v>
      </c>
      <c r="B30" s="322" t="s">
        <v>1480</v>
      </c>
      <c r="C30" s="4" t="str">
        <f>HLOOKUP('Getting Started'!H$2,D:E,ROW(),FALSE)</f>
        <v>4. Infectious waste are autoclaved before incinerating</v>
      </c>
      <c r="D30" s="4" t="s">
        <v>1954</v>
      </c>
      <c r="E30" s="303" t="s">
        <v>3874</v>
      </c>
    </row>
    <row r="31" spans="1:5" ht="15.75" x14ac:dyDescent="0.25">
      <c r="A31" s="322" t="s">
        <v>4345</v>
      </c>
      <c r="B31" s="322" t="s">
        <v>1481</v>
      </c>
      <c r="C31" s="4" t="str">
        <f>HLOOKUP('Getting Started'!H$2,D:E,ROW(),FALSE)</f>
        <v>1. Incinerator existed in hospital and work properly</v>
      </c>
      <c r="D31" s="4" t="s">
        <v>1955</v>
      </c>
      <c r="E31" s="303" t="s">
        <v>3875</v>
      </c>
    </row>
    <row r="32" spans="1:5" ht="15.75" x14ac:dyDescent="0.25">
      <c r="A32" s="322" t="s">
        <v>4346</v>
      </c>
      <c r="B32" s="322" t="s">
        <v>1481</v>
      </c>
      <c r="C32" s="4" t="str">
        <f>HLOOKUP('Getting Started'!H$2,D:E,ROW(),FALSE)</f>
        <v xml:space="preserve">2. Presence of SOP for properly incinerated waste. </v>
      </c>
      <c r="D32" s="4" t="s">
        <v>1956</v>
      </c>
      <c r="E32" s="303" t="s">
        <v>3876</v>
      </c>
    </row>
    <row r="33" spans="1:5" ht="31.5" x14ac:dyDescent="0.25">
      <c r="A33" s="322" t="s">
        <v>4347</v>
      </c>
      <c r="B33" s="322" t="s">
        <v>1481</v>
      </c>
      <c r="C33" s="4" t="str">
        <f>HLOOKUP('Getting Started'!H$2,D:E,ROW(),FALSE)</f>
        <v>3. Minute of training to target staff on this SOP.</v>
      </c>
      <c r="D33" s="4" t="s">
        <v>1957</v>
      </c>
      <c r="E33" s="303" t="s">
        <v>3877</v>
      </c>
    </row>
    <row r="34" spans="1:5" ht="31.5" x14ac:dyDescent="0.25">
      <c r="A34" s="322" t="s">
        <v>4348</v>
      </c>
      <c r="B34" s="322" t="s">
        <v>1481</v>
      </c>
      <c r="C34" s="4" t="str">
        <f>HLOOKUP('Getting Started'!H$2,D:E,ROW(),FALSE)</f>
        <v>4. Presence of Read and Understood form signed by target staff.</v>
      </c>
      <c r="D34" s="4" t="s">
        <v>1958</v>
      </c>
      <c r="E34" s="303" t="s">
        <v>3878</v>
      </c>
    </row>
    <row r="35" spans="1:5" ht="15.75" x14ac:dyDescent="0.25">
      <c r="A35" s="322" t="s">
        <v>4349</v>
      </c>
      <c r="B35" s="322" t="s">
        <v>1481</v>
      </c>
      <c r="C35" s="4" t="str">
        <f>HLOOKUP('Getting Started'!H$2,D:E,ROW(),FALSE)</f>
        <v>5. Waste was incinerated properly.</v>
      </c>
      <c r="D35" s="4" t="s">
        <v>1959</v>
      </c>
      <c r="E35" s="303" t="s">
        <v>3879</v>
      </c>
    </row>
    <row r="36" spans="1:5" ht="15.75" x14ac:dyDescent="0.25">
      <c r="A36" s="322" t="s">
        <v>4350</v>
      </c>
      <c r="B36" s="322" t="s">
        <v>1482</v>
      </c>
      <c r="C36" s="4" t="str">
        <f>HLOOKUP('Getting Started'!H$2,D:E,ROW(),FALSE)</f>
        <v>1. All shaps wastes are stored in sharps container</v>
      </c>
      <c r="D36" s="4" t="s">
        <v>1960</v>
      </c>
      <c r="E36" s="303" t="s">
        <v>3880</v>
      </c>
    </row>
    <row r="37" spans="1:5" ht="15.75" x14ac:dyDescent="0.25">
      <c r="A37" s="322" t="s">
        <v>4351</v>
      </c>
      <c r="B37" s="322" t="s">
        <v>1482</v>
      </c>
      <c r="C37" s="4" t="str">
        <f>HLOOKUP('Getting Started'!H$2,D:E,ROW(),FALSE)</f>
        <v>2. Sharps containers are autoclaved</v>
      </c>
      <c r="D37" s="4" t="s">
        <v>1961</v>
      </c>
      <c r="E37" s="303" t="s">
        <v>3881</v>
      </c>
    </row>
    <row r="38" spans="1:5" ht="15.75" x14ac:dyDescent="0.25">
      <c r="A38" s="322" t="s">
        <v>4352</v>
      </c>
      <c r="B38" s="322" t="s">
        <v>1482</v>
      </c>
      <c r="C38" s="4" t="str">
        <f>HLOOKUP('Getting Started'!H$2,D:E,ROW(),FALSE)</f>
        <v>3. Sharps containers are incinerated properly</v>
      </c>
      <c r="D38" s="4" t="s">
        <v>1962</v>
      </c>
      <c r="E38" s="303" t="s">
        <v>3882</v>
      </c>
    </row>
    <row r="39" spans="1:5" ht="15.75" x14ac:dyDescent="0.25">
      <c r="A39" s="322" t="s">
        <v>4353</v>
      </c>
      <c r="B39" s="322" t="s">
        <v>1483</v>
      </c>
      <c r="C39" s="4" t="str">
        <f>HLOOKUP('Getting Started'!H$2,D:E,ROW(),FALSE)</f>
        <v>1. Minute of meeting</v>
      </c>
      <c r="D39" s="4" t="s">
        <v>1963</v>
      </c>
      <c r="E39" s="303" t="s">
        <v>3883</v>
      </c>
    </row>
    <row r="40" spans="1:5" ht="15.75" x14ac:dyDescent="0.25">
      <c r="A40" s="322" t="s">
        <v>4354</v>
      </c>
      <c r="B40" s="322" t="s">
        <v>1483</v>
      </c>
      <c r="C40" s="4" t="str">
        <f>HLOOKUP('Getting Started'!H$2,D:E,ROW(),FALSE)</f>
        <v>2. Area around the incinerator is free from clutter.</v>
      </c>
      <c r="D40" s="4" t="s">
        <v>1964</v>
      </c>
      <c r="E40" s="303" t="s">
        <v>3884</v>
      </c>
    </row>
    <row r="41" spans="1:5" ht="31.5" x14ac:dyDescent="0.25">
      <c r="A41" s="322" t="s">
        <v>4355</v>
      </c>
      <c r="B41" s="322" t="s">
        <v>1483</v>
      </c>
      <c r="C41" s="4" t="str">
        <f>HLOOKUP('Getting Started'!H$2,D:E,ROW(),FALSE)</f>
        <v>3. Presence of SOP which mentioned about free from clutter around incinerator.</v>
      </c>
      <c r="D41" s="4" t="s">
        <v>1965</v>
      </c>
      <c r="E41" s="303" t="s">
        <v>3885</v>
      </c>
    </row>
    <row r="42" spans="1:5" ht="15.75" x14ac:dyDescent="0.25">
      <c r="A42" s="322" t="s">
        <v>4356</v>
      </c>
      <c r="B42" s="322" t="s">
        <v>1484</v>
      </c>
      <c r="C42" s="4" t="str">
        <f>HLOOKUP('Getting Started'!H$2,D:E,ROW(),FALSE)</f>
        <v>1. Presence of functioned autoclave</v>
      </c>
      <c r="D42" s="4" t="s">
        <v>1966</v>
      </c>
      <c r="E42" s="303" t="s">
        <v>3886</v>
      </c>
    </row>
    <row r="43" spans="1:5" ht="31.5" x14ac:dyDescent="0.25">
      <c r="A43" s="322" t="s">
        <v>4357</v>
      </c>
      <c r="B43" s="322" t="s">
        <v>1484</v>
      </c>
      <c r="C43" s="4" t="str">
        <f>HLOOKUP('Getting Started'!H$2,D:E,ROW(),FALSE)</f>
        <v>2. Presence of waste container for infectious glasswares for re-use.</v>
      </c>
      <c r="D43" s="4" t="s">
        <v>1967</v>
      </c>
      <c r="E43" s="303" t="s">
        <v>3887</v>
      </c>
    </row>
    <row r="44" spans="1:5" ht="31.5" x14ac:dyDescent="0.25">
      <c r="A44" s="322" t="s">
        <v>4358</v>
      </c>
      <c r="B44" s="322" t="s">
        <v>1484</v>
      </c>
      <c r="C44" s="4" t="str">
        <f>HLOOKUP('Getting Started'!H$2,D:E,ROW(),FALSE)</f>
        <v>3. Infectious glasswares for re-use are autoclave correctly</v>
      </c>
      <c r="D44" s="4" t="s">
        <v>1968</v>
      </c>
      <c r="E44" s="303" t="s">
        <v>3888</v>
      </c>
    </row>
    <row r="45" spans="1:5" ht="31.5" x14ac:dyDescent="0.25">
      <c r="A45" s="322" t="s">
        <v>4359</v>
      </c>
      <c r="B45" s="322" t="s">
        <v>1485</v>
      </c>
      <c r="C45" s="4" t="str">
        <f>HLOOKUP('Getting Started'!H$2,D:E,ROW(),FALSE)</f>
        <v>1. Presence of various type of chemical waste containers with clear labels</v>
      </c>
      <c r="D45" s="4" t="s">
        <v>1969</v>
      </c>
      <c r="E45" s="303" t="s">
        <v>3889</v>
      </c>
    </row>
    <row r="46" spans="1:5" ht="15.75" x14ac:dyDescent="0.25">
      <c r="A46" s="322" t="s">
        <v>4360</v>
      </c>
      <c r="B46" s="322" t="s">
        <v>1485</v>
      </c>
      <c r="C46" s="4" t="str">
        <f>HLOOKUP('Getting Started'!H$2,D:E,ROW(),FALSE)</f>
        <v>2. Presence of SOP on disposing chemical wastes.</v>
      </c>
      <c r="D46" s="4" t="s">
        <v>1970</v>
      </c>
      <c r="E46" s="303" t="s">
        <v>3890</v>
      </c>
    </row>
    <row r="47" spans="1:5" ht="31.5" x14ac:dyDescent="0.25">
      <c r="A47" s="322" t="s">
        <v>4361</v>
      </c>
      <c r="B47" s="322" t="s">
        <v>1486</v>
      </c>
      <c r="C47" s="4" t="str">
        <f>HLOOKUP('Getting Started'!H$2,D:E,ROW(),FALSE)</f>
        <v>1. Different types of chemical wastes are stored in chemical waste containers accordingly.</v>
      </c>
      <c r="D47" s="4" t="s">
        <v>1971</v>
      </c>
      <c r="E47" s="303" t="s">
        <v>3891</v>
      </c>
    </row>
    <row r="48" spans="1:5" ht="15.75" x14ac:dyDescent="0.25">
      <c r="A48" s="322" t="s">
        <v>4362</v>
      </c>
      <c r="B48" s="322" t="s">
        <v>1486</v>
      </c>
      <c r="C48" s="4" t="str">
        <f>HLOOKUP('Getting Started'!H$2,D:E,ROW(),FALSE)</f>
        <v>2. Presence of treatment place for chemical waste</v>
      </c>
      <c r="D48" s="4" t="s">
        <v>1972</v>
      </c>
      <c r="E48" s="303" t="s">
        <v>3892</v>
      </c>
    </row>
    <row r="49" spans="1:5" ht="31.5" x14ac:dyDescent="0.25">
      <c r="A49" s="322" t="s">
        <v>4363</v>
      </c>
      <c r="B49" s="322" t="s">
        <v>1487</v>
      </c>
      <c r="C49" s="4" t="str">
        <f>HLOOKUP('Getting Started'!H$2,D:E,ROW(),FALSE)</f>
        <v>Presence of biohazard containers and normal waste with clear labels</v>
      </c>
      <c r="D49" s="4" t="s">
        <v>1973</v>
      </c>
      <c r="E49" s="303" t="s">
        <v>3893</v>
      </c>
    </row>
    <row r="50" spans="1:5" ht="31.5" x14ac:dyDescent="0.25">
      <c r="A50" s="322" t="s">
        <v>4364</v>
      </c>
      <c r="B50" s="322" t="s">
        <v>1488</v>
      </c>
      <c r="C50" s="4" t="str">
        <f>HLOOKUP('Getting Started'!H$2,D:E,ROW(),FALSE)</f>
        <v>1. Presence of SOP on normal waste processing (according to local/national regulation.)</v>
      </c>
      <c r="D50" s="4" t="s">
        <v>1975</v>
      </c>
      <c r="E50" s="303" t="s">
        <v>3894</v>
      </c>
    </row>
    <row r="51" spans="1:5" ht="15.75" x14ac:dyDescent="0.25">
      <c r="A51" s="322" t="s">
        <v>4365</v>
      </c>
      <c r="B51" s="322" t="s">
        <v>1488</v>
      </c>
      <c r="C51" s="4" t="str">
        <f>HLOOKUP('Getting Started'!H$2,D:E,ROW(),FALSE)</f>
        <v>2. Presence of Read and Understand form signed by staff</v>
      </c>
      <c r="D51" s="4" t="s">
        <v>1974</v>
      </c>
      <c r="E51" s="303" t="s">
        <v>3895</v>
      </c>
    </row>
    <row r="52" spans="1:5" ht="15.75" x14ac:dyDescent="0.25">
      <c r="A52" s="322" t="s">
        <v>4366</v>
      </c>
      <c r="B52" s="322" t="s">
        <v>1489</v>
      </c>
      <c r="C52" s="4" t="str">
        <f>HLOOKUP('Getting Started'!H$2,D:E,ROW(),FALSE)</f>
        <v>1. Presence of list of all safety procedures needed</v>
      </c>
      <c r="D52" s="4" t="s">
        <v>1976</v>
      </c>
      <c r="E52" s="303" t="s">
        <v>3896</v>
      </c>
    </row>
    <row r="53" spans="1:5" ht="15.75" x14ac:dyDescent="0.25">
      <c r="A53" s="322" t="s">
        <v>4367</v>
      </c>
      <c r="B53" s="322" t="s">
        <v>1489</v>
      </c>
      <c r="C53" s="4" t="str">
        <f>HLOOKUP('Getting Started'!H$2,D:E,ROW(),FALSE)</f>
        <v>2. Presence of folder of Biosafety manual</v>
      </c>
      <c r="D53" s="4" t="s">
        <v>1977</v>
      </c>
      <c r="E53" s="303" t="s">
        <v>3897</v>
      </c>
    </row>
    <row r="54" spans="1:5" ht="15.75" x14ac:dyDescent="0.25">
      <c r="A54" s="322" t="s">
        <v>4368</v>
      </c>
      <c r="B54" s="322" t="s">
        <v>1489</v>
      </c>
      <c r="C54" s="4" t="str">
        <f>HLOOKUP('Getting Started'!H$2,D:E,ROW(),FALSE)</f>
        <v>3. Presence of the Read and Understand List signed by staffs</v>
      </c>
      <c r="D54" s="4" t="s">
        <v>1978</v>
      </c>
      <c r="E54" s="303" t="s">
        <v>3898</v>
      </c>
    </row>
    <row r="55" spans="1:5" ht="30" x14ac:dyDescent="0.25">
      <c r="A55" s="322" t="s">
        <v>4369</v>
      </c>
      <c r="B55" s="322" t="s">
        <v>1490</v>
      </c>
      <c r="C55" s="4" t="str">
        <f>HLOOKUP('Getting Started'!H$2,D:E,ROW(),FALSE)</f>
        <v>1. Presence of biosafety manual which includes all the neccessary elements</v>
      </c>
      <c r="D55" s="4" t="s">
        <v>1979</v>
      </c>
      <c r="E55" s="303" t="s">
        <v>3899</v>
      </c>
    </row>
    <row r="56" spans="1:5" ht="31.5" x14ac:dyDescent="0.25">
      <c r="A56" s="322" t="s">
        <v>4370</v>
      </c>
      <c r="B56" s="322" t="s">
        <v>1491</v>
      </c>
      <c r="C56" s="4" t="str">
        <f>HLOOKUP('Getting Started'!H$2,D:E,ROW(),FALSE)</f>
        <v>1. Presence of general safety rules/instructions in the folder of biosafety manual</v>
      </c>
      <c r="D56" s="4" t="s">
        <v>1980</v>
      </c>
      <c r="E56" s="303" t="s">
        <v>3900</v>
      </c>
    </row>
    <row r="57" spans="1:5" ht="30" x14ac:dyDescent="0.25">
      <c r="A57" s="322" t="s">
        <v>4371</v>
      </c>
      <c r="B57" s="322" t="s">
        <v>1492</v>
      </c>
      <c r="C57" s="4" t="str">
        <f>HLOOKUP('Getting Started'!H$2,D:E,ROW(),FALSE)</f>
        <v>1. Presence of preventive safety procedures in the folder of biosafety manual</v>
      </c>
      <c r="D57" s="4" t="s">
        <v>1981</v>
      </c>
      <c r="E57" s="303" t="s">
        <v>3901</v>
      </c>
    </row>
    <row r="58" spans="1:5" ht="30" x14ac:dyDescent="0.25">
      <c r="A58" s="322" t="s">
        <v>4372</v>
      </c>
      <c r="B58" s="322" t="s">
        <v>1493</v>
      </c>
      <c r="C58" s="4" t="str">
        <f>HLOOKUP('Getting Started'!H$2,D:E,ROW(),FALSE)</f>
        <v>1. Presence of​ procedures for emergency situations in the folder of biosafety manual</v>
      </c>
      <c r="D58" s="4" t="s">
        <v>1982</v>
      </c>
      <c r="E58" s="303" t="s">
        <v>3902</v>
      </c>
    </row>
    <row r="59" spans="1:5" ht="31.5" x14ac:dyDescent="0.25">
      <c r="A59" s="322" t="s">
        <v>4373</v>
      </c>
      <c r="B59" s="322" t="s">
        <v>1494</v>
      </c>
      <c r="C59" s="4" t="str">
        <f>HLOOKUP('Getting Started'!H$2,D:E,ROW(),FALSE)</f>
        <v>Presence of signatures of author, reviewer, and lab manager for all SOPs.</v>
      </c>
      <c r="D59" s="4" t="s">
        <v>1983</v>
      </c>
      <c r="E59" s="303" t="s">
        <v>3903</v>
      </c>
    </row>
    <row r="60" spans="1:5" ht="31.5" x14ac:dyDescent="0.25">
      <c r="A60" s="322" t="s">
        <v>4374</v>
      </c>
      <c r="B60" s="322" t="s">
        <v>1495</v>
      </c>
      <c r="C60" s="4" t="str">
        <f>HLOOKUP('Getting Started'!H$2,D:E,ROW(),FALSE)</f>
        <v>The biosafety manaul locates at easily accessible place</v>
      </c>
      <c r="D60" s="4" t="s">
        <v>1984</v>
      </c>
      <c r="E60" s="303" t="s">
        <v>3904</v>
      </c>
    </row>
    <row r="61" spans="1:5" ht="31.5" x14ac:dyDescent="0.25">
      <c r="A61" s="322" t="s">
        <v>4375</v>
      </c>
      <c r="B61" s="322" t="s">
        <v>1496</v>
      </c>
      <c r="C61" s="4" t="str">
        <f>HLOOKUP('Getting Started'!H$2,D:E,ROW(),FALSE)</f>
        <v>Presence of the Read and Understand Form including all staffs'signatures</v>
      </c>
      <c r="D61" s="4" t="s">
        <v>1985</v>
      </c>
      <c r="E61" s="303" t="s">
        <v>3905</v>
      </c>
    </row>
    <row r="62" spans="1:5" ht="15.75" x14ac:dyDescent="0.25">
      <c r="A62" s="322" t="s">
        <v>4376</v>
      </c>
      <c r="B62" s="322" t="s">
        <v>1497</v>
      </c>
      <c r="C62" s="4" t="str">
        <f>HLOOKUP('Getting Started'!H$2,D:E,ROW(),FALSE)</f>
        <v>1. Presence of SOP on cleaning laboratory building</v>
      </c>
      <c r="D62" s="4" t="s">
        <v>1986</v>
      </c>
      <c r="E62" s="303" t="s">
        <v>3906</v>
      </c>
    </row>
    <row r="63" spans="1:5" ht="31.5" x14ac:dyDescent="0.25">
      <c r="A63" s="322" t="s">
        <v>4377</v>
      </c>
      <c r="B63" s="322" t="s">
        <v>1497</v>
      </c>
      <c r="C63" s="4" t="str">
        <f>HLOOKUP('Getting Started'!H$2,D:E,ROW(),FALSE)</f>
        <v>2. Presence of  the Read and Understand Form for SOP on cleaning laboratory building including all staffs' signatures</v>
      </c>
      <c r="D63" s="4" t="s">
        <v>1987</v>
      </c>
      <c r="E63" s="303" t="s">
        <v>3907</v>
      </c>
    </row>
    <row r="64" spans="1:5" ht="15.75" x14ac:dyDescent="0.25">
      <c r="A64" s="322" t="s">
        <v>4378</v>
      </c>
      <c r="B64" s="322" t="s">
        <v>1499</v>
      </c>
      <c r="C64" s="4" t="str">
        <f>HLOOKUP('Getting Started'!H$2,D:E,ROW(),FALSE)</f>
        <v>Presence of cleaning schedule on wall or somewhere else</v>
      </c>
      <c r="D64" s="4" t="s">
        <v>1988</v>
      </c>
      <c r="E64" s="303" t="s">
        <v>3908</v>
      </c>
    </row>
    <row r="65" spans="1:5" ht="15.75" x14ac:dyDescent="0.25">
      <c r="A65" s="322" t="s">
        <v>4379</v>
      </c>
      <c r="B65" s="322" t="s">
        <v>1502</v>
      </c>
      <c r="C65" s="4" t="str">
        <f>HLOOKUP('Getting Started'!H$2,D:E,ROW(),FALSE)</f>
        <v>1. Presence of spill kits (at  least two)</v>
      </c>
      <c r="D65" s="4" t="s">
        <v>1989</v>
      </c>
      <c r="E65" s="303" t="s">
        <v>3909</v>
      </c>
    </row>
    <row r="66" spans="1:5" ht="15.75" x14ac:dyDescent="0.25">
      <c r="A66" s="322" t="s">
        <v>4380</v>
      </c>
      <c r="B66" s="322" t="s">
        <v>1503</v>
      </c>
      <c r="C66" s="4" t="str">
        <f>HLOOKUP('Getting Started'!H$2,D:E,ROW(),FALSE)</f>
        <v>Presence of SOP to deal with:</v>
      </c>
      <c r="D66" s="4" t="s">
        <v>1990</v>
      </c>
      <c r="E66" s="303" t="s">
        <v>3910</v>
      </c>
    </row>
    <row r="67" spans="1:5" ht="15.75" x14ac:dyDescent="0.25">
      <c r="A67" s="322" t="s">
        <v>4381</v>
      </c>
      <c r="B67" s="322" t="s">
        <v>1503</v>
      </c>
      <c r="C67" s="4" t="str">
        <f>HLOOKUP('Getting Started'!H$2,D:E,ROW(),FALSE)</f>
        <v xml:space="preserve"> Infectious spills (outside a BSC)</v>
      </c>
      <c r="D67" s="4" t="s">
        <v>1991</v>
      </c>
      <c r="E67" s="304" t="s">
        <v>3911</v>
      </c>
    </row>
    <row r="68" spans="1:5" ht="15.75" x14ac:dyDescent="0.25">
      <c r="A68" s="322" t="s">
        <v>4382</v>
      </c>
      <c r="B68" s="322" t="s">
        <v>1503</v>
      </c>
      <c r="C68" s="4" t="str">
        <f>HLOOKUP('Getting Started'!H$2,D:E,ROW(),FALSE)</f>
        <v>Infectious spills (contained within a BSC)</v>
      </c>
      <c r="D68" s="4" t="s">
        <v>1992</v>
      </c>
      <c r="E68" s="304" t="s">
        <v>3912</v>
      </c>
    </row>
    <row r="69" spans="1:5" ht="15.75" x14ac:dyDescent="0.25">
      <c r="A69" s="322" t="s">
        <v>4383</v>
      </c>
      <c r="B69" s="322" t="s">
        <v>1503</v>
      </c>
      <c r="C69" s="4" t="str">
        <f>HLOOKUP('Getting Started'!H$2,D:E,ROW(),FALSE)</f>
        <v xml:space="preserve"> Breakage of tubes inside sealed buckets (safety cups)</v>
      </c>
      <c r="D69" s="4" t="s">
        <v>1993</v>
      </c>
      <c r="E69" s="304" t="s">
        <v>3913</v>
      </c>
    </row>
    <row r="70" spans="1:5" ht="15.75" x14ac:dyDescent="0.25">
      <c r="A70" s="322" t="s">
        <v>4384</v>
      </c>
      <c r="B70" s="322" t="s">
        <v>1503</v>
      </c>
      <c r="C70" s="4" t="str">
        <f>HLOOKUP('Getting Started'!H$2,D:E,ROW(),FALSE)</f>
        <v>Chemicals spills</v>
      </c>
      <c r="D70" s="4" t="s">
        <v>1994</v>
      </c>
      <c r="E70" s="304" t="s">
        <v>3914</v>
      </c>
    </row>
    <row r="71" spans="1:5" ht="15.75" x14ac:dyDescent="0.25">
      <c r="A71" s="322" t="s">
        <v>4385</v>
      </c>
      <c r="B71" s="322" t="s">
        <v>1504</v>
      </c>
      <c r="C71" s="4" t="str">
        <f>HLOOKUP('Getting Started'!H$2,D:E,ROW(),FALSE)</f>
        <v>1. Presence of first aid training course</v>
      </c>
      <c r="D71" s="4" t="s">
        <v>1995</v>
      </c>
      <c r="E71" s="303" t="s">
        <v>3915</v>
      </c>
    </row>
    <row r="72" spans="1:5" ht="15.75" x14ac:dyDescent="0.25">
      <c r="A72" s="322" t="s">
        <v>4386</v>
      </c>
      <c r="B72" s="322" t="s">
        <v>1504</v>
      </c>
      <c r="C72" s="4" t="str">
        <f>HLOOKUP('Getting Started'!H$2,D:E,ROW(),FALSE)</f>
        <v>2. Copies of the first aid provider certificates</v>
      </c>
      <c r="D72" s="4" t="s">
        <v>1996</v>
      </c>
      <c r="E72" s="303" t="s">
        <v>3916</v>
      </c>
    </row>
    <row r="73" spans="1:5" ht="15.75" x14ac:dyDescent="0.25">
      <c r="A73" s="322" t="s">
        <v>4387</v>
      </c>
      <c r="B73" s="322" t="s">
        <v>1505</v>
      </c>
      <c r="C73" s="4" t="str">
        <f>HLOOKUP('Getting Started'!H$2,D:E,ROW(),FALSE)</f>
        <v>Presence of first aid kits at accessible location</v>
      </c>
      <c r="D73" s="4" t="s">
        <v>1997</v>
      </c>
      <c r="E73" s="303" t="s">
        <v>3917</v>
      </c>
    </row>
    <row r="74" spans="1:5" ht="15.75" x14ac:dyDescent="0.25">
      <c r="A74" s="322" t="s">
        <v>4388</v>
      </c>
      <c r="B74" s="322" t="s">
        <v>1507</v>
      </c>
      <c r="C74" s="4" t="str">
        <f>HLOOKUP('Getting Started'!H$2,D:E,ROW(),FALSE)</f>
        <v>1. Official Nomination Letter existed for Quality Officer.</v>
      </c>
      <c r="D74" s="4" t="s">
        <v>2198</v>
      </c>
      <c r="E74" s="303" t="s">
        <v>3918</v>
      </c>
    </row>
    <row r="75" spans="1:5" ht="15.75" x14ac:dyDescent="0.25">
      <c r="A75" s="322" t="s">
        <v>4389</v>
      </c>
      <c r="B75" s="322" t="s">
        <v>1509</v>
      </c>
      <c r="C75" s="4" t="str">
        <f>HLOOKUP('Getting Started'!H$2,D:E,ROW(),FALSE)</f>
        <v>1. Presence of the minutes of the meeting</v>
      </c>
      <c r="D75" s="4" t="s">
        <v>2199</v>
      </c>
      <c r="E75" s="303" t="s">
        <v>3919</v>
      </c>
    </row>
    <row r="76" spans="1:5" ht="15.75" x14ac:dyDescent="0.25">
      <c r="A76" s="322" t="s">
        <v>4390</v>
      </c>
      <c r="B76" s="322" t="s">
        <v>1510</v>
      </c>
      <c r="C76" s="4" t="str">
        <f>HLOOKUP('Getting Started'!H$2,D:E,ROW(),FALSE)</f>
        <v xml:space="preserve">1. Presence of the minute of meeting </v>
      </c>
      <c r="D76" s="4" t="s">
        <v>2200</v>
      </c>
      <c r="E76" s="303" t="s">
        <v>3919</v>
      </c>
    </row>
    <row r="77" spans="1:5" ht="15.75" x14ac:dyDescent="0.25">
      <c r="A77" s="322" t="s">
        <v>4391</v>
      </c>
      <c r="B77" s="322" t="s">
        <v>1511</v>
      </c>
      <c r="C77" s="4" t="str">
        <f>HLOOKUP('Getting Started'!H$2,D:E,ROW(),FALSE)</f>
        <v>1. Presence of  Action plans with SMART.</v>
      </c>
      <c r="D77" s="4" t="s">
        <v>2201</v>
      </c>
      <c r="E77" s="303" t="s">
        <v>3920</v>
      </c>
    </row>
    <row r="78" spans="1:5" ht="63" x14ac:dyDescent="0.25">
      <c r="A78" s="322" t="s">
        <v>4392</v>
      </c>
      <c r="B78" s="322" t="s">
        <v>1512</v>
      </c>
      <c r="C78" s="4" t="str">
        <f>HLOOKUP('Getting Started'!H$2,D:E,ROW(),FALSE)</f>
        <v xml:space="preserve">1. Presence of folder of action plans with logical structure with two tabs inside (completed action plans in the back and open action plans in the front and they sorted on date) </v>
      </c>
      <c r="D78" s="4" t="s">
        <v>2202</v>
      </c>
      <c r="E78" s="303" t="s">
        <v>3921</v>
      </c>
    </row>
    <row r="79" spans="1:5" ht="31.5" x14ac:dyDescent="0.25">
      <c r="A79" s="322" t="s">
        <v>4393</v>
      </c>
      <c r="B79" s="322" t="s">
        <v>1513</v>
      </c>
      <c r="C79" s="4" t="str">
        <f>HLOOKUP('Getting Started'!H$2,D:E,ROW(),FALSE)</f>
        <v>1. Presence of signature and date on the completed action point and action plan.</v>
      </c>
      <c r="D79" s="4" t="s">
        <v>2203</v>
      </c>
      <c r="E79" s="303" t="s">
        <v>3922</v>
      </c>
    </row>
    <row r="80" spans="1:5" ht="31.5" x14ac:dyDescent="0.25">
      <c r="A80" s="322" t="s">
        <v>4394</v>
      </c>
      <c r="B80" s="322" t="s">
        <v>1513</v>
      </c>
      <c r="C80" s="4" t="str">
        <f>HLOOKUP('Getting Started'!H$2,D:E,ROW(),FALSE)</f>
        <v>2. Presence of another plan for corrective action for 2nd cycle of PDCA for the non-completed action plan/point.</v>
      </c>
      <c r="D80" s="4" t="s">
        <v>2204</v>
      </c>
      <c r="E80" s="303" t="s">
        <v>3923</v>
      </c>
    </row>
    <row r="81" spans="1:5" ht="15.75" x14ac:dyDescent="0.25">
      <c r="A81" s="322" t="s">
        <v>4395</v>
      </c>
      <c r="B81" s="322" t="s">
        <v>1514</v>
      </c>
      <c r="C81" s="4" t="str">
        <f>HLOOKUP('Getting Started'!H$2,D:E,ROW(),FALSE)</f>
        <v>Presence of minute for weekly staff meeting</v>
      </c>
      <c r="D81" s="4" t="s">
        <v>2205</v>
      </c>
      <c r="E81" s="303" t="s">
        <v>3924</v>
      </c>
    </row>
    <row r="82" spans="1:5" ht="15.75" x14ac:dyDescent="0.25">
      <c r="A82" s="322" t="s">
        <v>4396</v>
      </c>
      <c r="B82" s="322" t="s">
        <v>1515</v>
      </c>
      <c r="C82" s="4" t="str">
        <f>HLOOKUP('Getting Started'!H$2,D:E,ROW(),FALSE)</f>
        <v>1. Presence of minute taker in the meeting</v>
      </c>
      <c r="D82" s="4" t="s">
        <v>2206</v>
      </c>
      <c r="E82" s="303" t="s">
        <v>3925</v>
      </c>
    </row>
    <row r="83" spans="1:5" ht="15.75" x14ac:dyDescent="0.25">
      <c r="A83" s="322" t="s">
        <v>4397</v>
      </c>
      <c r="B83" s="322" t="s">
        <v>1515</v>
      </c>
      <c r="C83" s="4" t="str">
        <f>HLOOKUP('Getting Started'!H$2,D:E,ROW(),FALSE)</f>
        <v>2. Presence of minute for weekly staff meeting</v>
      </c>
      <c r="D83" s="4" t="s">
        <v>2207</v>
      </c>
      <c r="E83" s="303" t="s">
        <v>3926</v>
      </c>
    </row>
    <row r="84" spans="1:5" ht="47.25" x14ac:dyDescent="0.25">
      <c r="A84" s="322" t="s">
        <v>4398</v>
      </c>
      <c r="B84" s="322" t="s">
        <v>1516</v>
      </c>
      <c r="C84" s="4" t="str">
        <f>HLOOKUP('Getting Started'!H$2,D:E,ROW(),FALSE)</f>
        <v>Presence of minute of weekly staff meeting that includes a summary of discussions, SMART action points and the agenda for next week</v>
      </c>
      <c r="D84" s="4" t="s">
        <v>2208</v>
      </c>
      <c r="E84" s="303" t="s">
        <v>3927</v>
      </c>
    </row>
    <row r="85" spans="1:5" ht="31.5" x14ac:dyDescent="0.25">
      <c r="A85" s="322" t="s">
        <v>4399</v>
      </c>
      <c r="B85" s="322" t="s">
        <v>1517</v>
      </c>
      <c r="C85" s="4" t="str">
        <f>HLOOKUP('Getting Started'!H$2,D:E,ROW(),FALSE)</f>
        <v>Presence of folder named "minutes of weekly staff meeting" and the minutes of meeting are sorted by date</v>
      </c>
      <c r="D85" s="4" t="s">
        <v>2209</v>
      </c>
      <c r="E85" s="303" t="s">
        <v>3928</v>
      </c>
    </row>
    <row r="86" spans="1:5" ht="15.75" x14ac:dyDescent="0.25">
      <c r="A86" s="322" t="s">
        <v>4400</v>
      </c>
      <c r="B86" s="322" t="s">
        <v>1518</v>
      </c>
      <c r="C86" s="4" t="str">
        <f>HLOOKUP('Getting Started'!H$2,D:E,ROW(),FALSE)</f>
        <v xml:space="preserve">1. Presence of Biosafety Officer with nomination letter 
</v>
      </c>
      <c r="D86" s="4" t="s">
        <v>2210</v>
      </c>
      <c r="E86" s="303" t="s">
        <v>3929</v>
      </c>
    </row>
    <row r="87" spans="1:5" ht="15.75" x14ac:dyDescent="0.25">
      <c r="A87" s="322" t="s">
        <v>4401</v>
      </c>
      <c r="B87" s="322" t="s">
        <v>1519</v>
      </c>
      <c r="C87" s="4" t="str">
        <f>HLOOKUP('Getting Started'!H$2,D:E,ROW(),FALSE)</f>
        <v>1. Presence of tasks and responsbilities for  Biosafety Officer</v>
      </c>
      <c r="D87" s="4" t="s">
        <v>2211</v>
      </c>
      <c r="E87" s="303" t="s">
        <v>3930</v>
      </c>
    </row>
    <row r="88" spans="1:5" ht="30" x14ac:dyDescent="0.25">
      <c r="A88" s="322" t="s">
        <v>4402</v>
      </c>
      <c r="B88" s="322" t="s">
        <v>1520</v>
      </c>
      <c r="C88" s="4" t="str">
        <f>HLOOKUP('Getting Started'!H$2,D:E,ROW(),FALSE)</f>
        <v>1. All staff have been informed who is the Biosafety Officer (check in minute of meeting)</v>
      </c>
      <c r="D88" s="4" t="s">
        <v>2212</v>
      </c>
      <c r="E88" s="303" t="s">
        <v>3931</v>
      </c>
    </row>
    <row r="89" spans="1:5" ht="31.5" x14ac:dyDescent="0.25">
      <c r="A89" s="322" t="s">
        <v>4403</v>
      </c>
      <c r="B89" s="322" t="s">
        <v>1521</v>
      </c>
      <c r="C89" s="4" t="str">
        <f>HLOOKUP('Getting Started'!H$2,D:E,ROW(),FALSE)</f>
        <v>All staff members know the function of biosafety officer. At least the critical funtion of biosafety officer</v>
      </c>
      <c r="D89" s="4" t="s">
        <v>2213</v>
      </c>
      <c r="E89" s="303" t="s">
        <v>3932</v>
      </c>
    </row>
    <row r="90" spans="1:5" ht="31.5" x14ac:dyDescent="0.25">
      <c r="A90" s="322" t="s">
        <v>4404</v>
      </c>
      <c r="B90" s="322" t="s">
        <v>1522</v>
      </c>
      <c r="C90" s="4" t="str">
        <f>HLOOKUP('Getting Started'!H$2,D:E,ROW(),FALSE)</f>
        <v>Presence of equipment officer and the list of  his/her tasks</v>
      </c>
      <c r="D90" s="4" t="s">
        <v>2214</v>
      </c>
      <c r="E90" s="303" t="s">
        <v>3933</v>
      </c>
    </row>
    <row r="91" spans="1:5" ht="30" x14ac:dyDescent="0.25">
      <c r="A91" s="322" t="s">
        <v>4405</v>
      </c>
      <c r="B91" s="322" t="s">
        <v>1523</v>
      </c>
      <c r="C91" s="4" t="str">
        <f>HLOOKUP('Getting Started'!H$2,D:E,ROW(),FALSE)</f>
        <v>1. Equipment Officer has been trained as demonstrated by certificate of completion from trainings</v>
      </c>
      <c r="D91" s="4" t="s">
        <v>2215</v>
      </c>
      <c r="E91" s="303" t="s">
        <v>3934</v>
      </c>
    </row>
    <row r="92" spans="1:5" ht="15.75" x14ac:dyDescent="0.25">
      <c r="A92" s="322" t="s">
        <v>4406</v>
      </c>
      <c r="B92" s="322" t="s">
        <v>1524</v>
      </c>
      <c r="C92" s="4" t="str">
        <f>HLOOKUP('Getting Started'!H$2,D:E,ROW(),FALSE)</f>
        <v>Presence of final personnel job description of Equipment officer.</v>
      </c>
      <c r="D92" s="4" t="s">
        <v>2216</v>
      </c>
      <c r="E92" s="303" t="s">
        <v>3935</v>
      </c>
    </row>
    <row r="93" spans="1:5" ht="31.5" x14ac:dyDescent="0.25">
      <c r="A93" s="322" t="s">
        <v>4407</v>
      </c>
      <c r="B93" s="322" t="s">
        <v>1525</v>
      </c>
      <c r="C93" s="4" t="str">
        <f>HLOOKUP('Getting Started'!H$2,D:E,ROW(),FALSE)</f>
        <v>Presence of stock officer and the list of  his/her tasks</v>
      </c>
      <c r="D93" s="4" t="s">
        <v>2217</v>
      </c>
      <c r="E93" s="303" t="s">
        <v>3936</v>
      </c>
    </row>
    <row r="94" spans="1:5" ht="31.5" x14ac:dyDescent="0.25">
      <c r="A94" s="322" t="s">
        <v>4408</v>
      </c>
      <c r="B94" s="322" t="s">
        <v>1526</v>
      </c>
      <c r="C94" s="4" t="str">
        <f>HLOOKUP('Getting Started'!H$2,D:E,ROW(),FALSE)</f>
        <v>All staff members know the function of stock officer. At least the critical funtion of stock officer</v>
      </c>
      <c r="D94" s="4" t="s">
        <v>2218</v>
      </c>
      <c r="E94" s="303" t="s">
        <v>3937</v>
      </c>
    </row>
    <row r="95" spans="1:5" ht="31.5" x14ac:dyDescent="0.25">
      <c r="A95" s="322" t="s">
        <v>4409</v>
      </c>
      <c r="B95" s="322" t="s">
        <v>1527</v>
      </c>
      <c r="C95" s="4" t="str">
        <f>HLOOKUP('Getting Started'!H$2,D:E,ROW(),FALSE)</f>
        <v>1. All staff have been informed who is the Stock Officer (check in minute of meeting)</v>
      </c>
      <c r="D95" s="4" t="s">
        <v>2219</v>
      </c>
      <c r="E95" s="303" t="s">
        <v>3938</v>
      </c>
    </row>
    <row r="96" spans="1:5" ht="15.75" x14ac:dyDescent="0.25">
      <c r="A96" s="322" t="s">
        <v>4410</v>
      </c>
      <c r="B96" s="322" t="s">
        <v>1528</v>
      </c>
      <c r="C96" s="4" t="str">
        <f>HLOOKUP('Getting Started'!H$2,D:E,ROW(),FALSE)</f>
        <v>All staff members know the tasks and responsibilities of stock officer.</v>
      </c>
      <c r="D96" s="4" t="s">
        <v>2220</v>
      </c>
      <c r="E96" s="303" t="s">
        <v>3939</v>
      </c>
    </row>
    <row r="97" spans="1:5" ht="45" x14ac:dyDescent="0.25">
      <c r="A97" s="322" t="s">
        <v>4411</v>
      </c>
      <c r="B97" s="322" t="s">
        <v>1529</v>
      </c>
      <c r="C97" s="4" t="str">
        <f>HLOOKUP('Getting Started'!H$2,D:E,ROW(),FALSE)</f>
        <v>Presence of Organizational Chart showing the place of the laboratory within the total organization in laboratory document in the Quality Manual.</v>
      </c>
      <c r="D97" s="4" t="s">
        <v>2221</v>
      </c>
      <c r="E97" s="303" t="s">
        <v>3940</v>
      </c>
    </row>
    <row r="98" spans="1:5" ht="47.25" x14ac:dyDescent="0.25">
      <c r="A98" s="322" t="s">
        <v>4412</v>
      </c>
      <c r="B98" s="322" t="s">
        <v>1530</v>
      </c>
      <c r="C98" s="4" t="str">
        <f>HLOOKUP('Getting Started'!H$2,D:E,ROW(),FALSE)</f>
        <v>Presence of date and signature/stamp of hospital director on the Organizational Chart showing the place of the laboratory within the total organization.</v>
      </c>
      <c r="D98" s="4" t="s">
        <v>2222</v>
      </c>
      <c r="E98" s="303" t="s">
        <v>3941</v>
      </c>
    </row>
    <row r="99" spans="1:5" ht="31.5" x14ac:dyDescent="0.25">
      <c r="A99" s="322" t="s">
        <v>4413</v>
      </c>
      <c r="B99" s="322" t="s">
        <v>1531</v>
      </c>
      <c r="C99" s="4" t="str">
        <f>HLOOKUP('Getting Started'!H$2,D:E,ROW(),FALSE)</f>
        <v>Presence of Organizational chart  showing the organization of all positions within the laboratory in laboratory.</v>
      </c>
      <c r="D99" s="4" t="s">
        <v>2223</v>
      </c>
      <c r="E99" s="303" t="s">
        <v>3942</v>
      </c>
    </row>
    <row r="100" spans="1:5" ht="31.5" x14ac:dyDescent="0.25">
      <c r="A100" s="322" t="s">
        <v>4414</v>
      </c>
      <c r="B100" s="322" t="s">
        <v>1532</v>
      </c>
      <c r="C100" s="4" t="str">
        <f>HLOOKUP('Getting Started'!H$2,D:E,ROW(),FALSE)</f>
        <v>Presence of date and signature/stamp of laboratory chief on the Organizational Chart</v>
      </c>
      <c r="D100" s="4" t="s">
        <v>2224</v>
      </c>
      <c r="E100" s="303" t="s">
        <v>3943</v>
      </c>
    </row>
    <row r="101" spans="1:5" ht="15.75" x14ac:dyDescent="0.25">
      <c r="A101" s="322" t="s">
        <v>4415</v>
      </c>
      <c r="B101" s="322" t="s">
        <v>1533</v>
      </c>
      <c r="C101" s="4" t="str">
        <f>HLOOKUP('Getting Started'!H$2,D:E,ROW(),FALSE)</f>
        <v>1. Presence of organizational chart on the wall in the lab</v>
      </c>
      <c r="D101" s="4" t="s">
        <v>2225</v>
      </c>
      <c r="E101" s="303" t="s">
        <v>3944</v>
      </c>
    </row>
    <row r="102" spans="1:5" ht="15.75" x14ac:dyDescent="0.25">
      <c r="A102" s="322" t="s">
        <v>4416</v>
      </c>
      <c r="B102" s="322" t="s">
        <v>1533</v>
      </c>
      <c r="C102" s="4" t="str">
        <f>HLOOKUP('Getting Started'!H$2,D:E,ROW(),FALSE)</f>
        <v>2. Presence of a copy of the organizational chart in Quality Manual</v>
      </c>
      <c r="D102" s="4" t="s">
        <v>2226</v>
      </c>
      <c r="E102" s="303" t="s">
        <v>3945</v>
      </c>
    </row>
    <row r="103" spans="1:5" ht="31.5" x14ac:dyDescent="0.25">
      <c r="A103" s="322" t="s">
        <v>4417</v>
      </c>
      <c r="B103" s="322" t="s">
        <v>1506</v>
      </c>
      <c r="C103" s="4" t="str">
        <f>HLOOKUP('Getting Started'!H$2,D:E,ROW(),FALSE)</f>
        <v>1. a summary/presentation slides in Khmer language of  an introduction to quality and a publication by Walters (2011) existed.</v>
      </c>
      <c r="D103" s="4" t="s">
        <v>2230</v>
      </c>
      <c r="E103" s="303" t="s">
        <v>3946</v>
      </c>
    </row>
    <row r="104" spans="1:5" ht="15.75" x14ac:dyDescent="0.25">
      <c r="A104" s="322" t="s">
        <v>4418</v>
      </c>
      <c r="B104" s="322" t="s">
        <v>1506</v>
      </c>
      <c r="C104" s="4" t="str">
        <f>HLOOKUP('Getting Started'!H$2,D:E,ROW(),FALSE)</f>
        <v>2. Minute of meetings are existed.</v>
      </c>
      <c r="D104" s="4" t="s">
        <v>2227</v>
      </c>
      <c r="E104" s="303" t="s">
        <v>3947</v>
      </c>
    </row>
    <row r="105" spans="1:5" ht="15.75" x14ac:dyDescent="0.25">
      <c r="A105" s="322" t="s">
        <v>4419</v>
      </c>
      <c r="B105" s="322" t="s">
        <v>1506</v>
      </c>
      <c r="C105" s="4" t="str">
        <f>HLOOKUP('Getting Started'!H$2,D:E,ROW(),FALSE)</f>
        <v>3. Presence of the letter of committment.</v>
      </c>
      <c r="D105" s="4" t="s">
        <v>2228</v>
      </c>
      <c r="E105" s="303" t="s">
        <v>3948</v>
      </c>
    </row>
    <row r="106" spans="1:5" ht="15.75" x14ac:dyDescent="0.25">
      <c r="A106" s="322" t="s">
        <v>4420</v>
      </c>
      <c r="B106" s="322" t="s">
        <v>1506</v>
      </c>
      <c r="C106" s="4" t="str">
        <f>HLOOKUP('Getting Started'!H$2,D:E,ROW(),FALSE)</f>
        <v>4. Presence of letter of committment in the quality manual.</v>
      </c>
      <c r="D106" s="4" t="s">
        <v>2229</v>
      </c>
      <c r="E106" s="303" t="s">
        <v>3949</v>
      </c>
    </row>
    <row r="107" spans="1:5" ht="15.75" x14ac:dyDescent="0.25">
      <c r="A107" s="322" t="s">
        <v>4421</v>
      </c>
      <c r="B107" s="322" t="s">
        <v>1534</v>
      </c>
      <c r="C107" s="4" t="str">
        <f>HLOOKUP('Getting Started'!H$2,D:E,ROW(),FALSE)</f>
        <v>???</v>
      </c>
      <c r="D107" s="4" t="s">
        <v>2231</v>
      </c>
      <c r="E107" s="303" t="s">
        <v>2231</v>
      </c>
    </row>
    <row r="108" spans="1:5" ht="15.75" x14ac:dyDescent="0.25">
      <c r="A108" s="322" t="s">
        <v>4422</v>
      </c>
      <c r="B108" s="322" t="s">
        <v>1535</v>
      </c>
      <c r="C108" s="4" t="str">
        <f>HLOOKUP('Getting Started'!H$2,D:E,ROW(),FALSE)</f>
        <v>???</v>
      </c>
      <c r="D108" s="4" t="s">
        <v>2231</v>
      </c>
      <c r="E108" s="303" t="s">
        <v>2231</v>
      </c>
    </row>
    <row r="109" spans="1:5" ht="15.75" x14ac:dyDescent="0.25">
      <c r="A109" s="322" t="s">
        <v>4423</v>
      </c>
      <c r="B109" s="322" t="s">
        <v>1536</v>
      </c>
      <c r="C109" s="4" t="str">
        <f>HLOOKUP('Getting Started'!H$2,D:E,ROW(),FALSE)</f>
        <v>Presence of certificate of training in the perosnnel folder</v>
      </c>
      <c r="D109" s="4" t="s">
        <v>2232</v>
      </c>
      <c r="E109" s="303" t="s">
        <v>3950</v>
      </c>
    </row>
    <row r="110" spans="1:5" ht="31.5" x14ac:dyDescent="0.25">
      <c r="A110" s="322" t="s">
        <v>4424</v>
      </c>
      <c r="B110" s="322" t="s">
        <v>1537</v>
      </c>
      <c r="C110" s="4" t="str">
        <f>HLOOKUP('Getting Started'!H$2,D:E,ROW(),FALSE)</f>
        <v>1.​Presence of the copy of training certificate in Personnel Files.</v>
      </c>
      <c r="D110" s="4" t="s">
        <v>2233</v>
      </c>
      <c r="E110" s="303" t="s">
        <v>3951</v>
      </c>
    </row>
    <row r="111" spans="1:5" ht="15.75" x14ac:dyDescent="0.25">
      <c r="A111" s="322" t="s">
        <v>4425</v>
      </c>
      <c r="B111" s="322" t="s">
        <v>1538</v>
      </c>
      <c r="C111" s="4" t="str">
        <f>HLOOKUP('Getting Started'!H$2,D:E,ROW(),FALSE)</f>
        <v>1. Presence of Authorization Matrix</v>
      </c>
      <c r="D111" s="4" t="s">
        <v>2234</v>
      </c>
      <c r="E111" s="303" t="s">
        <v>3952</v>
      </c>
    </row>
    <row r="112" spans="1:5" ht="31.5" x14ac:dyDescent="0.25">
      <c r="A112" s="322" t="s">
        <v>4426</v>
      </c>
      <c r="B112" s="322" t="s">
        <v>1539</v>
      </c>
      <c r="C112" s="4" t="str">
        <f>HLOOKUP('Getting Started'!H$2,D:E,ROW(),FALSE)</f>
        <v>1. Authorization Matrix is signed and dated by Laboratory Manager</v>
      </c>
      <c r="D112" s="4" t="s">
        <v>2235</v>
      </c>
      <c r="E112" s="303" t="s">
        <v>3953</v>
      </c>
    </row>
    <row r="113" spans="1:5" ht="31.5" x14ac:dyDescent="0.25">
      <c r="A113" s="322" t="s">
        <v>4427</v>
      </c>
      <c r="B113" s="322" t="s">
        <v>1540</v>
      </c>
      <c r="C113" s="4" t="str">
        <f>HLOOKUP('Getting Started'!H$2,D:E,ROW(),FALSE)</f>
        <v>1. Presence of Authorization Matrix in the folder Organization (and/or on the information board?)</v>
      </c>
      <c r="D113" s="4" t="s">
        <v>2236</v>
      </c>
      <c r="E113" s="303" t="s">
        <v>3954</v>
      </c>
    </row>
    <row r="114" spans="1:5" ht="31.5" x14ac:dyDescent="0.25">
      <c r="A114" s="322" t="s">
        <v>4428</v>
      </c>
      <c r="B114" s="322" t="s">
        <v>1541</v>
      </c>
      <c r="C114" s="4" t="str">
        <f>HLOOKUP('Getting Started'!H$2,D:E,ROW(),FALSE)</f>
        <v>1. All staff members are know and sign the Authorization Matrix (minute of meeting)</v>
      </c>
      <c r="D114" s="4" t="s">
        <v>2237</v>
      </c>
      <c r="E114" s="303" t="s">
        <v>3955</v>
      </c>
    </row>
    <row r="115" spans="1:5" ht="173.25" x14ac:dyDescent="0.25">
      <c r="A115" s="322" t="s">
        <v>4429</v>
      </c>
      <c r="B115" s="322" t="s">
        <v>1544</v>
      </c>
      <c r="C115" s="4" t="str">
        <f>HLOOKUP('Getting Started'!H$2,D:E,ROW(),FALSE)</f>
        <v>Presence of all position job description in the folder of Organization such as:
    1. Laboratory Manager
    2. Quality Officer
    3. Biosafety Officer
    4. Equipment Officer
    5. Laboratory Technologist
    6. Internal Auditor
    7. Secretariat
    8. Stock officer
    9. Occupational Health ...etc.</v>
      </c>
      <c r="D115" s="4" t="s">
        <v>2238</v>
      </c>
      <c r="E115" s="303" t="s">
        <v>3956</v>
      </c>
    </row>
    <row r="116" spans="1:5" ht="31.5" x14ac:dyDescent="0.25">
      <c r="A116" s="322" t="s">
        <v>4430</v>
      </c>
      <c r="B116" s="322" t="s">
        <v>1546</v>
      </c>
      <c r="C116" s="4" t="str">
        <f>HLOOKUP('Getting Started'!H$2,D:E,ROW(),FALSE)</f>
        <v>Presence of Personal Job Descriptions for each staff in Personnel Files Folder</v>
      </c>
      <c r="D116" s="4" t="s">
        <v>2239</v>
      </c>
      <c r="E116" s="303" t="s">
        <v>3957</v>
      </c>
    </row>
    <row r="117" spans="1:5" ht="31.5" x14ac:dyDescent="0.25">
      <c r="A117" s="322" t="s">
        <v>4431</v>
      </c>
      <c r="B117" s="322" t="s">
        <v>1547</v>
      </c>
      <c r="C117" s="4" t="str">
        <f>HLOOKUP('Getting Started'!H$2,D:E,ROW(),FALSE)</f>
        <v>Presence of the job description (both position and personel job description) with date and signature of the staff and the management</v>
      </c>
      <c r="D117" s="4" t="s">
        <v>2240</v>
      </c>
      <c r="E117" s="303" t="s">
        <v>3958</v>
      </c>
    </row>
    <row r="118" spans="1:5" ht="31.5" x14ac:dyDescent="0.25">
      <c r="A118" s="322" t="s">
        <v>4432</v>
      </c>
      <c r="B118" s="322" t="s">
        <v>1548</v>
      </c>
      <c r="C118" s="4" t="str">
        <f>HLOOKUP('Getting Started'!H$2,D:E,ROW(),FALSE)</f>
        <v>Job description of all staff are orderly stored in the Personnel File folder</v>
      </c>
      <c r="D118" s="4" t="s">
        <v>2241</v>
      </c>
      <c r="E118" s="303" t="s">
        <v>3959</v>
      </c>
    </row>
    <row r="119" spans="1:5" ht="31.5" x14ac:dyDescent="0.25">
      <c r="A119" s="322" t="s">
        <v>4433</v>
      </c>
      <c r="B119" s="322" t="s">
        <v>1549</v>
      </c>
      <c r="C119" s="4" t="str">
        <f>HLOOKUP('Getting Started'!H$2,D:E,ROW(),FALSE)</f>
        <v>1. Presence of all copies of diplomas/certificates of each staff member in the folder of Personnel Files.</v>
      </c>
      <c r="D119" s="4" t="s">
        <v>2242</v>
      </c>
      <c r="E119" s="303" t="s">
        <v>3960</v>
      </c>
    </row>
    <row r="120" spans="1:5" ht="31.5" x14ac:dyDescent="0.25">
      <c r="A120" s="322" t="s">
        <v>4434</v>
      </c>
      <c r="B120" s="322" t="s">
        <v>1549</v>
      </c>
      <c r="C120" s="4" t="str">
        <f>HLOOKUP('Getting Started'!H$2,D:E,ROW(),FALSE)</f>
        <v>2. Presence of competency assessment report and upcoming training schedule/plan for each staff if needed (will see in phase 2).</v>
      </c>
      <c r="D120" s="4" t="s">
        <v>2243</v>
      </c>
      <c r="E120" s="303" t="s">
        <v>3961</v>
      </c>
    </row>
    <row r="121" spans="1:5" ht="15.75" x14ac:dyDescent="0.25">
      <c r="A121" s="322" t="s">
        <v>4435</v>
      </c>
      <c r="B121" s="322" t="s">
        <v>1551</v>
      </c>
      <c r="C121" s="4" t="str">
        <f>HLOOKUP('Getting Started'!H$2,D:E,ROW(),FALSE)</f>
        <v>1. Presence of inventory list for all equipment.</v>
      </c>
      <c r="D121" s="4" t="s">
        <v>2244</v>
      </c>
      <c r="E121" s="303" t="s">
        <v>3962</v>
      </c>
    </row>
    <row r="122" spans="1:5" ht="15.75" x14ac:dyDescent="0.25">
      <c r="A122" s="322" t="s">
        <v>4436</v>
      </c>
      <c r="B122" s="322" t="s">
        <v>1553</v>
      </c>
      <c r="C122" s="4" t="str">
        <f>HLOOKUP('Getting Started'!H$2,D:E,ROW(),FALSE)</f>
        <v xml:space="preserve">1. Presence of preventive maintenance logs </v>
      </c>
      <c r="D122" s="4" t="s">
        <v>2245</v>
      </c>
      <c r="E122" s="303" t="s">
        <v>3963</v>
      </c>
    </row>
    <row r="123" spans="1:5" ht="31.5" x14ac:dyDescent="0.25">
      <c r="A123" s="322" t="s">
        <v>4437</v>
      </c>
      <c r="B123" s="322" t="s">
        <v>1553</v>
      </c>
      <c r="C123" s="4" t="str">
        <f>HLOOKUP('Getting Started'!H$2,D:E,ROW(),FALSE)</f>
        <v>2. Presence of contract with supplier/manufacturer for regular maintenance service.</v>
      </c>
      <c r="D123" s="4" t="s">
        <v>2246</v>
      </c>
      <c r="E123" s="303" t="s">
        <v>3964</v>
      </c>
    </row>
    <row r="124" spans="1:5" ht="15.75" x14ac:dyDescent="0.25">
      <c r="A124" s="322" t="s">
        <v>4438</v>
      </c>
      <c r="B124" s="322" t="s">
        <v>1553</v>
      </c>
      <c r="C124" s="4" t="str">
        <f>HLOOKUP('Getting Started'!H$2,D:E,ROW(),FALSE)</f>
        <v>3. Presence of equipment corrective action log.</v>
      </c>
      <c r="D124" s="4" t="s">
        <v>2247</v>
      </c>
      <c r="E124" s="303" t="s">
        <v>3965</v>
      </c>
    </row>
    <row r="125" spans="1:5" ht="15.75" x14ac:dyDescent="0.25">
      <c r="A125" s="322" t="s">
        <v>4439</v>
      </c>
      <c r="B125" s="322" t="s">
        <v>1554</v>
      </c>
      <c r="C125" s="4" t="str">
        <f>HLOOKUP('Getting Started'!H$2,D:E,ROW(),FALSE)</f>
        <v>1. Presence of list of all critical spare parts needed for critical equipment.</v>
      </c>
      <c r="D125" s="4" t="s">
        <v>2248</v>
      </c>
      <c r="E125" s="303" t="s">
        <v>3966</v>
      </c>
    </row>
    <row r="126" spans="1:5" ht="15.75" x14ac:dyDescent="0.25">
      <c r="A126" s="322" t="s">
        <v>4440</v>
      </c>
      <c r="B126" s="322" t="s">
        <v>1554</v>
      </c>
      <c r="C126" s="4" t="str">
        <f>HLOOKUP('Getting Started'!H$2,D:E,ROW(),FALSE)</f>
        <v>2. Presence of those spare parts within the laboratory</v>
      </c>
      <c r="D126" s="4" t="s">
        <v>2249</v>
      </c>
      <c r="E126" s="303" t="s">
        <v>3967</v>
      </c>
    </row>
    <row r="127" spans="1:5" ht="126" x14ac:dyDescent="0.25">
      <c r="A127" s="322" t="s">
        <v>4441</v>
      </c>
      <c r="B127" s="322" t="s">
        <v>1555</v>
      </c>
      <c r="C127" s="4" t="str">
        <f>HLOOKUP('Getting Started'!H$2,D:E,ROW(),FALSE)</f>
        <v>Presence of SOPs for all pieces of equipment such as:
- BSC
- Centrifuge
- Spectrophotometer
- Blood count analyzer
- Incubator
- Freezer
- ...etc.</v>
      </c>
      <c r="D127" s="4" t="s">
        <v>2250</v>
      </c>
      <c r="E127" s="303" t="s">
        <v>3968</v>
      </c>
    </row>
    <row r="128" spans="1:5" ht="31.5" x14ac:dyDescent="0.25">
      <c r="A128" s="322" t="s">
        <v>4442</v>
      </c>
      <c r="B128" s="322" t="s">
        <v>1557</v>
      </c>
      <c r="C128" s="4" t="str">
        <f>HLOOKUP('Getting Started'!H$2,D:E,ROW(),FALSE)</f>
        <v>Presence of equipment SOPs nearby the location of equipment or accessible to all staff members</v>
      </c>
      <c r="D128" s="4" t="s">
        <v>2251</v>
      </c>
      <c r="E128" s="303" t="s">
        <v>3969</v>
      </c>
    </row>
    <row r="129" spans="1:5" ht="31.5" x14ac:dyDescent="0.25">
      <c r="A129" s="322" t="s">
        <v>4443</v>
      </c>
      <c r="B129" s="322" t="s">
        <v>1559</v>
      </c>
      <c r="C129" s="4" t="str">
        <f>HLOOKUP('Getting Started'!H$2,D:E,ROW(),FALSE)</f>
        <v>1. Presence of  Stock Card for every item in Stock Inventory Register folder</v>
      </c>
      <c r="D129" s="4" t="s">
        <v>2253</v>
      </c>
      <c r="E129" s="303" t="s">
        <v>3970</v>
      </c>
    </row>
    <row r="130" spans="1:5" ht="15.75" x14ac:dyDescent="0.25">
      <c r="A130" s="322" t="s">
        <v>4444</v>
      </c>
      <c r="B130" s="322" t="s">
        <v>1559</v>
      </c>
      <c r="C130" s="4" t="str">
        <f>HLOOKUP('Getting Started'!H$2,D:E,ROW(),FALSE)</f>
        <v>2. Present of up to date stock card for every item</v>
      </c>
      <c r="D130" s="4" t="s">
        <v>2252</v>
      </c>
      <c r="E130" s="303" t="s">
        <v>3971</v>
      </c>
    </row>
    <row r="131" spans="1:5" ht="15.75" x14ac:dyDescent="0.25">
      <c r="A131" s="322" t="s">
        <v>4445</v>
      </c>
      <c r="B131" s="322" t="s">
        <v>1559</v>
      </c>
      <c r="C131" s="4" t="str">
        <f>HLOOKUP('Getting Started'!H$2,D:E,ROW(),FALSE)</f>
        <v>3. Presence of minute of meeting</v>
      </c>
      <c r="D131" s="4" t="s">
        <v>2254</v>
      </c>
      <c r="E131" s="303" t="s">
        <v>3972</v>
      </c>
    </row>
    <row r="132" spans="1:5" ht="15.75" x14ac:dyDescent="0.25">
      <c r="A132" s="322" t="s">
        <v>4446</v>
      </c>
      <c r="B132" s="322" t="s">
        <v>1560</v>
      </c>
      <c r="C132" s="4" t="str">
        <f>HLOOKUP('Getting Started'!H$2,D:E,ROW(),FALSE)</f>
        <v>1. Actual number of each item match with number in Stock Card.</v>
      </c>
      <c r="D132" s="4" t="s">
        <v>2255</v>
      </c>
      <c r="E132" s="303" t="s">
        <v>3973</v>
      </c>
    </row>
    <row r="133" spans="1:5" ht="15.75" x14ac:dyDescent="0.25">
      <c r="A133" s="322" t="s">
        <v>4447</v>
      </c>
      <c r="B133" s="322" t="s">
        <v>1561</v>
      </c>
      <c r="C133" s="4" t="str">
        <f>HLOOKUP('Getting Started'!H$2,D:E,ROW(),FALSE)</f>
        <v>1. Presence of procedure for taking items from the stock</v>
      </c>
      <c r="D133" s="4" t="s">
        <v>2256</v>
      </c>
      <c r="E133" s="303" t="s">
        <v>3974</v>
      </c>
    </row>
    <row r="134" spans="1:5" ht="15.75" x14ac:dyDescent="0.25">
      <c r="A134" s="322" t="s">
        <v>4448</v>
      </c>
      <c r="B134" s="322" t="s">
        <v>1561</v>
      </c>
      <c r="C134" s="4" t="str">
        <f>HLOOKUP('Getting Started'!H$2,D:E,ROW(),FALSE)</f>
        <v>2. Presence of the Read and Understand List</v>
      </c>
      <c r="D134" s="4" t="s">
        <v>2257</v>
      </c>
      <c r="E134" s="303" t="s">
        <v>3975</v>
      </c>
    </row>
    <row r="135" spans="1:5" ht="15.75" x14ac:dyDescent="0.25">
      <c r="A135" s="322" t="s">
        <v>4449</v>
      </c>
      <c r="B135" s="322" t="s">
        <v>1562</v>
      </c>
      <c r="C135" s="4" t="str">
        <f>HLOOKUP('Getting Started'!H$2,D:E,ROW(),FALSE)</f>
        <v>1. Presence of up-to-date Request Form including all required elements</v>
      </c>
      <c r="D135" s="4" t="s">
        <v>2258</v>
      </c>
      <c r="E135" s="303" t="s">
        <v>3976</v>
      </c>
    </row>
    <row r="136" spans="1:5" ht="15.75" x14ac:dyDescent="0.25">
      <c r="A136" s="322" t="s">
        <v>4450</v>
      </c>
      <c r="B136" s="322" t="s">
        <v>1563</v>
      </c>
      <c r="C136" s="4" t="str">
        <f>HLOOKUP('Getting Started'!H$2,D:E,ROW(),FALSE)</f>
        <v>1. Presence of clearly printed request form</v>
      </c>
      <c r="D136" s="4" t="s">
        <v>2259</v>
      </c>
      <c r="E136" s="303" t="s">
        <v>3977</v>
      </c>
    </row>
    <row r="137" spans="1:5" ht="15.75" x14ac:dyDescent="0.25">
      <c r="A137" s="322" t="s">
        <v>4451</v>
      </c>
      <c r="B137" s="322" t="s">
        <v>1564</v>
      </c>
      <c r="C137" s="4" t="str">
        <f>HLOOKUP('Getting Started'!H$2,D:E,ROW(),FALSE)</f>
        <v>Presence minute of the meeting.</v>
      </c>
      <c r="D137" s="4" t="s">
        <v>2260</v>
      </c>
      <c r="E137" s="303" t="s">
        <v>3978</v>
      </c>
    </row>
    <row r="138" spans="1:5" ht="15.75" x14ac:dyDescent="0.25">
      <c r="A138" s="322" t="s">
        <v>4452</v>
      </c>
      <c r="B138" s="322" t="s">
        <v>1565</v>
      </c>
      <c r="C138" s="4" t="str">
        <f>HLOOKUP('Getting Started'!H$2,D:E,ROW(),FALSE)</f>
        <v>1. Presence of the list of all tests performed in the laboratory.</v>
      </c>
      <c r="D138" s="4" t="s">
        <v>2261</v>
      </c>
      <c r="E138" s="303" t="s">
        <v>3979</v>
      </c>
    </row>
    <row r="139" spans="1:5" ht="15.75" x14ac:dyDescent="0.25">
      <c r="A139" s="322" t="s">
        <v>4453</v>
      </c>
      <c r="B139" s="322" t="s">
        <v>1565</v>
      </c>
      <c r="C139" s="4" t="str">
        <f>HLOOKUP('Getting Started'!H$2,D:E,ROW(),FALSE)</f>
        <v>2. Presence of the SOPs on all tests</v>
      </c>
      <c r="D139" s="4" t="s">
        <v>2262</v>
      </c>
      <c r="E139" s="303" t="s">
        <v>3980</v>
      </c>
    </row>
    <row r="140" spans="1:5" ht="15.75" x14ac:dyDescent="0.25">
      <c r="A140" s="322" t="s">
        <v>4454</v>
      </c>
      <c r="B140" s="322" t="s">
        <v>1565</v>
      </c>
      <c r="C140" s="4" t="str">
        <f>HLOOKUP('Getting Started'!H$2,D:E,ROW(),FALSE)</f>
        <v>3. Presence of the Read and Understand List</v>
      </c>
      <c r="D140" s="4" t="s">
        <v>2263</v>
      </c>
      <c r="E140" s="303" t="s">
        <v>3981</v>
      </c>
    </row>
    <row r="141" spans="1:5" ht="31.5" x14ac:dyDescent="0.25">
      <c r="A141" s="322" t="s">
        <v>4455</v>
      </c>
      <c r="B141" s="322" t="s">
        <v>1569</v>
      </c>
      <c r="C141" s="4" t="str">
        <f>HLOOKUP('Getting Started'!H$2,D:E,ROW(),FALSE)</f>
        <v>1. Presence of Master SOP</v>
      </c>
      <c r="D141" s="4" t="s">
        <v>2264</v>
      </c>
      <c r="E141" s="303" t="s">
        <v>3982</v>
      </c>
    </row>
    <row r="142" spans="1:5" ht="15.75" x14ac:dyDescent="0.25">
      <c r="A142" s="322" t="s">
        <v>4456</v>
      </c>
      <c r="B142" s="322" t="s">
        <v>1569</v>
      </c>
      <c r="C142" s="4" t="str">
        <f>HLOOKUP('Getting Started'!H$2,D:E,ROW(),FALSE)</f>
        <v>2. Presence of folder named  "Procedure SOPs". with Master SOP inside.</v>
      </c>
      <c r="D142" s="4" t="s">
        <v>2265</v>
      </c>
      <c r="E142" s="303" t="s">
        <v>3983</v>
      </c>
    </row>
    <row r="143" spans="1:5" ht="15.75" x14ac:dyDescent="0.25">
      <c r="A143" s="322" t="s">
        <v>4457</v>
      </c>
      <c r="B143" s="322" t="s">
        <v>1569</v>
      </c>
      <c r="C143" s="4" t="str">
        <f>HLOOKUP('Getting Started'!H$2,D:E,ROW(),FALSE)</f>
        <v>3. Presence of the Read and Understand List.</v>
      </c>
      <c r="D143" s="4" t="s">
        <v>2266</v>
      </c>
      <c r="E143" s="303" t="s">
        <v>3981</v>
      </c>
    </row>
    <row r="144" spans="1:5" x14ac:dyDescent="0.25">
      <c r="A144" s="322" t="s">
        <v>5315</v>
      </c>
      <c r="B144" s="322" t="s">
        <v>1572</v>
      </c>
      <c r="C144" s="4" t="str">
        <f>HLOOKUP('Getting Started'!H$2,D:E,ROW(),FALSE)</f>
        <v>1. Presence of the "Authorized Personnel Only" sign on the entry doors.</v>
      </c>
      <c r="D144" s="4" t="s">
        <v>2267</v>
      </c>
    </row>
    <row r="145" spans="1:5" ht="30" x14ac:dyDescent="0.25">
      <c r="A145" s="322" t="s">
        <v>5316</v>
      </c>
      <c r="B145" s="322" t="s">
        <v>1573</v>
      </c>
      <c r="C145" s="4" t="str">
        <f>HLOOKUP('Getting Started'!H$2,D:E,ROW(),FALSE)</f>
        <v>1. Presence of a lock on the entrance door(s) and only a door handle on the inside of the door.</v>
      </c>
      <c r="D145" s="4" t="s">
        <v>2268</v>
      </c>
    </row>
    <row r="146" spans="1:5" x14ac:dyDescent="0.25">
      <c r="A146" s="322" t="s">
        <v>5317</v>
      </c>
      <c r="B146" s="322" t="s">
        <v>1574</v>
      </c>
      <c r="C146" s="4" t="str">
        <f>HLOOKUP('Getting Started'!H$2,D:E,ROW(),FALSE)</f>
        <v>Primary sample collection area is separated from the laboratory rooms.</v>
      </c>
      <c r="D146" s="4" t="s">
        <v>2269</v>
      </c>
    </row>
    <row r="147" spans="1:5" ht="47.25" x14ac:dyDescent="0.25">
      <c r="A147" s="322" t="s">
        <v>5318</v>
      </c>
      <c r="B147" s="322" t="s">
        <v>1576</v>
      </c>
      <c r="C147" s="4" t="str">
        <f>HLOOKUP('Getting Started'!H$2,D:E,ROW(),FALSE)</f>
        <v>Presence of different processing rooms/areas:
1. General analyzing laboratory room (hem, bio, sero/immuno)</v>
      </c>
      <c r="D147" s="4" t="s">
        <v>2309</v>
      </c>
      <c r="E147" s="303" t="s">
        <v>3984</v>
      </c>
    </row>
    <row r="148" spans="1:5" ht="15.75" x14ac:dyDescent="0.25">
      <c r="A148" s="322" t="s">
        <v>5319</v>
      </c>
      <c r="B148" s="322" t="s">
        <v>1576</v>
      </c>
      <c r="C148" s="4" t="str">
        <f>HLOOKUP('Getting Started'!H$2,D:E,ROW(),FALSE)</f>
        <v>3. TB microscopy room</v>
      </c>
      <c r="D148" s="4" t="s">
        <v>2302</v>
      </c>
      <c r="E148" s="303" t="s">
        <v>3985</v>
      </c>
    </row>
    <row r="149" spans="1:5" ht="15.75" x14ac:dyDescent="0.25">
      <c r="A149" s="322" t="s">
        <v>5320</v>
      </c>
      <c r="B149" s="322" t="s">
        <v>1576</v>
      </c>
      <c r="C149" s="4" t="str">
        <f>HLOOKUP('Getting Started'!H$2,D:E,ROW(),FALSE)</f>
        <v xml:space="preserve">4. TB Culture room </v>
      </c>
      <c r="D149" s="4" t="s">
        <v>2303</v>
      </c>
      <c r="E149" s="303" t="s">
        <v>3986</v>
      </c>
    </row>
    <row r="150" spans="1:5" ht="15.75" x14ac:dyDescent="0.25">
      <c r="A150" s="322" t="s">
        <v>5321</v>
      </c>
      <c r="B150" s="322" t="s">
        <v>1576</v>
      </c>
      <c r="C150" s="4" t="str">
        <f>HLOOKUP('Getting Started'!H$2,D:E,ROW(),FALSE)</f>
        <v>5. TB Drug Susceptibility testing room.</v>
      </c>
      <c r="D150" s="4" t="s">
        <v>2304</v>
      </c>
      <c r="E150" s="303" t="s">
        <v>3987</v>
      </c>
    </row>
    <row r="151" spans="1:5" ht="15.75" x14ac:dyDescent="0.25">
      <c r="A151" s="322" t="s">
        <v>5322</v>
      </c>
      <c r="B151" s="322" t="s">
        <v>1576</v>
      </c>
      <c r="C151" s="4" t="str">
        <f>HLOOKUP('Getting Started'!H$2,D:E,ROW(),FALSE)</f>
        <v>6. Microbiology room</v>
      </c>
      <c r="D151" s="4" t="s">
        <v>2305</v>
      </c>
      <c r="E151" s="303" t="s">
        <v>3988</v>
      </c>
    </row>
    <row r="152" spans="1:5" ht="15.75" x14ac:dyDescent="0.25">
      <c r="A152" s="322" t="s">
        <v>5323</v>
      </c>
      <c r="B152" s="322" t="s">
        <v>1576</v>
      </c>
      <c r="C152" s="4" t="str">
        <f>HLOOKUP('Getting Started'!H$2,D:E,ROW(),FALSE)</f>
        <v>7. Media preparation room</v>
      </c>
      <c r="D152" s="4" t="s">
        <v>2306</v>
      </c>
      <c r="E152" s="303" t="s">
        <v>3989</v>
      </c>
    </row>
    <row r="153" spans="1:5" ht="15.75" x14ac:dyDescent="0.25">
      <c r="A153" s="322" t="s">
        <v>5324</v>
      </c>
      <c r="B153" s="322" t="s">
        <v>1576</v>
      </c>
      <c r="C153" s="4" t="str">
        <f>HLOOKUP('Getting Started'!H$2,D:E,ROW(),FALSE)</f>
        <v>8. Waste autoclaving and glassware room</v>
      </c>
      <c r="D153" s="4" t="s">
        <v>2307</v>
      </c>
      <c r="E153" s="303" t="s">
        <v>3990</v>
      </c>
    </row>
    <row r="154" spans="1:5" ht="31.5" x14ac:dyDescent="0.25">
      <c r="A154" s="322" t="s">
        <v>5325</v>
      </c>
      <c r="B154" s="322" t="s">
        <v>1576</v>
      </c>
      <c r="C154" s="4" t="str">
        <f>HLOOKUP('Getting Started'!H$2,D:E,ROW(),FALSE)</f>
        <v>9. Storage areas for clothing, personal items and personal protective equipment</v>
      </c>
      <c r="D154" s="4" t="s">
        <v>2308</v>
      </c>
      <c r="E154" s="303" t="s">
        <v>3991</v>
      </c>
    </row>
    <row r="155" spans="1:5" ht="31.5" x14ac:dyDescent="0.25">
      <c r="A155" s="322" t="s">
        <v>5326</v>
      </c>
      <c r="B155" s="322" t="s">
        <v>1577</v>
      </c>
      <c r="C155" s="4" t="str">
        <f>HLOOKUP('Getting Started'!H$2,D:E,ROW(),FALSE)</f>
        <v>Presence of cleaning of laboratory glassware/tools room separated from the laboratory room.</v>
      </c>
      <c r="D155" s="4" t="s">
        <v>2270</v>
      </c>
      <c r="E155" s="303" t="s">
        <v>3992</v>
      </c>
    </row>
    <row r="156" spans="1:5" ht="31.5" x14ac:dyDescent="0.25">
      <c r="A156" s="322" t="s">
        <v>5327</v>
      </c>
      <c r="B156" s="322" t="s">
        <v>1578</v>
      </c>
      <c r="C156" s="4" t="str">
        <f>HLOOKUP('Getting Started'!H$2,D:E,ROW(),FALSE)</f>
        <v>1. Presence of work efficiency floor plan (Spaghetti diagram) in folder of "Organization".</v>
      </c>
      <c r="D156" s="4" t="s">
        <v>2271</v>
      </c>
      <c r="E156" s="303" t="s">
        <v>3993</v>
      </c>
    </row>
    <row r="157" spans="1:5" ht="15.75" x14ac:dyDescent="0.25">
      <c r="A157" s="322" t="s">
        <v>5328</v>
      </c>
      <c r="B157" s="322" t="s">
        <v>1578</v>
      </c>
      <c r="C157" s="4" t="str">
        <f>HLOOKUP('Getting Started'!H$2,D:E,ROW(),FALSE)</f>
        <v>2.  Laboratory has unidirectional workflow.</v>
      </c>
      <c r="D157" s="4" t="s">
        <v>2272</v>
      </c>
      <c r="E157" s="303" t="s">
        <v>3994</v>
      </c>
    </row>
    <row r="158" spans="1:5" ht="15.75" x14ac:dyDescent="0.25">
      <c r="A158" s="322" t="s">
        <v>5329</v>
      </c>
      <c r="B158" s="322" t="s">
        <v>1579</v>
      </c>
      <c r="C158" s="4" t="str">
        <f>HLOOKUP('Getting Started'!H$2,D:E,ROW(),FALSE)</f>
        <v>Presence of an office area/room separated from laboratory room.</v>
      </c>
      <c r="D158" s="4" t="s">
        <v>2273</v>
      </c>
      <c r="E158" s="303" t="s">
        <v>3995</v>
      </c>
    </row>
    <row r="159" spans="1:5" ht="31.5" x14ac:dyDescent="0.25">
      <c r="A159" s="322" t="s">
        <v>5330</v>
      </c>
      <c r="B159" s="322" t="s">
        <v>1580</v>
      </c>
      <c r="C159" s="4" t="str">
        <f>HLOOKUP('Getting Started'!H$2,D:E,ROW(),FALSE)</f>
        <v>Presence of a room where staff can have breaks/lunch (not in laboratory rooms!).</v>
      </c>
      <c r="D159" s="4" t="s">
        <v>2274</v>
      </c>
      <c r="E159" s="303" t="s">
        <v>3996</v>
      </c>
    </row>
    <row r="160" spans="1:5" ht="15.75" x14ac:dyDescent="0.25">
      <c r="A160" s="322" t="s">
        <v>5331</v>
      </c>
      <c r="B160" s="322" t="s">
        <v>1581</v>
      </c>
      <c r="C160" s="4" t="str">
        <f>HLOOKUP('Getting Started'!H$2,D:E,ROW(),FALSE)</f>
        <v>Presence of a telephone/intercom system in the rooms where necessary.</v>
      </c>
      <c r="D160" s="4" t="s">
        <v>2275</v>
      </c>
      <c r="E160" s="303" t="s">
        <v>3997</v>
      </c>
    </row>
    <row r="161" spans="1:5" ht="31.5" x14ac:dyDescent="0.25">
      <c r="A161" s="322" t="s">
        <v>5332</v>
      </c>
      <c r="B161" s="322" t="s">
        <v>1582</v>
      </c>
      <c r="C161" s="4" t="str">
        <f>HLOOKUP('Getting Started'!H$2,D:E,ROW(),FALSE)</f>
        <v>Presence of the emergency numbers (fire, police, ambulance,...etc.) on the wall near the communication system.</v>
      </c>
      <c r="D161" s="4" t="s">
        <v>2276</v>
      </c>
      <c r="E161" s="303" t="s">
        <v>3998</v>
      </c>
    </row>
    <row r="162" spans="1:5" ht="31.5" x14ac:dyDescent="0.25">
      <c r="A162" s="322" t="s">
        <v>5333</v>
      </c>
      <c r="B162" s="322" t="s">
        <v>1583</v>
      </c>
      <c r="C162" s="4" t="str">
        <f>HLOOKUP('Getting Started'!H$2,D:E,ROW(),FALSE)</f>
        <v>Presence of signage states that mobile phone is forbidden in laboratory rooms.</v>
      </c>
      <c r="D162" s="4" t="s">
        <v>2277</v>
      </c>
      <c r="E162" s="303" t="s">
        <v>3999</v>
      </c>
    </row>
    <row r="163" spans="1:5" ht="30" x14ac:dyDescent="0.25">
      <c r="A163" s="322" t="s">
        <v>5334</v>
      </c>
      <c r="B163" s="322" t="s">
        <v>1584</v>
      </c>
      <c r="C163" s="4" t="str">
        <f>HLOOKUP('Getting Started'!H$2,D:E,ROW(),FALSE)</f>
        <v>1. Presence of a list of equipment that should be connected to a generator.</v>
      </c>
      <c r="D163" s="4" t="s">
        <v>2280</v>
      </c>
      <c r="E163" s="303" t="s">
        <v>4000</v>
      </c>
    </row>
    <row r="164" spans="1:5" ht="15.75" x14ac:dyDescent="0.25">
      <c r="A164" s="322" t="s">
        <v>5335</v>
      </c>
      <c r="B164" s="322" t="s">
        <v>1584</v>
      </c>
      <c r="C164" s="4" t="str">
        <f>HLOOKUP('Getting Started'!H$2,D:E,ROW(),FALSE)</f>
        <v>2. Presence of  a list of equipment that should be connected to a UPS.</v>
      </c>
      <c r="D164" s="4" t="s">
        <v>2278</v>
      </c>
      <c r="E164" s="303" t="s">
        <v>4001</v>
      </c>
    </row>
    <row r="165" spans="1:5" ht="31.5" x14ac:dyDescent="0.25">
      <c r="A165" s="322" t="s">
        <v>5336</v>
      </c>
      <c r="B165" s="322" t="s">
        <v>1584</v>
      </c>
      <c r="C165" s="4" t="str">
        <f>HLOOKUP('Getting Started'!H$2,D:E,ROW(),FALSE)</f>
        <v>3. Presence of a list of equipment that should be connected to a voltage regulator/stabilizer.</v>
      </c>
      <c r="D165" s="4" t="s">
        <v>2279</v>
      </c>
      <c r="E165" s="303" t="s">
        <v>4002</v>
      </c>
    </row>
    <row r="166" spans="1:5" ht="31.5" x14ac:dyDescent="0.25">
      <c r="A166" s="322" t="s">
        <v>5337</v>
      </c>
      <c r="B166" s="322" t="s">
        <v>1585</v>
      </c>
      <c r="C166" s="4" t="str">
        <f>HLOOKUP('Getting Started'!H$2,D:E,ROW(),FALSE)</f>
        <v>All necessary equipment are connected to generator, UPS, voltage stabilizer</v>
      </c>
      <c r="D166" s="4" t="s">
        <v>2281</v>
      </c>
      <c r="E166" s="303" t="s">
        <v>4003</v>
      </c>
    </row>
    <row r="167" spans="1:5" ht="47.25" x14ac:dyDescent="0.25">
      <c r="A167" s="322" t="s">
        <v>5338</v>
      </c>
      <c r="B167" s="322" t="s">
        <v>1586</v>
      </c>
      <c r="C167" s="4" t="str">
        <f>HLOOKUP('Getting Started'!H$2,D:E,ROW(),FALSE)</f>
        <v>Presence of a visual indicator (i.e. a piece of tissue-paper) for directional airflow in the laboratory rooms/benchs/BSC which work with the airbone pathogenes.</v>
      </c>
      <c r="D167" s="4" t="s">
        <v>2282</v>
      </c>
      <c r="E167" s="303" t="s">
        <v>4004</v>
      </c>
    </row>
    <row r="168" spans="1:5" ht="15.75" x14ac:dyDescent="0.25">
      <c r="A168" s="322" t="s">
        <v>5339</v>
      </c>
      <c r="B168" s="322" t="s">
        <v>1587</v>
      </c>
      <c r="C168" s="4" t="str">
        <f>HLOOKUP('Getting Started'!H$2,D:E,ROW(),FALSE)</f>
        <v xml:space="preserve">Presence of "Hazardous Material Register". </v>
      </c>
      <c r="D168" s="4" t="s">
        <v>2283</v>
      </c>
      <c r="E168" s="303" t="s">
        <v>4005</v>
      </c>
    </row>
    <row r="169" spans="1:5" ht="15.75" x14ac:dyDescent="0.25">
      <c r="A169" s="322" t="s">
        <v>5340</v>
      </c>
      <c r="B169" s="322" t="s">
        <v>1588</v>
      </c>
      <c r="C169" s="4" t="str">
        <f>HLOOKUP('Getting Started'!H$2,D:E,ROW(),FALSE)</f>
        <v>Hazardous Material Register is up to date</v>
      </c>
      <c r="D169" s="4" t="s">
        <v>2284</v>
      </c>
      <c r="E169" s="303" t="s">
        <v>4006</v>
      </c>
    </row>
    <row r="170" spans="1:5" ht="15.75" x14ac:dyDescent="0.25">
      <c r="A170" s="322" t="s">
        <v>5341</v>
      </c>
      <c r="B170" s="322" t="s">
        <v>1589</v>
      </c>
      <c r="C170" s="4" t="str">
        <f>HLOOKUP('Getting Started'!H$2,D:E,ROW(),FALSE)</f>
        <v>1. Presence of MSDS folder with MSDS sheet</v>
      </c>
      <c r="D170" s="4" t="s">
        <v>2288</v>
      </c>
      <c r="E170" s="303" t="s">
        <v>4007</v>
      </c>
    </row>
    <row r="171" spans="1:5" ht="15.75" x14ac:dyDescent="0.25">
      <c r="A171" s="322" t="s">
        <v>5342</v>
      </c>
      <c r="B171" s="322" t="s">
        <v>1589</v>
      </c>
      <c r="C171" s="4" t="str">
        <f>HLOOKUP('Getting Started'!H$2,D:E,ROW(),FALSE)</f>
        <v>2. Presence of minute of meeting</v>
      </c>
      <c r="D171" s="4" t="s">
        <v>2289</v>
      </c>
      <c r="E171" s="303" t="s">
        <v>4008</v>
      </c>
    </row>
    <row r="172" spans="1:5" ht="31.5" x14ac:dyDescent="0.25">
      <c r="A172" s="322" t="s">
        <v>5343</v>
      </c>
      <c r="B172" s="322" t="s">
        <v>1590</v>
      </c>
      <c r="C172" s="4" t="str">
        <f>HLOOKUP('Getting Started'!H$2,D:E,ROW(),FALSE)</f>
        <v>Presence of monitoring logsheet, which include the critical intervals, for:
1. Temperature of incubators</v>
      </c>
      <c r="D172" s="4" t="s">
        <v>2301</v>
      </c>
      <c r="E172" s="303" t="s">
        <v>4009</v>
      </c>
    </row>
    <row r="173" spans="1:5" ht="15.75" x14ac:dyDescent="0.25">
      <c r="A173" s="322" t="s">
        <v>5344</v>
      </c>
      <c r="B173" s="322" t="s">
        <v>1590</v>
      </c>
      <c r="C173" s="4" t="str">
        <f>HLOOKUP('Getting Started'!H$2,D:E,ROW(),FALSE)</f>
        <v>2. Temperature of refrigerators and freezers</v>
      </c>
      <c r="D173" s="4" t="s">
        <v>2297</v>
      </c>
      <c r="E173" s="303" t="s">
        <v>4010</v>
      </c>
    </row>
    <row r="174" spans="1:5" ht="15.75" x14ac:dyDescent="0.25">
      <c r="A174" s="322" t="s">
        <v>5345</v>
      </c>
      <c r="B174" s="322" t="s">
        <v>1590</v>
      </c>
      <c r="C174" s="4" t="str">
        <f>HLOOKUP('Getting Started'!H$2,D:E,ROW(),FALSE)</f>
        <v>3. Environmental temperature</v>
      </c>
      <c r="D174" s="4" t="s">
        <v>2298</v>
      </c>
      <c r="E174" s="303" t="s">
        <v>4011</v>
      </c>
    </row>
    <row r="175" spans="1:5" ht="31.5" x14ac:dyDescent="0.25">
      <c r="A175" s="322" t="s">
        <v>5346</v>
      </c>
      <c r="B175" s="322" t="s">
        <v>1590</v>
      </c>
      <c r="C175" s="4" t="str">
        <f>HLOOKUP('Getting Started'!H$2,D:E,ROW(),FALSE)</f>
        <v>4. Environmental pressure</v>
      </c>
      <c r="D175" s="4" t="s">
        <v>2299</v>
      </c>
      <c r="E175" s="303" t="s">
        <v>4012</v>
      </c>
    </row>
    <row r="176" spans="1:5" ht="15.75" x14ac:dyDescent="0.25">
      <c r="A176" s="322" t="s">
        <v>5347</v>
      </c>
      <c r="B176" s="322" t="s">
        <v>1590</v>
      </c>
      <c r="C176" s="4" t="str">
        <f>HLOOKUP('Getting Started'!H$2,D:E,ROW(),FALSE)</f>
        <v>5. Calibration of equipment</v>
      </c>
      <c r="D176" s="4" t="s">
        <v>2300</v>
      </c>
      <c r="E176" s="303" t="s">
        <v>4013</v>
      </c>
    </row>
    <row r="177" spans="1:5" ht="31.5" x14ac:dyDescent="0.25">
      <c r="A177" s="322" t="s">
        <v>5348</v>
      </c>
      <c r="B177" s="322" t="s">
        <v>1591</v>
      </c>
      <c r="C177" s="4" t="str">
        <f>HLOOKUP('Getting Started'!H$2,D:E,ROW(),FALSE)</f>
        <v>1. Presence of each parameter the frequency with which it should be monitored (e.g. daily/weekly/monthly).</v>
      </c>
      <c r="D177" s="4" t="s">
        <v>2294</v>
      </c>
      <c r="E177" s="303" t="s">
        <v>4014</v>
      </c>
    </row>
    <row r="178" spans="1:5" ht="30" x14ac:dyDescent="0.25">
      <c r="A178" s="322" t="s">
        <v>5349</v>
      </c>
      <c r="B178" s="322" t="s">
        <v>1591</v>
      </c>
      <c r="C178" s="4" t="str">
        <f>HLOOKUP('Getting Started'!H$2,D:E,ROW(),FALSE)</f>
        <v>2. Presence of responsible persons for the task of monitoring the various parameters.</v>
      </c>
      <c r="D178" s="4" t="s">
        <v>2291</v>
      </c>
      <c r="E178" s="303" t="s">
        <v>4015</v>
      </c>
    </row>
    <row r="179" spans="1:5" ht="31.5" x14ac:dyDescent="0.25">
      <c r="A179" s="322" t="s">
        <v>5350</v>
      </c>
      <c r="B179" s="322" t="s">
        <v>1591</v>
      </c>
      <c r="C179" s="4" t="str">
        <f>HLOOKUP('Getting Started'!H$2,D:E,ROW(),FALSE)</f>
        <v>3. Parameters are reviewed and signed monthly by lab manager/quality officer</v>
      </c>
      <c r="D179" s="4" t="s">
        <v>2292</v>
      </c>
      <c r="E179" s="303" t="s">
        <v>4016</v>
      </c>
    </row>
    <row r="180" spans="1:5" ht="15.75" x14ac:dyDescent="0.25">
      <c r="A180" s="322" t="s">
        <v>5351</v>
      </c>
      <c r="B180" s="322" t="s">
        <v>1591</v>
      </c>
      <c r="C180" s="4" t="str">
        <f>HLOOKUP('Getting Started'!H$2,D:E,ROW(),FALSE)</f>
        <v>4. Presence of corrective actions taken and documented.</v>
      </c>
      <c r="D180" s="4" t="s">
        <v>2293</v>
      </c>
      <c r="E180" s="303" t="s">
        <v>4017</v>
      </c>
    </row>
    <row r="181" spans="1:5" ht="15.75" x14ac:dyDescent="0.25">
      <c r="A181" s="322" t="s">
        <v>5352</v>
      </c>
      <c r="B181" s="322" t="s">
        <v>1592</v>
      </c>
      <c r="C181" s="4" t="str">
        <f>HLOOKUP('Getting Started'!H$2,D:E,ROW(),FALSE)</f>
        <v>Logsheets are filled out regularly and properly</v>
      </c>
      <c r="D181" s="4" t="s">
        <v>2290</v>
      </c>
      <c r="E181" s="303" t="s">
        <v>4018</v>
      </c>
    </row>
    <row r="182" spans="1:5" ht="15.75" x14ac:dyDescent="0.25">
      <c r="A182" s="322" t="s">
        <v>5353</v>
      </c>
      <c r="B182" s="322" t="s">
        <v>1593</v>
      </c>
      <c r="C182" s="4" t="str">
        <f>HLOOKUP('Getting Started'!H$2,D:E,ROW(),FALSE)</f>
        <v>1. Presence of logsheets on the wall or next to, or attach to the equipment</v>
      </c>
      <c r="D182" s="4" t="s">
        <v>2295</v>
      </c>
      <c r="E182" s="303" t="s">
        <v>4019</v>
      </c>
    </row>
    <row r="183" spans="1:5" ht="15.75" x14ac:dyDescent="0.25">
      <c r="A183" s="322" t="s">
        <v>5354</v>
      </c>
      <c r="B183" s="322" t="s">
        <v>1593</v>
      </c>
      <c r="C183" s="4" t="str">
        <f>HLOOKUP('Getting Started'!H$2,D:E,ROW(),FALSE)</f>
        <v>2. Presence of a folder to keep the old logsheets.</v>
      </c>
      <c r="D183" s="4" t="s">
        <v>2296</v>
      </c>
      <c r="E183" s="303" t="s">
        <v>4020</v>
      </c>
    </row>
    <row r="184" spans="1:5" ht="15.75" x14ac:dyDescent="0.25">
      <c r="A184" s="322" t="s">
        <v>5355</v>
      </c>
      <c r="B184" s="322" t="s">
        <v>1594</v>
      </c>
      <c r="C184" s="4" t="str">
        <f>HLOOKUP('Getting Started'!H$2,D:E,ROW(),FALSE)</f>
        <v>Presence of nomination letter for Quality Officer</v>
      </c>
      <c r="D184" s="4" t="s">
        <v>2310</v>
      </c>
      <c r="E184" s="303" t="s">
        <v>4021</v>
      </c>
    </row>
    <row r="185" spans="1:5" ht="15.75" x14ac:dyDescent="0.25">
      <c r="A185" s="322" t="s">
        <v>5356</v>
      </c>
      <c r="B185" s="322" t="s">
        <v>1595</v>
      </c>
      <c r="C185" s="4" t="str">
        <f>HLOOKUP('Getting Started'!H$2,D:E,ROW(),FALSE)</f>
        <v>Presence of Organizational chart with the position of Quality Officer</v>
      </c>
      <c r="D185" s="4" t="s">
        <v>2311</v>
      </c>
      <c r="E185" s="303" t="s">
        <v>4022</v>
      </c>
    </row>
    <row r="186" spans="1:5" ht="15.75" x14ac:dyDescent="0.25">
      <c r="A186" s="322" t="s">
        <v>5357</v>
      </c>
      <c r="B186" s="322" t="s">
        <v>1596</v>
      </c>
      <c r="C186" s="4" t="str">
        <f>HLOOKUP('Getting Started'!H$2,D:E,ROW(),FALSE)</f>
        <v>Presence of Job Description of Quality Officer</v>
      </c>
      <c r="D186" s="4" t="s">
        <v>2312</v>
      </c>
      <c r="E186" s="303" t="s">
        <v>4023</v>
      </c>
    </row>
    <row r="187" spans="1:5" ht="15.75" x14ac:dyDescent="0.25">
      <c r="A187" s="322" t="s">
        <v>5358</v>
      </c>
      <c r="B187" s="322" t="s">
        <v>1597</v>
      </c>
      <c r="C187" s="4" t="str">
        <f>HLOOKUP('Getting Started'!H$2,D:E,ROW(),FALSE)</f>
        <v>Presence of position of Quality Officer in the Authorization Matrix</v>
      </c>
      <c r="D187" s="4" t="s">
        <v>2313</v>
      </c>
      <c r="E187" s="303" t="s">
        <v>4024</v>
      </c>
    </row>
    <row r="188" spans="1:5" ht="15.75" x14ac:dyDescent="0.25">
      <c r="A188" s="322" t="s">
        <v>5359</v>
      </c>
      <c r="B188" s="322" t="s">
        <v>1598</v>
      </c>
      <c r="C188" s="4" t="str">
        <f>HLOOKUP('Getting Started'!H$2,D:E,ROW(),FALSE)</f>
        <v>Presence of meeting minute</v>
      </c>
      <c r="D188" s="4" t="s">
        <v>2314</v>
      </c>
      <c r="E188" s="303" t="s">
        <v>3978</v>
      </c>
    </row>
    <row r="189" spans="1:5" ht="31.5" x14ac:dyDescent="0.25">
      <c r="A189" s="322" t="s">
        <v>5360</v>
      </c>
      <c r="B189" s="322" t="s">
        <v>1599</v>
      </c>
      <c r="C189" s="4" t="str">
        <f>HLOOKUP('Getting Started'!H$2,D:E,ROW(),FALSE)</f>
        <v>Presence of another staff incharge of the former position of Quality Officer if necessary</v>
      </c>
      <c r="D189" s="4" t="s">
        <v>2317</v>
      </c>
      <c r="E189" s="303" t="s">
        <v>4025</v>
      </c>
    </row>
    <row r="190" spans="1:5" ht="15.75" x14ac:dyDescent="0.25">
      <c r="A190" s="322" t="s">
        <v>5361</v>
      </c>
      <c r="B190" s="322" t="s">
        <v>1601</v>
      </c>
      <c r="C190" s="4" t="str">
        <f>HLOOKUP('Getting Started'!H$2,D:E,ROW(),FALSE)</f>
        <v>Presence of daily routine work schedule</v>
      </c>
      <c r="D190" s="4" t="s">
        <v>2318</v>
      </c>
      <c r="E190" s="303" t="s">
        <v>4026</v>
      </c>
    </row>
    <row r="191" spans="1:5" ht="31.5" x14ac:dyDescent="0.25">
      <c r="A191" s="322" t="s">
        <v>5362</v>
      </c>
      <c r="B191" s="322" t="s">
        <v>1602</v>
      </c>
      <c r="C191" s="4" t="str">
        <f>HLOOKUP('Getting Started'!H$2,D:E,ROW(),FALSE)</f>
        <v>1. The daily routine work schedule (Duty Roster) is at a visible location accessible to all staff</v>
      </c>
      <c r="D191" s="4" t="s">
        <v>2320</v>
      </c>
      <c r="E191" s="303" t="s">
        <v>4027</v>
      </c>
    </row>
    <row r="192" spans="1:5" ht="15.75" x14ac:dyDescent="0.25">
      <c r="A192" s="322" t="s">
        <v>5363</v>
      </c>
      <c r="B192" s="322" t="s">
        <v>1602</v>
      </c>
      <c r="C192" s="4" t="str">
        <f>HLOOKUP('Getting Started'!H$2,D:E,ROW(),FALSE)</f>
        <v>2. Presence of a folder documented the old duty rosters.</v>
      </c>
      <c r="D192" s="4" t="s">
        <v>2319</v>
      </c>
      <c r="E192" s="303" t="s">
        <v>4028</v>
      </c>
    </row>
    <row r="193" spans="1:5" ht="15.75" x14ac:dyDescent="0.25">
      <c r="A193" s="322" t="s">
        <v>5364</v>
      </c>
      <c r="B193" s="322" t="s">
        <v>1603</v>
      </c>
      <c r="C193" s="4" t="str">
        <f>HLOOKUP('Getting Started'!H$2,D:E,ROW(),FALSE)</f>
        <v>Presence of minute of meeting</v>
      </c>
      <c r="D193" s="4" t="s">
        <v>2321</v>
      </c>
      <c r="E193" s="303" t="s">
        <v>3978</v>
      </c>
    </row>
    <row r="194" spans="1:5" ht="15.75" x14ac:dyDescent="0.25">
      <c r="A194" s="322" t="s">
        <v>5365</v>
      </c>
      <c r="B194" s="322" t="s">
        <v>1606</v>
      </c>
      <c r="C194" s="4" t="str">
        <f>HLOOKUP('Getting Started'!H$2,D:E,ROW(),FALSE)</f>
        <v>Organizational chart is up to date.</v>
      </c>
      <c r="D194" s="4" t="s">
        <v>2322</v>
      </c>
      <c r="E194" s="303" t="s">
        <v>4029</v>
      </c>
    </row>
    <row r="195" spans="1:5" ht="31.5" x14ac:dyDescent="0.25">
      <c r="A195" s="322" t="s">
        <v>5366</v>
      </c>
      <c r="B195" s="322" t="s">
        <v>1607</v>
      </c>
      <c r="C195" s="4" t="str">
        <f>HLOOKUP('Getting Started'!H$2,D:E,ROW(),FALSE)</f>
        <v>Presence of signature of laboratory manager and the date on the organizational chart.</v>
      </c>
      <c r="D195" s="4" t="s">
        <v>2323</v>
      </c>
      <c r="E195" s="303" t="s">
        <v>4030</v>
      </c>
    </row>
    <row r="196" spans="1:5" ht="15.75" x14ac:dyDescent="0.25">
      <c r="A196" s="322" t="s">
        <v>5367</v>
      </c>
      <c r="B196" s="322" t="s">
        <v>1608</v>
      </c>
      <c r="C196" s="4" t="str">
        <f>HLOOKUP('Getting Started'!H$2,D:E,ROW(),FALSE)</f>
        <v>Presence of a SOP for competency assessment</v>
      </c>
      <c r="D196" s="4" t="s">
        <v>2324</v>
      </c>
      <c r="E196" s="303" t="s">
        <v>4031</v>
      </c>
    </row>
    <row r="197" spans="1:5" ht="31.5" x14ac:dyDescent="0.25">
      <c r="A197" s="322" t="s">
        <v>5368</v>
      </c>
      <c r="B197" s="322" t="s">
        <v>1610</v>
      </c>
      <c r="C197" s="4" t="str">
        <f>HLOOKUP('Getting Started'!H$2,D:E,ROW(),FALSE)</f>
        <v>All lab staff have been assessed with standardized forms/checklists</v>
      </c>
      <c r="D197" s="4" t="s">
        <v>2325</v>
      </c>
      <c r="E197" s="303" t="s">
        <v>4032</v>
      </c>
    </row>
    <row r="198" spans="1:5" ht="31.5" x14ac:dyDescent="0.25">
      <c r="A198" s="322" t="s">
        <v>5369</v>
      </c>
      <c r="B198" s="322" t="s">
        <v>1611</v>
      </c>
      <c r="C198" s="4" t="str">
        <f>HLOOKUP('Getting Started'!H$2,D:E,ROW(),FALSE)</f>
        <v>Presence staff competency assessment report in staff personnel file folders</v>
      </c>
      <c r="D198" s="4" t="s">
        <v>2326</v>
      </c>
      <c r="E198" s="303" t="s">
        <v>4033</v>
      </c>
    </row>
    <row r="199" spans="1:5" ht="30" x14ac:dyDescent="0.25">
      <c r="A199" s="322" t="s">
        <v>5370</v>
      </c>
      <c r="B199" s="322" t="s">
        <v>1612</v>
      </c>
      <c r="C199" s="4" t="str">
        <f>HLOOKUP('Getting Started'!H$2,D:E,ROW(),FALSE)</f>
        <v>Presence of the corrective actions in the report of competency assessment.</v>
      </c>
      <c r="D199" s="4" t="s">
        <v>2327</v>
      </c>
      <c r="E199" s="303" t="s">
        <v>4034</v>
      </c>
    </row>
    <row r="200" spans="1:5" ht="31.5" x14ac:dyDescent="0.25">
      <c r="A200" s="322" t="s">
        <v>5371</v>
      </c>
      <c r="B200" s="322" t="s">
        <v>1613</v>
      </c>
      <c r="C200" s="4" t="str">
        <f>HLOOKUP('Getting Started'!H$2,D:E,ROW(),FALSE)</f>
        <v>Presence of competency assessment checklists and report in the personnel files</v>
      </c>
      <c r="D200" s="4" t="s">
        <v>2328</v>
      </c>
      <c r="E200" s="303" t="s">
        <v>4035</v>
      </c>
    </row>
    <row r="201" spans="1:5" ht="31.5" x14ac:dyDescent="0.25">
      <c r="A201" s="322" t="s">
        <v>5372</v>
      </c>
      <c r="B201" s="322" t="s">
        <v>1614</v>
      </c>
      <c r="C201" s="4" t="str">
        <f>HLOOKUP('Getting Started'!H$2,D:E,ROW(),FALSE)</f>
        <v>Staff have been trained according to the finding from competency assessment</v>
      </c>
      <c r="D201" s="4" t="s">
        <v>2329</v>
      </c>
      <c r="E201" s="303" t="s">
        <v>4036</v>
      </c>
    </row>
    <row r="202" spans="1:5" ht="15.75" x14ac:dyDescent="0.25">
      <c r="A202" s="322" t="s">
        <v>5373</v>
      </c>
      <c r="B202" s="322" t="s">
        <v>1615</v>
      </c>
      <c r="C202" s="4" t="str">
        <f>HLOOKUP('Getting Started'!H$2,D:E,ROW(),FALSE)</f>
        <v>Presence of report of competency assessment on laboratory manager.</v>
      </c>
      <c r="D202" s="4" t="s">
        <v>2330</v>
      </c>
      <c r="E202" s="303" t="s">
        <v>4037</v>
      </c>
    </row>
    <row r="203" spans="1:5" ht="31.5" x14ac:dyDescent="0.25">
      <c r="A203" s="322" t="s">
        <v>5374</v>
      </c>
      <c r="B203" s="322" t="s">
        <v>1616</v>
      </c>
      <c r="C203" s="4" t="str">
        <f>HLOOKUP('Getting Started'!H$2,D:E,ROW(),FALSE)</f>
        <v>Presence of induction program for new staff in quality manual</v>
      </c>
      <c r="D203" s="4" t="s">
        <v>2332</v>
      </c>
      <c r="E203" s="303" t="s">
        <v>4038</v>
      </c>
    </row>
    <row r="204" spans="1:5" ht="31.5" x14ac:dyDescent="0.25">
      <c r="A204" s="322" t="s">
        <v>5375</v>
      </c>
      <c r="B204" s="322" t="s">
        <v>1617</v>
      </c>
      <c r="C204" s="4" t="str">
        <f>HLOOKUP('Getting Started'!H$2,D:E,ROW(),FALSE)</f>
        <v>Presence of SOP for the induction of the New Personnel</v>
      </c>
      <c r="D204" s="4" t="s">
        <v>2331</v>
      </c>
      <c r="E204" s="303" t="s">
        <v>4039</v>
      </c>
    </row>
    <row r="205" spans="1:5" ht="31.5" x14ac:dyDescent="0.25">
      <c r="A205" s="322" t="s">
        <v>5376</v>
      </c>
      <c r="B205" s="322" t="s">
        <v>1619</v>
      </c>
      <c r="C205" s="4" t="str">
        <f>HLOOKUP('Getting Started'!H$2,D:E,ROW(),FALSE)</f>
        <v>Presence of completed checklist in personnel files for new staff</v>
      </c>
      <c r="D205" s="4" t="s">
        <v>2333</v>
      </c>
      <c r="E205" s="303" t="s">
        <v>4040</v>
      </c>
    </row>
    <row r="206" spans="1:5" ht="31.5" x14ac:dyDescent="0.25">
      <c r="A206" s="322" t="s">
        <v>5377</v>
      </c>
      <c r="B206" s="322" t="s">
        <v>1620</v>
      </c>
      <c r="C206" s="4" t="str">
        <f>HLOOKUP('Getting Started'!H$2,D:E,ROW(),FALSE)</f>
        <v>1. Presence of SOP on Conducting Performance Appraisals.</v>
      </c>
      <c r="D206" s="4" t="s">
        <v>2339</v>
      </c>
      <c r="E206" s="303" t="s">
        <v>4041</v>
      </c>
    </row>
    <row r="207" spans="1:5" ht="15.75" x14ac:dyDescent="0.25">
      <c r="A207" s="322" t="s">
        <v>5378</v>
      </c>
      <c r="B207" s="322" t="s">
        <v>1620</v>
      </c>
      <c r="C207" s="4" t="str">
        <f>HLOOKUP('Getting Started'!H$2,D:E,ROW(),FALSE)</f>
        <v>2. Performance appraisals for all the staff members have been conducted</v>
      </c>
      <c r="D207" s="4" t="s">
        <v>2334</v>
      </c>
      <c r="E207" s="303" t="s">
        <v>4042</v>
      </c>
    </row>
    <row r="208" spans="1:5" ht="31.5" x14ac:dyDescent="0.25">
      <c r="A208" s="322" t="s">
        <v>5379</v>
      </c>
      <c r="B208" s="322" t="s">
        <v>1620</v>
      </c>
      <c r="C208" s="4" t="str">
        <f>HLOOKUP('Getting Started'!H$2,D:E,ROW(),FALSE)</f>
        <v xml:space="preserve">3. Presence of record of the findings of the performance appraisal </v>
      </c>
      <c r="D208" s="4" t="s">
        <v>2335</v>
      </c>
      <c r="E208" s="303" t="s">
        <v>4043</v>
      </c>
    </row>
    <row r="209" spans="1:5" ht="31.5" x14ac:dyDescent="0.25">
      <c r="A209" s="322" t="s">
        <v>5380</v>
      </c>
      <c r="B209" s="322" t="s">
        <v>1620</v>
      </c>
      <c r="C209" s="4" t="str">
        <f>HLOOKUP('Getting Started'!H$2,D:E,ROW(),FALSE)</f>
        <v xml:space="preserve">4. Presence of reports of the findings of the assessments and conclusion of discussions of the findings. </v>
      </c>
      <c r="D209" s="4" t="s">
        <v>2336</v>
      </c>
      <c r="E209" s="303" t="s">
        <v>4044</v>
      </c>
    </row>
    <row r="210" spans="1:5" ht="31.5" x14ac:dyDescent="0.25">
      <c r="A210" s="322" t="s">
        <v>5381</v>
      </c>
      <c r="B210" s="322" t="s">
        <v>1620</v>
      </c>
      <c r="C210" s="4" t="str">
        <f>HLOOKUP('Getting Started'!H$2,D:E,ROW(),FALSE)</f>
        <v>5. Presence of the identified training needs in the report.</v>
      </c>
      <c r="D210" s="4" t="s">
        <v>2337</v>
      </c>
      <c r="E210" s="303" t="s">
        <v>4045</v>
      </c>
    </row>
    <row r="211" spans="1:5" ht="31.5" x14ac:dyDescent="0.25">
      <c r="A211" s="322" t="s">
        <v>5382</v>
      </c>
      <c r="B211" s="322" t="s">
        <v>1620</v>
      </c>
      <c r="C211" s="4" t="str">
        <f>HLOOKUP('Getting Started'!H$2,D:E,ROW(),FALSE)</f>
        <v>6. Presence of the report of performance appraisals in the Personnel File of the staff member.</v>
      </c>
      <c r="D211" s="4" t="s">
        <v>2338</v>
      </c>
      <c r="E211" s="303" t="s">
        <v>4046</v>
      </c>
    </row>
    <row r="212" spans="1:5" ht="31.5" x14ac:dyDescent="0.25">
      <c r="A212" s="322" t="s">
        <v>5383</v>
      </c>
      <c r="B212" s="322" t="s">
        <v>1621</v>
      </c>
      <c r="C212" s="4" t="str">
        <f>HLOOKUP('Getting Started'!H$2,D:E,ROW(),FALSE)</f>
        <v xml:space="preserve">1. Presence of record the discussion of the findings of performance appraisals with staff members that were assessed 
</v>
      </c>
      <c r="D212" s="4" t="s">
        <v>2340</v>
      </c>
      <c r="E212" s="303" t="s">
        <v>4047</v>
      </c>
    </row>
    <row r="213" spans="1:5" ht="15.75" x14ac:dyDescent="0.25">
      <c r="A213" s="322" t="s">
        <v>5384</v>
      </c>
      <c r="B213" s="322" t="s">
        <v>1621</v>
      </c>
      <c r="C213" s="4" t="str">
        <f>HLOOKUP('Getting Started'!H$2,D:E,ROW(),FALSE)</f>
        <v>2. Presence of record the root cause.</v>
      </c>
      <c r="D213" s="4" t="s">
        <v>2341</v>
      </c>
      <c r="E213" s="303" t="s">
        <v>4048</v>
      </c>
    </row>
    <row r="214" spans="1:5" ht="15.75" x14ac:dyDescent="0.25">
      <c r="A214" s="322" t="s">
        <v>5385</v>
      </c>
      <c r="B214" s="322" t="s">
        <v>1623</v>
      </c>
      <c r="C214" s="4" t="str">
        <f>HLOOKUP('Getting Started'!H$2,D:E,ROW(),FALSE)</f>
        <v>Presence of up to date personnel file of each staff member</v>
      </c>
      <c r="D214" s="4" t="s">
        <v>2342</v>
      </c>
      <c r="E214" s="303" t="s">
        <v>4049</v>
      </c>
    </row>
    <row r="215" spans="1:5" ht="30" x14ac:dyDescent="0.25">
      <c r="A215" s="322" t="s">
        <v>5386</v>
      </c>
      <c r="B215" s="322" t="s">
        <v>1624</v>
      </c>
      <c r="C215" s="4" t="str">
        <f>HLOOKUP('Getting Started'!H$2,D:E,ROW(),FALSE)</f>
        <v xml:space="preserve">Presence of personnel file that contains all necessary elements
</v>
      </c>
      <c r="D215" s="4" t="s">
        <v>2343</v>
      </c>
      <c r="E215" s="303" t="s">
        <v>4050</v>
      </c>
    </row>
    <row r="216" spans="1:5" ht="15.75" x14ac:dyDescent="0.25">
      <c r="A216" s="322" t="s">
        <v>5387</v>
      </c>
      <c r="B216" s="322" t="s">
        <v>1625</v>
      </c>
      <c r="C216" s="4" t="str">
        <f>HLOOKUP('Getting Started'!H$2,D:E,ROW(),FALSE)</f>
        <v>Personnel files are structured in an orderly fashion</v>
      </c>
      <c r="D216" s="4" t="s">
        <v>2344</v>
      </c>
      <c r="E216" s="303" t="s">
        <v>4051</v>
      </c>
    </row>
    <row r="217" spans="1:5" ht="31.5" x14ac:dyDescent="0.25">
      <c r="A217" s="322" t="s">
        <v>5388</v>
      </c>
      <c r="B217" s="322" t="s">
        <v>1626</v>
      </c>
      <c r="C217" s="4" t="str">
        <f>HLOOKUP('Getting Started'!H$2,D:E,ROW(),FALSE)</f>
        <v>Personnel Files folder is kept in a locked cabinet that is only accessible to the Laboratory Manager.</v>
      </c>
      <c r="D217" s="4" t="s">
        <v>2345</v>
      </c>
      <c r="E217" s="303" t="s">
        <v>4052</v>
      </c>
    </row>
    <row r="218" spans="1:5" ht="31.5" x14ac:dyDescent="0.25">
      <c r="A218" s="322" t="s">
        <v>5389</v>
      </c>
      <c r="B218" s="322" t="s">
        <v>1627</v>
      </c>
      <c r="C218" s="4" t="str">
        <f>HLOOKUP('Getting Started'!H$2,D:E,ROW(),FALSE)</f>
        <v>Presence of SOP for procurement and reception of new equipment which include the criteria for acceptance and rejection of donated equipment</v>
      </c>
      <c r="D218" s="4" t="s">
        <v>2346</v>
      </c>
      <c r="E218" s="303" t="s">
        <v>4053</v>
      </c>
    </row>
    <row r="219" spans="1:5" ht="47.25" x14ac:dyDescent="0.25">
      <c r="A219" s="322" t="s">
        <v>5390</v>
      </c>
      <c r="B219" s="322" t="s">
        <v>1629</v>
      </c>
      <c r="C219" s="4" t="str">
        <f>HLOOKUP('Getting Started'!H$2,D:E,ROW(),FALSE)</f>
        <v>The SOP for Procurement and Reception of Equipment is stored a logical location, accessible to all staff members</v>
      </c>
      <c r="D219" s="4" t="s">
        <v>2347</v>
      </c>
      <c r="E219" s="303" t="s">
        <v>4054</v>
      </c>
    </row>
    <row r="220" spans="1:5" ht="47.25" x14ac:dyDescent="0.25">
      <c r="A220" s="322" t="s">
        <v>5391</v>
      </c>
      <c r="B220" s="322" t="s">
        <v>1630</v>
      </c>
      <c r="C220" s="4" t="str">
        <f>HLOOKUP('Getting Started'!H$2,D:E,ROW(),FALSE)</f>
        <v>Presence of signature and date of reviewer and verifier on the SOP for Procurement and Reception of Equipment.</v>
      </c>
      <c r="D220" s="4" t="s">
        <v>2348</v>
      </c>
      <c r="E220" s="303" t="s">
        <v>4055</v>
      </c>
    </row>
    <row r="221" spans="1:5" ht="31.5" x14ac:dyDescent="0.25">
      <c r="A221" s="322" t="s">
        <v>5392</v>
      </c>
      <c r="B221" s="322" t="s">
        <v>1631</v>
      </c>
      <c r="C221" s="4" t="str">
        <f>HLOOKUP('Getting Started'!H$2,D:E,ROW(),FALSE)</f>
        <v>Presence of signature, date of lab manager on the SOP for Procurement and Reception of Equipment</v>
      </c>
      <c r="D221" s="4" t="s">
        <v>2349</v>
      </c>
      <c r="E221" s="303" t="s">
        <v>4056</v>
      </c>
    </row>
    <row r="222" spans="1:5" ht="15.75" x14ac:dyDescent="0.25">
      <c r="A222" s="322" t="s">
        <v>5393</v>
      </c>
      <c r="B222" s="322" t="s">
        <v>1632</v>
      </c>
      <c r="C222" s="4" t="str">
        <f>HLOOKUP('Getting Started'!H$2,D:E,ROW(),FALSE)</f>
        <v>Presence of signature of all staff on the Read and Understood form</v>
      </c>
      <c r="D222" s="4" t="s">
        <v>2350</v>
      </c>
      <c r="E222" s="303" t="s">
        <v>4057</v>
      </c>
    </row>
    <row r="223" spans="1:5" ht="31.5" x14ac:dyDescent="0.25">
      <c r="A223" s="322" t="s">
        <v>5394</v>
      </c>
      <c r="B223" s="322" t="s">
        <v>1633</v>
      </c>
      <c r="C223" s="4" t="str">
        <f>HLOOKUP('Getting Started'!H$2,D:E,ROW(),FALSE)</f>
        <v>Presence of label for all equipment in the laboratory with:
 1. Equipment code</v>
      </c>
      <c r="D223" s="4" t="s">
        <v>2353</v>
      </c>
      <c r="E223" s="303" t="s">
        <v>4058</v>
      </c>
    </row>
    <row r="224" spans="1:5" ht="31.5" x14ac:dyDescent="0.25">
      <c r="A224" s="322" t="s">
        <v>5395</v>
      </c>
      <c r="B224" s="322" t="s">
        <v>1633</v>
      </c>
      <c r="C224" s="4" t="str">
        <f>HLOOKUP('Getting Started'!H$2,D:E,ROW(),FALSE)</f>
        <v>2. Date of last service/calibration (renewed each time the piece of equipment has been services).</v>
      </c>
      <c r="D224" s="4" t="s">
        <v>2351</v>
      </c>
      <c r="E224" s="303" t="s">
        <v>4059</v>
      </c>
    </row>
    <row r="225" spans="1:5" ht="31.5" x14ac:dyDescent="0.25">
      <c r="A225" s="322" t="s">
        <v>5396</v>
      </c>
      <c r="B225" s="322" t="s">
        <v>1633</v>
      </c>
      <c r="C225" s="4" t="str">
        <f>HLOOKUP('Getting Started'!H$2,D:E,ROW(),FALSE)</f>
        <v xml:space="preserve"> 3. Date of next service/calibration (renewed each time the piece of equipment has been services).</v>
      </c>
      <c r="D225" s="4" t="s">
        <v>2352</v>
      </c>
      <c r="E225" s="303" t="s">
        <v>4060</v>
      </c>
    </row>
    <row r="226" spans="1:5" ht="31.5" x14ac:dyDescent="0.25">
      <c r="A226" s="322" t="s">
        <v>5397</v>
      </c>
      <c r="B226" s="322" t="s">
        <v>1635</v>
      </c>
      <c r="C226" s="4" t="str">
        <f>HLOOKUP('Getting Started'!H$2,D:E,ROW(),FALSE)</f>
        <v>The equipment labels is laminated to resist to fluids, chemicals, light, and other daily factors causing wear and tear of the labels</v>
      </c>
      <c r="D226" s="4" t="s">
        <v>2359</v>
      </c>
      <c r="E226" s="303" t="s">
        <v>4061</v>
      </c>
    </row>
    <row r="227" spans="1:5" ht="47.25" x14ac:dyDescent="0.25">
      <c r="A227" s="322" t="s">
        <v>5398</v>
      </c>
      <c r="B227" s="322" t="s">
        <v>1636</v>
      </c>
      <c r="C227" s="4" t="str">
        <f>HLOOKUP('Getting Started'!H$2,D:E,ROW(),FALSE)</f>
        <v>Presence of the equipment register with the name of:
1. Person responsible for equipment (chief of unit, for example)</v>
      </c>
      <c r="D227" s="4" t="s">
        <v>2360</v>
      </c>
      <c r="E227" s="303" t="s">
        <v>4062</v>
      </c>
    </row>
    <row r="228" spans="1:5" ht="15.75" x14ac:dyDescent="0.25">
      <c r="A228" s="322" t="s">
        <v>5399</v>
      </c>
      <c r="B228" s="322" t="s">
        <v>1636</v>
      </c>
      <c r="C228" s="4" t="str">
        <f>HLOOKUP('Getting Started'!H$2,D:E,ROW(),FALSE)</f>
        <v>2. Initials of persons authorized to use equipment.</v>
      </c>
      <c r="D228" s="4" t="s">
        <v>2361</v>
      </c>
      <c r="E228" s="303" t="s">
        <v>4063</v>
      </c>
    </row>
    <row r="229" spans="1:5" ht="15.75" x14ac:dyDescent="0.25">
      <c r="A229" s="322" t="s">
        <v>5400</v>
      </c>
      <c r="B229" s="322" t="s">
        <v>1637</v>
      </c>
      <c r="C229" s="4" t="str">
        <f>HLOOKUP('Getting Started'!H$2,D:E,ROW(),FALSE)</f>
        <v>Presence of the minute of the staff meeting</v>
      </c>
      <c r="D229" s="4" t="s">
        <v>2362</v>
      </c>
      <c r="E229" s="303" t="s">
        <v>3978</v>
      </c>
    </row>
    <row r="230" spans="1:5" ht="31.5" x14ac:dyDescent="0.25">
      <c r="A230" s="322" t="s">
        <v>5401</v>
      </c>
      <c r="B230" s="322" t="s">
        <v>1638</v>
      </c>
      <c r="C230" s="4" t="str">
        <f>HLOOKUP('Getting Started'!H$2,D:E,ROW(),FALSE)</f>
        <v>Presence of training report with agenda, attendance sheet</v>
      </c>
      <c r="D230" s="4" t="s">
        <v>2365</v>
      </c>
      <c r="E230" s="303" t="s">
        <v>4064</v>
      </c>
    </row>
    <row r="231" spans="1:5" ht="31.5" x14ac:dyDescent="0.25">
      <c r="A231" s="322" t="s">
        <v>5402</v>
      </c>
      <c r="B231" s="322" t="s">
        <v>1639</v>
      </c>
      <c r="C231" s="4" t="str">
        <f>HLOOKUP('Getting Started'!H$2,D:E,ROW(),FALSE)</f>
        <v>Presence of maintenance logsheet of each piece of equipment in the "Equipment Archive folder". And review frequently by lab manager.</v>
      </c>
      <c r="D231" s="4" t="s">
        <v>3181</v>
      </c>
      <c r="E231" s="303" t="s">
        <v>4065</v>
      </c>
    </row>
    <row r="232" spans="1:5" ht="31.5" x14ac:dyDescent="0.25">
      <c r="A232" s="322" t="s">
        <v>5403</v>
      </c>
      <c r="B232" s="322" t="s">
        <v>1640</v>
      </c>
      <c r="C232" s="4" t="str">
        <f>HLOOKUP('Getting Started'!H$2,D:E,ROW(),FALSE)</f>
        <v>Presence of "Equipment Usage Logsheet" next to each piece of equipment, especially the analyzers, centrifuge.</v>
      </c>
      <c r="D232" s="4" t="s">
        <v>3182</v>
      </c>
      <c r="E232" s="303" t="s">
        <v>4066</v>
      </c>
    </row>
    <row r="233" spans="1:5" ht="15.75" x14ac:dyDescent="0.25">
      <c r="A233" s="322" t="s">
        <v>5404</v>
      </c>
      <c r="B233" s="322" t="s">
        <v>1641</v>
      </c>
      <c r="C233" s="4" t="str">
        <f>HLOOKUP('Getting Started'!H$2,D:E,ROW(),FALSE)</f>
        <v>Presence of a minute of the staff meeting</v>
      </c>
      <c r="D233" s="4" t="s">
        <v>2368</v>
      </c>
      <c r="E233" s="303" t="s">
        <v>4067</v>
      </c>
    </row>
    <row r="234" spans="1:5" ht="15.75" x14ac:dyDescent="0.25">
      <c r="A234" s="322" t="s">
        <v>5405</v>
      </c>
      <c r="B234" s="322" t="s">
        <v>1642</v>
      </c>
      <c r="C234" s="4" t="str">
        <f>HLOOKUP('Getting Started'!H$2,D:E,ROW(),FALSE)</f>
        <v>1. Presence of Usage Logsheet near the piece of equipment</v>
      </c>
      <c r="D234" s="4" t="s">
        <v>2370</v>
      </c>
      <c r="E234" s="303" t="s">
        <v>4068</v>
      </c>
    </row>
    <row r="235" spans="1:5" ht="31.5" x14ac:dyDescent="0.25">
      <c r="A235" s="322" t="s">
        <v>5406</v>
      </c>
      <c r="B235" s="322" t="s">
        <v>1642</v>
      </c>
      <c r="C235" s="4" t="str">
        <f>HLOOKUP('Getting Started'!H$2,D:E,ROW(),FALSE)</f>
        <v>2. Presence of the filled Usage Logsheet in the "Equipment Archive folder". And review frequently by lab manager.</v>
      </c>
      <c r="D235" s="4" t="s">
        <v>2369</v>
      </c>
      <c r="E235" s="303" t="s">
        <v>4069</v>
      </c>
    </row>
    <row r="236" spans="1:5" ht="30" x14ac:dyDescent="0.25">
      <c r="A236" s="322" t="s">
        <v>5407</v>
      </c>
      <c r="B236" s="322" t="s">
        <v>1643</v>
      </c>
      <c r="C236" s="4" t="str">
        <f>HLOOKUP('Getting Started'!H$2,D:E,ROW(),FALSE)</f>
        <v>Presence of the maintenance logsheet placed in the "Equipment Archive folder". And review frequently by lab manager.</v>
      </c>
      <c r="D236" s="4" t="s">
        <v>3183</v>
      </c>
      <c r="E236" s="303" t="s">
        <v>4070</v>
      </c>
    </row>
    <row r="237" spans="1:5" ht="31.5" x14ac:dyDescent="0.25">
      <c r="A237" s="322" t="s">
        <v>5408</v>
      </c>
      <c r="B237" s="322" t="s">
        <v>1644</v>
      </c>
      <c r="C237" s="4" t="str">
        <f>HLOOKUP('Getting Started'!H$2,D:E,ROW(),FALSE)</f>
        <v>Presence of Equipment Archive folder which contains:
1. Equipment Identification Page (list of content)</v>
      </c>
      <c r="D237" s="4" t="s">
        <v>2377</v>
      </c>
      <c r="E237" s="303" t="s">
        <v>4071</v>
      </c>
    </row>
    <row r="238" spans="1:5" ht="15.75" x14ac:dyDescent="0.25">
      <c r="A238" s="322" t="s">
        <v>5409</v>
      </c>
      <c r="B238" s="322" t="s">
        <v>1644</v>
      </c>
      <c r="C238" s="4" t="str">
        <f>HLOOKUP('Getting Started'!H$2,D:E,ROW(),FALSE)</f>
        <v>2. Equipment Register</v>
      </c>
      <c r="D238" s="4" t="s">
        <v>2372</v>
      </c>
      <c r="E238" s="303" t="s">
        <v>4072</v>
      </c>
    </row>
    <row r="239" spans="1:5" ht="15.75" x14ac:dyDescent="0.25">
      <c r="A239" s="322" t="s">
        <v>5410</v>
      </c>
      <c r="B239" s="322" t="s">
        <v>1644</v>
      </c>
      <c r="C239" s="4" t="str">
        <f>HLOOKUP('Getting Started'!H$2,D:E,ROW(),FALSE)</f>
        <v>3. Maintenance Log Sheets</v>
      </c>
      <c r="D239" s="4" t="s">
        <v>2373</v>
      </c>
      <c r="E239" s="303" t="s">
        <v>4073</v>
      </c>
    </row>
    <row r="240" spans="1:5" ht="15.75" x14ac:dyDescent="0.25">
      <c r="A240" s="322" t="s">
        <v>5411</v>
      </c>
      <c r="B240" s="322" t="s">
        <v>1644</v>
      </c>
      <c r="C240" s="4" t="str">
        <f>HLOOKUP('Getting Started'!H$2,D:E,ROW(),FALSE)</f>
        <v>4. Maintenance forms/calibration forms</v>
      </c>
      <c r="D240" s="4" t="s">
        <v>2374</v>
      </c>
      <c r="E240" s="303" t="s">
        <v>4074</v>
      </c>
    </row>
    <row r="241" spans="1:5" ht="31.5" x14ac:dyDescent="0.25">
      <c r="A241" s="322" t="s">
        <v>5412</v>
      </c>
      <c r="B241" s="322" t="s">
        <v>1644</v>
      </c>
      <c r="C241" s="4" t="str">
        <f>HLOOKUP('Getting Started'!H$2,D:E,ROW(),FALSE)</f>
        <v>5. Completed Usage Log Sheets/log books</v>
      </c>
      <c r="D241" s="4" t="s">
        <v>2375</v>
      </c>
      <c r="E241" s="303" t="s">
        <v>4075</v>
      </c>
    </row>
    <row r="242" spans="1:5" ht="15.75" x14ac:dyDescent="0.25">
      <c r="A242" s="322" t="s">
        <v>5413</v>
      </c>
      <c r="B242" s="322" t="s">
        <v>1644</v>
      </c>
      <c r="C242" s="4" t="str">
        <f>HLOOKUP('Getting Started'!H$2,D:E,ROW(),FALSE)</f>
        <v>6. Manufacturer's instructions</v>
      </c>
      <c r="D242" s="4" t="s">
        <v>2376</v>
      </c>
      <c r="E242" s="303" t="s">
        <v>4076</v>
      </c>
    </row>
    <row r="243" spans="1:5" ht="15.75" x14ac:dyDescent="0.25">
      <c r="A243" s="322" t="s">
        <v>5414</v>
      </c>
      <c r="B243" s="322" t="s">
        <v>1644</v>
      </c>
      <c r="C243" s="4" t="str">
        <f>HLOOKUP('Getting Started'!H$2,D:E,ROW(),FALSE)</f>
        <v>7. List of Spare Parts</v>
      </c>
      <c r="D243" s="4" t="s">
        <v>2378</v>
      </c>
      <c r="E243" s="303" t="s">
        <v>4077</v>
      </c>
    </row>
    <row r="244" spans="1:5" ht="15.75" x14ac:dyDescent="0.25">
      <c r="A244" s="322" t="s">
        <v>5415</v>
      </c>
      <c r="B244" s="322" t="s">
        <v>1644</v>
      </c>
      <c r="C244" s="4" t="str">
        <f>HLOOKUP('Getting Started'!H$2,D:E,ROW(),FALSE)</f>
        <v>8. Validation reports (will be developed in phase 4)</v>
      </c>
      <c r="D244" s="4" t="s">
        <v>2379</v>
      </c>
      <c r="E244" s="303" t="s">
        <v>4078</v>
      </c>
    </row>
    <row r="245" spans="1:5" ht="31.5" x14ac:dyDescent="0.25">
      <c r="A245" s="322" t="s">
        <v>5416</v>
      </c>
      <c r="B245" s="322" t="s">
        <v>1646</v>
      </c>
      <c r="C245" s="4" t="str">
        <f>HLOOKUP('Getting Started'!H$2,D:E,ROW(),FALSE)</f>
        <v>Presence of Bench Aids used for various pieces of equipment in accordance with the SOPs for equipment</v>
      </c>
      <c r="D245" s="4" t="s">
        <v>2383</v>
      </c>
      <c r="E245" s="303" t="s">
        <v>4079</v>
      </c>
    </row>
    <row r="246" spans="1:5" ht="31.5" x14ac:dyDescent="0.25">
      <c r="A246" s="322" t="s">
        <v>5417</v>
      </c>
      <c r="B246" s="322" t="s">
        <v>1648</v>
      </c>
      <c r="C246" s="4" t="str">
        <f>HLOOKUP('Getting Started'!H$2,D:E,ROW(),FALSE)</f>
        <v>Presence of maintenance (daily/weekly/monthly preventive) and calibration in the "Equipment Archive folder".</v>
      </c>
      <c r="D246" s="4" t="s">
        <v>2384</v>
      </c>
      <c r="E246" s="303" t="s">
        <v>4080</v>
      </c>
    </row>
    <row r="247" spans="1:5" ht="45" x14ac:dyDescent="0.25">
      <c r="A247" s="322" t="s">
        <v>5418</v>
      </c>
      <c r="B247" s="322" t="s">
        <v>1649</v>
      </c>
      <c r="C247" s="4" t="str">
        <f>HLOOKUP('Getting Started'!H$2,D:E,ROW(),FALSE)</f>
        <v xml:space="preserve">1. Presence of annual budget plan for maintenance and calibration of equipment.
</v>
      </c>
      <c r="D247" s="4" t="s">
        <v>2385</v>
      </c>
      <c r="E247" s="303" t="s">
        <v>4081</v>
      </c>
    </row>
    <row r="248" spans="1:5" ht="31.5" x14ac:dyDescent="0.25">
      <c r="A248" s="322" t="s">
        <v>5419</v>
      </c>
      <c r="B248" s="322" t="s">
        <v>1649</v>
      </c>
      <c r="C248" s="4" t="str">
        <f>HLOOKUP('Getting Started'!H$2,D:E,ROW(),FALSE)</f>
        <v>2. Presence of budget plan for training of a staff member to perform technical maintenance and calibration of equipment internally.</v>
      </c>
      <c r="D248" s="4" t="s">
        <v>2386</v>
      </c>
      <c r="E248" s="303" t="s">
        <v>4082</v>
      </c>
    </row>
    <row r="249" spans="1:5" ht="31.5" x14ac:dyDescent="0.25">
      <c r="A249" s="322" t="s">
        <v>5420</v>
      </c>
      <c r="B249" s="322" t="s">
        <v>1650</v>
      </c>
      <c r="C249" s="4" t="str">
        <f>HLOOKUP('Getting Started'!H$2,D:E,ROW(),FALSE)</f>
        <v>Annual budget plan for equipment and calibration has been submitted to the hospital administration</v>
      </c>
      <c r="D249" s="4" t="s">
        <v>2387</v>
      </c>
      <c r="E249" s="303" t="s">
        <v>4083</v>
      </c>
    </row>
    <row r="250" spans="1:5" ht="31.5" x14ac:dyDescent="0.25">
      <c r="A250" s="322" t="s">
        <v>5421</v>
      </c>
      <c r="B250" s="322" t="s">
        <v>1651</v>
      </c>
      <c r="C250" s="4" t="str">
        <f>HLOOKUP('Getting Started'!H$2,D:E,ROW(),FALSE)</f>
        <v>Presence of annual budget plan for training of a staff member for internal maintenance and calibration of equipment to the hospital administration</v>
      </c>
      <c r="D250" s="4" t="s">
        <v>2388</v>
      </c>
      <c r="E250" s="303" t="s">
        <v>4084</v>
      </c>
    </row>
    <row r="251" spans="1:5" ht="31.5" x14ac:dyDescent="0.25">
      <c r="A251" s="322" t="s">
        <v>5422</v>
      </c>
      <c r="B251" s="322" t="s">
        <v>1652</v>
      </c>
      <c r="C251" s="4" t="str">
        <f>HLOOKUP('Getting Started'!H$2,D:E,ROW(),FALSE)</f>
        <v>1. Presence of a plan for maintenance and calibration of all the pieces of equipment present in the laboratory.</v>
      </c>
      <c r="D251" s="4" t="s">
        <v>2390</v>
      </c>
      <c r="E251" s="303" t="s">
        <v>4085</v>
      </c>
    </row>
    <row r="252" spans="1:5" ht="31.5" x14ac:dyDescent="0.25">
      <c r="A252" s="322" t="s">
        <v>5423</v>
      </c>
      <c r="B252" s="322" t="s">
        <v>1652</v>
      </c>
      <c r="C252" s="4" t="str">
        <f>HLOOKUP('Getting Started'!H$2,D:E,ROW(),FALSE)</f>
        <v xml:space="preserve">2. Presence of a yearly schedule for maintenance/calibration </v>
      </c>
      <c r="D252" s="4" t="s">
        <v>2389</v>
      </c>
      <c r="E252" s="303" t="s">
        <v>4086</v>
      </c>
    </row>
    <row r="253" spans="1:5" ht="30" x14ac:dyDescent="0.25">
      <c r="A253" s="322" t="s">
        <v>5424</v>
      </c>
      <c r="B253" s="322" t="s">
        <v>1653</v>
      </c>
      <c r="C253" s="4" t="str">
        <f>HLOOKUP('Getting Started'!H$2,D:E,ROW(),FALSE)</f>
        <v>Presence of maintenance/calibration report according to the yearly schedule</v>
      </c>
      <c r="D253" s="4" t="s">
        <v>2391</v>
      </c>
      <c r="E253" s="303" t="s">
        <v>4087</v>
      </c>
    </row>
    <row r="254" spans="1:5" ht="31.5" x14ac:dyDescent="0.25">
      <c r="A254" s="322" t="s">
        <v>5425</v>
      </c>
      <c r="B254" s="322" t="s">
        <v>1654</v>
      </c>
      <c r="C254" s="4" t="str">
        <f>HLOOKUP('Getting Started'!H$2,D:E,ROW(),FALSE)</f>
        <v>Presence of the procedure for ensuring equipment maintenance standardized in an SOP</v>
      </c>
      <c r="D254" s="4" t="s">
        <v>2392</v>
      </c>
      <c r="E254" s="303" t="s">
        <v>4088</v>
      </c>
    </row>
    <row r="255" spans="1:5" ht="47.25" x14ac:dyDescent="0.25">
      <c r="A255" s="322" t="s">
        <v>5426</v>
      </c>
      <c r="B255" s="322" t="s">
        <v>1655</v>
      </c>
      <c r="C255" s="4" t="str">
        <f>HLOOKUP('Getting Started'!H$2,D:E,ROW(),FALSE)</f>
        <v>Presence of an SOP for Equipment Repair, including a clear procedure for disinfection and clear labeling the equipment as “defect”</v>
      </c>
      <c r="D255" s="4" t="s">
        <v>2393</v>
      </c>
      <c r="E255" s="303" t="s">
        <v>4089</v>
      </c>
    </row>
    <row r="256" spans="1:5" ht="47.25" x14ac:dyDescent="0.25">
      <c r="A256" s="322" t="s">
        <v>5427</v>
      </c>
      <c r="B256" s="322" t="s">
        <v>1656</v>
      </c>
      <c r="C256" s="4" t="str">
        <f>HLOOKUP('Getting Started'!H$2,D:E,ROW(),FALSE)</f>
        <v>Presence of an SOP explaining the procedure to be followed for ensuring validation of adequate functioning of equipment when it is returned into service after repair</v>
      </c>
      <c r="D256" s="4" t="s">
        <v>2394</v>
      </c>
      <c r="E256" s="303" t="s">
        <v>4090</v>
      </c>
    </row>
    <row r="257" spans="1:5" ht="15.75" x14ac:dyDescent="0.25">
      <c r="A257" s="322" t="s">
        <v>5428</v>
      </c>
      <c r="B257" s="322" t="s">
        <v>1657</v>
      </c>
      <c r="C257" s="4" t="str">
        <f>HLOOKUP('Getting Started'!H$2,D:E,ROW(),FALSE)</f>
        <v>Presence of Inventory Control Register</v>
      </c>
      <c r="D257" s="4" t="s">
        <v>2395</v>
      </c>
      <c r="E257" s="303" t="s">
        <v>4091</v>
      </c>
    </row>
    <row r="258" spans="1:5" ht="15.75" x14ac:dyDescent="0.25">
      <c r="A258" s="322" t="s">
        <v>5429</v>
      </c>
      <c r="B258" s="322" t="s">
        <v>1660</v>
      </c>
      <c r="C258" s="4" t="str">
        <f>HLOOKUP('Getting Started'!H$2,D:E,ROW(),FALSE)</f>
        <v>Presence an up to date Inventory Control Register</v>
      </c>
      <c r="D258" s="4" t="s">
        <v>2403</v>
      </c>
      <c r="E258" s="303" t="s">
        <v>4092</v>
      </c>
    </row>
    <row r="259" spans="1:5" ht="31.5" x14ac:dyDescent="0.25">
      <c r="A259" s="322" t="s">
        <v>5430</v>
      </c>
      <c r="B259" s="322" t="s">
        <v>1661</v>
      </c>
      <c r="C259" s="4" t="str">
        <f>HLOOKUP('Getting Started'!H$2,D:E,ROW(),FALSE)</f>
        <v>Presence of a folder "Checklists New Deliveries"  with the filled-out checklists</v>
      </c>
      <c r="D259" s="4" t="s">
        <v>2404</v>
      </c>
      <c r="E259" s="303" t="s">
        <v>4093</v>
      </c>
    </row>
    <row r="260" spans="1:5" ht="47.25" x14ac:dyDescent="0.25">
      <c r="A260" s="322" t="s">
        <v>5431</v>
      </c>
      <c r="B260" s="322" t="s">
        <v>1662</v>
      </c>
      <c r="C260" s="4" t="str">
        <f>HLOOKUP('Getting Started'!H$2,D:E,ROW(),FALSE)</f>
        <v>Presence of SOP on selecting, ordering, acceptance testing and storing of new reagents and consumables, and Maintaining the Stock</v>
      </c>
      <c r="D260" s="4" t="s">
        <v>2406</v>
      </c>
      <c r="E260" s="303" t="s">
        <v>4094</v>
      </c>
    </row>
    <row r="261" spans="1:5" ht="31.5" x14ac:dyDescent="0.25">
      <c r="A261" s="322" t="s">
        <v>5432</v>
      </c>
      <c r="B261" s="322" t="s">
        <v>1664</v>
      </c>
      <c r="C261" s="4" t="str">
        <f>HLOOKUP('Getting Started'!H$2,D:E,ROW(),FALSE)</f>
        <v>All supplies are stored under the right condition in the laboratory</v>
      </c>
      <c r="D261" s="4" t="s">
        <v>2407</v>
      </c>
      <c r="E261" s="303" t="s">
        <v>4095</v>
      </c>
    </row>
    <row r="262" spans="1:5" ht="31.5" x14ac:dyDescent="0.25">
      <c r="A262" s="322" t="s">
        <v>5433</v>
      </c>
      <c r="B262" s="322" t="s">
        <v>1666</v>
      </c>
      <c r="C262" s="4" t="str">
        <f>HLOOKUP('Getting Started'!H$2,D:E,ROW(),FALSE)</f>
        <v>All supplies are stored in such that they cannot fall from the shelves or suffer damage in other ways</v>
      </c>
      <c r="D262" s="4" t="s">
        <v>2415</v>
      </c>
      <c r="E262" s="303" t="s">
        <v>4096</v>
      </c>
    </row>
    <row r="263" spans="1:5" ht="31.5" x14ac:dyDescent="0.25">
      <c r="A263" s="322" t="s">
        <v>5434</v>
      </c>
      <c r="B263" s="322" t="s">
        <v>1668</v>
      </c>
      <c r="C263" s="4" t="str">
        <f>HLOOKUP('Getting Started'!H$2,D:E,ROW(),FALSE)</f>
        <v>All supplies are stored according to the FIFO and FEFO system (First in-First out and First expired-First out).</v>
      </c>
      <c r="D263" s="4" t="s">
        <v>2416</v>
      </c>
      <c r="E263" s="303" t="s">
        <v>4097</v>
      </c>
    </row>
    <row r="264" spans="1:5" ht="31.5" x14ac:dyDescent="0.25">
      <c r="A264" s="322" t="s">
        <v>5435</v>
      </c>
      <c r="B264" s="322" t="s">
        <v>1669</v>
      </c>
      <c r="C264" s="4" t="str">
        <f>HLOOKUP('Getting Started'!H$2,D:E,ROW(),FALSE)</f>
        <v>All storage areas are complying with the safety requirements related to the supplies.</v>
      </c>
      <c r="D264" s="4" t="s">
        <v>2417</v>
      </c>
      <c r="E264" s="303" t="s">
        <v>4098</v>
      </c>
    </row>
    <row r="265" spans="1:5" ht="31.5" x14ac:dyDescent="0.25">
      <c r="A265" s="322" t="s">
        <v>5436</v>
      </c>
      <c r="B265" s="322" t="s">
        <v>1670</v>
      </c>
      <c r="C265" s="4" t="str">
        <f>HLOOKUP('Getting Started'!H$2,D:E,ROW(),FALSE)</f>
        <v>Supplies in the storage areas are protected from external influences such as humidity, light, insects, etc.</v>
      </c>
      <c r="D265" s="4" t="s">
        <v>2418</v>
      </c>
      <c r="E265" s="303" t="s">
        <v>4099</v>
      </c>
    </row>
    <row r="266" spans="1:5" ht="31.5" x14ac:dyDescent="0.25">
      <c r="A266" s="322" t="s">
        <v>5437</v>
      </c>
      <c r="B266" s="322" t="s">
        <v>1671</v>
      </c>
      <c r="C266" s="4" t="str">
        <f>HLOOKUP('Getting Started'!H$2,D:E,ROW(),FALSE)</f>
        <v>1. Presence of restricted access sign in front of the all storage areas</v>
      </c>
      <c r="D266" s="4" t="s">
        <v>2422</v>
      </c>
      <c r="E266" s="303" t="s">
        <v>4100</v>
      </c>
    </row>
    <row r="267" spans="1:5" ht="15.75" x14ac:dyDescent="0.25">
      <c r="A267" s="322" t="s">
        <v>5438</v>
      </c>
      <c r="B267" s="322" t="s">
        <v>1671</v>
      </c>
      <c r="C267" s="4" t="str">
        <f>HLOOKUP('Getting Started'!H$2,D:E,ROW(),FALSE)</f>
        <v>2. The door of all storage areas is always locked</v>
      </c>
      <c r="D267" s="4" t="s">
        <v>2423</v>
      </c>
      <c r="E267" s="303" t="s">
        <v>4101</v>
      </c>
    </row>
    <row r="268" spans="1:5" ht="31.5" x14ac:dyDescent="0.25">
      <c r="A268" s="322" t="s">
        <v>5439</v>
      </c>
      <c r="B268" s="322" t="s">
        <v>1672</v>
      </c>
      <c r="C268" s="4" t="str">
        <f>HLOOKUP('Getting Started'!H$2,D:E,ROW(),FALSE)</f>
        <v>Presence of hazard symbols visibly on each storage area</v>
      </c>
      <c r="D268" s="4" t="s">
        <v>2419</v>
      </c>
      <c r="E268" s="303" t="s">
        <v>4102</v>
      </c>
    </row>
    <row r="269" spans="1:5" ht="31.5" x14ac:dyDescent="0.25">
      <c r="A269" s="322" t="s">
        <v>5440</v>
      </c>
      <c r="B269" s="322" t="s">
        <v>1673</v>
      </c>
      <c r="C269" s="4" t="str">
        <f>HLOOKUP('Getting Started'!H$2,D:E,ROW(),FALSE)</f>
        <v>Presence of a list with R- and S-sentences on each storage area where this is relevant</v>
      </c>
      <c r="D269" s="4" t="s">
        <v>2420</v>
      </c>
      <c r="E269" s="303" t="s">
        <v>4103</v>
      </c>
    </row>
    <row r="270" spans="1:5" ht="15.75" x14ac:dyDescent="0.25">
      <c r="A270" s="322" t="s">
        <v>5441</v>
      </c>
      <c r="B270" s="322" t="s">
        <v>1674</v>
      </c>
      <c r="C270" s="4" t="str">
        <f>HLOOKUP('Getting Started'!H$2,D:E,ROW(),FALSE)</f>
        <v>Minute of the staff meeting</v>
      </c>
      <c r="D270" s="4" t="s">
        <v>2421</v>
      </c>
      <c r="E270" s="303" t="s">
        <v>4104</v>
      </c>
    </row>
    <row r="271" spans="1:5" ht="15.75" x14ac:dyDescent="0.25">
      <c r="A271" s="322" t="s">
        <v>5442</v>
      </c>
      <c r="B271" s="322" t="s">
        <v>1675</v>
      </c>
      <c r="C271" s="4" t="str">
        <f>HLOOKUP('Getting Started'!H$2,D:E,ROW(),FALSE)</f>
        <v>Presence of the criteria for sample acceptance/rejection.</v>
      </c>
      <c r="D271" s="4" t="s">
        <v>2424</v>
      </c>
      <c r="E271" s="303" t="s">
        <v>4105</v>
      </c>
    </row>
    <row r="272" spans="1:5" ht="31.5" x14ac:dyDescent="0.25">
      <c r="A272" s="322" t="s">
        <v>5443</v>
      </c>
      <c r="B272" s="322" t="s">
        <v>1676</v>
      </c>
      <c r="C272" s="4" t="str">
        <f>HLOOKUP('Getting Started'!H$2,D:E,ROW(),FALSE)</f>
        <v>Presence of SOP for sample collection</v>
      </c>
      <c r="D272" s="4" t="s">
        <v>2425</v>
      </c>
      <c r="E272" s="303" t="s">
        <v>4106</v>
      </c>
    </row>
    <row r="273" spans="1:5" ht="15.75" x14ac:dyDescent="0.25">
      <c r="A273" s="322" t="s">
        <v>5444</v>
      </c>
      <c r="B273" s="322" t="s">
        <v>1678</v>
      </c>
      <c r="C273" s="4" t="str">
        <f>HLOOKUP('Getting Started'!H$2,D:E,ROW(),FALSE)</f>
        <v>Presence of SOP for sample reception and processing.</v>
      </c>
      <c r="D273" s="4" t="s">
        <v>2441</v>
      </c>
      <c r="E273" s="303" t="s">
        <v>4107</v>
      </c>
    </row>
    <row r="274" spans="1:5" ht="31.5" x14ac:dyDescent="0.25">
      <c r="A274" s="322" t="s">
        <v>5445</v>
      </c>
      <c r="B274" s="322" t="s">
        <v>1684</v>
      </c>
      <c r="C274" s="4" t="str">
        <f>HLOOKUP('Getting Started'!H$2,D:E,ROW(),FALSE)</f>
        <v>Presence of Sample Rejection Form in the SOP for Sample Reception and Processing as an appendix</v>
      </c>
      <c r="D274" s="4" t="s">
        <v>2470</v>
      </c>
      <c r="E274" s="303" t="s">
        <v>4108</v>
      </c>
    </row>
    <row r="275" spans="1:5" ht="15.75" x14ac:dyDescent="0.25">
      <c r="A275" s="322" t="s">
        <v>5446</v>
      </c>
      <c r="B275" s="322" t="s">
        <v>1686</v>
      </c>
      <c r="C275" s="4" t="str">
        <f>HLOOKUP('Getting Started'!H$2,D:E,ROW(),FALSE)</f>
        <v>1. Presence of a folder "Rejected samples"</v>
      </c>
      <c r="D275" s="4" t="s">
        <v>2471</v>
      </c>
      <c r="E275" s="303" t="s">
        <v>4109</v>
      </c>
    </row>
    <row r="276" spans="1:5" ht="31.5" x14ac:dyDescent="0.25">
      <c r="A276" s="322" t="s">
        <v>5447</v>
      </c>
      <c r="B276" s="322" t="s">
        <v>1686</v>
      </c>
      <c r="C276" s="4" t="str">
        <f>HLOOKUP('Getting Started'!H$2,D:E,ROW(),FALSE)</f>
        <v>2. Presence of the copies of the sample rejection form in the folder "Rejected Samples".</v>
      </c>
      <c r="D276" s="4" t="s">
        <v>2472</v>
      </c>
      <c r="E276" s="303" t="s">
        <v>4110</v>
      </c>
    </row>
    <row r="277" spans="1:5" ht="15.75" x14ac:dyDescent="0.25">
      <c r="A277" s="322" t="s">
        <v>5448</v>
      </c>
      <c r="B277" s="322" t="s">
        <v>1687</v>
      </c>
      <c r="C277" s="4" t="str">
        <f>HLOOKUP('Getting Started'!H$2,D:E,ROW(),FALSE)</f>
        <v>Presence of process flowcharts for each section/unit of laboratory.</v>
      </c>
      <c r="D277" s="4" t="s">
        <v>2473</v>
      </c>
      <c r="E277" s="303" t="s">
        <v>4111</v>
      </c>
    </row>
    <row r="278" spans="1:5" ht="47.25" x14ac:dyDescent="0.25">
      <c r="A278" s="322" t="s">
        <v>5449</v>
      </c>
      <c r="B278" s="322" t="s">
        <v>1688</v>
      </c>
      <c r="C278" s="4" t="str">
        <f>HLOOKUP('Getting Started'!H$2,D:E,ROW(),FALSE)</f>
        <v>Presence of process flowcharts for each section of laboratory with the possible failure and quality control steps.</v>
      </c>
      <c r="D278" s="4" t="s">
        <v>2474</v>
      </c>
      <c r="E278" s="303" t="s">
        <v>4112</v>
      </c>
    </row>
    <row r="279" spans="1:5" ht="47.25" x14ac:dyDescent="0.25">
      <c r="A279" s="322" t="s">
        <v>5450</v>
      </c>
      <c r="B279" s="322" t="s">
        <v>1689</v>
      </c>
      <c r="C279" s="4" t="str">
        <f>HLOOKUP('Getting Started'!H$2,D:E,ROW(),FALSE)</f>
        <v>Presence of IQC register for each section (include Levy Jennings chart for quantitative tests).</v>
      </c>
      <c r="D279" s="4" t="s">
        <v>2475</v>
      </c>
      <c r="E279" s="303" t="s">
        <v>4113</v>
      </c>
    </row>
    <row r="280" spans="1:5" ht="31.5" x14ac:dyDescent="0.25">
      <c r="A280" s="322" t="s">
        <v>5451</v>
      </c>
      <c r="B280" s="322" t="s">
        <v>1690</v>
      </c>
      <c r="C280" s="4" t="str">
        <f>HLOOKUP('Getting Started'!H$2,D:E,ROW(),FALSE)</f>
        <v>All relevant SOPs in laboratory has internal quality control protocols.</v>
      </c>
      <c r="D280" s="4" t="s">
        <v>2476</v>
      </c>
      <c r="E280" s="303" t="s">
        <v>4114</v>
      </c>
    </row>
    <row r="281" spans="1:5" ht="31.5" x14ac:dyDescent="0.25">
      <c r="A281" s="322" t="s">
        <v>5452</v>
      </c>
      <c r="B281" s="322" t="s">
        <v>1691</v>
      </c>
      <c r="C281" s="4" t="str">
        <f>HLOOKUP('Getting Started'!H$2,D:E,ROW(),FALSE)</f>
        <v>Presence of SOP for internal quality control.</v>
      </c>
      <c r="D281" s="4" t="s">
        <v>2477</v>
      </c>
      <c r="E281" s="303" t="s">
        <v>4115</v>
      </c>
    </row>
    <row r="282" spans="1:5" ht="31.5" x14ac:dyDescent="0.25">
      <c r="A282" s="322" t="s">
        <v>5453</v>
      </c>
      <c r="B282" s="322" t="s">
        <v>1692</v>
      </c>
      <c r="C282" s="4" t="str">
        <f>HLOOKUP('Getting Started'!H$2,D:E,ROW(),FALSE)</f>
        <v>Presence of a nonconformity folder with the records of nonconformities.</v>
      </c>
      <c r="D282" s="4" t="s">
        <v>2478</v>
      </c>
      <c r="E282" s="303" t="s">
        <v>4116</v>
      </c>
    </row>
    <row r="283" spans="1:5" ht="47.25" x14ac:dyDescent="0.25">
      <c r="A283" s="322" t="s">
        <v>5454</v>
      </c>
      <c r="B283" s="322" t="s">
        <v>1693</v>
      </c>
      <c r="C283" s="4" t="str">
        <f>HLOOKUP('Getting Started'!H$2,D:E,ROW(),FALSE)</f>
        <v>1. Presence of daily note, signature and date of responsible person on the Levey Jenning control chart and IQC register</v>
      </c>
      <c r="D283" s="4" t="s">
        <v>2479</v>
      </c>
      <c r="E283" s="303" t="s">
        <v>4117</v>
      </c>
    </row>
    <row r="284" spans="1:5" ht="47.25" x14ac:dyDescent="0.25">
      <c r="A284" s="322" t="s">
        <v>5455</v>
      </c>
      <c r="B284" s="322" t="s">
        <v>1693</v>
      </c>
      <c r="C284" s="4" t="str">
        <f>HLOOKUP('Getting Started'!H$2,D:E,ROW(),FALSE)</f>
        <v>2. Presence of weekly note, signature and date of Quality Officer or Lab manager on the Levey Jenning control chart and IQC register</v>
      </c>
      <c r="D284" s="4" t="s">
        <v>2480</v>
      </c>
      <c r="E284" s="303" t="s">
        <v>4118</v>
      </c>
    </row>
    <row r="285" spans="1:5" ht="15.75" x14ac:dyDescent="0.25">
      <c r="A285" s="322" t="s">
        <v>5456</v>
      </c>
      <c r="B285" s="322" t="s">
        <v>1694</v>
      </c>
      <c r="C285" s="4" t="str">
        <f>HLOOKUP('Getting Started'!H$2,D:E,ROW(),FALSE)</f>
        <v xml:space="preserve">Presence of filled nonconformity form </v>
      </c>
      <c r="D285" s="4" t="s">
        <v>2481</v>
      </c>
      <c r="E285" s="303" t="s">
        <v>4119</v>
      </c>
    </row>
    <row r="286" spans="1:5" ht="31.5" x14ac:dyDescent="0.25">
      <c r="A286" s="322" t="s">
        <v>5457</v>
      </c>
      <c r="B286" s="322" t="s">
        <v>1695</v>
      </c>
      <c r="C286" s="4" t="str">
        <f>HLOOKUP('Getting Started'!H$2,D:E,ROW(),FALSE)</f>
        <v>Presence of filled nonconformity form with results halted when IQC fail.</v>
      </c>
      <c r="D286" s="4" t="s">
        <v>2482</v>
      </c>
      <c r="E286" s="303" t="s">
        <v>4120</v>
      </c>
    </row>
    <row r="287" spans="1:5" ht="31.5" x14ac:dyDescent="0.25">
      <c r="A287" s="322" t="s">
        <v>5458</v>
      </c>
      <c r="B287" s="322" t="s">
        <v>1696</v>
      </c>
      <c r="C287" s="4" t="str">
        <f>HLOOKUP('Getting Started'!H$2,D:E,ROW(),FALSE)</f>
        <v>Presence of a list of all the needed SOPs according to the flowcharts</v>
      </c>
      <c r="D287" s="4" t="s">
        <v>2483</v>
      </c>
      <c r="E287" s="303" t="s">
        <v>4121</v>
      </c>
    </row>
    <row r="288" spans="1:5" ht="31.5" x14ac:dyDescent="0.25">
      <c r="A288" s="322" t="s">
        <v>5459</v>
      </c>
      <c r="B288" s="322" t="s">
        <v>1697</v>
      </c>
      <c r="C288" s="4" t="str">
        <f>HLOOKUP('Getting Started'!H$2,D:E,ROW(),FALSE)</f>
        <v>Presence of all SOPs according to the list in previous item</v>
      </c>
      <c r="D288" s="4" t="s">
        <v>2484</v>
      </c>
      <c r="E288" s="303" t="s">
        <v>4122</v>
      </c>
    </row>
    <row r="289" spans="1:5" ht="15.75" x14ac:dyDescent="0.25">
      <c r="A289" s="322" t="s">
        <v>5460</v>
      </c>
      <c r="B289" s="322" t="s">
        <v>1699</v>
      </c>
      <c r="C289" s="4" t="str">
        <f>HLOOKUP('Getting Started'!H$2,D:E,ROW(),FALSE)</f>
        <v>Presence of a fixed format for the Result Report (see CamLIS)</v>
      </c>
      <c r="D289" s="4" t="s">
        <v>2486</v>
      </c>
      <c r="E289" s="303" t="s">
        <v>4123</v>
      </c>
    </row>
    <row r="290" spans="1:5" ht="31.5" x14ac:dyDescent="0.25">
      <c r="A290" s="322" t="s">
        <v>5461</v>
      </c>
      <c r="B290" s="322" t="s">
        <v>1701</v>
      </c>
      <c r="C290" s="4" t="str">
        <f>HLOOKUP('Getting Started'!H$2,D:E,ROW(),FALSE)</f>
        <v>CamLIS has disccused with the clients during the development phase</v>
      </c>
      <c r="D290" s="4" t="s">
        <v>2498</v>
      </c>
      <c r="E290" s="303" t="s">
        <v>4124</v>
      </c>
    </row>
    <row r="291" spans="1:5" ht="15.75" x14ac:dyDescent="0.25">
      <c r="A291" s="322" t="s">
        <v>5462</v>
      </c>
      <c r="B291" s="322" t="s">
        <v>1702</v>
      </c>
      <c r="C291" s="4" t="str">
        <f>HLOOKUP('Getting Started'!H$2,D:E,ROW(),FALSE)</f>
        <v>Presence of an SOP for Recording, Reporting and Archiving of Results.</v>
      </c>
      <c r="D291" s="4" t="s">
        <v>2499</v>
      </c>
      <c r="E291" s="303" t="s">
        <v>4125</v>
      </c>
    </row>
    <row r="292" spans="1:5" ht="30" x14ac:dyDescent="0.25">
      <c r="A292" s="322" t="s">
        <v>5463</v>
      </c>
      <c r="B292" s="322" t="s">
        <v>1704</v>
      </c>
      <c r="C292" s="4" t="str">
        <f>HLOOKUP('Getting Started'!H$2,D:E,ROW(),FALSE)</f>
        <v>Presence of the blank "Immediate Notification Form" next to the telephone</v>
      </c>
      <c r="D292" s="4" t="s">
        <v>2500</v>
      </c>
      <c r="E292" s="303" t="s">
        <v>4126</v>
      </c>
    </row>
    <row r="293" spans="1:5" ht="31.5" x14ac:dyDescent="0.25">
      <c r="A293" s="322" t="s">
        <v>5464</v>
      </c>
      <c r="B293" s="322" t="s">
        <v>1705</v>
      </c>
      <c r="C293" s="4" t="str">
        <f>HLOOKUP('Getting Started'!H$2,D:E,ROW(),FALSE)</f>
        <v>Presence of the filled "Immediate Notification Form" kept in the folder locked in the cabinet</v>
      </c>
      <c r="D293" s="4" t="s">
        <v>2501</v>
      </c>
      <c r="E293" s="303" t="s">
        <v>4127</v>
      </c>
    </row>
    <row r="294" spans="1:5" ht="45" x14ac:dyDescent="0.25">
      <c r="A294" s="322" t="s">
        <v>5465</v>
      </c>
      <c r="B294" s="322" t="s">
        <v>1708</v>
      </c>
      <c r="C294" s="4" t="str">
        <f>HLOOKUP('Getting Started'!H$2,D:E,ROW(),FALSE)</f>
        <v>Presence of a locked cabinet that all records containing patient data are stored and that this cabinet can only be opened by authorized staff members.</v>
      </c>
      <c r="D294" s="4" t="s">
        <v>2502</v>
      </c>
      <c r="E294" s="303" t="s">
        <v>4128</v>
      </c>
    </row>
    <row r="295" spans="1:5" ht="31.5" x14ac:dyDescent="0.25">
      <c r="A295" s="322" t="s">
        <v>5466</v>
      </c>
      <c r="B295" s="322" t="s">
        <v>1709</v>
      </c>
      <c r="C295" s="4" t="str">
        <f>HLOOKUP('Getting Started'!H$2,D:E,ROW(),FALSE)</f>
        <v>1. Patient data are store in a quick and easy retrieval way</v>
      </c>
      <c r="D295" s="4" t="s">
        <v>2759</v>
      </c>
      <c r="E295" s="303" t="s">
        <v>4129</v>
      </c>
    </row>
    <row r="296" spans="1:5" ht="47.25" x14ac:dyDescent="0.25">
      <c r="A296" s="322" t="s">
        <v>5467</v>
      </c>
      <c r="B296" s="322" t="s">
        <v>1709</v>
      </c>
      <c r="C296" s="4" t="str">
        <f>HLOOKUP('Getting Started'!H$2,D:E,ROW(),FALSE)</f>
        <v>2. Available of updated Authorization Matrix and Personal Job Descriptiont of the assinged staff who are authorized to access the patient data archive.</v>
      </c>
      <c r="D296" s="4" t="s">
        <v>2503</v>
      </c>
      <c r="E296" s="303" t="s">
        <v>4130</v>
      </c>
    </row>
    <row r="297" spans="1:5" ht="31.5" x14ac:dyDescent="0.25">
      <c r="A297" s="322" t="s">
        <v>5468</v>
      </c>
      <c r="B297" s="322" t="s">
        <v>1712</v>
      </c>
      <c r="C297" s="4" t="str">
        <f>HLOOKUP('Getting Started'!H$2,D:E,ROW(),FALSE)</f>
        <v>Presence of Read and Understood list with signatures.</v>
      </c>
      <c r="D297" s="4" t="s">
        <v>2514</v>
      </c>
      <c r="E297" s="303" t="s">
        <v>4131</v>
      </c>
    </row>
    <row r="298" spans="1:5" ht="15.75" x14ac:dyDescent="0.25">
      <c r="A298" s="322" t="s">
        <v>5469</v>
      </c>
      <c r="B298" s="322" t="s">
        <v>1713</v>
      </c>
      <c r="C298" s="4" t="str">
        <f>HLOOKUP('Getting Started'!H$2,D:E,ROW(),FALSE)</f>
        <v>Presence of the Signature List for all staffs.</v>
      </c>
      <c r="D298" s="4" t="s">
        <v>2760</v>
      </c>
      <c r="E298" s="303" t="s">
        <v>4132</v>
      </c>
    </row>
    <row r="299" spans="1:5" ht="31.5" x14ac:dyDescent="0.25">
      <c r="A299" s="322" t="s">
        <v>5470</v>
      </c>
      <c r="B299" s="322" t="s">
        <v>1714</v>
      </c>
      <c r="C299" s="4" t="str">
        <f>HLOOKUP('Getting Started'!H$2,D:E,ROW(),FALSE)</f>
        <v>1. Presence of Confidentiality Agreement Form for each staff with signature of each staff on it and kept in personnel files.</v>
      </c>
      <c r="D299" s="4" t="s">
        <v>3184</v>
      </c>
      <c r="E299" s="303" t="s">
        <v>4133</v>
      </c>
    </row>
    <row r="300" spans="1:5" ht="31.5" x14ac:dyDescent="0.25">
      <c r="A300" s="322" t="s">
        <v>5471</v>
      </c>
      <c r="B300" s="322" t="s">
        <v>1715</v>
      </c>
      <c r="C300" s="4" t="str">
        <f>HLOOKUP('Getting Started'!H$2,D:E,ROW(),FALSE)</f>
        <v>Lab has a weekly backup of the digital laboratory information.</v>
      </c>
      <c r="D300" s="4" t="s">
        <v>2516</v>
      </c>
      <c r="E300" s="303" t="s">
        <v>4134</v>
      </c>
    </row>
    <row r="301" spans="1:5" ht="47.25" x14ac:dyDescent="0.25">
      <c r="A301" s="322" t="s">
        <v>5472</v>
      </c>
      <c r="B301" s="322" t="s">
        <v>1716</v>
      </c>
      <c r="C301" s="4" t="str">
        <f>HLOOKUP('Getting Started'!H$2,D:E,ROW(),FALSE)</f>
        <v>Presence of a proper storage place where laboratory information backups are stored behind lock and key, in another building than the laboratory building.</v>
      </c>
      <c r="D301" s="4" t="s">
        <v>2517</v>
      </c>
      <c r="E301" s="303" t="s">
        <v>4135</v>
      </c>
    </row>
    <row r="302" spans="1:5" ht="15.75" x14ac:dyDescent="0.25">
      <c r="A302" s="322" t="s">
        <v>5473</v>
      </c>
      <c r="B302" s="322" t="s">
        <v>1717</v>
      </c>
      <c r="C302" s="4" t="str">
        <f>HLOOKUP('Getting Started'!H$2,D:E,ROW(),FALSE)</f>
        <v>Presence of a Document Retention List</v>
      </c>
      <c r="D302" s="4" t="s">
        <v>2518</v>
      </c>
      <c r="E302" s="303" t="s">
        <v>4136</v>
      </c>
    </row>
    <row r="303" spans="1:5" ht="31.5" x14ac:dyDescent="0.25">
      <c r="A303" s="322" t="s">
        <v>5474</v>
      </c>
      <c r="B303" s="322" t="s">
        <v>1720</v>
      </c>
      <c r="C303" s="4" t="str">
        <f>HLOOKUP('Getting Started'!H$2,D:E,ROW(),FALSE)</f>
        <v>1. Presence of the blank Document Revision Form in lab templates folder</v>
      </c>
      <c r="D303" s="4" t="s">
        <v>2523</v>
      </c>
      <c r="E303" s="303" t="s">
        <v>4137</v>
      </c>
    </row>
    <row r="304" spans="1:5" ht="31.5" x14ac:dyDescent="0.25">
      <c r="A304" s="322" t="s">
        <v>5475</v>
      </c>
      <c r="B304" s="322" t="s">
        <v>1720</v>
      </c>
      <c r="C304" s="4" t="str">
        <f>HLOOKUP('Getting Started'!H$2,D:E,ROW(),FALSE)</f>
        <v>2. Presence of a Document Revision Form folder with the filled Document Revision Form</v>
      </c>
      <c r="D304" s="4" t="s">
        <v>2524</v>
      </c>
      <c r="E304" s="303" t="s">
        <v>4138</v>
      </c>
    </row>
    <row r="305" spans="1:5" ht="31.5" x14ac:dyDescent="0.25">
      <c r="A305" s="322" t="s">
        <v>5476</v>
      </c>
      <c r="B305" s="322" t="s">
        <v>1722</v>
      </c>
      <c r="C305" s="4" t="str">
        <f>HLOOKUP('Getting Started'!H$2,D:E,ROW(),FALSE)</f>
        <v>Presence of minute of the meeting</v>
      </c>
      <c r="D305" s="4" t="s">
        <v>2522</v>
      </c>
      <c r="E305" s="303" t="s">
        <v>4139</v>
      </c>
    </row>
    <row r="306" spans="1:5" ht="15.75" x14ac:dyDescent="0.25">
      <c r="A306" s="322" t="s">
        <v>5477</v>
      </c>
      <c r="B306" s="322" t="s">
        <v>1725</v>
      </c>
      <c r="C306" s="4" t="str">
        <f>HLOOKUP('Getting Started'!H$2,D:E,ROW(),FALSE)</f>
        <v>Presence of document review schedule</v>
      </c>
      <c r="D306" s="4" t="s">
        <v>2552</v>
      </c>
      <c r="E306" s="303" t="s">
        <v>4140</v>
      </c>
    </row>
    <row r="307" spans="1:5" ht="15.75" x14ac:dyDescent="0.25">
      <c r="A307" s="322" t="s">
        <v>5478</v>
      </c>
      <c r="B307" s="322" t="s">
        <v>1726</v>
      </c>
      <c r="C307" s="4" t="str">
        <f>HLOOKUP('Getting Started'!H$2,D:E,ROW(),FALSE)</f>
        <v>Presence of up to date bench aids</v>
      </c>
      <c r="D307" s="4" t="s">
        <v>2553</v>
      </c>
      <c r="E307" s="303" t="s">
        <v>4141</v>
      </c>
    </row>
    <row r="308" spans="1:5" ht="31.5" x14ac:dyDescent="0.25">
      <c r="A308" s="322" t="s">
        <v>5479</v>
      </c>
      <c r="B308" s="322" t="s">
        <v>1727</v>
      </c>
      <c r="C308" s="4" t="str">
        <f>HLOOKUP('Getting Started'!H$2,D:E,ROW(),FALSE)</f>
        <v>All quality documents currently in use are reviewed by at least one reviewer</v>
      </c>
      <c r="D308" s="4" t="s">
        <v>2554</v>
      </c>
      <c r="E308" s="303" t="s">
        <v>4142</v>
      </c>
    </row>
    <row r="309" spans="1:5" ht="31.5" x14ac:dyDescent="0.25">
      <c r="A309" s="322" t="s">
        <v>5480</v>
      </c>
      <c r="B309" s="322" t="s">
        <v>1728</v>
      </c>
      <c r="C309" s="4" t="str">
        <f>HLOOKUP('Getting Started'!H$2,D:E,ROW(),FALSE)</f>
        <v>All the quality documents used in the laboratory are authorized for release</v>
      </c>
      <c r="D309" s="4" t="s">
        <v>2555</v>
      </c>
      <c r="E309" s="303" t="s">
        <v>4143</v>
      </c>
    </row>
    <row r="310" spans="1:5" ht="31.5" x14ac:dyDescent="0.25">
      <c r="A310" s="322" t="s">
        <v>5481</v>
      </c>
      <c r="B310" s="322" t="s">
        <v>1729</v>
      </c>
      <c r="C310" s="4" t="str">
        <f>HLOOKUP('Getting Started'!H$2,D:E,ROW(),FALSE)</f>
        <v>All the quality documents used in the laboratory are the current versions</v>
      </c>
      <c r="D310" s="4" t="s">
        <v>2556</v>
      </c>
      <c r="E310" s="303" t="s">
        <v>4144</v>
      </c>
    </row>
    <row r="311" spans="1:5" ht="45" x14ac:dyDescent="0.25">
      <c r="A311" s="322" t="s">
        <v>5482</v>
      </c>
      <c r="B311" s="322" t="s">
        <v>1730</v>
      </c>
      <c r="C311" s="4" t="str">
        <f>HLOOKUP('Getting Started'!H$2,D:E,ROW(),FALSE)</f>
        <v>All the old version of quality documents in the quality documentation archive are  marked with the word “replaced” with the date on which they were replaced</v>
      </c>
      <c r="D311" s="4" t="s">
        <v>2557</v>
      </c>
      <c r="E311" s="303" t="s">
        <v>4145</v>
      </c>
    </row>
    <row r="312" spans="1:5" ht="31.5" x14ac:dyDescent="0.25">
      <c r="A312" s="322" t="s">
        <v>5483</v>
      </c>
      <c r="B312" s="322" t="s">
        <v>1731</v>
      </c>
      <c r="C312" s="4" t="str">
        <f>HLOOKUP('Getting Started'!H$2,D:E,ROW(),FALSE)</f>
        <v>All references to other documents, to locations and to pieces of equipment are correct</v>
      </c>
      <c r="D312" s="4" t="s">
        <v>2558</v>
      </c>
      <c r="E312" s="303" t="s">
        <v>4146</v>
      </c>
    </row>
    <row r="313" spans="1:5" ht="31.5" x14ac:dyDescent="0.25">
      <c r="A313" s="322" t="s">
        <v>5484</v>
      </c>
      <c r="B313" s="322" t="s">
        <v>1732</v>
      </c>
      <c r="C313" s="4" t="str">
        <f>HLOOKUP('Getting Started'!H$2,D:E,ROW(),FALSE)</f>
        <v>Presence of area/room/cabinet for storing all quality documents for a period of five years.</v>
      </c>
      <c r="D313" s="4" t="s">
        <v>2559</v>
      </c>
      <c r="E313" s="303" t="s">
        <v>4147</v>
      </c>
    </row>
    <row r="314" spans="1:5" ht="31.5" x14ac:dyDescent="0.25">
      <c r="A314" s="322" t="s">
        <v>5485</v>
      </c>
      <c r="B314" s="322" t="s">
        <v>1733</v>
      </c>
      <c r="C314" s="4" t="str">
        <f>HLOOKUP('Getting Started'!H$2,D:E,ROW(),FALSE)</f>
        <v>Presence of SOP for document control</v>
      </c>
      <c r="D314" s="4" t="s">
        <v>2560</v>
      </c>
      <c r="E314" s="303" t="s">
        <v>4148</v>
      </c>
    </row>
    <row r="315" spans="1:5" ht="31.5" x14ac:dyDescent="0.25">
      <c r="A315" s="322" t="s">
        <v>5486</v>
      </c>
      <c r="B315" s="322" t="s">
        <v>1736</v>
      </c>
      <c r="C315" s="4" t="str">
        <f>HLOOKUP('Getting Started'!H$2,D:E,ROW(),FALSE)</f>
        <v>Presence of Client Register, next to the telephone or on the wall, where is accessible to all staff</v>
      </c>
      <c r="D315" s="4" t="s">
        <v>3185</v>
      </c>
      <c r="E315" s="303" t="s">
        <v>4149</v>
      </c>
    </row>
    <row r="316" spans="1:5" ht="30" x14ac:dyDescent="0.25">
      <c r="A316" s="322" t="s">
        <v>5487</v>
      </c>
      <c r="B316" s="322" t="s">
        <v>1737</v>
      </c>
      <c r="C316" s="4" t="str">
        <f>HLOOKUP('Getting Started'!H$2,D:E,ROW(),FALSE)</f>
        <v>1. Presence of Biological Reference value and Critical Values for Cambodian Population</v>
      </c>
      <c r="D316" s="4" t="s">
        <v>2566</v>
      </c>
      <c r="E316" s="303" t="s">
        <v>4150</v>
      </c>
    </row>
    <row r="317" spans="1:5" ht="15.75" x14ac:dyDescent="0.25">
      <c r="A317" s="322" t="s">
        <v>5488</v>
      </c>
      <c r="B317" s="322" t="s">
        <v>1737</v>
      </c>
      <c r="C317" s="4" t="str">
        <f>HLOOKUP('Getting Started'!H$2,D:E,ROW(),FALSE)</f>
        <v>2. Presence of lab report form which include biological reference values</v>
      </c>
      <c r="D317" s="4" t="s">
        <v>2564</v>
      </c>
      <c r="E317" s="303" t="s">
        <v>4151</v>
      </c>
    </row>
    <row r="318" spans="1:5" ht="31.5" x14ac:dyDescent="0.25">
      <c r="A318" s="322" t="s">
        <v>5489</v>
      </c>
      <c r="B318" s="322" t="s">
        <v>1737</v>
      </c>
      <c r="C318" s="4" t="str">
        <f>HLOOKUP('Getting Started'!H$2,D:E,ROW(),FALSE)</f>
        <v>3. Presence of lab service manual which include biological reference values and critival values</v>
      </c>
      <c r="D318" s="4" t="s">
        <v>2565</v>
      </c>
      <c r="E318" s="303" t="s">
        <v>4152</v>
      </c>
    </row>
    <row r="319" spans="1:5" ht="15.75" x14ac:dyDescent="0.25">
      <c r="A319" s="322" t="s">
        <v>5490</v>
      </c>
      <c r="B319" s="322" t="s">
        <v>1738</v>
      </c>
      <c r="C319" s="4" t="str">
        <f>HLOOKUP('Getting Started'!H$2,D:E,ROW(),FALSE)</f>
        <v>Presence of Biological Reference Interval regularly</v>
      </c>
      <c r="D319" s="4" t="s">
        <v>2562</v>
      </c>
      <c r="E319" s="303" t="s">
        <v>4153</v>
      </c>
    </row>
    <row r="320" spans="1:5" ht="15.75" x14ac:dyDescent="0.25">
      <c r="A320" s="322" t="s">
        <v>5491</v>
      </c>
      <c r="B320" s="322" t="s">
        <v>1739</v>
      </c>
      <c r="C320" s="4" t="str">
        <f>HLOOKUP('Getting Started'!H$2,D:E,ROW(),FALSE)</f>
        <v>Presence of Biological Reference Interval, based on the brands of reagents</v>
      </c>
      <c r="D320" s="4" t="s">
        <v>2563</v>
      </c>
      <c r="E320" s="303" t="s">
        <v>4154</v>
      </c>
    </row>
    <row r="321" spans="1:5" ht="31.5" x14ac:dyDescent="0.25">
      <c r="A321" s="322" t="s">
        <v>5492</v>
      </c>
      <c r="B321" s="322" t="s">
        <v>1741</v>
      </c>
      <c r="C321" s="4" t="str">
        <f>HLOOKUP('Getting Started'!H$2,D:E,ROW(),FALSE)</f>
        <v>Presence of Lab Service Manual in all wards in the hospitals</v>
      </c>
      <c r="D321" s="4" t="s">
        <v>2589</v>
      </c>
      <c r="E321" s="303" t="s">
        <v>4155</v>
      </c>
    </row>
    <row r="322" spans="1:5" ht="31.5" x14ac:dyDescent="0.25">
      <c r="A322" s="322" t="s">
        <v>5493</v>
      </c>
      <c r="B322" s="322" t="s">
        <v>1742</v>
      </c>
      <c r="C322" s="4" t="str">
        <f>HLOOKUP('Getting Started'!H$2,D:E,ROW(),FALSE)</f>
        <v>Presence of update Lab Service Manual according to the SOP of document control</v>
      </c>
      <c r="D322" s="4" t="s">
        <v>2590</v>
      </c>
      <c r="E322" s="303" t="s">
        <v>4156</v>
      </c>
    </row>
    <row r="323" spans="1:5" ht="15.75" x14ac:dyDescent="0.25">
      <c r="A323" s="322" t="s">
        <v>5494</v>
      </c>
      <c r="B323" s="322" t="s">
        <v>1743</v>
      </c>
      <c r="C323" s="4" t="str">
        <f>HLOOKUP('Getting Started'!H$2,D:E,ROW(),FALSE)</f>
        <v>See item 168</v>
      </c>
      <c r="D323" s="4" t="s">
        <v>2591</v>
      </c>
      <c r="E323" s="303" t="s">
        <v>4157</v>
      </c>
    </row>
    <row r="324" spans="1:5" ht="47.25" x14ac:dyDescent="0.25">
      <c r="A324" s="322" t="s">
        <v>5495</v>
      </c>
      <c r="B324" s="322" t="s">
        <v>1744</v>
      </c>
      <c r="C324" s="4" t="str">
        <f>HLOOKUP('Getting Started'!H$2,D:E,ROW(),FALSE)</f>
        <v>Presence of an updated biological reference interval/diagnostic decision value and/or alert/critical interval values in
- the Laboratory Service Manual</v>
      </c>
      <c r="D324" s="4" t="s">
        <v>3186</v>
      </c>
      <c r="E324" s="303" t="s">
        <v>4158</v>
      </c>
    </row>
    <row r="325" spans="1:5" ht="15.75" x14ac:dyDescent="0.25">
      <c r="A325" s="322" t="s">
        <v>5496</v>
      </c>
      <c r="B325" s="322" t="s">
        <v>1744</v>
      </c>
      <c r="C325" s="4" t="str">
        <f>HLOOKUP('Getting Started'!H$2,D:E,ROW(),FALSE)</f>
        <v xml:space="preserve"> the Laboratory Result Report format</v>
      </c>
      <c r="D325" s="4" t="s">
        <v>2592</v>
      </c>
      <c r="E325" s="303" t="s">
        <v>4159</v>
      </c>
    </row>
    <row r="326" spans="1:5" ht="15.75" x14ac:dyDescent="0.25">
      <c r="A326" s="322" t="s">
        <v>5497</v>
      </c>
      <c r="B326" s="322" t="s">
        <v>1744</v>
      </c>
      <c r="C326" s="4" t="str">
        <f>HLOOKUP('Getting Started'!H$2,D:E,ROW(),FALSE)</f>
        <v>all wards of the hospitals</v>
      </c>
      <c r="D326" s="4" t="s">
        <v>2593</v>
      </c>
      <c r="E326" s="303" t="s">
        <v>4160</v>
      </c>
    </row>
    <row r="327" spans="1:5" ht="15.75" x14ac:dyDescent="0.25">
      <c r="A327" s="322" t="s">
        <v>5498</v>
      </c>
      <c r="B327" s="322" t="s">
        <v>1745</v>
      </c>
      <c r="C327" s="4" t="str">
        <f>HLOOKUP('Getting Started'!H$2,D:E,ROW(),FALSE)</f>
        <v>Presence of PT result</v>
      </c>
      <c r="D327" s="4" t="s">
        <v>2595</v>
      </c>
      <c r="E327" s="303" t="s">
        <v>4161</v>
      </c>
    </row>
    <row r="328" spans="1:5" ht="31.5" x14ac:dyDescent="0.25">
      <c r="A328" s="322" t="s">
        <v>5499</v>
      </c>
      <c r="B328" s="322" t="s">
        <v>1747</v>
      </c>
      <c r="C328" s="4" t="str">
        <f>HLOOKUP('Getting Started'!H$2,D:E,ROW(),FALSE)</f>
        <v>Presence of record on the causes of the problem, corrective actions, and preventive actions.</v>
      </c>
      <c r="D328" s="4" t="s">
        <v>2596</v>
      </c>
      <c r="E328" s="303" t="s">
        <v>4162</v>
      </c>
    </row>
    <row r="329" spans="1:5" ht="15.75" x14ac:dyDescent="0.25">
      <c r="A329" s="322" t="s">
        <v>5500</v>
      </c>
      <c r="B329" s="322" t="s">
        <v>1749</v>
      </c>
      <c r="C329" s="4" t="str">
        <f>HLOOKUP('Getting Started'!H$2,D:E,ROW(),FALSE)</f>
        <v>Presence of SOP for external quality assessment procedures</v>
      </c>
      <c r="D329" s="4" t="s">
        <v>2597</v>
      </c>
      <c r="E329" s="303" t="s">
        <v>4163</v>
      </c>
    </row>
    <row r="330" spans="1:5" ht="15.75" x14ac:dyDescent="0.25">
      <c r="A330" s="322" t="s">
        <v>5501</v>
      </c>
      <c r="B330" s="322" t="s">
        <v>1762</v>
      </c>
      <c r="C330" s="4" t="str">
        <f>HLOOKUP('Getting Started'!H$2,D:E,ROW(),FALSE)</f>
        <v xml:space="preserve">1. Presence of the sample collection area </v>
      </c>
      <c r="D330" s="4" t="s">
        <v>2599</v>
      </c>
      <c r="E330" s="303" t="s">
        <v>4164</v>
      </c>
    </row>
    <row r="331" spans="1:5" ht="15.75" x14ac:dyDescent="0.25">
      <c r="A331" s="322" t="s">
        <v>5502</v>
      </c>
      <c r="B331" s="322" t="s">
        <v>1762</v>
      </c>
      <c r="C331" s="4" t="str">
        <f>HLOOKUP('Getting Started'!H$2,D:E,ROW(),FALSE)</f>
        <v>2. Presence of the waiting area</v>
      </c>
      <c r="D331" s="4" t="s">
        <v>2598</v>
      </c>
      <c r="E331" s="303" t="s">
        <v>4165</v>
      </c>
    </row>
    <row r="332" spans="1:5" ht="30" x14ac:dyDescent="0.25">
      <c r="A332" s="322" t="s">
        <v>5503</v>
      </c>
      <c r="B332" s="322" t="s">
        <v>1766</v>
      </c>
      <c r="C332" s="4" t="str">
        <f>HLOOKUP('Getting Started'!H$2,D:E,ROW(),FALSE)</f>
        <v>the sample collection area and the waiting area is accessible for disabled persons</v>
      </c>
      <c r="D332" s="4" t="s">
        <v>2600</v>
      </c>
      <c r="E332" s="303" t="s">
        <v>4166</v>
      </c>
    </row>
    <row r="333" spans="1:5" ht="30" x14ac:dyDescent="0.25">
      <c r="A333" s="322" t="s">
        <v>5504</v>
      </c>
      <c r="B333" s="322" t="s">
        <v>1767</v>
      </c>
      <c r="C333" s="4" t="str">
        <f>HLOOKUP('Getting Started'!H$2,D:E,ROW(),FALSE)</f>
        <v xml:space="preserve">1. Sample Storage Areas is available with good condition.
</v>
      </c>
      <c r="D333" s="4" t="s">
        <v>3187</v>
      </c>
      <c r="E333" s="303" t="s">
        <v>4167</v>
      </c>
    </row>
    <row r="334" spans="1:5" ht="15.75" x14ac:dyDescent="0.25">
      <c r="A334" s="322" t="s">
        <v>5505</v>
      </c>
      <c r="B334" s="322" t="s">
        <v>1767</v>
      </c>
      <c r="C334" s="4" t="str">
        <f>HLOOKUP('Getting Started'!H$2,D:E,ROW(),FALSE)</f>
        <v>2. Sample Inventory log is available.</v>
      </c>
      <c r="D334" s="4" t="s">
        <v>2603</v>
      </c>
      <c r="E334" s="303" t="s">
        <v>4168</v>
      </c>
    </row>
    <row r="335" spans="1:5" ht="15.75" x14ac:dyDescent="0.25">
      <c r="A335" s="322" t="s">
        <v>5506</v>
      </c>
      <c r="B335" s="322" t="s">
        <v>1768</v>
      </c>
      <c r="C335" s="4" t="str">
        <f>HLOOKUP('Getting Started'!H$2,D:E,ROW(),FALSE)</f>
        <v>1-Reagent and supplies Storage Areas  is available with good condition.</v>
      </c>
      <c r="D335" s="4" t="s">
        <v>2604</v>
      </c>
      <c r="E335" s="303" t="s">
        <v>4169</v>
      </c>
    </row>
    <row r="336" spans="1:5" ht="15.75" x14ac:dyDescent="0.25">
      <c r="A336" s="322" t="s">
        <v>5507</v>
      </c>
      <c r="B336" s="322" t="s">
        <v>1768</v>
      </c>
      <c r="C336" s="4" t="str">
        <f>HLOOKUP('Getting Started'!H$2,D:E,ROW(),FALSE)</f>
        <v>2- A register with an up-to-date overview is available</v>
      </c>
      <c r="D336" s="4" t="s">
        <v>2605</v>
      </c>
      <c r="E336" s="303" t="s">
        <v>4170</v>
      </c>
    </row>
    <row r="337" spans="1:5" ht="15.75" x14ac:dyDescent="0.25">
      <c r="A337" s="322" t="s">
        <v>5508</v>
      </c>
      <c r="B337" s="322" t="s">
        <v>1769</v>
      </c>
      <c r="C337" s="4" t="str">
        <f>HLOOKUP('Getting Started'!H$2,D:E,ROW(),FALSE)</f>
        <v>1- Equipment Storage Areas  is available with good condition.</v>
      </c>
      <c r="D337" s="4" t="s">
        <v>2606</v>
      </c>
      <c r="E337" s="303" t="s">
        <v>4171</v>
      </c>
    </row>
    <row r="338" spans="1:5" ht="31.5" x14ac:dyDescent="0.25">
      <c r="A338" s="322" t="s">
        <v>5509</v>
      </c>
      <c r="B338" s="322" t="s">
        <v>1769</v>
      </c>
      <c r="C338" s="4" t="str">
        <f>HLOOKUP('Getting Started'!H$2,D:E,ROW(),FALSE)</f>
        <v>2- A register with an up-to-date overview is available</v>
      </c>
      <c r="D338" s="4" t="s">
        <v>2605</v>
      </c>
      <c r="E338" s="303" t="s">
        <v>4172</v>
      </c>
    </row>
    <row r="339" spans="1:5" ht="15.75" x14ac:dyDescent="0.25">
      <c r="A339" s="322" t="s">
        <v>5510</v>
      </c>
      <c r="B339" s="322" t="s">
        <v>1770</v>
      </c>
      <c r="C339" s="4" t="str">
        <f>HLOOKUP('Getting Started'!H$2,D:E,ROW(),FALSE)</f>
        <v>No defective equipment in the laboratory.</v>
      </c>
      <c r="D339" s="4" t="s">
        <v>2601</v>
      </c>
      <c r="E339" s="303" t="s">
        <v>4173</v>
      </c>
    </row>
    <row r="340" spans="1:5" ht="30" x14ac:dyDescent="0.25">
      <c r="A340" s="322" t="s">
        <v>5511</v>
      </c>
      <c r="B340" s="322" t="s">
        <v>1771</v>
      </c>
      <c r="C340" s="4" t="str">
        <f>HLOOKUP('Getting Started'!H$2,D:E,ROW(),FALSE)</f>
        <v>1- Storage area for documents and records is available with good condition.</v>
      </c>
      <c r="D340" s="4" t="s">
        <v>2609</v>
      </c>
      <c r="E340" s="303" t="s">
        <v>4174</v>
      </c>
    </row>
    <row r="341" spans="1:5" ht="15.75" x14ac:dyDescent="0.25">
      <c r="A341" s="322" t="s">
        <v>5512</v>
      </c>
      <c r="B341" s="322" t="s">
        <v>1771</v>
      </c>
      <c r="C341" s="4" t="str">
        <f>HLOOKUP('Getting Started'!H$2,D:E,ROW(),FALSE)</f>
        <v>2- A fire proof cabinet is available.</v>
      </c>
      <c r="D341" s="4" t="s">
        <v>2607</v>
      </c>
      <c r="E341" s="303" t="s">
        <v>4175</v>
      </c>
    </row>
    <row r="342" spans="1:5" ht="15.75" x14ac:dyDescent="0.25">
      <c r="A342" s="322" t="s">
        <v>5513</v>
      </c>
      <c r="B342" s="322" t="s">
        <v>1771</v>
      </c>
      <c r="C342" s="4" t="str">
        <f>HLOOKUP('Getting Started'!H$2,D:E,ROW(),FALSE)</f>
        <v>3- A register with coding system is available.</v>
      </c>
      <c r="D342" s="4" t="s">
        <v>2608</v>
      </c>
      <c r="E342" s="303" t="s">
        <v>4176</v>
      </c>
    </row>
    <row r="343" spans="1:5" ht="31.5" x14ac:dyDescent="0.25">
      <c r="A343" s="322" t="s">
        <v>5514</v>
      </c>
      <c r="B343" s="322" t="s">
        <v>1777</v>
      </c>
      <c r="C343" s="4" t="str">
        <f>HLOOKUP('Getting Started'!H$2,D:E,ROW(),FALSE)</f>
        <v>The Vison of laboratory is available at
1- folder of Organisation</v>
      </c>
      <c r="D343" s="4" t="s">
        <v>2620</v>
      </c>
      <c r="E343" s="303" t="s">
        <v>4177</v>
      </c>
    </row>
    <row r="344" spans="1:5" ht="15.75" x14ac:dyDescent="0.25">
      <c r="A344" s="322" t="s">
        <v>5515</v>
      </c>
      <c r="B344" s="322" t="s">
        <v>1777</v>
      </c>
      <c r="C344" s="4" t="str">
        <f>HLOOKUP('Getting Started'!H$2,D:E,ROW(),FALSE)</f>
        <v>2- Quality Manual</v>
      </c>
      <c r="D344" s="4" t="s">
        <v>2618</v>
      </c>
      <c r="E344" s="303" t="s">
        <v>4178</v>
      </c>
    </row>
    <row r="345" spans="1:5" ht="15.75" x14ac:dyDescent="0.25">
      <c r="A345" s="322" t="s">
        <v>5516</v>
      </c>
      <c r="B345" s="322" t="s">
        <v>1777</v>
      </c>
      <c r="C345" s="4" t="str">
        <f>HLOOKUP('Getting Started'!H$2,D:E,ROW(),FALSE)</f>
        <v>3- On the wall such as the entrance of the lab.</v>
      </c>
      <c r="D345" s="4" t="s">
        <v>2619</v>
      </c>
      <c r="E345" s="303" t="s">
        <v>4179</v>
      </c>
    </row>
    <row r="346" spans="1:5" ht="15.75" x14ac:dyDescent="0.25">
      <c r="A346" s="322" t="s">
        <v>5517</v>
      </c>
      <c r="B346" s="322" t="s">
        <v>1778</v>
      </c>
      <c r="C346" s="4" t="str">
        <f>HLOOKUP('Getting Started'!H$2,D:E,ROW(),FALSE)</f>
        <v>The Mission of the laboratory is available</v>
      </c>
      <c r="D346" s="4" t="s">
        <v>2621</v>
      </c>
      <c r="E346" s="303" t="s">
        <v>4180</v>
      </c>
    </row>
    <row r="347" spans="1:5" ht="15.75" x14ac:dyDescent="0.25">
      <c r="A347" s="322" t="s">
        <v>5518</v>
      </c>
      <c r="B347" s="322" t="s">
        <v>1780</v>
      </c>
      <c r="C347" s="4" t="str">
        <f>HLOOKUP('Getting Started'!H$2,D:E,ROW(),FALSE)</f>
        <v>Presence of long-term goals.</v>
      </c>
      <c r="D347" s="4" t="s">
        <v>2622</v>
      </c>
      <c r="E347" s="303" t="s">
        <v>4181</v>
      </c>
    </row>
    <row r="348" spans="1:5" ht="31.5" x14ac:dyDescent="0.25">
      <c r="A348" s="322" t="s">
        <v>5519</v>
      </c>
      <c r="B348" s="322" t="s">
        <v>1784</v>
      </c>
      <c r="C348" s="4" t="str">
        <f>HLOOKUP('Getting Started'!H$2,D:E,ROW(),FALSE)</f>
        <v>Presence of Quality Policy with the read and understood list signed by all staff</v>
      </c>
      <c r="D348" s="4" t="s">
        <v>2623</v>
      </c>
      <c r="E348" s="303" t="s">
        <v>4182</v>
      </c>
    </row>
    <row r="349" spans="1:5" ht="15.75" x14ac:dyDescent="0.25">
      <c r="A349" s="322" t="s">
        <v>5520</v>
      </c>
      <c r="B349" s="322" t="s">
        <v>1793</v>
      </c>
      <c r="C349" s="4" t="str">
        <f>HLOOKUP('Getting Started'!H$2,D:E,ROW(),FALSE)</f>
        <v>1. Presence of yearly budget plan for equipment</v>
      </c>
      <c r="D349" s="4" t="s">
        <v>2654</v>
      </c>
      <c r="E349" s="303" t="s">
        <v>4183</v>
      </c>
    </row>
    <row r="350" spans="1:5" ht="15.75" x14ac:dyDescent="0.25">
      <c r="A350" s="322" t="s">
        <v>5521</v>
      </c>
      <c r="B350" s="322" t="s">
        <v>1793</v>
      </c>
      <c r="C350" s="4" t="str">
        <f>HLOOKUP('Getting Started'!H$2,D:E,ROW(),FALSE)</f>
        <v xml:space="preserve">2.  hospital/PHD directors were informed. </v>
      </c>
      <c r="D350" s="4" t="s">
        <v>2655</v>
      </c>
      <c r="E350" s="303" t="s">
        <v>4184</v>
      </c>
    </row>
    <row r="351" spans="1:5" ht="31.5" x14ac:dyDescent="0.25">
      <c r="A351" s="322" t="s">
        <v>5522</v>
      </c>
      <c r="B351" s="322" t="s">
        <v>1796</v>
      </c>
      <c r="C351" s="4" t="str">
        <f>HLOOKUP('Getting Started'!H$2,D:E,ROW(),FALSE)</f>
        <v>Presence of a list of goals for the coming year in the folder of organization behind the Quality Policy</v>
      </c>
      <c r="D351" s="4" t="s">
        <v>2656</v>
      </c>
      <c r="E351" s="303" t="s">
        <v>4185</v>
      </c>
    </row>
    <row r="352" spans="1:5" ht="15.75" x14ac:dyDescent="0.25">
      <c r="A352" s="322" t="s">
        <v>5523</v>
      </c>
      <c r="B352" s="322" t="s">
        <v>1797</v>
      </c>
      <c r="C352" s="4" t="str">
        <f>HLOOKUP('Getting Started'!H$2,D:E,ROW(),FALSE)</f>
        <v>1. Presence of a Quality Year Plan for the coming year</v>
      </c>
      <c r="D352" s="4" t="s">
        <v>2657</v>
      </c>
      <c r="E352" s="303" t="s">
        <v>4186</v>
      </c>
    </row>
    <row r="353" spans="1:5" ht="31.5" x14ac:dyDescent="0.25">
      <c r="A353" s="322" t="s">
        <v>5524</v>
      </c>
      <c r="B353" s="322" t="s">
        <v>1797</v>
      </c>
      <c r="C353" s="4" t="str">
        <f>HLOOKUP('Getting Started'!H$2,D:E,ROW(),FALSE)</f>
        <v xml:space="preserve">2. Presence of an SOP for making a Quality Year Plan. </v>
      </c>
      <c r="D353" s="4" t="s">
        <v>2658</v>
      </c>
      <c r="E353" s="303" t="s">
        <v>4187</v>
      </c>
    </row>
    <row r="354" spans="1:5" ht="15.75" x14ac:dyDescent="0.25">
      <c r="A354" s="322" t="s">
        <v>5525</v>
      </c>
      <c r="B354" s="322" t="s">
        <v>1802</v>
      </c>
      <c r="C354" s="4" t="str">
        <f>HLOOKUP('Getting Started'!H$2,D:E,ROW(),FALSE)</f>
        <v>1. Presence of SMART action plan with signature of lab manager</v>
      </c>
      <c r="D354" s="4" t="s">
        <v>2659</v>
      </c>
      <c r="E354" s="303" t="s">
        <v>4188</v>
      </c>
    </row>
    <row r="355" spans="1:5" ht="31.5" x14ac:dyDescent="0.25">
      <c r="A355" s="322" t="s">
        <v>5526</v>
      </c>
      <c r="B355" s="322" t="s">
        <v>1802</v>
      </c>
      <c r="C355" s="4" t="str">
        <f>HLOOKUP('Getting Started'!H$2,D:E,ROW(),FALSE)</f>
        <v>2. Copies of the Quality Year Plan and action plan are available amongst all the staff.</v>
      </c>
      <c r="D355" s="4" t="s">
        <v>2660</v>
      </c>
      <c r="E355" s="303" t="s">
        <v>4189</v>
      </c>
    </row>
    <row r="356" spans="1:5" ht="15.75" x14ac:dyDescent="0.25">
      <c r="A356" s="322" t="s">
        <v>5527</v>
      </c>
      <c r="B356" s="322" t="s">
        <v>1806</v>
      </c>
      <c r="C356" s="4" t="str">
        <f>HLOOKUP('Getting Started'!H$2,D:E,ROW(),FALSE)</f>
        <v>Presence of QM</v>
      </c>
      <c r="D356" s="4" t="s">
        <v>2661</v>
      </c>
      <c r="E356" s="303" t="s">
        <v>4190</v>
      </c>
    </row>
    <row r="357" spans="1:5" ht="31.5" x14ac:dyDescent="0.25">
      <c r="A357" s="322" t="s">
        <v>5528</v>
      </c>
      <c r="B357" s="322" t="s">
        <v>1809</v>
      </c>
      <c r="C357" s="4" t="str">
        <f>HLOOKUP('Getting Started'!H$2,D:E,ROW(),FALSE)</f>
        <v>1. Presence of Quarterly Report in its folder (including corrective action)</v>
      </c>
      <c r="D357" s="4" t="s">
        <v>3188</v>
      </c>
      <c r="E357" s="303" t="s">
        <v>4191</v>
      </c>
    </row>
    <row r="358" spans="1:5" ht="31.5" x14ac:dyDescent="0.25">
      <c r="A358" s="322" t="s">
        <v>5529</v>
      </c>
      <c r="B358" s="322" t="s">
        <v>1809</v>
      </c>
      <c r="C358" s="4" t="str">
        <f>HLOOKUP('Getting Started'!H$2,D:E,ROW(),FALSE)</f>
        <v>2. Presence of an SOP for making a Quarterly Report</v>
      </c>
      <c r="D358" s="4" t="s">
        <v>2662</v>
      </c>
      <c r="E358" s="303" t="s">
        <v>4192</v>
      </c>
    </row>
    <row r="359" spans="1:5" ht="31.5" x14ac:dyDescent="0.25">
      <c r="A359" s="322" t="s">
        <v>5530</v>
      </c>
      <c r="B359" s="322" t="s">
        <v>1810</v>
      </c>
      <c r="C359" s="4" t="str">
        <f>HLOOKUP('Getting Started'!H$2,D:E,ROW(),FALSE)</f>
        <v xml:space="preserve">1. Presence of Management Annual Review Report
</v>
      </c>
      <c r="D359" s="4" t="s">
        <v>3189</v>
      </c>
      <c r="E359" s="303" t="s">
        <v>4193</v>
      </c>
    </row>
    <row r="360" spans="1:5" ht="31.5" x14ac:dyDescent="0.25">
      <c r="A360" s="322" t="s">
        <v>5531</v>
      </c>
      <c r="B360" s="322" t="s">
        <v>1810</v>
      </c>
      <c r="C360" s="4" t="str">
        <f>HLOOKUP('Getting Started'!H$2,D:E,ROW(),FALSE)</f>
        <v>2. Presence of minute of staff meeting informing about the Management Annual Review Report</v>
      </c>
      <c r="D360" s="4" t="s">
        <v>2664</v>
      </c>
      <c r="E360" s="303" t="s">
        <v>4194</v>
      </c>
    </row>
    <row r="361" spans="1:5" ht="31.5" x14ac:dyDescent="0.25">
      <c r="A361" s="322" t="s">
        <v>5532</v>
      </c>
      <c r="B361" s="322" t="s">
        <v>1810</v>
      </c>
      <c r="C361" s="4" t="str">
        <f>HLOOKUP('Getting Started'!H$2,D:E,ROW(),FALSE)</f>
        <v>3. Presence of an SOP for making a Management Annual Review Report</v>
      </c>
      <c r="D361" s="4" t="s">
        <v>2665</v>
      </c>
      <c r="E361" s="303" t="s">
        <v>4195</v>
      </c>
    </row>
    <row r="362" spans="1:5" ht="31.5" x14ac:dyDescent="0.25">
      <c r="A362" s="322" t="s">
        <v>5533</v>
      </c>
      <c r="B362" s="322" t="s">
        <v>1810</v>
      </c>
      <c r="C362" s="4" t="str">
        <f>HLOOKUP('Getting Started'!H$2,D:E,ROW(),FALSE)</f>
        <v>4. Management Review Report is available in the Management Reviews and Quality Year Plans folder (including corrective action)</v>
      </c>
      <c r="D362" s="4" t="s">
        <v>2666</v>
      </c>
      <c r="E362" s="303" t="s">
        <v>4196</v>
      </c>
    </row>
    <row r="363" spans="1:5" ht="31.5" x14ac:dyDescent="0.25">
      <c r="A363" s="322" t="s">
        <v>5534</v>
      </c>
      <c r="B363" s="322" t="s">
        <v>1815</v>
      </c>
      <c r="C363" s="4" t="str">
        <f>HLOOKUP('Getting Started'!H$2,D:E,ROW(),FALSE)</f>
        <v>1. Presence of Quality Year Plan, in the folder Management Reviews and Quality Year Plans.</v>
      </c>
      <c r="D363" s="4" t="s">
        <v>2671</v>
      </c>
      <c r="E363" s="303" t="s">
        <v>4197</v>
      </c>
    </row>
    <row r="364" spans="1:5" ht="31.5" x14ac:dyDescent="0.25">
      <c r="A364" s="322" t="s">
        <v>5535</v>
      </c>
      <c r="B364" s="322" t="s">
        <v>1815</v>
      </c>
      <c r="C364" s="4" t="str">
        <f>HLOOKUP('Getting Started'!H$2,D:E,ROW(),FALSE)</f>
        <v>2. Presence of Action Plan, include all the action points from the Quality Year Plan.</v>
      </c>
      <c r="D364" s="4" t="s">
        <v>2668</v>
      </c>
      <c r="E364" s="303" t="s">
        <v>4198</v>
      </c>
    </row>
    <row r="365" spans="1:5" ht="31.5" x14ac:dyDescent="0.25">
      <c r="A365" s="322" t="s">
        <v>5536</v>
      </c>
      <c r="B365" s="322" t="s">
        <v>1815</v>
      </c>
      <c r="C365" s="4" t="str">
        <f>HLOOKUP('Getting Started'!H$2,D:E,ROW(),FALSE)</f>
        <v>3. Presence of Minute of meeting to present the new Quality Year Plan to the laboratory staff</v>
      </c>
      <c r="D365" s="4" t="s">
        <v>2669</v>
      </c>
      <c r="E365" s="303" t="s">
        <v>4199</v>
      </c>
    </row>
    <row r="366" spans="1:5" ht="31.5" x14ac:dyDescent="0.25">
      <c r="A366" s="322" t="s">
        <v>5537</v>
      </c>
      <c r="B366" s="322" t="s">
        <v>1815</v>
      </c>
      <c r="C366" s="4" t="str">
        <f>HLOOKUP('Getting Started'!H$2,D:E,ROW(),FALSE)</f>
        <v>4. Presence of the monitoring report to the implementation of the action plan.</v>
      </c>
      <c r="D366" s="4" t="s">
        <v>2670</v>
      </c>
      <c r="E366" s="303" t="s">
        <v>4200</v>
      </c>
    </row>
    <row r="367" spans="1:5" ht="31.5" x14ac:dyDescent="0.25">
      <c r="A367" s="322" t="s">
        <v>5538</v>
      </c>
      <c r="B367" s="322" t="s">
        <v>1819</v>
      </c>
      <c r="C367" s="4" t="str">
        <f>HLOOKUP('Getting Started'!H$2,D:E,ROW(),FALSE)</f>
        <v>Presence of SOPs  related to the policy cycle</v>
      </c>
      <c r="D367" s="4" t="s">
        <v>2672</v>
      </c>
      <c r="E367" s="303" t="s">
        <v>4201</v>
      </c>
    </row>
    <row r="368" spans="1:5" ht="47.25" x14ac:dyDescent="0.25">
      <c r="A368" s="322" t="s">
        <v>5539</v>
      </c>
      <c r="B368" s="322" t="s">
        <v>1822</v>
      </c>
      <c r="C368" s="4" t="str">
        <f>HLOOKUP('Getting Started'!H$2,D:E,ROW(),FALSE)</f>
        <v>1. Presence of a personnel replacement matrix in a folder of Organization and at the noticeboard</v>
      </c>
      <c r="D368" s="4" t="s">
        <v>2675</v>
      </c>
      <c r="E368" s="303" t="s">
        <v>4202</v>
      </c>
    </row>
    <row r="369" spans="1:5" ht="31.5" x14ac:dyDescent="0.25">
      <c r="A369" s="322" t="s">
        <v>5540</v>
      </c>
      <c r="B369" s="322" t="s">
        <v>1822</v>
      </c>
      <c r="C369" s="4" t="str">
        <f>HLOOKUP('Getting Started'!H$2,D:E,ROW(),FALSE)</f>
        <v>2. Minute of weekly report to inform staff about the matrix and its advantage is available</v>
      </c>
      <c r="D369" s="4" t="s">
        <v>2673</v>
      </c>
      <c r="E369" s="303" t="s">
        <v>4203</v>
      </c>
    </row>
    <row r="370" spans="1:5" ht="31.5" x14ac:dyDescent="0.25">
      <c r="A370" s="322" t="s">
        <v>5541</v>
      </c>
      <c r="B370" s="322" t="s">
        <v>1822</v>
      </c>
      <c r="C370" s="4" t="str">
        <f>HLOOKUP('Getting Started'!H$2,D:E,ROW(),FALSE)</f>
        <v>3. Competency Assessment report of replaced staff is available</v>
      </c>
      <c r="D370" s="4" t="s">
        <v>2674</v>
      </c>
      <c r="E370" s="303" t="s">
        <v>4204</v>
      </c>
    </row>
    <row r="371" spans="1:5" ht="31.5" x14ac:dyDescent="0.25">
      <c r="A371" s="322" t="s">
        <v>5542</v>
      </c>
      <c r="B371" s="322" t="s">
        <v>1827</v>
      </c>
      <c r="C371" s="4" t="str">
        <f>HLOOKUP('Getting Started'!H$2,D:E,ROW(),FALSE)</f>
        <v>Presence of the SOP for Selection and Evaluation of Suppliers in a folder entitled "Contracts for Reception of Services".</v>
      </c>
      <c r="D371" s="4" t="s">
        <v>2680</v>
      </c>
      <c r="E371" s="303" t="s">
        <v>4205</v>
      </c>
    </row>
    <row r="372" spans="1:5" ht="31.5" x14ac:dyDescent="0.25">
      <c r="A372" s="322" t="s">
        <v>5543</v>
      </c>
      <c r="B372" s="322" t="s">
        <v>1828</v>
      </c>
      <c r="C372" s="4" t="str">
        <f>HLOOKUP('Getting Started'!H$2,D:E,ROW(),FALSE)</f>
        <v>Presence of the filled checklist for selecting the supplier most closely meeting your requirements.</v>
      </c>
      <c r="D372" s="4" t="s">
        <v>2681</v>
      </c>
      <c r="E372" s="303" t="s">
        <v>4206</v>
      </c>
    </row>
    <row r="373" spans="1:5" ht="31.5" x14ac:dyDescent="0.25">
      <c r="A373" s="322" t="s">
        <v>5544</v>
      </c>
      <c r="B373" s="322" t="s">
        <v>1829</v>
      </c>
      <c r="C373" s="4" t="str">
        <f>HLOOKUP('Getting Started'!H$2,D:E,ROW(),FALSE)</f>
        <v>Presence of the contract for service delivery by the supplier.</v>
      </c>
      <c r="D373" s="4" t="s">
        <v>2682</v>
      </c>
      <c r="E373" s="303" t="s">
        <v>4207</v>
      </c>
    </row>
    <row r="374" spans="1:5" ht="31.5" x14ac:dyDescent="0.25">
      <c r="A374" s="322" t="s">
        <v>5545</v>
      </c>
      <c r="B374" s="322" t="s">
        <v>1830</v>
      </c>
      <c r="C374" s="4" t="str">
        <f>HLOOKUP('Getting Started'!H$2,D:E,ROW(),FALSE)</f>
        <v>Presence of a filled checklist of evaluating the contract for service delivery.</v>
      </c>
      <c r="D374" s="4" t="s">
        <v>2683</v>
      </c>
      <c r="E374" s="303" t="s">
        <v>4208</v>
      </c>
    </row>
    <row r="375" spans="1:5" ht="31.5" x14ac:dyDescent="0.25">
      <c r="A375" s="322" t="s">
        <v>5546</v>
      </c>
      <c r="B375" s="322" t="s">
        <v>1831</v>
      </c>
      <c r="C375" s="4" t="str">
        <f>HLOOKUP('Getting Started'!H$2,D:E,ROW(),FALSE)</f>
        <v>Presence of a minute/record of the reasons for contract amended/changed if any.</v>
      </c>
      <c r="D375" s="4" t="s">
        <v>2684</v>
      </c>
      <c r="E375" s="303" t="s">
        <v>4209</v>
      </c>
    </row>
    <row r="376" spans="1:5" ht="31.5" x14ac:dyDescent="0.25">
      <c r="A376" s="322" t="s">
        <v>5547</v>
      </c>
      <c r="B376" s="322" t="s">
        <v>1832</v>
      </c>
      <c r="C376" s="4" t="str">
        <f>HLOOKUP('Getting Started'!H$2,D:E,ROW(),FALSE)</f>
        <v xml:space="preserve">Presence of an SOP for selecting and monitoring referral laboratories in folder entitled “Referral Laboratory Database” </v>
      </c>
      <c r="D376" s="4" t="s">
        <v>2685</v>
      </c>
      <c r="E376" s="303" t="s">
        <v>4210</v>
      </c>
    </row>
    <row r="377" spans="1:5" ht="78.75" x14ac:dyDescent="0.25">
      <c r="A377" s="322" t="s">
        <v>5548</v>
      </c>
      <c r="B377" s="322" t="s">
        <v>1834</v>
      </c>
      <c r="C377" s="4" t="str">
        <f>HLOOKUP('Getting Started'!H$2,D:E,ROW(),FALSE)</f>
        <v xml:space="preserve">Presence of a folder “Referral Laboratory Database” with the overview of the referral laboratories and its quality performance (eg. results of proficiency testing), service hours, turnaround time, method of reporting
</v>
      </c>
      <c r="D377" s="4" t="s">
        <v>2686</v>
      </c>
      <c r="E377" s="303" t="s">
        <v>4211</v>
      </c>
    </row>
    <row r="378" spans="1:5" ht="47.25" x14ac:dyDescent="0.25">
      <c r="A378" s="322" t="s">
        <v>5549</v>
      </c>
      <c r="B378" s="322" t="s">
        <v>1835</v>
      </c>
      <c r="C378" s="4" t="str">
        <f>HLOOKUP('Getting Started'!H$2,D:E,ROW(),FALSE)</f>
        <v>Presence of a folder entitled “Results of Referral Laboratories” in which the records of samples referred and result reports of tests referred to referral laboratories are stored.</v>
      </c>
      <c r="D378" s="4" t="s">
        <v>2687</v>
      </c>
      <c r="E378" s="307" t="s">
        <v>4212</v>
      </c>
    </row>
    <row r="379" spans="1:5" ht="31.5" x14ac:dyDescent="0.25">
      <c r="A379" s="322" t="s">
        <v>5550</v>
      </c>
      <c r="B379" s="322" t="s">
        <v>1836</v>
      </c>
      <c r="C379" s="4" t="str">
        <f>HLOOKUP('Getting Started'!H$2,D:E,ROW(),FALSE)</f>
        <v>Presence of the turnaround time table for each examination performed in the laboratory</v>
      </c>
      <c r="D379" s="4" t="s">
        <v>2688</v>
      </c>
      <c r="E379" s="307" t="s">
        <v>4213</v>
      </c>
    </row>
    <row r="380" spans="1:5" ht="31.5" x14ac:dyDescent="0.25">
      <c r="A380" s="322" t="s">
        <v>5551</v>
      </c>
      <c r="B380" s="322" t="s">
        <v>1837</v>
      </c>
      <c r="C380" s="4" t="str">
        <f>HLOOKUP('Getting Started'!H$2,D:E,ROW(),FALSE)</f>
        <v>Presence of TATs table in Quality Manual And in lab handbook</v>
      </c>
      <c r="D380" s="4" t="s">
        <v>3190</v>
      </c>
      <c r="E380" s="307" t="s">
        <v>4214</v>
      </c>
    </row>
    <row r="381" spans="1:5" ht="63" x14ac:dyDescent="0.25">
      <c r="A381" s="322" t="s">
        <v>5552</v>
      </c>
      <c r="B381" s="322" t="s">
        <v>1838</v>
      </c>
      <c r="C381" s="4" t="str">
        <f>HLOOKUP('Getting Started'!H$2,D:E,ROW(),FALSE)</f>
        <v>1. SOP on Reporting and Archiving of Results has the table of TAT and the procedure that the requester is immediately informed in case the TAT for an examination is exceeded.</v>
      </c>
      <c r="D381" s="4" t="s">
        <v>2694</v>
      </c>
      <c r="E381" s="307" t="s">
        <v>4215</v>
      </c>
    </row>
    <row r="382" spans="1:5" ht="31.5" x14ac:dyDescent="0.25">
      <c r="A382" s="322" t="s">
        <v>5553</v>
      </c>
      <c r="B382" s="322" t="s">
        <v>1838</v>
      </c>
      <c r="C382" s="4" t="str">
        <f>HLOOKUP('Getting Started'!H$2,D:E,ROW(),FALSE)</f>
        <v>2. Presence of the Read and Understood form signed by staff and minute of meeting.</v>
      </c>
      <c r="D382" s="4" t="s">
        <v>2693</v>
      </c>
      <c r="E382" s="307" t="s">
        <v>4216</v>
      </c>
    </row>
    <row r="383" spans="1:5" ht="47.25" x14ac:dyDescent="0.25">
      <c r="A383" s="322" t="s">
        <v>5554</v>
      </c>
      <c r="B383" s="322" t="s">
        <v>1841</v>
      </c>
      <c r="C383" s="4" t="str">
        <f>HLOOKUP('Getting Started'!H$2,D:E,ROW(),FALSE)</f>
        <v>Presence of a quarterly TATs table with the % of sample exceeding the TAT published (The goal is to decrease the percentage of samples exceeding the TAT to 0%).</v>
      </c>
      <c r="D383" s="4" t="s">
        <v>2690</v>
      </c>
      <c r="E383" s="307" t="s">
        <v>4217</v>
      </c>
    </row>
    <row r="384" spans="1:5" ht="31.5" x14ac:dyDescent="0.25">
      <c r="A384" s="322" t="s">
        <v>5555</v>
      </c>
      <c r="B384" s="322" t="s">
        <v>1842</v>
      </c>
      <c r="C384" s="4" t="str">
        <f>HLOOKUP('Getting Started'!H$2,D:E,ROW(),FALSE)</f>
        <v>Presence of TAT data in the Quarterly Reports</v>
      </c>
      <c r="D384" s="4" t="s">
        <v>2691</v>
      </c>
      <c r="E384" s="307" t="s">
        <v>4218</v>
      </c>
    </row>
    <row r="385" spans="1:5" ht="30" x14ac:dyDescent="0.25">
      <c r="A385" s="322" t="s">
        <v>5556</v>
      </c>
      <c r="B385" s="322" t="s">
        <v>1843</v>
      </c>
      <c r="C385" s="4" t="str">
        <f>HLOOKUP('Getting Started'!H$2,D:E,ROW(),FALSE)</f>
        <v>1. Presence of a corrective and preventive actions in the format of an action plan.</v>
      </c>
      <c r="D385" s="4" t="s">
        <v>2695</v>
      </c>
      <c r="E385" s="307" t="s">
        <v>4219</v>
      </c>
    </row>
    <row r="386" spans="1:5" ht="15.75" x14ac:dyDescent="0.25">
      <c r="A386" s="322" t="s">
        <v>5557</v>
      </c>
      <c r="B386" s="322" t="s">
        <v>1843</v>
      </c>
      <c r="C386" s="4" t="str">
        <f>HLOOKUP('Getting Started'!H$2,D:E,ROW(),FALSE)</f>
        <v>2. Presence of evidence that the above action plan is implemented.</v>
      </c>
      <c r="D386" s="4" t="s">
        <v>2696</v>
      </c>
      <c r="E386" s="307" t="s">
        <v>4220</v>
      </c>
    </row>
    <row r="387" spans="1:5" ht="30" x14ac:dyDescent="0.25">
      <c r="A387" s="322" t="s">
        <v>5558</v>
      </c>
      <c r="B387" s="322" t="s">
        <v>1844</v>
      </c>
      <c r="C387" s="4" t="str">
        <f>HLOOKUP('Getting Started'!H$2,D:E,ROW(),FALSE)</f>
        <v>1. Presence of a corrective and preventive actions in the format of an action plan.</v>
      </c>
      <c r="D387" s="4" t="s">
        <v>2695</v>
      </c>
      <c r="E387" s="307" t="s">
        <v>4219</v>
      </c>
    </row>
    <row r="388" spans="1:5" ht="15.75" x14ac:dyDescent="0.25">
      <c r="A388" s="322" t="s">
        <v>5559</v>
      </c>
      <c r="B388" s="322" t="s">
        <v>1844</v>
      </c>
      <c r="C388" s="4" t="str">
        <f>HLOOKUP('Getting Started'!H$2,D:E,ROW(),FALSE)</f>
        <v>2. Presence of evidence that the above action plan is implemented.</v>
      </c>
      <c r="D388" s="4" t="s">
        <v>2696</v>
      </c>
      <c r="E388" s="307" t="s">
        <v>4220</v>
      </c>
    </row>
    <row r="389" spans="1:5" ht="31.5" x14ac:dyDescent="0.25">
      <c r="A389" s="322" t="s">
        <v>5560</v>
      </c>
      <c r="B389" s="322" t="s">
        <v>1845</v>
      </c>
      <c r="C389" s="4" t="str">
        <f>HLOOKUP('Getting Started'!H$2,D:E,ROW(),FALSE)</f>
        <v>Presence of evidence in the consecutive quarterly reports that the samples exceeding TAT is decreased.</v>
      </c>
      <c r="D389" s="4" t="s">
        <v>2692</v>
      </c>
      <c r="E389" s="307" t="s">
        <v>4221</v>
      </c>
    </row>
    <row r="390" spans="1:5" ht="47.25" x14ac:dyDescent="0.25">
      <c r="A390" s="322" t="s">
        <v>5561</v>
      </c>
      <c r="B390" s="322" t="s">
        <v>1846</v>
      </c>
      <c r="C390" s="4" t="str">
        <f>HLOOKUP('Getting Started'!H$2,D:E,ROW(),FALSE)</f>
        <v>1. Presence of a validation report of each examination method obtained from manufacture or established textbooks, peer-reviewed journals, or in international, national or regional guidelines.</v>
      </c>
      <c r="D390" s="4" t="s">
        <v>2697</v>
      </c>
      <c r="E390" s="307" t="s">
        <v>4222</v>
      </c>
    </row>
    <row r="391" spans="1:5" ht="31.5" x14ac:dyDescent="0.25">
      <c r="A391" s="322" t="s">
        <v>5562</v>
      </c>
      <c r="B391" s="322" t="s">
        <v>1846</v>
      </c>
      <c r="C391" s="4" t="str">
        <f>HLOOKUP('Getting Started'!H$2,D:E,ROW(),FALSE)</f>
        <v>2. Presence of SOP for equipment and reagent lot verification.</v>
      </c>
      <c r="D391" s="4" t="s">
        <v>2698</v>
      </c>
      <c r="E391" s="307" t="s">
        <v>4223</v>
      </c>
    </row>
    <row r="392" spans="1:5" ht="31.5" x14ac:dyDescent="0.25">
      <c r="A392" s="322" t="s">
        <v>5563</v>
      </c>
      <c r="B392" s="322" t="s">
        <v>1847</v>
      </c>
      <c r="C392" s="4" t="str">
        <f>HLOOKUP('Getting Started'!H$2,D:E,ROW(),FALSE)</f>
        <v>1. Presence of method validation report from manufacturer or kit insert for every test performed</v>
      </c>
      <c r="D392" s="4" t="s">
        <v>2701</v>
      </c>
      <c r="E392" s="307" t="s">
        <v>4224</v>
      </c>
    </row>
    <row r="393" spans="1:5" ht="15.75" x14ac:dyDescent="0.25">
      <c r="A393" s="322" t="s">
        <v>5564</v>
      </c>
      <c r="B393" s="322" t="s">
        <v>1847</v>
      </c>
      <c r="C393" s="4" t="str">
        <f>HLOOKUP('Getting Started'!H$2,D:E,ROW(),FALSE)</f>
        <v>2. Presence of reports on verification of new lot or new reagent brand.</v>
      </c>
      <c r="D393" s="4" t="s">
        <v>2699</v>
      </c>
      <c r="E393" s="307" t="s">
        <v>4225</v>
      </c>
    </row>
    <row r="394" spans="1:5" ht="31.5" x14ac:dyDescent="0.25">
      <c r="A394" s="322" t="s">
        <v>5565</v>
      </c>
      <c r="B394" s="322" t="s">
        <v>1847</v>
      </c>
      <c r="C394" s="4" t="str">
        <f>HLOOKUP('Getting Started'!H$2,D:E,ROW(),FALSE)</f>
        <v>3. Presence of report on equipment verification for each piece of equipment.</v>
      </c>
      <c r="D394" s="4" t="s">
        <v>2700</v>
      </c>
      <c r="E394" s="307" t="s">
        <v>4226</v>
      </c>
    </row>
    <row r="395" spans="1:5" ht="31.5" x14ac:dyDescent="0.25">
      <c r="A395" s="322" t="s">
        <v>5566</v>
      </c>
      <c r="B395" s="322" t="s">
        <v>1849</v>
      </c>
      <c r="C395" s="4" t="str">
        <f>HLOOKUP('Getting Started'!H$2,D:E,ROW(),FALSE)</f>
        <v>1. Presence of SMART action plan for establishing the lab archive.</v>
      </c>
      <c r="D395" s="4" t="s">
        <v>2706</v>
      </c>
      <c r="E395" s="307" t="s">
        <v>4227</v>
      </c>
    </row>
    <row r="396" spans="1:5" ht="31.5" x14ac:dyDescent="0.25">
      <c r="A396" s="322" t="s">
        <v>5567</v>
      </c>
      <c r="B396" s="322" t="s">
        <v>1849</v>
      </c>
      <c r="C396" s="4" t="str">
        <f>HLOOKUP('Getting Started'!H$2,D:E,ROW(),FALSE)</f>
        <v>2. Presence of an asigned person/role for enter and change records in the Authorization Matrix.</v>
      </c>
      <c r="D396" s="4" t="s">
        <v>2707</v>
      </c>
      <c r="E396" s="307" t="s">
        <v>4228</v>
      </c>
    </row>
    <row r="397" spans="1:5" ht="15.75" x14ac:dyDescent="0.25">
      <c r="A397" s="322" t="s">
        <v>5568</v>
      </c>
      <c r="B397" s="322" t="s">
        <v>1850</v>
      </c>
      <c r="C397" s="4" t="str">
        <f>HLOOKUP('Getting Started'!H$2,D:E,ROW(),FALSE)</f>
        <v>All archive are locked.</v>
      </c>
      <c r="D397" s="4" t="s">
        <v>2708</v>
      </c>
      <c r="E397" s="307" t="s">
        <v>4229</v>
      </c>
    </row>
    <row r="398" spans="1:5" ht="15.75" x14ac:dyDescent="0.25">
      <c r="A398" s="322" t="s">
        <v>5569</v>
      </c>
      <c r="B398" s="322" t="s">
        <v>1851</v>
      </c>
      <c r="C398" s="4" t="str">
        <f>HLOOKUP('Getting Started'!H$2,D:E,ROW(),FALSE)</f>
        <v>All archive are well stored.</v>
      </c>
      <c r="D398" s="4" t="s">
        <v>2709</v>
      </c>
      <c r="E398" s="307" t="s">
        <v>4230</v>
      </c>
    </row>
    <row r="399" spans="1:5" ht="15.75" x14ac:dyDescent="0.25">
      <c r="A399" s="322" t="s">
        <v>5570</v>
      </c>
      <c r="B399" s="322" t="s">
        <v>1852</v>
      </c>
      <c r="C399" s="4" t="str">
        <f>HLOOKUP('Getting Started'!H$2,D:E,ROW(),FALSE)</f>
        <v>All archive are controlled.</v>
      </c>
      <c r="D399" s="4" t="s">
        <v>2710</v>
      </c>
      <c r="E399" s="307" t="s">
        <v>4231</v>
      </c>
    </row>
    <row r="400" spans="1:5" ht="30" x14ac:dyDescent="0.25">
      <c r="A400" s="322" t="s">
        <v>5571</v>
      </c>
      <c r="B400" s="322" t="s">
        <v>1853</v>
      </c>
      <c r="C400" s="4" t="str">
        <f>HLOOKUP('Getting Started'!H$2,D:E,ROW(),FALSE)</f>
        <v xml:space="preserve">1. Presence of a firewall.
</v>
      </c>
      <c r="D400" s="4" t="s">
        <v>2713</v>
      </c>
      <c r="E400" s="307" t="s">
        <v>4232</v>
      </c>
    </row>
    <row r="401" spans="1:5" ht="15.75" x14ac:dyDescent="0.25">
      <c r="A401" s="322" t="s">
        <v>5572</v>
      </c>
      <c r="B401" s="322" t="s">
        <v>1853</v>
      </c>
      <c r="C401" s="4" t="str">
        <f>HLOOKUP('Getting Started'!H$2,D:E,ROW(),FALSE)</f>
        <v xml:space="preserve">2.  Presence of a good virus scanner </v>
      </c>
      <c r="D401" s="4" t="s">
        <v>2712</v>
      </c>
      <c r="E401" s="307" t="s">
        <v>4233</v>
      </c>
    </row>
    <row r="402" spans="1:5" ht="47.25" x14ac:dyDescent="0.25">
      <c r="A402" s="322" t="s">
        <v>5573</v>
      </c>
      <c r="B402" s="322" t="s">
        <v>1853</v>
      </c>
      <c r="C402" s="4" t="str">
        <f>HLOOKUP('Getting Started'!H$2,D:E,ROW(),FALSE)</f>
        <v>3. Presence of a document that contains the protocol for updating and running virus scans and also for performing weekly backups.</v>
      </c>
      <c r="D402" s="4" t="s">
        <v>2714</v>
      </c>
      <c r="E402" s="307" t="s">
        <v>4234</v>
      </c>
    </row>
    <row r="403" spans="1:5" ht="47.25" x14ac:dyDescent="0.25">
      <c r="A403" s="322" t="s">
        <v>5574</v>
      </c>
      <c r="B403" s="322" t="s">
        <v>1854</v>
      </c>
      <c r="C403" s="4" t="str">
        <f>HLOOKUP('Getting Started'!H$2,D:E,ROW(),FALSE)</f>
        <v>the computerized system is scanned for viruses on a weekly basis by a proper, up to date virus scanner (evidence: paper copy of scan result or a checklist)</v>
      </c>
      <c r="D403" s="4" t="s">
        <v>3191</v>
      </c>
      <c r="E403" s="307" t="s">
        <v>4235</v>
      </c>
    </row>
    <row r="404" spans="1:5" ht="94.5" x14ac:dyDescent="0.25">
      <c r="A404" s="322" t="s">
        <v>5575</v>
      </c>
      <c r="B404" s="322" t="s">
        <v>1855</v>
      </c>
      <c r="C404" s="4" t="str">
        <f>HLOOKUP('Getting Started'!H$2,D:E,ROW(),FALSE)</f>
        <v>1. Presence of an update Authorization Matrix and Personnal Job Description of staff who have rights to:
  - Access digital laboratory information only
       - Access and enter digital laboratory information
       - Access, enter and change digital laboratory information</v>
      </c>
      <c r="D404" s="4" t="s">
        <v>2716</v>
      </c>
      <c r="E404" s="307" t="s">
        <v>4236</v>
      </c>
    </row>
    <row r="405" spans="1:5" ht="31.5" x14ac:dyDescent="0.25">
      <c r="A405" s="322" t="s">
        <v>5576</v>
      </c>
      <c r="B405" s="322" t="s">
        <v>1855</v>
      </c>
      <c r="C405" s="4" t="str">
        <f>HLOOKUP('Getting Started'!H$2,D:E,ROW(),FALSE)</f>
        <v>2. Presence of a computer system that the correct authorizations are set for each password.</v>
      </c>
      <c r="D405" s="4" t="s">
        <v>2715</v>
      </c>
      <c r="E405" s="307" t="s">
        <v>4237</v>
      </c>
    </row>
    <row r="406" spans="1:5" ht="47.25" x14ac:dyDescent="0.25">
      <c r="A406" s="322" t="s">
        <v>5577</v>
      </c>
      <c r="B406" s="322" t="s">
        <v>1855</v>
      </c>
      <c r="C406" s="4" t="str">
        <f>HLOOKUP('Getting Started'!H$2,D:E,ROW(),FALSE)</f>
        <v>3. Presence of meeting minute on  the new rules regarding accessing laboratory information and each position in the laboratory the authorizations regarding the management of laboratory information.</v>
      </c>
      <c r="D406" s="4" t="s">
        <v>2717</v>
      </c>
      <c r="E406" s="307" t="s">
        <v>4238</v>
      </c>
    </row>
    <row r="407" spans="1:5" ht="47.25" x14ac:dyDescent="0.25">
      <c r="A407" s="322" t="s">
        <v>5578</v>
      </c>
      <c r="B407" s="322" t="s">
        <v>1857</v>
      </c>
      <c r="C407" s="4" t="str">
        <f>HLOOKUP('Getting Started'!H$2,D:E,ROW(),FALSE)</f>
        <v>Presence of a contingency plan in the laboratory that should be followed in case of downtime of the computerized information system, to ensure access to laboratory information at all times</v>
      </c>
      <c r="D407" s="4" t="s">
        <v>2718</v>
      </c>
      <c r="E407" s="307" t="s">
        <v>4239</v>
      </c>
    </row>
    <row r="408" spans="1:5" ht="15.75" x14ac:dyDescent="0.25">
      <c r="A408" s="322" t="s">
        <v>5579</v>
      </c>
      <c r="B408" s="322" t="s">
        <v>1858</v>
      </c>
      <c r="C408" s="4" t="str">
        <f>HLOOKUP('Getting Started'!H$2,D:E,ROW(),FALSE)</f>
        <v>Presence of an SOP on Information Management</v>
      </c>
      <c r="D408" s="4" t="s">
        <v>2719</v>
      </c>
      <c r="E408" s="307" t="s">
        <v>4240</v>
      </c>
    </row>
    <row r="409" spans="1:5" ht="15.75" x14ac:dyDescent="0.25">
      <c r="A409" s="322" t="s">
        <v>5580</v>
      </c>
      <c r="B409" s="322" t="s">
        <v>1860</v>
      </c>
      <c r="C409" s="4" t="str">
        <f>HLOOKUP('Getting Started'!H$2,D:E,ROW(),FALSE)</f>
        <v>Presence of client satisfaction survey result</v>
      </c>
      <c r="D409" s="4" t="s">
        <v>2733</v>
      </c>
      <c r="E409" s="307" t="s">
        <v>4241</v>
      </c>
    </row>
    <row r="410" spans="1:5" ht="31.5" x14ac:dyDescent="0.25">
      <c r="A410" s="322" t="s">
        <v>5581</v>
      </c>
      <c r="B410" s="322" t="s">
        <v>1861</v>
      </c>
      <c r="C410" s="4" t="str">
        <f>HLOOKUP('Getting Started'!H$2,D:E,ROW(),FALSE)</f>
        <v>Presence of a report of the client satisfaction survey that shows the main findings and points for improvement</v>
      </c>
      <c r="D410" s="4" t="s">
        <v>2734</v>
      </c>
      <c r="E410" s="307" t="s">
        <v>4242</v>
      </c>
    </row>
    <row r="411" spans="1:5" ht="63" x14ac:dyDescent="0.25">
      <c r="A411" s="322" t="s">
        <v>5582</v>
      </c>
      <c r="B411" s="322" t="s">
        <v>1862</v>
      </c>
      <c r="C411" s="4" t="str">
        <f>HLOOKUP('Getting Started'!H$2,D:E,ROW(),FALSE)</f>
        <v>1. Presence of a SMART action plan
2. The action plan is implemented and monitored.</v>
      </c>
      <c r="D411" s="4" t="s">
        <v>2735</v>
      </c>
      <c r="E411" s="307" t="s">
        <v>4243</v>
      </c>
    </row>
    <row r="412" spans="1:5" ht="47.25" x14ac:dyDescent="0.25">
      <c r="A412" s="322" t="s">
        <v>5583</v>
      </c>
      <c r="B412" s="322" t="s">
        <v>1863</v>
      </c>
      <c r="C412" s="4" t="str">
        <f>HLOOKUP('Getting Started'!H$2,D:E,ROW(),FALSE)</f>
        <v>Presence of the SOP Developing, Reviewing and Evaluating a Contract for Service Delivery in folder entitled "Contracts for Service Delivery".</v>
      </c>
      <c r="D412" s="4" t="s">
        <v>2736</v>
      </c>
      <c r="E412" s="307" t="s">
        <v>4244</v>
      </c>
    </row>
    <row r="413" spans="1:5" ht="31.5" x14ac:dyDescent="0.25">
      <c r="A413" s="322" t="s">
        <v>5584</v>
      </c>
      <c r="B413" s="322" t="s">
        <v>1864</v>
      </c>
      <c r="C413" s="4" t="str">
        <f>HLOOKUP('Getting Started'!H$2,D:E,ROW(),FALSE)</f>
        <v>Presence of minutes of meetings to discuss the contents of the contracts for service delivery</v>
      </c>
      <c r="D413" s="4" t="s">
        <v>2737</v>
      </c>
      <c r="E413" s="307" t="s">
        <v>4245</v>
      </c>
    </row>
    <row r="414" spans="1:5" ht="15.75" x14ac:dyDescent="0.25">
      <c r="A414" s="322" t="s">
        <v>5585</v>
      </c>
      <c r="B414" s="322" t="s">
        <v>1865</v>
      </c>
      <c r="C414" s="4" t="str">
        <f>HLOOKUP('Getting Started'!H$2,D:E,ROW(),FALSE)</f>
        <v>1. Presence a list of Internal Auditors  needed in the laboratory.</v>
      </c>
      <c r="D414" s="4" t="s">
        <v>2744</v>
      </c>
      <c r="E414" s="307" t="s">
        <v>4246</v>
      </c>
    </row>
    <row r="415" spans="1:5" ht="15.75" x14ac:dyDescent="0.25">
      <c r="A415" s="322" t="s">
        <v>5586</v>
      </c>
      <c r="B415" s="322" t="s">
        <v>1865</v>
      </c>
      <c r="C415" s="4" t="str">
        <f>HLOOKUP('Getting Started'!H$2,D:E,ROW(),FALSE)</f>
        <v>2. Quality Officer is also an Internal Auditor</v>
      </c>
      <c r="D415" s="4" t="s">
        <v>2738</v>
      </c>
      <c r="E415" s="307" t="s">
        <v>4247</v>
      </c>
    </row>
    <row r="416" spans="1:5" ht="47.25" x14ac:dyDescent="0.25">
      <c r="A416" s="322" t="s">
        <v>5587</v>
      </c>
      <c r="B416" s="322" t="s">
        <v>1865</v>
      </c>
      <c r="C416" s="4" t="str">
        <f>HLOOKUP('Getting Started'!H$2,D:E,ROW(),FALSE)</f>
        <v>4. Copies of the training certificates are stored in their personnel files, after staff members have completed the course on internal audit</v>
      </c>
      <c r="D416" s="4" t="s">
        <v>2739</v>
      </c>
      <c r="E416" s="307" t="s">
        <v>4248</v>
      </c>
    </row>
    <row r="417" spans="1:5" ht="31.5" x14ac:dyDescent="0.25">
      <c r="A417" s="322" t="s">
        <v>5588</v>
      </c>
      <c r="B417" s="322" t="s">
        <v>1865</v>
      </c>
      <c r="C417" s="4" t="str">
        <f>HLOOKUP('Getting Started'!H$2,D:E,ROW(),FALSE)</f>
        <v>6. Presence of a Position Job Description for Internal Auditor that describes the tasks and responsibilities of an Internal Auditor.</v>
      </c>
      <c r="D417" s="4" t="s">
        <v>2740</v>
      </c>
      <c r="E417" s="307" t="s">
        <v>4249</v>
      </c>
    </row>
    <row r="418" spans="1:5" ht="31.5" x14ac:dyDescent="0.25">
      <c r="A418" s="322" t="s">
        <v>5589</v>
      </c>
      <c r="B418" s="322" t="s">
        <v>1865</v>
      </c>
      <c r="C418" s="4" t="str">
        <f>HLOOKUP('Getting Started'!H$2,D:E,ROW(),FALSE)</f>
        <v>7. Presence of a Personal Job Descriptions of the staff members that are also in the position of Internal Auditor.</v>
      </c>
      <c r="D418" s="4" t="s">
        <v>2741</v>
      </c>
      <c r="E418" s="307" t="s">
        <v>4250</v>
      </c>
    </row>
    <row r="419" spans="1:5" ht="31.5" x14ac:dyDescent="0.25">
      <c r="A419" s="322" t="s">
        <v>5590</v>
      </c>
      <c r="B419" s="322" t="s">
        <v>1865</v>
      </c>
      <c r="C419" s="4" t="str">
        <f>HLOOKUP('Getting Started'!H$2,D:E,ROW(),FALSE)</f>
        <v>8. Presence of the Authorization Matrix with the position of Internal Auditor.</v>
      </c>
      <c r="D419" s="4" t="s">
        <v>2742</v>
      </c>
      <c r="E419" s="307" t="s">
        <v>4251</v>
      </c>
    </row>
    <row r="420" spans="1:5" ht="31.5" x14ac:dyDescent="0.25">
      <c r="A420" s="322" t="s">
        <v>5591</v>
      </c>
      <c r="B420" s="322" t="s">
        <v>1865</v>
      </c>
      <c r="C420" s="4" t="str">
        <f>HLOOKUP('Getting Started'!H$2,D:E,ROW(),FALSE)</f>
        <v>9. Presence of a weekly staff meeting minute describing the concept of internal auditing.</v>
      </c>
      <c r="D420" s="4" t="s">
        <v>2743</v>
      </c>
      <c r="E420" s="307" t="s">
        <v>4252</v>
      </c>
    </row>
    <row r="421" spans="1:5" ht="31.5" x14ac:dyDescent="0.25">
      <c r="A421" s="322" t="s">
        <v>5592</v>
      </c>
      <c r="B421" s="322" t="s">
        <v>1872</v>
      </c>
      <c r="C421" s="4" t="str">
        <f>HLOOKUP('Getting Started'!H$2,D:E,ROW(),FALSE)</f>
        <v xml:space="preserve">1. Presence of a schedule in which the complete quality management system is audited in one year (12 months).  </v>
      </c>
      <c r="D421" s="4" t="s">
        <v>2751</v>
      </c>
      <c r="E421" s="307" t="s">
        <v>4253</v>
      </c>
    </row>
    <row r="422" spans="1:5" ht="15.75" x14ac:dyDescent="0.25">
      <c r="A422" s="322" t="s">
        <v>5593</v>
      </c>
      <c r="B422" s="322" t="s">
        <v>1872</v>
      </c>
      <c r="C422" s="4" t="str">
        <f>HLOOKUP('Getting Started'!H$2,D:E,ROW(),FALSE)</f>
        <v xml:space="preserve">2. Presence of a workable planning. </v>
      </c>
      <c r="D422" s="4" t="s">
        <v>2749</v>
      </c>
      <c r="E422" s="307" t="s">
        <v>4254</v>
      </c>
    </row>
    <row r="423" spans="1:5" ht="31.5" x14ac:dyDescent="0.25">
      <c r="A423" s="322" t="s">
        <v>5594</v>
      </c>
      <c r="B423" s="322" t="s">
        <v>1872</v>
      </c>
      <c r="C423" s="4" t="str">
        <f>HLOOKUP('Getting Started'!H$2,D:E,ROW(),FALSE)</f>
        <v>3. Presence of meeting minute for discussion the planning in a weekly staff meeting.</v>
      </c>
      <c r="D423" s="4" t="s">
        <v>2750</v>
      </c>
      <c r="E423" s="307" t="s">
        <v>4255</v>
      </c>
    </row>
    <row r="424" spans="1:5" ht="15.75" x14ac:dyDescent="0.25">
      <c r="A424" s="322" t="s">
        <v>5595</v>
      </c>
      <c r="B424" s="322" t="s">
        <v>1874</v>
      </c>
      <c r="C424" s="4" t="str">
        <f>HLOOKUP('Getting Started'!H$2,D:E,ROW(),FALSE)</f>
        <v>1. Presence of internal auiding report</v>
      </c>
      <c r="D424" s="4" t="s">
        <v>2753</v>
      </c>
      <c r="E424" s="307" t="s">
        <v>4256</v>
      </c>
    </row>
    <row r="425" spans="1:5" ht="31.5" x14ac:dyDescent="0.25">
      <c r="A425" s="322" t="s">
        <v>5596</v>
      </c>
      <c r="B425" s="322" t="s">
        <v>1874</v>
      </c>
      <c r="C425" s="4" t="str">
        <f>HLOOKUP('Getting Started'!H$2,D:E,ROW(),FALSE)</f>
        <v>2. internal auiding report was submitted to lab manager</v>
      </c>
      <c r="D425" s="4" t="s">
        <v>2752</v>
      </c>
      <c r="E425" s="307" t="s">
        <v>4257</v>
      </c>
    </row>
    <row r="426" spans="1:5" ht="63" x14ac:dyDescent="0.25">
      <c r="A426" s="322" t="s">
        <v>5597</v>
      </c>
      <c r="B426" s="322" t="s">
        <v>1876</v>
      </c>
      <c r="C426" s="4" t="str">
        <f>HLOOKUP('Getting Started'!H$2,D:E,ROW(),FALSE)</f>
        <v xml:space="preserve">Presence of a SMART action plan, within 2 weeks of receiving the internal audit report, which contain of action points for correcting/solving all the nonconformities identified.
</v>
      </c>
      <c r="D426" s="4" t="s">
        <v>2754</v>
      </c>
      <c r="E426" s="307" t="s">
        <v>4258</v>
      </c>
    </row>
    <row r="427" spans="1:5" ht="60" x14ac:dyDescent="0.25">
      <c r="A427" s="322" t="s">
        <v>5598</v>
      </c>
      <c r="B427" s="322" t="s">
        <v>1877</v>
      </c>
      <c r="C427" s="4" t="str">
        <f>HLOOKUP('Getting Started'!H$2,D:E,ROW(),FALSE)</f>
        <v xml:space="preserve">1. Presence of a minute for discussing the action plan in a weekly staff meeting and informing the staff members of the action points that were assigned to them specifically.
</v>
      </c>
      <c r="D427" s="4" t="s">
        <v>2757</v>
      </c>
      <c r="E427" s="307" t="s">
        <v>4259</v>
      </c>
    </row>
    <row r="428" spans="1:5" ht="31.5" x14ac:dyDescent="0.25">
      <c r="A428" s="322" t="s">
        <v>5599</v>
      </c>
      <c r="B428" s="322" t="s">
        <v>1877</v>
      </c>
      <c r="C428" s="4" t="str">
        <f>HLOOKUP('Getting Started'!H$2,D:E,ROW(),FALSE)</f>
        <v>2. Presence of staff signature and date to action plans that finished.</v>
      </c>
      <c r="D428" s="4" t="s">
        <v>2758</v>
      </c>
      <c r="E428" s="307" t="s">
        <v>4260</v>
      </c>
    </row>
    <row r="429" spans="1:5" ht="31.5" x14ac:dyDescent="0.25">
      <c r="A429" s="322" t="s">
        <v>5600</v>
      </c>
      <c r="B429" s="322" t="s">
        <v>1878</v>
      </c>
      <c r="C429" s="4" t="str">
        <f>HLOOKUP('Getting Started'!H$2,D:E,ROW(),FALSE)</f>
        <v>Presence of complete action plans, with signature and date of lab manager, in a folder.</v>
      </c>
      <c r="D429" s="4" t="s">
        <v>2755</v>
      </c>
      <c r="E429" s="307" t="s">
        <v>4261</v>
      </c>
    </row>
    <row r="430" spans="1:5" x14ac:dyDescent="0.25">
      <c r="A430" s="322" t="s">
        <v>5601</v>
      </c>
      <c r="B430" s="322" t="s">
        <v>2761</v>
      </c>
      <c r="C430" s="4" t="str">
        <f>HLOOKUP('Getting Started'!H$2,D:E,ROW(),FALSE)</f>
        <v>Presence of an up-to-date SOP on performing a management review</v>
      </c>
      <c r="D430" s="4" t="s">
        <v>3111</v>
      </c>
    </row>
    <row r="431" spans="1:5" ht="60" x14ac:dyDescent="0.25">
      <c r="A431" s="322" t="s">
        <v>5602</v>
      </c>
      <c r="B431" s="322" t="s">
        <v>2894</v>
      </c>
      <c r="C431" s="4" t="str">
        <f>HLOOKUP('Getting Started'!H$2,D:E,ROW(),FALSE)</f>
        <v>Presence of:
1. Report/evidence on staff competency assessment/ performance appraisals, with potential gaps identified for the training of each staff member.</v>
      </c>
      <c r="D431" s="4" t="s">
        <v>3132</v>
      </c>
      <c r="E431" s="306" t="s">
        <v>4262</v>
      </c>
    </row>
    <row r="432" spans="1:5" ht="31.5" x14ac:dyDescent="0.25">
      <c r="A432" s="322" t="s">
        <v>5603</v>
      </c>
      <c r="B432" s="322" t="s">
        <v>2894</v>
      </c>
      <c r="C432" s="4" t="str">
        <f>HLOOKUP('Getting Started'!H$2,D:E,ROW(),FALSE)</f>
        <v>2. Quality Year Plan with the needs for training of specific staff members</v>
      </c>
      <c r="D432" s="4" t="s">
        <v>3130</v>
      </c>
      <c r="E432" s="306" t="s">
        <v>4263</v>
      </c>
    </row>
    <row r="433" spans="1:5" ht="31.5" x14ac:dyDescent="0.25">
      <c r="A433" s="322" t="s">
        <v>5604</v>
      </c>
      <c r="B433" s="322" t="s">
        <v>2894</v>
      </c>
      <c r="C433" s="4" t="str">
        <f>HLOOKUP('Getting Started'!H$2,D:E,ROW(),FALSE)</f>
        <v>3. Copies of certificates of trainings followed by staff members in their personnel files.</v>
      </c>
      <c r="D433" s="4" t="s">
        <v>3131</v>
      </c>
      <c r="E433" s="306" t="s">
        <v>4264</v>
      </c>
    </row>
    <row r="434" spans="1:5" ht="60" x14ac:dyDescent="0.25">
      <c r="A434" s="322" t="s">
        <v>5605</v>
      </c>
      <c r="B434" s="322" t="s">
        <v>2900</v>
      </c>
      <c r="C434" s="4" t="str">
        <f>HLOOKUP('Getting Started'!H$2,D:E,ROW(),FALSE)</f>
        <v xml:space="preserve">Presence of:
1. Schedule for EQA testing with different technologist assigned to test the panel each time.
</v>
      </c>
      <c r="D434" s="4" t="s">
        <v>3133</v>
      </c>
      <c r="E434" s="306" t="s">
        <v>4265</v>
      </c>
    </row>
    <row r="435" spans="1:5" ht="31.5" x14ac:dyDescent="0.25">
      <c r="A435" s="322" t="s">
        <v>5606</v>
      </c>
      <c r="B435" s="322" t="s">
        <v>2900</v>
      </c>
      <c r="C435" s="4" t="str">
        <f>HLOOKUP('Getting Started'!H$2,D:E,ROW(),FALSE)</f>
        <v>2. Report on weekly staff meeting explaining on the above schedule.</v>
      </c>
      <c r="D435" s="4" t="s">
        <v>3134</v>
      </c>
      <c r="E435" s="306" t="s">
        <v>4266</v>
      </c>
    </row>
    <row r="436" spans="1:5" ht="31.5" x14ac:dyDescent="0.25">
      <c r="A436" s="322" t="s">
        <v>5607</v>
      </c>
      <c r="B436" s="322" t="s">
        <v>2900</v>
      </c>
      <c r="C436" s="4" t="str">
        <f>HLOOKUP('Getting Started'!H$2,D:E,ROW(),FALSE)</f>
        <v>3. Above schedule at a location that is visible to all staff members, such as a notice board.</v>
      </c>
      <c r="D436" s="4" t="s">
        <v>3135</v>
      </c>
      <c r="E436" s="306" t="s">
        <v>4267</v>
      </c>
    </row>
    <row r="437" spans="1:5" ht="31.5" x14ac:dyDescent="0.25">
      <c r="A437" s="322" t="s">
        <v>5608</v>
      </c>
      <c r="B437" s="322" t="s">
        <v>2900</v>
      </c>
      <c r="C437" s="4" t="str">
        <f>HLOOKUP('Getting Started'!H$2,D:E,ROW(),FALSE)</f>
        <v>4. Evidence that the above schedule is implemented effectively.</v>
      </c>
      <c r="D437" s="4" t="s">
        <v>3136</v>
      </c>
      <c r="E437" s="306" t="s">
        <v>4268</v>
      </c>
    </row>
    <row r="438" spans="1:5" ht="47.25" x14ac:dyDescent="0.25">
      <c r="A438" s="322" t="s">
        <v>5609</v>
      </c>
      <c r="B438" s="322" t="s">
        <v>2923</v>
      </c>
      <c r="C438" s="4" t="str">
        <f>HLOOKUP('Getting Started'!H$2,D:E,ROW(),FALSE)</f>
        <v xml:space="preserve">Presence of report on  verification each time a verification is performed (both verifications of examination methods and verifications of equipment) . </v>
      </c>
      <c r="D438" s="4" t="s">
        <v>3137</v>
      </c>
      <c r="E438" s="306" t="s">
        <v>4269</v>
      </c>
    </row>
    <row r="439" spans="1:5" ht="60" x14ac:dyDescent="0.25">
      <c r="A439" s="322" t="s">
        <v>5610</v>
      </c>
      <c r="B439" s="322" t="s">
        <v>2925</v>
      </c>
      <c r="C439" s="4" t="str">
        <f>HLOOKUP('Getting Started'!H$2,D:E,ROW(),FALSE)</f>
        <v>Presence of:
1. SOP for Equipment Repair, which includes the procedure for determining and correcting the negative influence of defective equipment on test results</v>
      </c>
      <c r="D439" s="4" t="s">
        <v>3141</v>
      </c>
      <c r="E439" s="306" t="s">
        <v>4270</v>
      </c>
    </row>
    <row r="440" spans="1:5" ht="15.75" x14ac:dyDescent="0.25">
      <c r="A440" s="322" t="s">
        <v>5611</v>
      </c>
      <c r="B440" s="322" t="s">
        <v>2925</v>
      </c>
      <c r="C440" s="4" t="str">
        <f>HLOOKUP('Getting Started'!H$2,D:E,ROW(),FALSE)</f>
        <v>2. Read and Understand List</v>
      </c>
      <c r="D440" s="4" t="s">
        <v>3139</v>
      </c>
      <c r="E440" s="306" t="s">
        <v>4271</v>
      </c>
    </row>
    <row r="441" spans="1:5" ht="47.25" x14ac:dyDescent="0.25">
      <c r="A441" s="322" t="s">
        <v>5612</v>
      </c>
      <c r="B441" s="322" t="s">
        <v>2925</v>
      </c>
      <c r="C441" s="4" t="str">
        <f>HLOOKUP('Getting Started'!H$2,D:E,ROW(),FALSE)</f>
        <v>3. Report on staff meeting, explaining the important to determine the potential negative influence of defective equipment on laboratory testing.</v>
      </c>
      <c r="D441" s="4" t="s">
        <v>3140</v>
      </c>
      <c r="E441" s="306" t="s">
        <v>4272</v>
      </c>
    </row>
    <row r="442" spans="1:5" ht="47.25" x14ac:dyDescent="0.25">
      <c r="A442" s="322" t="s">
        <v>5613</v>
      </c>
      <c r="B442" s="322" t="s">
        <v>2927</v>
      </c>
      <c r="C442" s="4" t="str">
        <f>HLOOKUP('Getting Started'!H$2,D:E,ROW(),FALSE)</f>
        <v>Presence of record/ evidence 
on the implementation of the procedure for determining and correcting the negative influence of defective equipment on test results.</v>
      </c>
      <c r="D442" s="4" t="s">
        <v>3138</v>
      </c>
      <c r="E442" s="306" t="s">
        <v>4273</v>
      </c>
    </row>
    <row r="443" spans="1:5" ht="120" x14ac:dyDescent="0.25">
      <c r="A443" s="322" t="s">
        <v>5614</v>
      </c>
      <c r="B443" s="322" t="s">
        <v>2968</v>
      </c>
      <c r="C443" s="4" t="str">
        <f>HLOOKUP('Getting Started'!H$2,D:E,ROW(),FALSE)</f>
        <v xml:space="preserve">Presence of an SOP for General Activities which include:
• Internal communication: organization of meetings and drafting of minutes
• Monitoring of transportation of samples
• Cleaning of the containment laboratory
• Temperature monitoring
• Cleaning of refrigerators, freezers, incubators, etc.
</v>
      </c>
      <c r="D443" s="4" t="s">
        <v>3142</v>
      </c>
      <c r="E443" s="306" t="s">
        <v>4274</v>
      </c>
    </row>
    <row r="444" spans="1:5" ht="31.5" x14ac:dyDescent="0.25">
      <c r="A444" s="322" t="s">
        <v>5615</v>
      </c>
      <c r="B444" s="322" t="s">
        <v>2969</v>
      </c>
      <c r="C444" s="4" t="str">
        <f>HLOOKUP('Getting Started'!H$2,D:E,ROW(),FALSE)</f>
        <v xml:space="preserve">Presence of:
1. a checklist on the criteria for correct transportation of samples </v>
      </c>
      <c r="D444" s="4" t="s">
        <v>3148</v>
      </c>
      <c r="E444" s="306" t="s">
        <v>4275</v>
      </c>
    </row>
    <row r="445" spans="1:5" ht="31.5" x14ac:dyDescent="0.25">
      <c r="A445" s="322" t="s">
        <v>5616</v>
      </c>
      <c r="B445" s="322" t="s">
        <v>2969</v>
      </c>
      <c r="C445" s="4" t="str">
        <f>HLOOKUP('Getting Started'!H$2,D:E,ROW(),FALSE)</f>
        <v>2.  a record on the continuously monitor the correct transportation of samples.</v>
      </c>
      <c r="D445" s="4" t="s">
        <v>3149</v>
      </c>
      <c r="E445" s="306" t="s">
        <v>4276</v>
      </c>
    </row>
    <row r="446" spans="1:5" ht="31.5" x14ac:dyDescent="0.25">
      <c r="A446" s="322" t="s">
        <v>5617</v>
      </c>
      <c r="B446" s="322" t="s">
        <v>2970</v>
      </c>
      <c r="C446" s="4" t="str">
        <f>HLOOKUP('Getting Started'!H$2,D:E,ROW(),FALSE)</f>
        <v>Presence of an evidence for root cause analysis in case bad quality samples are received</v>
      </c>
      <c r="D446" s="4" t="s">
        <v>3143</v>
      </c>
      <c r="E446" s="306" t="s">
        <v>4277</v>
      </c>
    </row>
    <row r="447" spans="1:5" ht="30" x14ac:dyDescent="0.25">
      <c r="A447" s="322" t="s">
        <v>5618</v>
      </c>
      <c r="B447" s="322" t="s">
        <v>2971</v>
      </c>
      <c r="C447" s="4" t="str">
        <f>HLOOKUP('Getting Started'!H$2,D:E,ROW(),FALSE)</f>
        <v>Presence of:
1. a nonconformity form</v>
      </c>
      <c r="D447" s="4" t="s">
        <v>3192</v>
      </c>
      <c r="E447" s="306" t="s">
        <v>4278</v>
      </c>
    </row>
    <row r="448" spans="1:5" ht="31.5" x14ac:dyDescent="0.25">
      <c r="A448" s="322" t="s">
        <v>5619</v>
      </c>
      <c r="B448" s="322" t="s">
        <v>2971</v>
      </c>
      <c r="C448" s="4" t="str">
        <f>HLOOKUP('Getting Started'!H$2,D:E,ROW(),FALSE)</f>
        <v>2. a completed nonconformity form for any problem arise in transportation of samples</v>
      </c>
      <c r="D448" s="4" t="s">
        <v>3150</v>
      </c>
      <c r="E448" s="306" t="s">
        <v>4279</v>
      </c>
    </row>
    <row r="449" spans="1:5" ht="47.25" x14ac:dyDescent="0.25">
      <c r="A449" s="322" t="s">
        <v>5620</v>
      </c>
      <c r="B449" s="322" t="s">
        <v>2972</v>
      </c>
      <c r="C449" s="4" t="str">
        <f>HLOOKUP('Getting Started'!H$2,D:E,ROW(),FALSE)</f>
        <v>Presence of:
1. an action plans (if required) from the corrective and preventive actions indicated in the nonconformity form</v>
      </c>
      <c r="D449" s="4" t="s">
        <v>3153</v>
      </c>
      <c r="E449" s="306" t="s">
        <v>4280</v>
      </c>
    </row>
    <row r="450" spans="1:5" ht="31.5" x14ac:dyDescent="0.25">
      <c r="A450" s="322" t="s">
        <v>5621</v>
      </c>
      <c r="B450" s="322" t="s">
        <v>2972</v>
      </c>
      <c r="C450" s="4" t="str">
        <f>HLOOKUP('Getting Started'!H$2,D:E,ROW(),FALSE)</f>
        <v xml:space="preserve">2. a record/ report on the implementation of the corrective and preventive actions </v>
      </c>
      <c r="D450" s="4" t="s">
        <v>3152</v>
      </c>
      <c r="E450" s="306" t="s">
        <v>4281</v>
      </c>
    </row>
    <row r="451" spans="1:5" ht="47.25" x14ac:dyDescent="0.25">
      <c r="A451" s="322" t="s">
        <v>5622</v>
      </c>
      <c r="B451" s="322" t="s">
        <v>2973</v>
      </c>
      <c r="C451" s="4" t="str">
        <f>HLOOKUP('Getting Started'!H$2,D:E,ROW(),FALSE)</f>
        <v xml:space="preserve">Presence of a record on the monitoring and evaluation of the effectiveness of the preventive/corrective actions to solve problems of sample transportation </v>
      </c>
      <c r="D451" s="4" t="s">
        <v>3144</v>
      </c>
      <c r="E451" s="306" t="s">
        <v>4282</v>
      </c>
    </row>
    <row r="452" spans="1:5" ht="30" x14ac:dyDescent="0.25">
      <c r="A452" s="322" t="s">
        <v>5623</v>
      </c>
      <c r="B452" s="322" t="s">
        <v>2974</v>
      </c>
      <c r="C452" s="4" t="str">
        <f>HLOOKUP('Getting Started'!H$2,D:E,ROW(),FALSE)</f>
        <v xml:space="preserve">Presence of:
1. List of quality indicators. 
</v>
      </c>
      <c r="D452" s="4" t="s">
        <v>3154</v>
      </c>
      <c r="E452" s="306" t="s">
        <v>4283</v>
      </c>
    </row>
    <row r="453" spans="1:5" ht="31.5" x14ac:dyDescent="0.25">
      <c r="A453" s="322" t="s">
        <v>5624</v>
      </c>
      <c r="B453" s="322" t="s">
        <v>2974</v>
      </c>
      <c r="C453" s="4" t="str">
        <f>HLOOKUP('Getting Started'!H$2,D:E,ROW(),FALSE)</f>
        <v>2. Record on the monitoring of the quality indicators on a monthly basis.</v>
      </c>
      <c r="D453" s="4" t="s">
        <v>3155</v>
      </c>
      <c r="E453" s="306" t="s">
        <v>4284</v>
      </c>
    </row>
    <row r="454" spans="1:5" ht="47.25" x14ac:dyDescent="0.25">
      <c r="A454" s="322" t="s">
        <v>5625</v>
      </c>
      <c r="B454" s="322" t="s">
        <v>2975</v>
      </c>
      <c r="C454" s="4" t="str">
        <f>HLOOKUP('Getting Started'!H$2,D:E,ROW(),FALSE)</f>
        <v xml:space="preserve">Presence of: 
1. a completed nonconformity form (when there is a sudden change in the trends for a specific indicator) included the identified root cause   </v>
      </c>
      <c r="D454" s="4" t="s">
        <v>3158</v>
      </c>
      <c r="E454" s="306" t="s">
        <v>4285</v>
      </c>
    </row>
    <row r="455" spans="1:5" ht="31.5" x14ac:dyDescent="0.25">
      <c r="A455" s="322" t="s">
        <v>5626</v>
      </c>
      <c r="B455" s="322" t="s">
        <v>2975</v>
      </c>
      <c r="C455" s="4" t="str">
        <f>HLOOKUP('Getting Started'!H$2,D:E,ROW(),FALSE)</f>
        <v xml:space="preserve">2. a report/ evidence on the resolving of the nonconformity </v>
      </c>
      <c r="D455" s="4" t="s">
        <v>3156</v>
      </c>
      <c r="E455" s="306" t="s">
        <v>4286</v>
      </c>
    </row>
    <row r="456" spans="1:5" ht="31.5" x14ac:dyDescent="0.25">
      <c r="A456" s="322" t="s">
        <v>5627</v>
      </c>
      <c r="B456" s="322" t="s">
        <v>2975</v>
      </c>
      <c r="C456" s="4" t="str">
        <f>HLOOKUP('Getting Started'!H$2,D:E,ROW(),FALSE)</f>
        <v>3. a preventive actions to prevent the same problem from reoccurring.</v>
      </c>
      <c r="D456" s="4" t="s">
        <v>3157</v>
      </c>
      <c r="E456" s="306" t="s">
        <v>4287</v>
      </c>
    </row>
    <row r="457" spans="1:5" ht="31.5" x14ac:dyDescent="0.25">
      <c r="A457" s="322" t="s">
        <v>5628</v>
      </c>
      <c r="B457" s="322" t="s">
        <v>2976</v>
      </c>
      <c r="C457" s="4" t="str">
        <f>HLOOKUP('Getting Started'!H$2,D:E,ROW(),FALSE)</f>
        <v>Presence of limits of acceptability for each quality indicator</v>
      </c>
      <c r="D457" s="4" t="s">
        <v>3145</v>
      </c>
      <c r="E457" s="306" t="s">
        <v>4288</v>
      </c>
    </row>
    <row r="458" spans="1:5" ht="47.25" x14ac:dyDescent="0.25">
      <c r="A458" s="322" t="s">
        <v>5629</v>
      </c>
      <c r="B458" s="322" t="s">
        <v>2977</v>
      </c>
      <c r="C458" s="4" t="str">
        <f>HLOOKUP('Getting Started'!H$2,D:E,ROW(),FALSE)</f>
        <v>Presence of:
1. new limits of acceptability for each indicator, overtime (every quarter, or semester, or year) if needed</v>
      </c>
      <c r="D458" s="4" t="s">
        <v>3160</v>
      </c>
      <c r="E458" s="306" t="s">
        <v>4289</v>
      </c>
    </row>
    <row r="459" spans="1:5" ht="31.5" x14ac:dyDescent="0.25">
      <c r="A459" s="322" t="s">
        <v>5630</v>
      </c>
      <c r="B459" s="322" t="s">
        <v>2977</v>
      </c>
      <c r="C459" s="4" t="str">
        <f>HLOOKUP('Getting Started'!H$2,D:E,ROW(),FALSE)</f>
        <v>2. record/ evidence showing that the limits of acceptability for each indicator is improved overtime</v>
      </c>
      <c r="D459" s="4" t="s">
        <v>3159</v>
      </c>
      <c r="E459" s="306" t="s">
        <v>4290</v>
      </c>
    </row>
    <row r="460" spans="1:5" ht="45" x14ac:dyDescent="0.25">
      <c r="A460" s="322" t="s">
        <v>5631</v>
      </c>
      <c r="B460" s="322" t="s">
        <v>3002</v>
      </c>
      <c r="C460" s="4" t="str">
        <f>HLOOKUP('Getting Started'!H$2,D:E,ROW(),FALSE)</f>
        <v>Presence of:
1. at least two staff members to answer questions from clients of the laboratory</v>
      </c>
      <c r="D460" s="4" t="s">
        <v>3163</v>
      </c>
      <c r="E460" s="306" t="s">
        <v>4291</v>
      </c>
    </row>
    <row r="461" spans="1:5" ht="31.5" x14ac:dyDescent="0.25">
      <c r="A461" s="322" t="s">
        <v>5632</v>
      </c>
      <c r="B461" s="322" t="s">
        <v>3002</v>
      </c>
      <c r="C461" s="4" t="str">
        <f>HLOOKUP('Getting Started'!H$2,D:E,ROW(),FALSE)</f>
        <v xml:space="preserve">2. a minute of weekly staff meeting regarding the Job Description of the selected staff members </v>
      </c>
      <c r="D461" s="4" t="s">
        <v>3161</v>
      </c>
      <c r="E461" s="306" t="s">
        <v>4292</v>
      </c>
    </row>
    <row r="462" spans="1:5" ht="31.5" x14ac:dyDescent="0.25">
      <c r="A462" s="322" t="s">
        <v>5633</v>
      </c>
      <c r="B462" s="322" t="s">
        <v>3002</v>
      </c>
      <c r="C462" s="4" t="str">
        <f>HLOOKUP('Getting Started'!H$2,D:E,ROW(),FALSE)</f>
        <v>3. an updated Personal Job Description of the selected staff members</v>
      </c>
      <c r="D462" s="4" t="s">
        <v>3162</v>
      </c>
      <c r="E462" s="306" t="s">
        <v>4293</v>
      </c>
    </row>
    <row r="463" spans="1:5" ht="31.5" x14ac:dyDescent="0.25">
      <c r="A463" s="322" t="s">
        <v>5634</v>
      </c>
      <c r="B463" s="322" t="s">
        <v>3003</v>
      </c>
      <c r="C463" s="4" t="str">
        <f>HLOOKUP('Getting Started'!H$2,D:E,ROW(),FALSE)</f>
        <v>Presence of 
1. a list of authorized staff to participate in clinical rounds with clinicians</v>
      </c>
      <c r="D463" s="4" t="s">
        <v>3165</v>
      </c>
      <c r="E463" s="306" t="s">
        <v>4294</v>
      </c>
    </row>
    <row r="464" spans="1:5" ht="15.75" x14ac:dyDescent="0.25">
      <c r="A464" s="322" t="s">
        <v>5635</v>
      </c>
      <c r="B464" s="322" t="s">
        <v>3003</v>
      </c>
      <c r="C464" s="4" t="str">
        <f>HLOOKUP('Getting Started'!H$2,D:E,ROW(),FALSE)</f>
        <v>2. a minute of the meeting</v>
      </c>
      <c r="D464" s="4" t="s">
        <v>3164</v>
      </c>
      <c r="E464" s="306" t="s">
        <v>4295</v>
      </c>
    </row>
    <row r="465" spans="1:5" ht="15.75" x14ac:dyDescent="0.25">
      <c r="A465" s="322" t="s">
        <v>5636</v>
      </c>
      <c r="B465" s="322" t="s">
        <v>3004</v>
      </c>
      <c r="C465" s="4" t="str">
        <f>HLOOKUP('Getting Started'!H$2,D:E,ROW(),FALSE)</f>
        <v>Presence of a minute of the meeting</v>
      </c>
      <c r="D465" s="4" t="s">
        <v>3146</v>
      </c>
      <c r="E465" s="306" t="s">
        <v>4296</v>
      </c>
    </row>
    <row r="466" spans="1:5" ht="31.5" x14ac:dyDescent="0.25">
      <c r="A466" s="322" t="s">
        <v>5637</v>
      </c>
      <c r="B466" s="322" t="s">
        <v>3005</v>
      </c>
      <c r="C466" s="4" t="str">
        <f>HLOOKUP('Getting Started'!H$2,D:E,ROW(),FALSE)</f>
        <v>Presence of a minute of the meeting</v>
      </c>
      <c r="D466" s="4" t="s">
        <v>3146</v>
      </c>
      <c r="E466" s="306" t="s">
        <v>4297</v>
      </c>
    </row>
    <row r="467" spans="1:5" ht="31.5" x14ac:dyDescent="0.25">
      <c r="A467" s="322" t="s">
        <v>5638</v>
      </c>
      <c r="B467" s="322" t="s">
        <v>3006</v>
      </c>
      <c r="C467" s="4" t="str">
        <f>HLOOKUP('Getting Started'!H$2,D:E,ROW(),FALSE)</f>
        <v>Presence of a minute of the meeting in folder Minutes behind a new tab titled Clinical Staff Meetings</v>
      </c>
      <c r="D467" s="4" t="s">
        <v>3147</v>
      </c>
      <c r="E467" s="306" t="s">
        <v>4298</v>
      </c>
    </row>
    <row r="468" spans="1:5" ht="31.5" x14ac:dyDescent="0.25">
      <c r="A468" s="322" t="s">
        <v>5639</v>
      </c>
      <c r="B468" s="322" t="s">
        <v>3007</v>
      </c>
      <c r="C468" s="4" t="str">
        <f>HLOOKUP('Getting Started'!H$2,D:E,ROW(),FALSE)</f>
        <v>Presence of
1. action plans to solve all the action points arise from these meetings</v>
      </c>
      <c r="D468" s="4" t="s">
        <v>3168</v>
      </c>
      <c r="E468" s="306" t="s">
        <v>4299</v>
      </c>
    </row>
    <row r="469" spans="1:5" ht="31.5" x14ac:dyDescent="0.25">
      <c r="A469" s="322" t="s">
        <v>5640</v>
      </c>
      <c r="B469" s="322" t="s">
        <v>3007</v>
      </c>
      <c r="C469" s="4" t="str">
        <f>HLOOKUP('Getting Started'!H$2,D:E,ROW(),FALSE)</f>
        <v>2. report/evidence on the execution of the action plans</v>
      </c>
      <c r="D469" s="4" t="s">
        <v>3166</v>
      </c>
      <c r="E469" s="306" t="s">
        <v>4300</v>
      </c>
    </row>
    <row r="470" spans="1:5" ht="31.5" x14ac:dyDescent="0.25">
      <c r="A470" s="322" t="s">
        <v>5641</v>
      </c>
      <c r="B470" s="322" t="s">
        <v>3007</v>
      </c>
      <c r="C470" s="4" t="str">
        <f>HLOOKUP('Getting Started'!H$2,D:E,ROW(),FALSE)</f>
        <v>3. minute on the feedback about the execution to clinical staff in the next Clinical staff meeting.</v>
      </c>
      <c r="D470" s="4" t="s">
        <v>3167</v>
      </c>
      <c r="E470" s="306" t="s">
        <v>4301</v>
      </c>
    </row>
    <row r="471" spans="1:5" ht="45" x14ac:dyDescent="0.25">
      <c r="A471" s="322" t="s">
        <v>5642</v>
      </c>
      <c r="B471" s="322" t="s">
        <v>3072</v>
      </c>
      <c r="C471" s="4" t="str">
        <f>HLOOKUP('Getting Started'!H$2,D:E,ROW(),FALSE)</f>
        <v xml:space="preserve">Presence of:
1. an SOP for Nonconformity Management (include a filled Read and Understood). </v>
      </c>
      <c r="D471" s="4" t="s">
        <v>3171</v>
      </c>
      <c r="E471" s="306" t="s">
        <v>4302</v>
      </c>
    </row>
    <row r="472" spans="1:5" ht="15.75" x14ac:dyDescent="0.25">
      <c r="A472" s="322" t="s">
        <v>5643</v>
      </c>
      <c r="B472" s="322" t="s">
        <v>3072</v>
      </c>
      <c r="C472" s="4" t="str">
        <f>HLOOKUP('Getting Started'!H$2,D:E,ROW(),FALSE)</f>
        <v>2. a nonconformity form.</v>
      </c>
      <c r="D472" s="4" t="s">
        <v>3169</v>
      </c>
      <c r="E472" s="306" t="s">
        <v>4303</v>
      </c>
    </row>
    <row r="473" spans="1:5" ht="15.75" x14ac:dyDescent="0.25">
      <c r="A473" s="322" t="s">
        <v>5644</v>
      </c>
      <c r="B473" s="322" t="s">
        <v>3072</v>
      </c>
      <c r="C473" s="4" t="str">
        <f>HLOOKUP('Getting Started'!H$2,D:E,ROW(),FALSE)</f>
        <v>3. a Tally list form.</v>
      </c>
      <c r="D473" s="4" t="s">
        <v>3170</v>
      </c>
      <c r="E473" s="306" t="s">
        <v>4304</v>
      </c>
    </row>
    <row r="474" spans="1:5" ht="60" x14ac:dyDescent="0.25">
      <c r="A474" s="322" t="s">
        <v>5645</v>
      </c>
      <c r="B474" s="322" t="s">
        <v>3073</v>
      </c>
      <c r="C474" s="4" t="str">
        <f>HLOOKUP('Getting Started'!H$2,D:E,ROW(),FALSE)</f>
        <v xml:space="preserve">Presence of
1. an SOP on Handling of Complaints; included a complaint form and the Read and Understand List.
</v>
      </c>
      <c r="D474" s="4" t="s">
        <v>3172</v>
      </c>
      <c r="E474" s="306" t="s">
        <v>4305</v>
      </c>
    </row>
    <row r="475" spans="1:5" ht="47.25" x14ac:dyDescent="0.25">
      <c r="A475" s="322" t="s">
        <v>5646</v>
      </c>
      <c r="B475" s="322" t="s">
        <v>3073</v>
      </c>
      <c r="C475" s="4" t="str">
        <f>HLOOKUP('Getting Started'!H$2,D:E,ROW(),FALSE)</f>
        <v>2. a minute of a weekly staff meeting that explain the procedure for handling complaints and why complaints need to be handled according to this procedure.</v>
      </c>
      <c r="D475" s="4" t="s">
        <v>3173</v>
      </c>
      <c r="E475" s="306" t="s">
        <v>4306</v>
      </c>
    </row>
    <row r="476" spans="1:5" ht="47.25" x14ac:dyDescent="0.25">
      <c r="A476" s="322" t="s">
        <v>5647</v>
      </c>
      <c r="B476" s="322" t="s">
        <v>3074</v>
      </c>
      <c r="C476" s="4" t="str">
        <f>HLOOKUP('Getting Started'!H$2,D:E,ROW(),FALSE)</f>
        <v>Presence of:
1. an updated Authorization Matrix included the tasks and responsibilities described in the SOP on Handling of Complaint.</v>
      </c>
      <c r="D476" s="4" t="s">
        <v>3174</v>
      </c>
      <c r="E476" s="306" t="s">
        <v>4307</v>
      </c>
    </row>
    <row r="477" spans="1:5" ht="31.5" x14ac:dyDescent="0.25">
      <c r="A477" s="322" t="s">
        <v>5648</v>
      </c>
      <c r="B477" s="322" t="s">
        <v>3074</v>
      </c>
      <c r="C477" s="4" t="str">
        <f>HLOOKUP('Getting Started'!H$2,D:E,ROW(),FALSE)</f>
        <v>2. a complete filled-out complaint form accordance to the SOP</v>
      </c>
      <c r="D477" s="4" t="s">
        <v>3175</v>
      </c>
      <c r="E477" s="306" t="s">
        <v>4308</v>
      </c>
    </row>
    <row r="478" spans="1:5" ht="30" x14ac:dyDescent="0.25">
      <c r="A478" s="322" t="s">
        <v>5649</v>
      </c>
      <c r="B478" s="322" t="s">
        <v>3075</v>
      </c>
      <c r="C478" s="4" t="str">
        <f>HLOOKUP('Getting Started'!H$2,D:E,ROW(),FALSE)</f>
        <v>Presence of:
1. an evidence/record on the feedback to the complainer</v>
      </c>
      <c r="D478" s="4" t="s">
        <v>3176</v>
      </c>
      <c r="E478" s="306" t="s">
        <v>4309</v>
      </c>
    </row>
    <row r="479" spans="1:5" ht="15.75" x14ac:dyDescent="0.25">
      <c r="A479" s="322" t="s">
        <v>5650</v>
      </c>
      <c r="B479" s="322" t="s">
        <v>3075</v>
      </c>
      <c r="C479" s="4" t="str">
        <f>HLOOKUP('Getting Started'!H$2,D:E,ROW(),FALSE)</f>
        <v>2. a complete filled-out the complaint form</v>
      </c>
      <c r="D479" s="4" t="s">
        <v>3177</v>
      </c>
      <c r="E479" s="306" t="s">
        <v>4310</v>
      </c>
    </row>
    <row r="480" spans="1:5" ht="31.5" x14ac:dyDescent="0.25">
      <c r="A480" s="322" t="s">
        <v>5651</v>
      </c>
      <c r="B480" s="322" t="s">
        <v>3076</v>
      </c>
      <c r="C480" s="4" t="str">
        <f>HLOOKUP('Getting Started'!H$2,D:E,ROW(),FALSE)</f>
        <v>Presence of the SOP on how to act in specific emergency situations</v>
      </c>
      <c r="D480" s="4" t="s">
        <v>3178</v>
      </c>
      <c r="E480" s="306" t="s">
        <v>4311</v>
      </c>
    </row>
    <row r="481" spans="1:5" ht="15.75" x14ac:dyDescent="0.25">
      <c r="A481" s="322" t="s">
        <v>5652</v>
      </c>
      <c r="B481" s="322" t="s">
        <v>3077</v>
      </c>
      <c r="C481" s="4" t="str">
        <f>HLOOKUP('Getting Started'!H$2,D:E,ROW(),FALSE)</f>
        <v xml:space="preserve">Presence of a firefighting equipment </v>
      </c>
      <c r="D481" s="4" t="s">
        <v>3179</v>
      </c>
      <c r="E481" s="306" t="s">
        <v>4312</v>
      </c>
    </row>
    <row r="482" spans="1:5" ht="15.75" x14ac:dyDescent="0.25">
      <c r="A482" s="322" t="s">
        <v>5653</v>
      </c>
      <c r="B482" s="322" t="s">
        <v>3079</v>
      </c>
      <c r="C482" s="4" t="str">
        <f>HLOOKUP('Getting Started'!H$2,D:E,ROW(),FALSE)</f>
        <v>Presence of signage for evacuation route</v>
      </c>
      <c r="D482" s="4" t="s">
        <v>3180</v>
      </c>
      <c r="E482" s="306" t="s">
        <v>4313</v>
      </c>
    </row>
    <row r="483" spans="1:5" ht="15.75" x14ac:dyDescent="0.25">
      <c r="C483" s="4">
        <f>HLOOKUP('Getting Started'!H$2,D:E,ROW(),FALSE)</f>
        <v>0</v>
      </c>
      <c r="E483" s="307"/>
    </row>
    <row r="484" spans="1:5" ht="15.75" x14ac:dyDescent="0.25">
      <c r="C484" s="4">
        <f>HLOOKUP('Getting Started'!H$2,D:E,ROW(),FALSE)</f>
        <v>0</v>
      </c>
      <c r="E484" s="307"/>
    </row>
    <row r="485" spans="1:5" ht="15.75" x14ac:dyDescent="0.25">
      <c r="C485" s="4">
        <f>HLOOKUP('Getting Started'!H$2,D:E,ROW(),FALSE)</f>
        <v>0</v>
      </c>
      <c r="E485" s="307"/>
    </row>
    <row r="486" spans="1:5" ht="15.75" x14ac:dyDescent="0.25">
      <c r="C486" s="4">
        <f>HLOOKUP('Getting Started'!H$2,D:E,ROW(),FALSE)</f>
        <v>0</v>
      </c>
      <c r="E486" s="307"/>
    </row>
    <row r="487" spans="1:5" ht="15.75" x14ac:dyDescent="0.25">
      <c r="C487" s="4">
        <f>HLOOKUP('Getting Started'!H$2,D:E,ROW(),FALSE)</f>
        <v>0</v>
      </c>
      <c r="E487" s="307"/>
    </row>
    <row r="488" spans="1:5" ht="15.75" x14ac:dyDescent="0.25">
      <c r="C488" s="4">
        <f>HLOOKUP('Getting Started'!H$2,D:E,ROW(),FALSE)</f>
        <v>0</v>
      </c>
      <c r="E488" s="308"/>
    </row>
    <row r="489" spans="1:5" ht="15.75" x14ac:dyDescent="0.3">
      <c r="C489" s="4">
        <f>HLOOKUP('Getting Started'!H$2,D:E,ROW(),FALSE)</f>
        <v>0</v>
      </c>
      <c r="E489" s="305"/>
    </row>
    <row r="490" spans="1:5" ht="15.75" x14ac:dyDescent="0.3">
      <c r="C490" s="4">
        <f>HLOOKUP('Getting Started'!H$2,D:E,ROW(),FALSE)</f>
        <v>0</v>
      </c>
      <c r="E490" s="305"/>
    </row>
    <row r="491" spans="1:5" ht="15.75" x14ac:dyDescent="0.25">
      <c r="C491" s="4">
        <f>HLOOKUP('Getting Started'!H$2,D:E,ROW(),FALSE)</f>
        <v>0</v>
      </c>
      <c r="E491" s="307"/>
    </row>
    <row r="492" spans="1:5" ht="15.75" x14ac:dyDescent="0.25">
      <c r="C492" s="4">
        <f>HLOOKUP('Getting Started'!H$2,D:E,ROW(),FALSE)</f>
        <v>0</v>
      </c>
      <c r="E492" s="307"/>
    </row>
    <row r="493" spans="1:5" ht="15.75" x14ac:dyDescent="0.3">
      <c r="C493" s="4">
        <f>HLOOKUP('Getting Started'!H$2,D:E,ROW(),FALSE)</f>
        <v>0</v>
      </c>
      <c r="E493" s="305"/>
    </row>
    <row r="494" spans="1:5" ht="15.75" x14ac:dyDescent="0.3">
      <c r="C494" s="4">
        <f>HLOOKUP('Getting Started'!H$2,D:E,ROW(),FALSE)</f>
        <v>0</v>
      </c>
      <c r="E494" s="305"/>
    </row>
    <row r="495" spans="1:5" ht="15.75" x14ac:dyDescent="0.25">
      <c r="C495" s="4">
        <f>HLOOKUP('Getting Started'!H$2,D:E,ROW(),FALSE)</f>
        <v>0</v>
      </c>
      <c r="E495" s="307"/>
    </row>
    <row r="496" spans="1:5" ht="15.75" x14ac:dyDescent="0.3">
      <c r="C496" s="4">
        <f>HLOOKUP('Getting Started'!H$2,D:E,ROW(),FALSE)</f>
        <v>0</v>
      </c>
      <c r="E496" s="305"/>
    </row>
    <row r="497" spans="3:5" ht="15.75" x14ac:dyDescent="0.25">
      <c r="C497" s="4">
        <f>HLOOKUP('Getting Started'!H$2,D:E,ROW(),FALSE)</f>
        <v>0</v>
      </c>
      <c r="E497" s="307"/>
    </row>
    <row r="498" spans="3:5" ht="15.75" x14ac:dyDescent="0.3">
      <c r="C498" s="4">
        <f>HLOOKUP('Getting Started'!H$2,D:E,ROW(),FALSE)</f>
        <v>0</v>
      </c>
      <c r="E498" s="305"/>
    </row>
    <row r="499" spans="3:5" ht="15.75" x14ac:dyDescent="0.3">
      <c r="C499" s="4">
        <f>HLOOKUP('Getting Started'!H$2,D:E,ROW(),FALSE)</f>
        <v>0</v>
      </c>
      <c r="E499" s="302"/>
    </row>
    <row r="500" spans="3:5" x14ac:dyDescent="0.25">
      <c r="C500" s="4">
        <f>HLOOKUP('Getting Started'!H$2,D:E,ROW(),FALSE)</f>
        <v>0</v>
      </c>
    </row>
    <row r="501" spans="3:5" x14ac:dyDescent="0.25">
      <c r="C501" s="4">
        <f>HLOOKUP('Getting Started'!H$2,D:E,ROW(),FALSE)</f>
        <v>0</v>
      </c>
    </row>
    <row r="502" spans="3:5" x14ac:dyDescent="0.25">
      <c r="C502" s="4">
        <f>HLOOKUP('Getting Started'!H$2,D:E,ROW(),FALSE)</f>
        <v>0</v>
      </c>
    </row>
    <row r="503" spans="3:5" x14ac:dyDescent="0.25">
      <c r="C503" s="4">
        <f>HLOOKUP('Getting Started'!H$2,D:E,ROW(),FALSE)</f>
        <v>0</v>
      </c>
    </row>
    <row r="504" spans="3:5" x14ac:dyDescent="0.25">
      <c r="C504" s="4">
        <f>HLOOKUP('Getting Started'!H$2,D:E,ROW(),FALSE)</f>
        <v>0</v>
      </c>
    </row>
    <row r="505" spans="3:5" x14ac:dyDescent="0.25">
      <c r="C505" s="4">
        <f>HLOOKUP('Getting Started'!H$2,D:E,ROW(),FALSE)</f>
        <v>0</v>
      </c>
    </row>
    <row r="506" spans="3:5" x14ac:dyDescent="0.25">
      <c r="C506" s="4">
        <f>HLOOKUP('Getting Started'!H$2,D:E,ROW(),FALSE)</f>
        <v>0</v>
      </c>
    </row>
    <row r="507" spans="3:5" x14ac:dyDescent="0.25">
      <c r="C507" s="4">
        <f>HLOOKUP('Getting Started'!H$2,D:E,ROW(),FALSE)</f>
        <v>0</v>
      </c>
    </row>
    <row r="508" spans="3:5" x14ac:dyDescent="0.25">
      <c r="C508" s="4">
        <f>HLOOKUP('Getting Started'!H$2,D:E,ROW(),FALSE)</f>
        <v>0</v>
      </c>
    </row>
    <row r="509" spans="3:5" x14ac:dyDescent="0.25">
      <c r="C509" s="4">
        <f>HLOOKUP('Getting Started'!H$2,D:E,ROW(),FALSE)</f>
        <v>0</v>
      </c>
    </row>
    <row r="510" spans="3:5" x14ac:dyDescent="0.25">
      <c r="C510" s="4">
        <f>HLOOKUP('Getting Started'!H$2,D:E,ROW(),FALSE)</f>
        <v>0</v>
      </c>
    </row>
    <row r="511" spans="3:5" x14ac:dyDescent="0.25">
      <c r="C511" s="4">
        <f>HLOOKUP('Getting Started'!H$2,D:E,ROW(),FALSE)</f>
        <v>0</v>
      </c>
    </row>
    <row r="512" spans="3:5" x14ac:dyDescent="0.25">
      <c r="C512" s="4">
        <f>HLOOKUP('Getting Started'!H$2,D:E,ROW(),FALSE)</f>
        <v>0</v>
      </c>
    </row>
    <row r="513" spans="3:3" x14ac:dyDescent="0.25">
      <c r="C513" s="4">
        <f>HLOOKUP('Getting Started'!H$2,D:E,ROW(),FALSE)</f>
        <v>0</v>
      </c>
    </row>
    <row r="514" spans="3:3" x14ac:dyDescent="0.25">
      <c r="C514" s="4">
        <f>HLOOKUP('Getting Started'!H$2,D:E,ROW(),FALSE)</f>
        <v>0</v>
      </c>
    </row>
    <row r="515" spans="3:3" x14ac:dyDescent="0.25">
      <c r="C515" s="4">
        <f>HLOOKUP('Getting Started'!H$2,D:E,ROW(),FALSE)</f>
        <v>0</v>
      </c>
    </row>
    <row r="516" spans="3:3" x14ac:dyDescent="0.25">
      <c r="C516" s="4">
        <f>HLOOKUP('Getting Started'!H$2,D:E,ROW(),FALSE)</f>
        <v>0</v>
      </c>
    </row>
    <row r="517" spans="3:3" x14ac:dyDescent="0.25">
      <c r="C517" s="4">
        <f>HLOOKUP('Getting Started'!H$2,D:E,ROW(),FALSE)</f>
        <v>0</v>
      </c>
    </row>
    <row r="518" spans="3:3" x14ac:dyDescent="0.25">
      <c r="C518" s="4">
        <f>HLOOKUP('Getting Started'!H$2,D:E,ROW(),FALSE)</f>
        <v>0</v>
      </c>
    </row>
    <row r="519" spans="3:3" x14ac:dyDescent="0.25">
      <c r="C519" s="4">
        <f>HLOOKUP('Getting Started'!H$2,D:E,ROW(),FALSE)</f>
        <v>0</v>
      </c>
    </row>
    <row r="520" spans="3:3" x14ac:dyDescent="0.25">
      <c r="C520" s="4">
        <f>HLOOKUP('Getting Started'!H$2,D:E,ROW(),FALSE)</f>
        <v>0</v>
      </c>
    </row>
    <row r="521" spans="3:3" x14ac:dyDescent="0.25">
      <c r="C521" s="4">
        <f>HLOOKUP('Getting Started'!H$2,D:E,ROW(),FALSE)</f>
        <v>0</v>
      </c>
    </row>
    <row r="522" spans="3:3" x14ac:dyDescent="0.25">
      <c r="C522" s="4">
        <f>HLOOKUP('Getting Started'!H$2,D:E,ROW(),FALSE)</f>
        <v>0</v>
      </c>
    </row>
    <row r="523" spans="3:3" x14ac:dyDescent="0.25">
      <c r="C523" s="4">
        <f>HLOOKUP('Getting Started'!H$2,D:E,ROW(),FALSE)</f>
        <v>0</v>
      </c>
    </row>
    <row r="524" spans="3:3" x14ac:dyDescent="0.25">
      <c r="C524" s="4">
        <f>HLOOKUP('Getting Started'!H$2,D:E,ROW(),FALSE)</f>
        <v>0</v>
      </c>
    </row>
    <row r="525" spans="3:3" x14ac:dyDescent="0.25">
      <c r="C525" s="4">
        <f>HLOOKUP('Getting Started'!H$2,D:E,ROW(),FALSE)</f>
        <v>0</v>
      </c>
    </row>
    <row r="526" spans="3:3" x14ac:dyDescent="0.25">
      <c r="C526" s="4">
        <f>HLOOKUP('Getting Started'!H$2,D:E,ROW(),FALSE)</f>
        <v>0</v>
      </c>
    </row>
    <row r="527" spans="3:3" x14ac:dyDescent="0.25">
      <c r="C527" s="4">
        <f>HLOOKUP('Getting Started'!H$2,D:E,ROW(),FALSE)</f>
        <v>0</v>
      </c>
    </row>
    <row r="528" spans="3:3" x14ac:dyDescent="0.25">
      <c r="C528" s="4">
        <f>HLOOKUP('Getting Started'!H$2,D:E,ROW(),FALSE)</f>
        <v>0</v>
      </c>
    </row>
    <row r="529" spans="3:3" x14ac:dyDescent="0.25">
      <c r="C529" s="4">
        <f>HLOOKUP('Getting Started'!H$2,D:E,ROW(),FALSE)</f>
        <v>0</v>
      </c>
    </row>
    <row r="530" spans="3:3" x14ac:dyDescent="0.25">
      <c r="C530" s="4">
        <f>HLOOKUP('Getting Started'!H$2,D:E,ROW(),FALSE)</f>
        <v>0</v>
      </c>
    </row>
    <row r="531" spans="3:3" x14ac:dyDescent="0.25">
      <c r="C531" s="4">
        <f>HLOOKUP('Getting Started'!H$2,D:E,ROW(),FALSE)</f>
        <v>0</v>
      </c>
    </row>
    <row r="532" spans="3:3" x14ac:dyDescent="0.25">
      <c r="C532" s="4">
        <f>HLOOKUP('Getting Started'!H$2,D:E,ROW(),FALSE)</f>
        <v>0</v>
      </c>
    </row>
    <row r="533" spans="3:3" x14ac:dyDescent="0.25">
      <c r="C533" s="4">
        <f>HLOOKUP('Getting Started'!H$2,D:E,ROW(),FALSE)</f>
        <v>0</v>
      </c>
    </row>
    <row r="534" spans="3:3" x14ac:dyDescent="0.25">
      <c r="C534" s="4">
        <f>HLOOKUP('Getting Started'!H$2,D:E,ROW(),FALSE)</f>
        <v>0</v>
      </c>
    </row>
    <row r="535" spans="3:3" x14ac:dyDescent="0.25">
      <c r="C535" s="4">
        <f>HLOOKUP('Getting Started'!H$2,D:E,ROW(),FALSE)</f>
        <v>0</v>
      </c>
    </row>
    <row r="536" spans="3:3" x14ac:dyDescent="0.25">
      <c r="C536" s="4">
        <f>HLOOKUP('Getting Started'!H$2,D:E,ROW(),FALSE)</f>
        <v>0</v>
      </c>
    </row>
    <row r="537" spans="3:3" x14ac:dyDescent="0.25">
      <c r="C537" s="4">
        <f>HLOOKUP('Getting Started'!H$2,D:E,ROW(),FALSE)</f>
        <v>0</v>
      </c>
    </row>
    <row r="538" spans="3:3" x14ac:dyDescent="0.25">
      <c r="C538" s="4">
        <f>HLOOKUP('Getting Started'!H$2,D:E,ROW(),FALSE)</f>
        <v>0</v>
      </c>
    </row>
    <row r="539" spans="3:3" x14ac:dyDescent="0.25">
      <c r="C539" s="4">
        <f>HLOOKUP('Getting Started'!H$2,D:E,ROW(),FALSE)</f>
        <v>0</v>
      </c>
    </row>
    <row r="540" spans="3:3" x14ac:dyDescent="0.25">
      <c r="C540" s="4">
        <f>HLOOKUP('Getting Started'!H$2,D:E,ROW(),FALSE)</f>
        <v>0</v>
      </c>
    </row>
    <row r="541" spans="3:3" x14ac:dyDescent="0.25">
      <c r="C541" s="4">
        <f>HLOOKUP('Getting Started'!H$2,D:E,ROW(),FALSE)</f>
        <v>0</v>
      </c>
    </row>
    <row r="542" spans="3:3" x14ac:dyDescent="0.25">
      <c r="C542" s="4">
        <f>HLOOKUP('Getting Started'!H$2,D:E,ROW(),FALSE)</f>
        <v>0</v>
      </c>
    </row>
    <row r="543" spans="3:3" x14ac:dyDescent="0.25">
      <c r="C543" s="4">
        <f>HLOOKUP('Getting Started'!H$2,D:E,ROW(),FALSE)</f>
        <v>0</v>
      </c>
    </row>
    <row r="544" spans="3:3" x14ac:dyDescent="0.25">
      <c r="C544" s="4">
        <f>HLOOKUP('Getting Started'!H$2,D:E,ROW(),FALSE)</f>
        <v>0</v>
      </c>
    </row>
    <row r="545" spans="3:3" x14ac:dyDescent="0.25">
      <c r="C545" s="4">
        <f>HLOOKUP('Getting Started'!H$2,D:E,ROW(),FALSE)</f>
        <v>0</v>
      </c>
    </row>
    <row r="546" spans="3:3" x14ac:dyDescent="0.25">
      <c r="C546" s="4">
        <f>HLOOKUP('Getting Started'!H$2,D:E,ROW(),FALSE)</f>
        <v>0</v>
      </c>
    </row>
    <row r="547" spans="3:3" x14ac:dyDescent="0.25">
      <c r="C547" s="4">
        <f>HLOOKUP('Getting Started'!H$2,D:E,ROW(),FALSE)</f>
        <v>0</v>
      </c>
    </row>
    <row r="548" spans="3:3" x14ac:dyDescent="0.25">
      <c r="C548" s="4">
        <f>HLOOKUP('Getting Started'!H$2,D:E,ROW(),FALSE)</f>
        <v>0</v>
      </c>
    </row>
    <row r="549" spans="3:3" x14ac:dyDescent="0.25">
      <c r="C549" s="4">
        <f>HLOOKUP('Getting Started'!H$2,D:E,ROW(),FALSE)</f>
        <v>0</v>
      </c>
    </row>
    <row r="550" spans="3:3" x14ac:dyDescent="0.25">
      <c r="C550" s="4">
        <f>HLOOKUP('Getting Started'!H$2,D:E,ROW(),FALSE)</f>
        <v>0</v>
      </c>
    </row>
    <row r="551" spans="3:3" x14ac:dyDescent="0.25">
      <c r="C551" s="4">
        <f>HLOOKUP('Getting Started'!H$2,D:E,ROW(),FALSE)</f>
        <v>0</v>
      </c>
    </row>
    <row r="552" spans="3:3" x14ac:dyDescent="0.25">
      <c r="C552" s="4">
        <f>HLOOKUP('Getting Started'!H$2,D:E,ROW(),FALSE)</f>
        <v>0</v>
      </c>
    </row>
    <row r="553" spans="3:3" x14ac:dyDescent="0.25">
      <c r="C553" s="4">
        <f>HLOOKUP('Getting Started'!H$2,D:E,ROW(),FALSE)</f>
        <v>0</v>
      </c>
    </row>
    <row r="554" spans="3:3" x14ac:dyDescent="0.25">
      <c r="C554" s="4">
        <f>HLOOKUP('Getting Started'!H$2,D:E,ROW(),FALSE)</f>
        <v>0</v>
      </c>
    </row>
    <row r="555" spans="3:3" x14ac:dyDescent="0.25">
      <c r="C555" s="4">
        <f>HLOOKUP('Getting Started'!H$2,D:E,ROW(),FALSE)</f>
        <v>0</v>
      </c>
    </row>
    <row r="556" spans="3:3" x14ac:dyDescent="0.25">
      <c r="C556" s="4">
        <f>HLOOKUP('Getting Started'!H$2,D:E,ROW(),FALSE)</f>
        <v>0</v>
      </c>
    </row>
    <row r="557" spans="3:3" x14ac:dyDescent="0.25">
      <c r="C557" s="4">
        <f>HLOOKUP('Getting Started'!H$2,D:E,ROW(),FALSE)</f>
        <v>0</v>
      </c>
    </row>
    <row r="558" spans="3:3" x14ac:dyDescent="0.25">
      <c r="C558" s="4">
        <f>HLOOKUP('Getting Started'!H$2,D:E,ROW(),FALSE)</f>
        <v>0</v>
      </c>
    </row>
    <row r="559" spans="3:3" x14ac:dyDescent="0.25">
      <c r="C559" s="4">
        <f>HLOOKUP('Getting Started'!H$2,D:E,ROW(),FALSE)</f>
        <v>0</v>
      </c>
    </row>
    <row r="560" spans="3:3" x14ac:dyDescent="0.25">
      <c r="C560" s="4">
        <f>HLOOKUP('Getting Started'!H$2,D:E,ROW(),FALSE)</f>
        <v>0</v>
      </c>
    </row>
    <row r="561" spans="3:3" x14ac:dyDescent="0.25">
      <c r="C561" s="4">
        <f>HLOOKUP('Getting Started'!H$2,D:E,ROW(),FALSE)</f>
        <v>0</v>
      </c>
    </row>
    <row r="562" spans="3:3" x14ac:dyDescent="0.25">
      <c r="C562" s="4">
        <f>HLOOKUP('Getting Started'!H$2,D:E,ROW(),FALSE)</f>
        <v>0</v>
      </c>
    </row>
    <row r="563" spans="3:3" x14ac:dyDescent="0.25">
      <c r="C563" s="4">
        <f>HLOOKUP('Getting Started'!H$2,D:E,ROW(),FALSE)</f>
        <v>0</v>
      </c>
    </row>
    <row r="564" spans="3:3" x14ac:dyDescent="0.25">
      <c r="C564" s="4">
        <f>HLOOKUP('Getting Started'!H$2,D:E,ROW(),FALSE)</f>
        <v>0</v>
      </c>
    </row>
    <row r="565" spans="3:3" x14ac:dyDescent="0.25">
      <c r="C565" s="4">
        <f>HLOOKUP('Getting Started'!H$2,D:E,ROW(),FALSE)</f>
        <v>0</v>
      </c>
    </row>
    <row r="566" spans="3:3" ht="30" x14ac:dyDescent="0.25">
      <c r="C566" s="4">
        <f>HLOOKUP('Getting Started'!H$2,D:E,ROW(),FALSE)</f>
        <v>0</v>
      </c>
    </row>
    <row r="567" spans="3:3" x14ac:dyDescent="0.25">
      <c r="C567" s="4">
        <f>HLOOKUP('Getting Started'!H$2,D:E,ROW(),FALSE)</f>
        <v>0</v>
      </c>
    </row>
    <row r="568" spans="3:3" x14ac:dyDescent="0.25">
      <c r="C568" s="4">
        <f>HLOOKUP('Getting Started'!H$2,D:E,ROW(),FALSE)</f>
        <v>0</v>
      </c>
    </row>
    <row r="569" spans="3:3" x14ac:dyDescent="0.25">
      <c r="C569" s="4">
        <f>HLOOKUP('Getting Started'!H$2,D:E,ROW(),FALSE)</f>
        <v>0</v>
      </c>
    </row>
    <row r="570" spans="3:3" x14ac:dyDescent="0.25">
      <c r="C570" s="4">
        <f>HLOOKUP('Getting Started'!H$2,D:E,ROW(),FALSE)</f>
        <v>0</v>
      </c>
    </row>
    <row r="571" spans="3:3" x14ac:dyDescent="0.25">
      <c r="C571" s="4">
        <f>HLOOKUP('Getting Started'!H$2,D:E,ROW(),FALSE)</f>
        <v>0</v>
      </c>
    </row>
    <row r="572" spans="3:3" x14ac:dyDescent="0.25">
      <c r="C572" s="4">
        <f>HLOOKUP('Getting Started'!H$2,D:E,ROW(),FALSE)</f>
        <v>0</v>
      </c>
    </row>
    <row r="573" spans="3:3" x14ac:dyDescent="0.25">
      <c r="C573" s="4">
        <f>HLOOKUP('Getting Started'!H$2,D:E,ROW(),FALSE)</f>
        <v>0</v>
      </c>
    </row>
    <row r="574" spans="3:3" x14ac:dyDescent="0.25">
      <c r="C574" s="4">
        <f>HLOOKUP('Getting Started'!H$2,D:E,ROW(),FALSE)</f>
        <v>0</v>
      </c>
    </row>
    <row r="575" spans="3:3" x14ac:dyDescent="0.25">
      <c r="C575" s="4">
        <f>HLOOKUP('Getting Started'!H$2,D:E,ROW(),FALSE)</f>
        <v>0</v>
      </c>
    </row>
    <row r="576" spans="3:3" x14ac:dyDescent="0.25">
      <c r="C576" s="4">
        <f>HLOOKUP('Getting Started'!H$2,D:E,ROW(),FALSE)</f>
        <v>0</v>
      </c>
    </row>
    <row r="577" spans="3:3" x14ac:dyDescent="0.25">
      <c r="C577" s="4">
        <f>HLOOKUP('Getting Started'!H$2,D:E,ROW(),FALSE)</f>
        <v>0</v>
      </c>
    </row>
    <row r="578" spans="3:3" x14ac:dyDescent="0.25">
      <c r="C578" s="4">
        <f>HLOOKUP('Getting Started'!H$2,D:E,ROW(),FALSE)</f>
        <v>0</v>
      </c>
    </row>
    <row r="579" spans="3:3" x14ac:dyDescent="0.25">
      <c r="C579" s="4">
        <f>HLOOKUP('Getting Started'!H$2,D:E,ROW(),FALSE)</f>
        <v>0</v>
      </c>
    </row>
    <row r="580" spans="3:3" x14ac:dyDescent="0.25">
      <c r="C580" s="4">
        <f>HLOOKUP('Getting Started'!H$2,D:E,ROW(),FALSE)</f>
        <v>0</v>
      </c>
    </row>
    <row r="581" spans="3:3" x14ac:dyDescent="0.25">
      <c r="C581" s="4">
        <f>HLOOKUP('Getting Started'!H$2,D:E,ROW(),FALSE)</f>
        <v>0</v>
      </c>
    </row>
    <row r="582" spans="3:3" x14ac:dyDescent="0.25">
      <c r="C582" s="4">
        <f>HLOOKUP('Getting Started'!H$2,D:E,ROW(),FALSE)</f>
        <v>0</v>
      </c>
    </row>
    <row r="583" spans="3:3" x14ac:dyDescent="0.25">
      <c r="C583" s="4">
        <f>HLOOKUP('Getting Started'!H$2,D:E,ROW(),FALSE)</f>
        <v>0</v>
      </c>
    </row>
    <row r="584" spans="3:3" x14ac:dyDescent="0.25">
      <c r="C584" s="4">
        <f>HLOOKUP('Getting Started'!H$2,D:E,ROW(),FALSE)</f>
        <v>0</v>
      </c>
    </row>
    <row r="585" spans="3:3" x14ac:dyDescent="0.25">
      <c r="C585" s="4">
        <f>HLOOKUP('Getting Started'!H$2,D:E,ROW(),FALSE)</f>
        <v>0</v>
      </c>
    </row>
    <row r="586" spans="3:3" x14ac:dyDescent="0.25">
      <c r="C586" s="4">
        <f>HLOOKUP('Getting Started'!H$2,D:E,ROW(),FALSE)</f>
        <v>0</v>
      </c>
    </row>
    <row r="587" spans="3:3" x14ac:dyDescent="0.25">
      <c r="C587" s="4">
        <f>HLOOKUP('Getting Started'!H$2,D:E,ROW(),FALSE)</f>
        <v>0</v>
      </c>
    </row>
    <row r="588" spans="3:3" x14ac:dyDescent="0.25">
      <c r="C588" s="4">
        <f>HLOOKUP('Getting Started'!H$2,D:E,ROW(),FALSE)</f>
        <v>0</v>
      </c>
    </row>
    <row r="589" spans="3:3" x14ac:dyDescent="0.25">
      <c r="C589" s="4">
        <f>HLOOKUP('Getting Started'!H$2,D:E,ROW(),FALSE)</f>
        <v>0</v>
      </c>
    </row>
    <row r="590" spans="3:3" x14ac:dyDescent="0.25">
      <c r="C590" s="4">
        <f>HLOOKUP('Getting Started'!H$2,D:E,ROW(),FALSE)</f>
        <v>0</v>
      </c>
    </row>
    <row r="591" spans="3:3" x14ac:dyDescent="0.25">
      <c r="C591" s="4">
        <f>HLOOKUP('Getting Started'!H$2,D:E,ROW(),FALSE)</f>
        <v>0</v>
      </c>
    </row>
    <row r="592" spans="3:3" x14ac:dyDescent="0.25">
      <c r="C592" s="4">
        <f>HLOOKUP('Getting Started'!H$2,D:E,ROW(),FALSE)</f>
        <v>0</v>
      </c>
    </row>
    <row r="593" spans="3:3" x14ac:dyDescent="0.25">
      <c r="C593" s="4">
        <f>HLOOKUP('Getting Started'!H$2,D:E,ROW(),FALSE)</f>
        <v>0</v>
      </c>
    </row>
    <row r="594" spans="3:3" x14ac:dyDescent="0.25">
      <c r="C594" s="4">
        <f>HLOOKUP('Getting Started'!H$2,D:E,ROW(),FALSE)</f>
        <v>0</v>
      </c>
    </row>
    <row r="595" spans="3:3" x14ac:dyDescent="0.25">
      <c r="C595" s="4">
        <f>HLOOKUP('Getting Started'!H$2,D:E,ROW(),FALSE)</f>
        <v>0</v>
      </c>
    </row>
    <row r="596" spans="3:3" x14ac:dyDescent="0.25">
      <c r="C596" s="4">
        <f>HLOOKUP('Getting Started'!H$2,D:E,ROW(),FALSE)</f>
        <v>0</v>
      </c>
    </row>
    <row r="597" spans="3:3" x14ac:dyDescent="0.25">
      <c r="C597" s="4">
        <f>HLOOKUP('Getting Started'!H$2,D:E,ROW(),FALSE)</f>
        <v>0</v>
      </c>
    </row>
    <row r="598" spans="3:3" x14ac:dyDescent="0.25">
      <c r="C598" s="4">
        <f>HLOOKUP('Getting Started'!H$2,D:E,ROW(),FALSE)</f>
        <v>0</v>
      </c>
    </row>
    <row r="599" spans="3:3" x14ac:dyDescent="0.25">
      <c r="C599" s="4">
        <f>HLOOKUP('Getting Started'!H$2,D:E,ROW(),FALSE)</f>
        <v>0</v>
      </c>
    </row>
    <row r="600" spans="3:3" x14ac:dyDescent="0.25">
      <c r="C600" s="4">
        <f>HLOOKUP('Getting Started'!H$2,D:E,ROW(),FALSE)</f>
        <v>0</v>
      </c>
    </row>
    <row r="601" spans="3:3" x14ac:dyDescent="0.25">
      <c r="C601" s="4">
        <f>HLOOKUP('Getting Started'!H$2,D:E,ROW(),FALSE)</f>
        <v>0</v>
      </c>
    </row>
    <row r="602" spans="3:3" x14ac:dyDescent="0.25">
      <c r="C602" s="4">
        <f>HLOOKUP('Getting Started'!H$2,D:E,ROW(),FALSE)</f>
        <v>0</v>
      </c>
    </row>
    <row r="603" spans="3:3" x14ac:dyDescent="0.25">
      <c r="C603" s="4">
        <f>HLOOKUP('Getting Started'!H$2,D:E,ROW(),FALSE)</f>
        <v>0</v>
      </c>
    </row>
    <row r="604" spans="3:3" x14ac:dyDescent="0.25">
      <c r="C604" s="4">
        <f>HLOOKUP('Getting Started'!H$2,D:E,ROW(),FALSE)</f>
        <v>0</v>
      </c>
    </row>
    <row r="605" spans="3:3" x14ac:dyDescent="0.25">
      <c r="C605" s="4">
        <f>HLOOKUP('Getting Started'!H$2,D:E,ROW(),FALSE)</f>
        <v>0</v>
      </c>
    </row>
    <row r="606" spans="3:3" x14ac:dyDescent="0.25">
      <c r="C606" s="4">
        <f>HLOOKUP('Getting Started'!H$2,D:E,ROW(),FALSE)</f>
        <v>0</v>
      </c>
    </row>
    <row r="607" spans="3:3" x14ac:dyDescent="0.25">
      <c r="C607" s="4">
        <f>HLOOKUP('Getting Started'!H$2,D:E,ROW(),FALSE)</f>
        <v>0</v>
      </c>
    </row>
    <row r="608" spans="3:3" x14ac:dyDescent="0.25">
      <c r="C608" s="4">
        <f>HLOOKUP('Getting Started'!H$2,D:E,ROW(),FALSE)</f>
        <v>0</v>
      </c>
    </row>
    <row r="609" spans="3:3" x14ac:dyDescent="0.25">
      <c r="C609" s="4">
        <f>HLOOKUP('Getting Started'!H$2,D:E,ROW(),FALSE)</f>
        <v>0</v>
      </c>
    </row>
    <row r="610" spans="3:3" x14ac:dyDescent="0.25">
      <c r="C610" s="4">
        <f>HLOOKUP('Getting Started'!H$2,D:E,ROW(),FALSE)</f>
        <v>0</v>
      </c>
    </row>
    <row r="611" spans="3:3" x14ac:dyDescent="0.25">
      <c r="C611" s="4">
        <f>HLOOKUP('Getting Started'!H$2,D:E,ROW(),FALSE)</f>
        <v>0</v>
      </c>
    </row>
    <row r="612" spans="3:3" x14ac:dyDescent="0.25">
      <c r="C612" s="4">
        <f>HLOOKUP('Getting Started'!H$2,D:E,ROW(),FALSE)</f>
        <v>0</v>
      </c>
    </row>
    <row r="613" spans="3:3" x14ac:dyDescent="0.25">
      <c r="C613" s="4">
        <f>HLOOKUP('Getting Started'!H$2,D:E,ROW(),FALSE)</f>
        <v>0</v>
      </c>
    </row>
    <row r="614" spans="3:3" x14ac:dyDescent="0.25">
      <c r="C614" s="4">
        <f>HLOOKUP('Getting Started'!H$2,D:E,ROW(),FALSE)</f>
        <v>0</v>
      </c>
    </row>
    <row r="615" spans="3:3" x14ac:dyDescent="0.25">
      <c r="C615" s="4">
        <f>HLOOKUP('Getting Started'!H$2,D:E,ROW(),FALSE)</f>
        <v>0</v>
      </c>
    </row>
    <row r="616" spans="3:3" x14ac:dyDescent="0.25">
      <c r="C616" s="4">
        <f>HLOOKUP('Getting Started'!H$2,D:E,ROW(),FALSE)</f>
        <v>0</v>
      </c>
    </row>
    <row r="617" spans="3:3" x14ac:dyDescent="0.25">
      <c r="C617" s="4">
        <f>HLOOKUP('Getting Started'!H$2,D:E,ROW(),FALSE)</f>
        <v>0</v>
      </c>
    </row>
    <row r="618" spans="3:3" x14ac:dyDescent="0.25">
      <c r="C618" s="4">
        <f>HLOOKUP('Getting Started'!H$2,D:E,ROW(),FALSE)</f>
        <v>0</v>
      </c>
    </row>
    <row r="619" spans="3:3" x14ac:dyDescent="0.25">
      <c r="C619" s="4">
        <f>HLOOKUP('Getting Started'!H$2,D:E,ROW(),FALSE)</f>
        <v>0</v>
      </c>
    </row>
    <row r="620" spans="3:3" x14ac:dyDescent="0.25">
      <c r="C620" s="4">
        <f>HLOOKUP('Getting Started'!H$2,D:E,ROW(),FALSE)</f>
        <v>0</v>
      </c>
    </row>
    <row r="621" spans="3:3" x14ac:dyDescent="0.25">
      <c r="C621" s="4">
        <f>HLOOKUP('Getting Started'!H$2,D:E,ROW(),FALSE)</f>
        <v>0</v>
      </c>
    </row>
    <row r="622" spans="3:3" x14ac:dyDescent="0.25">
      <c r="C622" s="4">
        <f>HLOOKUP('Getting Started'!H$2,D:E,ROW(),FALSE)</f>
        <v>0</v>
      </c>
    </row>
    <row r="623" spans="3:3" x14ac:dyDescent="0.25">
      <c r="C623" s="4">
        <f>HLOOKUP('Getting Started'!H$2,D:E,ROW(),FALSE)</f>
        <v>0</v>
      </c>
    </row>
    <row r="624" spans="3:3" x14ac:dyDescent="0.25">
      <c r="C624" s="4">
        <f>HLOOKUP('Getting Started'!H$2,D:E,ROW(),FALSE)</f>
        <v>0</v>
      </c>
    </row>
    <row r="625" spans="3:3" x14ac:dyDescent="0.25">
      <c r="C625" s="4">
        <f>HLOOKUP('Getting Started'!H$2,D:E,ROW(),FALSE)</f>
        <v>0</v>
      </c>
    </row>
    <row r="626" spans="3:3" x14ac:dyDescent="0.25">
      <c r="C626" s="4">
        <f>HLOOKUP('Getting Started'!H$2,D:E,ROW(),FALSE)</f>
        <v>0</v>
      </c>
    </row>
    <row r="627" spans="3:3" x14ac:dyDescent="0.25">
      <c r="C627" s="4">
        <f>HLOOKUP('Getting Started'!H$2,D:E,ROW(),FALSE)</f>
        <v>0</v>
      </c>
    </row>
    <row r="628" spans="3:3" x14ac:dyDescent="0.25">
      <c r="C628" s="4">
        <f>HLOOKUP('Getting Started'!H$2,D:E,ROW(),FALSE)</f>
        <v>0</v>
      </c>
    </row>
    <row r="629" spans="3:3" x14ac:dyDescent="0.25">
      <c r="C629" s="4">
        <f>HLOOKUP('Getting Started'!H$2,D:E,ROW(),FALSE)</f>
        <v>0</v>
      </c>
    </row>
    <row r="630" spans="3:3" x14ac:dyDescent="0.25">
      <c r="C630" s="4">
        <f>HLOOKUP('Getting Started'!H$2,D:E,ROW(),FALSE)</f>
        <v>0</v>
      </c>
    </row>
    <row r="631" spans="3:3" x14ac:dyDescent="0.25">
      <c r="C631" s="4">
        <f>HLOOKUP('Getting Started'!H$2,D:E,ROW(),FALSE)</f>
        <v>0</v>
      </c>
    </row>
    <row r="632" spans="3:3" x14ac:dyDescent="0.25">
      <c r="C632" s="4">
        <f>HLOOKUP('Getting Started'!H$2,D:E,ROW(),FALSE)</f>
        <v>0</v>
      </c>
    </row>
    <row r="633" spans="3:3" x14ac:dyDescent="0.25">
      <c r="C633" s="4">
        <f>HLOOKUP('Getting Started'!H$2,D:E,ROW(),FALSE)</f>
        <v>0</v>
      </c>
    </row>
    <row r="634" spans="3:3" x14ac:dyDescent="0.25">
      <c r="C634" s="4">
        <f>HLOOKUP('Getting Started'!H$2,D:E,ROW(),FALSE)</f>
        <v>0</v>
      </c>
    </row>
    <row r="635" spans="3:3" x14ac:dyDescent="0.25">
      <c r="C635" s="4">
        <f>HLOOKUP('Getting Started'!H$2,D:E,ROW(),FALSE)</f>
        <v>0</v>
      </c>
    </row>
    <row r="636" spans="3:3" x14ac:dyDescent="0.25">
      <c r="C636" s="4">
        <f>HLOOKUP('Getting Started'!H$2,D:E,ROW(),FALSE)</f>
        <v>0</v>
      </c>
    </row>
    <row r="637" spans="3:3" x14ac:dyDescent="0.25">
      <c r="C637" s="4">
        <f>HLOOKUP('Getting Started'!H$2,D:E,ROW(),FALSE)</f>
        <v>0</v>
      </c>
    </row>
    <row r="638" spans="3:3" x14ac:dyDescent="0.25">
      <c r="C638" s="4">
        <f>HLOOKUP('Getting Started'!H$2,D:E,ROW(),FALSE)</f>
        <v>0</v>
      </c>
    </row>
    <row r="639" spans="3:3" x14ac:dyDescent="0.25">
      <c r="C639" s="4">
        <f>HLOOKUP('Getting Started'!H$2,D:E,ROW(),FALSE)</f>
        <v>0</v>
      </c>
    </row>
    <row r="640" spans="3:3" x14ac:dyDescent="0.25">
      <c r="C640" s="4">
        <f>HLOOKUP('Getting Started'!H$2,D:E,ROW(),FALSE)</f>
        <v>0</v>
      </c>
    </row>
    <row r="641" spans="3:3" x14ac:dyDescent="0.25">
      <c r="C641" s="4">
        <f>HLOOKUP('Getting Started'!H$2,D:E,ROW(),FALSE)</f>
        <v>0</v>
      </c>
    </row>
    <row r="642" spans="3:3" x14ac:dyDescent="0.25">
      <c r="C642" s="4">
        <f>HLOOKUP('Getting Started'!H$2,D:E,ROW(),FALSE)</f>
        <v>0</v>
      </c>
    </row>
    <row r="643" spans="3:3" x14ac:dyDescent="0.25">
      <c r="C643" s="4">
        <f>HLOOKUP('Getting Started'!H$2,D:E,ROW(),FALSE)</f>
        <v>0</v>
      </c>
    </row>
    <row r="644" spans="3:3" x14ac:dyDescent="0.25">
      <c r="C644" s="4">
        <f>HLOOKUP('Getting Started'!H$2,D:E,ROW(),FALSE)</f>
        <v>0</v>
      </c>
    </row>
    <row r="645" spans="3:3" x14ac:dyDescent="0.25">
      <c r="C645" s="4">
        <f>HLOOKUP('Getting Started'!H$2,D:E,ROW(),FALSE)</f>
        <v>0</v>
      </c>
    </row>
    <row r="646" spans="3:3" x14ac:dyDescent="0.25">
      <c r="C646" s="4">
        <f>HLOOKUP('Getting Started'!H$2,D:E,ROW(),FALSE)</f>
        <v>0</v>
      </c>
    </row>
    <row r="647" spans="3:3" x14ac:dyDescent="0.25">
      <c r="C647" s="4">
        <f>HLOOKUP('Getting Started'!H$2,D:E,ROW(),FALSE)</f>
        <v>0</v>
      </c>
    </row>
    <row r="648" spans="3:3" ht="30" x14ac:dyDescent="0.25">
      <c r="C648" s="4">
        <f>HLOOKUP('Getting Started'!H$2,D:E,ROW(),FALSE)</f>
        <v>0</v>
      </c>
    </row>
    <row r="649" spans="3:3" x14ac:dyDescent="0.25">
      <c r="C649" s="4">
        <f>HLOOKUP('Getting Started'!H$2,D:E,ROW(),FALSE)</f>
        <v>0</v>
      </c>
    </row>
    <row r="650" spans="3:3" x14ac:dyDescent="0.25">
      <c r="C650" s="4">
        <f>HLOOKUP('Getting Started'!H$2,D:E,ROW(),FALSE)</f>
        <v>0</v>
      </c>
    </row>
    <row r="651" spans="3:3" x14ac:dyDescent="0.25">
      <c r="C651" s="4">
        <f>HLOOKUP('Getting Started'!H$2,D:E,ROW(),FALSE)</f>
        <v>0</v>
      </c>
    </row>
    <row r="652" spans="3:3" x14ac:dyDescent="0.25">
      <c r="C652" s="4">
        <f>HLOOKUP('Getting Started'!H$2,D:E,ROW(),FALSE)</f>
        <v>0</v>
      </c>
    </row>
    <row r="653" spans="3:3" x14ac:dyDescent="0.25">
      <c r="C653" s="4">
        <f>HLOOKUP('Getting Started'!H$2,D:E,ROW(),FALSE)</f>
        <v>0</v>
      </c>
    </row>
    <row r="654" spans="3:3" x14ac:dyDescent="0.25">
      <c r="C654" s="4">
        <f>HLOOKUP('Getting Started'!H$2,D:E,ROW(),FALSE)</f>
        <v>0</v>
      </c>
    </row>
    <row r="655" spans="3:3" x14ac:dyDescent="0.25">
      <c r="C655" s="4">
        <f>HLOOKUP('Getting Started'!H$2,D:E,ROW(),FALSE)</f>
        <v>0</v>
      </c>
    </row>
    <row r="656" spans="3:3" x14ac:dyDescent="0.25">
      <c r="C656" s="4">
        <f>HLOOKUP('Getting Started'!H$2,D:E,ROW(),FALSE)</f>
        <v>0</v>
      </c>
    </row>
    <row r="657" spans="3:3" x14ac:dyDescent="0.25">
      <c r="C657" s="4">
        <f>HLOOKUP('Getting Started'!H$2,D:E,ROW(),FALSE)</f>
        <v>0</v>
      </c>
    </row>
    <row r="658" spans="3:3" x14ac:dyDescent="0.25">
      <c r="C658" s="4">
        <f>HLOOKUP('Getting Started'!H$2,D:E,ROW(),FALSE)</f>
        <v>0</v>
      </c>
    </row>
    <row r="659" spans="3:3" x14ac:dyDescent="0.25">
      <c r="C659" s="4">
        <f>HLOOKUP('Getting Started'!H$2,D:E,ROW(),FALSE)</f>
        <v>0</v>
      </c>
    </row>
    <row r="660" spans="3:3" x14ac:dyDescent="0.25">
      <c r="C660" s="4">
        <f>HLOOKUP('Getting Started'!H$2,D:E,ROW(),FALSE)</f>
        <v>0</v>
      </c>
    </row>
    <row r="661" spans="3:3" x14ac:dyDescent="0.25">
      <c r="C661" s="4">
        <f>HLOOKUP('Getting Started'!H$2,D:E,ROW(),FALSE)</f>
        <v>0</v>
      </c>
    </row>
    <row r="662" spans="3:3" x14ac:dyDescent="0.25">
      <c r="C662" s="4">
        <f>HLOOKUP('Getting Started'!H$2,D:E,ROW(),FALSE)</f>
        <v>0</v>
      </c>
    </row>
    <row r="663" spans="3:3" x14ac:dyDescent="0.25">
      <c r="C663" s="4">
        <f>HLOOKUP('Getting Started'!H$2,D:E,ROW(),FALSE)</f>
        <v>0</v>
      </c>
    </row>
    <row r="664" spans="3:3" x14ac:dyDescent="0.25">
      <c r="C664" s="4">
        <f>HLOOKUP('Getting Started'!H$2,D:E,ROW(),FALSE)</f>
        <v>0</v>
      </c>
    </row>
    <row r="665" spans="3:3" x14ac:dyDescent="0.25">
      <c r="C665" s="4">
        <f>HLOOKUP('Getting Started'!H$2,D:E,ROW(),FALSE)</f>
        <v>0</v>
      </c>
    </row>
    <row r="666" spans="3:3" x14ac:dyDescent="0.25">
      <c r="C666" s="4">
        <f>HLOOKUP('Getting Started'!H$2,D:E,ROW(),FALSE)</f>
        <v>0</v>
      </c>
    </row>
    <row r="667" spans="3:3" x14ac:dyDescent="0.25">
      <c r="C667" s="4">
        <f>HLOOKUP('Getting Started'!H$2,D:E,ROW(),FALSE)</f>
        <v>0</v>
      </c>
    </row>
    <row r="668" spans="3:3" x14ac:dyDescent="0.25">
      <c r="C668" s="4">
        <f>HLOOKUP('Getting Started'!H$2,D:E,ROW(),FALSE)</f>
        <v>0</v>
      </c>
    </row>
    <row r="669" spans="3:3" x14ac:dyDescent="0.25">
      <c r="C669" s="4">
        <f>HLOOKUP('Getting Started'!H$2,D:E,ROW(),FALSE)</f>
        <v>0</v>
      </c>
    </row>
    <row r="670" spans="3:3" x14ac:dyDescent="0.25">
      <c r="C670" s="4">
        <f>HLOOKUP('Getting Started'!H$2,D:E,ROW(),FALSE)</f>
        <v>0</v>
      </c>
    </row>
    <row r="671" spans="3:3" x14ac:dyDescent="0.25">
      <c r="C671" s="4">
        <f>HLOOKUP('Getting Started'!H$2,D:E,ROW(),FALSE)</f>
        <v>0</v>
      </c>
    </row>
    <row r="672" spans="3:3" x14ac:dyDescent="0.25">
      <c r="C672" s="4">
        <f>HLOOKUP('Getting Started'!H$2,D:E,ROW(),FALSE)</f>
        <v>0</v>
      </c>
    </row>
    <row r="673" spans="3:3" x14ac:dyDescent="0.25">
      <c r="C673" s="4">
        <f>HLOOKUP('Getting Started'!H$2,D:E,ROW(),FALSE)</f>
        <v>0</v>
      </c>
    </row>
    <row r="674" spans="3:3" x14ac:dyDescent="0.25">
      <c r="C674" s="4">
        <f>HLOOKUP('Getting Started'!H$2,D:E,ROW(),FALSE)</f>
        <v>0</v>
      </c>
    </row>
    <row r="675" spans="3:3" x14ac:dyDescent="0.25">
      <c r="C675" s="4">
        <f>HLOOKUP('Getting Started'!H$2,D:E,ROW(),FALSE)</f>
        <v>0</v>
      </c>
    </row>
    <row r="676" spans="3:3" x14ac:dyDescent="0.25">
      <c r="C676" s="4">
        <f>HLOOKUP('Getting Started'!H$2,D:E,ROW(),FALSE)</f>
        <v>0</v>
      </c>
    </row>
    <row r="677" spans="3:3" x14ac:dyDescent="0.25">
      <c r="C677" s="4">
        <f>HLOOKUP('Getting Started'!H$2,D:E,ROW(),FALSE)</f>
        <v>0</v>
      </c>
    </row>
    <row r="678" spans="3:3" x14ac:dyDescent="0.25">
      <c r="C678" s="4">
        <f>HLOOKUP('Getting Started'!H$2,D:E,ROW(),FALSE)</f>
        <v>0</v>
      </c>
    </row>
    <row r="679" spans="3:3" x14ac:dyDescent="0.25">
      <c r="C679" s="4">
        <f>HLOOKUP('Getting Started'!H$2,D:E,ROW(),FALSE)</f>
        <v>0</v>
      </c>
    </row>
    <row r="680" spans="3:3" x14ac:dyDescent="0.25">
      <c r="C680" s="4">
        <f>HLOOKUP('Getting Started'!H$2,D:E,ROW(),FALSE)</f>
        <v>0</v>
      </c>
    </row>
    <row r="681" spans="3:3" x14ac:dyDescent="0.25">
      <c r="C681" s="4">
        <f>HLOOKUP('Getting Started'!H$2,D:E,ROW(),FALSE)</f>
        <v>0</v>
      </c>
    </row>
    <row r="682" spans="3:3" x14ac:dyDescent="0.25">
      <c r="C682" s="4">
        <f>HLOOKUP('Getting Started'!H$2,D:E,ROW(),FALSE)</f>
        <v>0</v>
      </c>
    </row>
    <row r="683" spans="3:3" x14ac:dyDescent="0.25">
      <c r="C683" s="4">
        <f>HLOOKUP('Getting Started'!H$2,D:E,ROW(),FALSE)</f>
        <v>0</v>
      </c>
    </row>
    <row r="684" spans="3:3" x14ac:dyDescent="0.25">
      <c r="C684" s="4">
        <f>HLOOKUP('Getting Started'!H$2,D:E,ROW(),FALSE)</f>
        <v>0</v>
      </c>
    </row>
    <row r="685" spans="3:3" x14ac:dyDescent="0.25">
      <c r="C685" s="4">
        <f>HLOOKUP('Getting Started'!H$2,D:E,ROW(),FALSE)</f>
        <v>0</v>
      </c>
    </row>
    <row r="686" spans="3:3" x14ac:dyDescent="0.25">
      <c r="C686" s="4">
        <f>HLOOKUP('Getting Started'!H$2,D:E,ROW(),FALSE)</f>
        <v>0</v>
      </c>
    </row>
    <row r="687" spans="3:3" x14ac:dyDescent="0.25">
      <c r="C687" s="4">
        <f>HLOOKUP('Getting Started'!H$2,D:E,ROW(),FALSE)</f>
        <v>0</v>
      </c>
    </row>
    <row r="688" spans="3:3" x14ac:dyDescent="0.25">
      <c r="C688" s="4">
        <f>HLOOKUP('Getting Started'!H$2,D:E,ROW(),FALSE)</f>
        <v>0</v>
      </c>
    </row>
    <row r="689" spans="3:3" x14ac:dyDescent="0.25">
      <c r="C689" s="4">
        <f>HLOOKUP('Getting Started'!H$2,D:E,ROW(),FALSE)</f>
        <v>0</v>
      </c>
    </row>
    <row r="690" spans="3:3" x14ac:dyDescent="0.25">
      <c r="C690" s="4">
        <f>HLOOKUP('Getting Started'!H$2,D:E,ROW(),FALSE)</f>
        <v>0</v>
      </c>
    </row>
    <row r="691" spans="3:3" x14ac:dyDescent="0.25">
      <c r="C691" s="4">
        <f>HLOOKUP('Getting Started'!H$2,D:E,ROW(),FALSE)</f>
        <v>0</v>
      </c>
    </row>
    <row r="692" spans="3:3" x14ac:dyDescent="0.25">
      <c r="C692" s="4">
        <f>HLOOKUP('Getting Started'!H$2,D:E,ROW(),FALSE)</f>
        <v>0</v>
      </c>
    </row>
    <row r="693" spans="3:3" x14ac:dyDescent="0.25">
      <c r="C693" s="4">
        <f>HLOOKUP('Getting Started'!H$2,D:E,ROW(),FALSE)</f>
        <v>0</v>
      </c>
    </row>
    <row r="694" spans="3:3" x14ac:dyDescent="0.25">
      <c r="C694" s="4">
        <f>HLOOKUP('Getting Started'!H$2,D:E,ROW(),FALSE)</f>
        <v>0</v>
      </c>
    </row>
    <row r="695" spans="3:3" x14ac:dyDescent="0.25">
      <c r="C695" s="4">
        <f>HLOOKUP('Getting Started'!H$2,D:E,ROW(),FALSE)</f>
        <v>0</v>
      </c>
    </row>
    <row r="696" spans="3:3" x14ac:dyDescent="0.25">
      <c r="C696" s="4">
        <f>HLOOKUP('Getting Started'!H$2,D:E,ROW(),FALSE)</f>
        <v>0</v>
      </c>
    </row>
    <row r="697" spans="3:3" x14ac:dyDescent="0.25">
      <c r="C697" s="4">
        <f>HLOOKUP('Getting Started'!H$2,D:E,ROW(),FALSE)</f>
        <v>0</v>
      </c>
    </row>
    <row r="698" spans="3:3" x14ac:dyDescent="0.25">
      <c r="C698" s="4">
        <f>HLOOKUP('Getting Started'!H$2,D:E,ROW(),FALSE)</f>
        <v>0</v>
      </c>
    </row>
    <row r="699" spans="3:3" x14ac:dyDescent="0.25">
      <c r="C699" s="4">
        <f>HLOOKUP('Getting Started'!H$2,D:E,ROW(),FALSE)</f>
        <v>0</v>
      </c>
    </row>
    <row r="700" spans="3:3" x14ac:dyDescent="0.25">
      <c r="C700" s="4">
        <f>HLOOKUP('Getting Started'!H$2,D:E,ROW(),FALSE)</f>
        <v>0</v>
      </c>
    </row>
    <row r="701" spans="3:3" x14ac:dyDescent="0.25">
      <c r="C701" s="4">
        <f>HLOOKUP('Getting Started'!H$2,D:E,ROW(),FALSE)</f>
        <v>0</v>
      </c>
    </row>
    <row r="702" spans="3:3" x14ac:dyDescent="0.25">
      <c r="C702" s="4">
        <f>HLOOKUP('Getting Started'!H$2,D:E,ROW(),FALSE)</f>
        <v>0</v>
      </c>
    </row>
    <row r="703" spans="3:3" x14ac:dyDescent="0.25">
      <c r="C703" s="4">
        <f>HLOOKUP('Getting Started'!H$2,D:E,ROW(),FALSE)</f>
        <v>0</v>
      </c>
    </row>
    <row r="704" spans="3:3" x14ac:dyDescent="0.25">
      <c r="C704" s="4">
        <f>HLOOKUP('Getting Started'!H$2,D:E,ROW(),FALSE)</f>
        <v>0</v>
      </c>
    </row>
    <row r="705" spans="3:3" x14ac:dyDescent="0.25">
      <c r="C705" s="4">
        <f>HLOOKUP('Getting Started'!H$2,D:E,ROW(),FALSE)</f>
        <v>0</v>
      </c>
    </row>
    <row r="706" spans="3:3" x14ac:dyDescent="0.25">
      <c r="C706" s="4">
        <f>HLOOKUP('Getting Started'!H$2,D:E,ROW(),FALSE)</f>
        <v>0</v>
      </c>
    </row>
    <row r="707" spans="3:3" x14ac:dyDescent="0.25">
      <c r="C707" s="4">
        <f>HLOOKUP('Getting Started'!H$2,D:E,ROW(),FALSE)</f>
        <v>0</v>
      </c>
    </row>
    <row r="708" spans="3:3" x14ac:dyDescent="0.25">
      <c r="C708" s="4">
        <f>HLOOKUP('Getting Started'!H$2,D:E,ROW(),FALSE)</f>
        <v>0</v>
      </c>
    </row>
    <row r="709" spans="3:3" x14ac:dyDescent="0.25">
      <c r="C709" s="4">
        <f>HLOOKUP('Getting Started'!H$2,D:E,ROW(),FALSE)</f>
        <v>0</v>
      </c>
    </row>
    <row r="710" spans="3:3" x14ac:dyDescent="0.25">
      <c r="C710" s="4">
        <f>HLOOKUP('Getting Started'!H$2,D:E,ROW(),FALSE)</f>
        <v>0</v>
      </c>
    </row>
    <row r="711" spans="3:3" x14ac:dyDescent="0.25">
      <c r="C711" s="4">
        <f>HLOOKUP('Getting Started'!H$2,D:E,ROW(),FALSE)</f>
        <v>0</v>
      </c>
    </row>
    <row r="712" spans="3:3" x14ac:dyDescent="0.25">
      <c r="C712" s="4">
        <f>HLOOKUP('Getting Started'!H$2,D:E,ROW(),FALSE)</f>
        <v>0</v>
      </c>
    </row>
    <row r="713" spans="3:3" x14ac:dyDescent="0.25">
      <c r="C713" s="4">
        <f>HLOOKUP('Getting Started'!H$2,D:E,ROW(),FALSE)</f>
        <v>0</v>
      </c>
    </row>
    <row r="714" spans="3:3" x14ac:dyDescent="0.25">
      <c r="C714" s="4">
        <f>HLOOKUP('Getting Started'!H$2,D:E,ROW(),FALSE)</f>
        <v>0</v>
      </c>
    </row>
    <row r="715" spans="3:3" x14ac:dyDescent="0.25">
      <c r="C715" s="4">
        <f>HLOOKUP('Getting Started'!H$2,D:E,ROW(),FALSE)</f>
        <v>0</v>
      </c>
    </row>
    <row r="716" spans="3:3" x14ac:dyDescent="0.25">
      <c r="C716" s="4">
        <f>HLOOKUP('Getting Started'!H$2,D:E,ROW(),FALSE)</f>
        <v>0</v>
      </c>
    </row>
    <row r="717" spans="3:3" x14ac:dyDescent="0.25">
      <c r="C717" s="4">
        <f>HLOOKUP('Getting Started'!H$2,D:E,ROW(),FALSE)</f>
        <v>0</v>
      </c>
    </row>
    <row r="718" spans="3:3" x14ac:dyDescent="0.25">
      <c r="C718" s="4">
        <f>HLOOKUP('Getting Started'!H$2,D:E,ROW(),FALSE)</f>
        <v>0</v>
      </c>
    </row>
    <row r="719" spans="3:3" x14ac:dyDescent="0.25">
      <c r="C719" s="4">
        <f>HLOOKUP('Getting Started'!H$2,D:E,ROW(),FALSE)</f>
        <v>0</v>
      </c>
    </row>
    <row r="720" spans="3:3" x14ac:dyDescent="0.25">
      <c r="C720" s="4">
        <f>HLOOKUP('Getting Started'!H$2,D:E,ROW(),FALSE)</f>
        <v>0</v>
      </c>
    </row>
    <row r="721" spans="3:3" x14ac:dyDescent="0.25">
      <c r="C721" s="4">
        <f>HLOOKUP('Getting Started'!H$2,D:E,ROW(),FALSE)</f>
        <v>0</v>
      </c>
    </row>
    <row r="722" spans="3:3" x14ac:dyDescent="0.25">
      <c r="C722" s="4">
        <f>HLOOKUP('Getting Started'!H$2,D:E,ROW(),FALSE)</f>
        <v>0</v>
      </c>
    </row>
    <row r="723" spans="3:3" x14ac:dyDescent="0.25">
      <c r="C723" s="4">
        <f>HLOOKUP('Getting Started'!H$2,D:E,ROW(),FALSE)</f>
        <v>0</v>
      </c>
    </row>
    <row r="724" spans="3:3" x14ac:dyDescent="0.25">
      <c r="C724" s="4">
        <f>HLOOKUP('Getting Started'!H$2,D:E,ROW(),FALSE)</f>
        <v>0</v>
      </c>
    </row>
    <row r="725" spans="3:3" ht="30" x14ac:dyDescent="0.25">
      <c r="C725" s="4">
        <f>HLOOKUP('Getting Started'!H$2,D:E,ROW(),FALSE)</f>
        <v>0</v>
      </c>
    </row>
    <row r="726" spans="3:3" x14ac:dyDescent="0.25">
      <c r="C726" s="4">
        <f>HLOOKUP('Getting Started'!H$2,D:E,ROW(),FALSE)</f>
        <v>0</v>
      </c>
    </row>
    <row r="727" spans="3:3" x14ac:dyDescent="0.25">
      <c r="C727" s="4">
        <f>HLOOKUP('Getting Started'!H$2,D:E,ROW(),FALSE)</f>
        <v>0</v>
      </c>
    </row>
    <row r="728" spans="3:3" x14ac:dyDescent="0.25">
      <c r="C728" s="4">
        <f>HLOOKUP('Getting Started'!H$2,D:E,ROW(),FALSE)</f>
        <v>0</v>
      </c>
    </row>
    <row r="729" spans="3:3" x14ac:dyDescent="0.25">
      <c r="C729" s="4">
        <f>HLOOKUP('Getting Started'!H$2,D:E,ROW(),FALSE)</f>
        <v>0</v>
      </c>
    </row>
    <row r="730" spans="3:3" x14ac:dyDescent="0.25">
      <c r="C730" s="4">
        <f>HLOOKUP('Getting Started'!H$2,D:E,ROW(),FALSE)</f>
        <v>0</v>
      </c>
    </row>
    <row r="731" spans="3:3" x14ac:dyDescent="0.25">
      <c r="C731" s="4">
        <f>HLOOKUP('Getting Started'!H$2,D:E,ROW(),FALSE)</f>
        <v>0</v>
      </c>
    </row>
    <row r="732" spans="3:3" x14ac:dyDescent="0.25">
      <c r="C732" s="4">
        <f>HLOOKUP('Getting Started'!H$2,D:E,ROW(),FALSE)</f>
        <v>0</v>
      </c>
    </row>
    <row r="733" spans="3:3" x14ac:dyDescent="0.25">
      <c r="C733" s="4">
        <f>HLOOKUP('Getting Started'!H$2,D:E,ROW(),FALSE)</f>
        <v>0</v>
      </c>
    </row>
    <row r="734" spans="3:3" x14ac:dyDescent="0.25">
      <c r="C734" s="4">
        <f>HLOOKUP('Getting Started'!H$2,D:E,ROW(),FALSE)</f>
        <v>0</v>
      </c>
    </row>
    <row r="735" spans="3:3" x14ac:dyDescent="0.25">
      <c r="C735" s="4">
        <f>HLOOKUP('Getting Started'!H$2,D:E,ROW(),FALSE)</f>
        <v>0</v>
      </c>
    </row>
    <row r="736" spans="3:3" x14ac:dyDescent="0.25">
      <c r="C736" s="4">
        <f>HLOOKUP('Getting Started'!H$2,D:E,ROW(),FALSE)</f>
        <v>0</v>
      </c>
    </row>
    <row r="737" spans="3:3" x14ac:dyDescent="0.25">
      <c r="C737" s="4">
        <f>HLOOKUP('Getting Started'!H$2,D:E,ROW(),FALSE)</f>
        <v>0</v>
      </c>
    </row>
    <row r="738" spans="3:3" x14ac:dyDescent="0.25">
      <c r="C738" s="4">
        <f>HLOOKUP('Getting Started'!H$2,D:E,ROW(),FALSE)</f>
        <v>0</v>
      </c>
    </row>
    <row r="739" spans="3:3" x14ac:dyDescent="0.25">
      <c r="C739" s="4">
        <f>HLOOKUP('Getting Started'!H$2,D:E,ROW(),FALSE)</f>
        <v>0</v>
      </c>
    </row>
    <row r="740" spans="3:3" x14ac:dyDescent="0.25">
      <c r="C740" s="4">
        <f>HLOOKUP('Getting Started'!H$2,D:E,ROW(),FALSE)</f>
        <v>0</v>
      </c>
    </row>
    <row r="741" spans="3:3" x14ac:dyDescent="0.25">
      <c r="C741" s="4">
        <f>HLOOKUP('Getting Started'!H$2,D:E,ROW(),FALSE)</f>
        <v>0</v>
      </c>
    </row>
    <row r="742" spans="3:3" x14ac:dyDescent="0.25">
      <c r="C742" s="4">
        <f>HLOOKUP('Getting Started'!H$2,D:E,ROW(),FALSE)</f>
        <v>0</v>
      </c>
    </row>
    <row r="743" spans="3:3" x14ac:dyDescent="0.25">
      <c r="C743" s="4">
        <f>HLOOKUP('Getting Started'!H$2,D:E,ROW(),FALSE)</f>
        <v>0</v>
      </c>
    </row>
    <row r="744" spans="3:3" x14ac:dyDescent="0.25">
      <c r="C744" s="4">
        <f>HLOOKUP('Getting Started'!H$2,D:E,ROW(),FALSE)</f>
        <v>0</v>
      </c>
    </row>
    <row r="745" spans="3:3" x14ac:dyDescent="0.25">
      <c r="C745" s="4">
        <f>HLOOKUP('Getting Started'!H$2,D:E,ROW(),FALSE)</f>
        <v>0</v>
      </c>
    </row>
    <row r="746" spans="3:3" x14ac:dyDescent="0.25">
      <c r="C746" s="4">
        <f>HLOOKUP('Getting Started'!H$2,D:E,ROW(),FALSE)</f>
        <v>0</v>
      </c>
    </row>
    <row r="747" spans="3:3" x14ac:dyDescent="0.25">
      <c r="C747" s="4">
        <f>HLOOKUP('Getting Started'!H$2,D:E,ROW(),FALSE)</f>
        <v>0</v>
      </c>
    </row>
    <row r="748" spans="3:3" x14ac:dyDescent="0.25">
      <c r="C748" s="4">
        <f>HLOOKUP('Getting Started'!H$2,D:E,ROW(),FALSE)</f>
        <v>0</v>
      </c>
    </row>
    <row r="749" spans="3:3" x14ac:dyDescent="0.25">
      <c r="C749" s="4">
        <f>HLOOKUP('Getting Started'!H$2,D:E,ROW(),FALSE)</f>
        <v>0</v>
      </c>
    </row>
    <row r="750" spans="3:3" x14ac:dyDescent="0.25">
      <c r="C750" s="4">
        <f>HLOOKUP('Getting Started'!H$2,D:E,ROW(),FALSE)</f>
        <v>0</v>
      </c>
    </row>
    <row r="751" spans="3:3" x14ac:dyDescent="0.25">
      <c r="C751" s="4">
        <f>HLOOKUP('Getting Started'!H$2,D:E,ROW(),FALSE)</f>
        <v>0</v>
      </c>
    </row>
    <row r="752" spans="3:3" x14ac:dyDescent="0.25">
      <c r="C752" s="4">
        <f>HLOOKUP('Getting Started'!H$2,D:E,ROW(),FALSE)</f>
        <v>0</v>
      </c>
    </row>
    <row r="753" spans="3:3" x14ac:dyDescent="0.25">
      <c r="C753" s="4">
        <f>HLOOKUP('Getting Started'!H$2,D:E,ROW(),FALSE)</f>
        <v>0</v>
      </c>
    </row>
    <row r="754" spans="3:3" x14ac:dyDescent="0.25">
      <c r="C754" s="4">
        <f>HLOOKUP('Getting Started'!H$2,D:E,ROW(),FALSE)</f>
        <v>0</v>
      </c>
    </row>
    <row r="755" spans="3:3" x14ac:dyDescent="0.25">
      <c r="C755" s="4">
        <f>HLOOKUP('Getting Started'!H$2,D:E,ROW(),FALSE)</f>
        <v>0</v>
      </c>
    </row>
    <row r="756" spans="3:3" x14ac:dyDescent="0.25">
      <c r="C756" s="4">
        <f>HLOOKUP('Getting Started'!H$2,D:E,ROW(),FALSE)</f>
        <v>0</v>
      </c>
    </row>
    <row r="757" spans="3:3" x14ac:dyDescent="0.25">
      <c r="C757" s="4">
        <f>HLOOKUP('Getting Started'!H$2,D:E,ROW(),FALSE)</f>
        <v>0</v>
      </c>
    </row>
    <row r="758" spans="3:3" x14ac:dyDescent="0.25">
      <c r="C758" s="4">
        <f>HLOOKUP('Getting Started'!H$2,D:E,ROW(),FALSE)</f>
        <v>0</v>
      </c>
    </row>
    <row r="759" spans="3:3" x14ac:dyDescent="0.25">
      <c r="C759" s="4">
        <f>HLOOKUP('Getting Started'!H$2,D:E,ROW(),FALSE)</f>
        <v>0</v>
      </c>
    </row>
    <row r="760" spans="3:3" x14ac:dyDescent="0.25">
      <c r="C760" s="4">
        <f>HLOOKUP('Getting Started'!H$2,D:E,ROW(),FALSE)</f>
        <v>0</v>
      </c>
    </row>
    <row r="761" spans="3:3" x14ac:dyDescent="0.25">
      <c r="C761" s="4">
        <f>HLOOKUP('Getting Started'!H$2,D:E,ROW(),FALSE)</f>
        <v>0</v>
      </c>
    </row>
    <row r="762" spans="3:3" x14ac:dyDescent="0.25">
      <c r="C762" s="4">
        <f>HLOOKUP('Getting Started'!H$2,D:E,ROW(),FALSE)</f>
        <v>0</v>
      </c>
    </row>
    <row r="763" spans="3:3" x14ac:dyDescent="0.25">
      <c r="C763" s="4">
        <f>HLOOKUP('Getting Started'!H$2,D:E,ROW(),FALSE)</f>
        <v>0</v>
      </c>
    </row>
    <row r="764" spans="3:3" x14ac:dyDescent="0.25">
      <c r="C764" s="4">
        <f>HLOOKUP('Getting Started'!H$2,D:E,ROW(),FALSE)</f>
        <v>0</v>
      </c>
    </row>
    <row r="765" spans="3:3" x14ac:dyDescent="0.25">
      <c r="C765" s="4">
        <f>HLOOKUP('Getting Started'!H$2,D:E,ROW(),FALSE)</f>
        <v>0</v>
      </c>
    </row>
    <row r="766" spans="3:3" x14ac:dyDescent="0.25">
      <c r="C766" s="4">
        <f>HLOOKUP('Getting Started'!H$2,D:E,ROW(),FALSE)</f>
        <v>0</v>
      </c>
    </row>
    <row r="767" spans="3:3" x14ac:dyDescent="0.25">
      <c r="C767" s="4">
        <f>HLOOKUP('Getting Started'!H$2,D:E,ROW(),FALSE)</f>
        <v>0</v>
      </c>
    </row>
    <row r="768" spans="3:3" x14ac:dyDescent="0.25">
      <c r="C768" s="4">
        <f>HLOOKUP('Getting Started'!H$2,D:E,ROW(),FALSE)</f>
        <v>0</v>
      </c>
    </row>
    <row r="769" spans="3:3" x14ac:dyDescent="0.25">
      <c r="C769" s="4">
        <f>HLOOKUP('Getting Started'!H$2,D:E,ROW(),FALSE)</f>
        <v>0</v>
      </c>
    </row>
    <row r="770" spans="3:3" x14ac:dyDescent="0.25">
      <c r="C770" s="4">
        <f>HLOOKUP('Getting Started'!H$2,D:E,ROW(),FALSE)</f>
        <v>0</v>
      </c>
    </row>
    <row r="771" spans="3:3" x14ac:dyDescent="0.25">
      <c r="C771" s="4">
        <f>HLOOKUP('Getting Started'!H$2,D:E,ROW(),FALSE)</f>
        <v>0</v>
      </c>
    </row>
    <row r="772" spans="3:3" x14ac:dyDescent="0.25">
      <c r="C772" s="4">
        <f>HLOOKUP('Getting Started'!H$2,D:E,ROW(),FALSE)</f>
        <v>0</v>
      </c>
    </row>
    <row r="773" spans="3:3" x14ac:dyDescent="0.25">
      <c r="C773" s="4">
        <f>HLOOKUP('Getting Started'!H$2,D:E,ROW(),FALSE)</f>
        <v>0</v>
      </c>
    </row>
    <row r="774" spans="3:3" x14ac:dyDescent="0.25">
      <c r="C774" s="4">
        <f>HLOOKUP('Getting Started'!H$2,D:E,ROW(),FALSE)</f>
        <v>0</v>
      </c>
    </row>
    <row r="775" spans="3:3" x14ac:dyDescent="0.25">
      <c r="C775" s="4">
        <f>HLOOKUP('Getting Started'!H$2,D:E,ROW(),FALSE)</f>
        <v>0</v>
      </c>
    </row>
    <row r="776" spans="3:3" x14ac:dyDescent="0.25">
      <c r="C776" s="4">
        <f>HLOOKUP('Getting Started'!H$2,D:E,ROW(),FALSE)</f>
        <v>0</v>
      </c>
    </row>
    <row r="777" spans="3:3" x14ac:dyDescent="0.25">
      <c r="C777" s="4">
        <f>HLOOKUP('Getting Started'!H$2,D:E,ROW(),FALSE)</f>
        <v>0</v>
      </c>
    </row>
    <row r="778" spans="3:3" x14ac:dyDescent="0.25">
      <c r="C778" s="4">
        <f>HLOOKUP('Getting Started'!H$2,D:E,ROW(),FALSE)</f>
        <v>0</v>
      </c>
    </row>
    <row r="779" spans="3:3" x14ac:dyDescent="0.25">
      <c r="C779" s="4">
        <f>HLOOKUP('Getting Started'!H$2,D:E,ROW(),FALSE)</f>
        <v>0</v>
      </c>
    </row>
    <row r="780" spans="3:3" x14ac:dyDescent="0.25">
      <c r="C780" s="4">
        <f>HLOOKUP('Getting Started'!H$2,D:E,ROW(),FALSE)</f>
        <v>0</v>
      </c>
    </row>
    <row r="781" spans="3:3" x14ac:dyDescent="0.25">
      <c r="C781" s="4">
        <f>HLOOKUP('Getting Started'!H$2,D:E,ROW(),FALSE)</f>
        <v>0</v>
      </c>
    </row>
    <row r="782" spans="3:3" x14ac:dyDescent="0.25">
      <c r="C782" s="4">
        <f>HLOOKUP('Getting Started'!H$2,D:E,ROW(),FALSE)</f>
        <v>0</v>
      </c>
    </row>
    <row r="783" spans="3:3" x14ac:dyDescent="0.25">
      <c r="C783" s="4">
        <f>HLOOKUP('Getting Started'!H$2,D:E,ROW(),FALSE)</f>
        <v>0</v>
      </c>
    </row>
    <row r="784" spans="3:3" x14ac:dyDescent="0.25">
      <c r="C784" s="4">
        <f>HLOOKUP('Getting Started'!H$2,D:E,ROW(),FALSE)</f>
        <v>0</v>
      </c>
    </row>
    <row r="785" spans="3:3" x14ac:dyDescent="0.25">
      <c r="C785" s="4">
        <f>HLOOKUP('Getting Started'!H$2,D:E,ROW(),FALSE)</f>
        <v>0</v>
      </c>
    </row>
    <row r="786" spans="3:3" x14ac:dyDescent="0.25">
      <c r="C786" s="4">
        <f>HLOOKUP('Getting Started'!H$2,D:E,ROW(),FALSE)</f>
        <v>0</v>
      </c>
    </row>
    <row r="787" spans="3:3" x14ac:dyDescent="0.25">
      <c r="C787" s="4">
        <f>HLOOKUP('Getting Started'!H$2,D:E,ROW(),FALSE)</f>
        <v>0</v>
      </c>
    </row>
    <row r="788" spans="3:3" x14ac:dyDescent="0.25">
      <c r="C788" s="4">
        <f>HLOOKUP('Getting Started'!H$2,D:E,ROW(),FALSE)</f>
        <v>0</v>
      </c>
    </row>
    <row r="789" spans="3:3" x14ac:dyDescent="0.25">
      <c r="C789" s="4">
        <f>HLOOKUP('Getting Started'!H$2,D:E,ROW(),FALSE)</f>
        <v>0</v>
      </c>
    </row>
    <row r="790" spans="3:3" x14ac:dyDescent="0.25">
      <c r="C790" s="4">
        <f>HLOOKUP('Getting Started'!H$2,D:E,ROW(),FALSE)</f>
        <v>0</v>
      </c>
    </row>
    <row r="791" spans="3:3" x14ac:dyDescent="0.25">
      <c r="C791" s="4">
        <f>HLOOKUP('Getting Started'!H$2,D:E,ROW(),FALSE)</f>
        <v>0</v>
      </c>
    </row>
    <row r="792" spans="3:3" x14ac:dyDescent="0.25">
      <c r="C792" s="4">
        <f>HLOOKUP('Getting Started'!H$2,D:E,ROW(),FALSE)</f>
        <v>0</v>
      </c>
    </row>
    <row r="793" spans="3:3" x14ac:dyDescent="0.25">
      <c r="C793" s="4">
        <f>HLOOKUP('Getting Started'!H$2,D:E,ROW(),FALSE)</f>
        <v>0</v>
      </c>
    </row>
    <row r="794" spans="3:3" x14ac:dyDescent="0.25">
      <c r="C794" s="4">
        <f>HLOOKUP('Getting Started'!H$2,D:E,ROW(),FALSE)</f>
        <v>0</v>
      </c>
    </row>
    <row r="795" spans="3:3" x14ac:dyDescent="0.25">
      <c r="C795" s="4">
        <f>HLOOKUP('Getting Started'!H$2,D:E,ROW(),FALSE)</f>
        <v>0</v>
      </c>
    </row>
    <row r="796" spans="3:3" x14ac:dyDescent="0.25">
      <c r="C796" s="4">
        <f>HLOOKUP('Getting Started'!H$2,D:E,ROW(),FALSE)</f>
        <v>0</v>
      </c>
    </row>
    <row r="797" spans="3:3" x14ac:dyDescent="0.25">
      <c r="C797" s="4">
        <f>HLOOKUP('Getting Started'!H$2,D:E,ROW(),FALSE)</f>
        <v>0</v>
      </c>
    </row>
    <row r="798" spans="3:3" x14ac:dyDescent="0.25">
      <c r="C798" s="4">
        <f>HLOOKUP('Getting Started'!H$2,D:E,ROW(),FALSE)</f>
        <v>0</v>
      </c>
    </row>
    <row r="799" spans="3:3" x14ac:dyDescent="0.25">
      <c r="C799" s="4">
        <f>HLOOKUP('Getting Started'!H$2,D:E,ROW(),FALSE)</f>
        <v>0</v>
      </c>
    </row>
    <row r="800" spans="3:3" x14ac:dyDescent="0.25">
      <c r="C800" s="4">
        <f>HLOOKUP('Getting Started'!H$2,D:E,ROW(),FALSE)</f>
        <v>0</v>
      </c>
    </row>
    <row r="801" spans="3:3" x14ac:dyDescent="0.25">
      <c r="C801" s="4">
        <f>HLOOKUP('Getting Started'!H$2,D:E,ROW(),FALSE)</f>
        <v>0</v>
      </c>
    </row>
    <row r="802" spans="3:3" x14ac:dyDescent="0.25">
      <c r="C802" s="4">
        <f>HLOOKUP('Getting Started'!H$2,D:E,ROW(),FALSE)</f>
        <v>0</v>
      </c>
    </row>
    <row r="803" spans="3:3" x14ac:dyDescent="0.25">
      <c r="C803" s="4">
        <f>HLOOKUP('Getting Started'!H$2,D:E,ROW(),FALSE)</f>
        <v>0</v>
      </c>
    </row>
    <row r="804" spans="3:3" x14ac:dyDescent="0.25">
      <c r="C804" s="4">
        <f>HLOOKUP('Getting Started'!H$2,D:E,ROW(),FALSE)</f>
        <v>0</v>
      </c>
    </row>
    <row r="805" spans="3:3" x14ac:dyDescent="0.25">
      <c r="C805" s="4">
        <f>HLOOKUP('Getting Started'!H$2,D:E,ROW(),FALSE)</f>
        <v>0</v>
      </c>
    </row>
    <row r="806" spans="3:3" x14ac:dyDescent="0.25">
      <c r="C806" s="4">
        <f>HLOOKUP('Getting Started'!H$2,D:E,ROW(),FALSE)</f>
        <v>0</v>
      </c>
    </row>
    <row r="807" spans="3:3" x14ac:dyDescent="0.25">
      <c r="C807" s="4">
        <f>HLOOKUP('Getting Started'!H$2,D:E,ROW(),FALSE)</f>
        <v>0</v>
      </c>
    </row>
    <row r="808" spans="3:3" x14ac:dyDescent="0.25">
      <c r="C808" s="4">
        <f>HLOOKUP('Getting Started'!H$2,D:E,ROW(),FALSE)</f>
        <v>0</v>
      </c>
    </row>
    <row r="809" spans="3:3" x14ac:dyDescent="0.25">
      <c r="C809" s="4">
        <f>HLOOKUP('Getting Started'!H$2,D:E,ROW(),FALSE)</f>
        <v>0</v>
      </c>
    </row>
    <row r="810" spans="3:3" x14ac:dyDescent="0.25">
      <c r="C810" s="4">
        <f>HLOOKUP('Getting Started'!H$2,D:E,ROW(),FALSE)</f>
        <v>0</v>
      </c>
    </row>
    <row r="811" spans="3:3" x14ac:dyDescent="0.25">
      <c r="C811" s="4">
        <f>HLOOKUP('Getting Started'!H$2,D:E,ROW(),FALSE)</f>
        <v>0</v>
      </c>
    </row>
    <row r="812" spans="3:3" x14ac:dyDescent="0.25">
      <c r="C812" s="4">
        <f>HLOOKUP('Getting Started'!H$2,D:E,ROW(),FALSE)</f>
        <v>0</v>
      </c>
    </row>
    <row r="813" spans="3:3" x14ac:dyDescent="0.25">
      <c r="C813" s="4">
        <f>HLOOKUP('Getting Started'!H$2,D:E,ROW(),FALSE)</f>
        <v>0</v>
      </c>
    </row>
    <row r="814" spans="3:3" x14ac:dyDescent="0.25">
      <c r="C814" s="4">
        <f>HLOOKUP('Getting Started'!H$2,D:E,ROW(),FALSE)</f>
        <v>0</v>
      </c>
    </row>
    <row r="815" spans="3:3" x14ac:dyDescent="0.25">
      <c r="C815" s="4">
        <f>HLOOKUP('Getting Started'!H$2,D:E,ROW(),FALSE)</f>
        <v>0</v>
      </c>
    </row>
    <row r="816" spans="3:3" x14ac:dyDescent="0.25">
      <c r="C816" s="4">
        <f>HLOOKUP('Getting Started'!H$2,D:E,ROW(),FALSE)</f>
        <v>0</v>
      </c>
    </row>
    <row r="817" spans="3:3" x14ac:dyDescent="0.25">
      <c r="C817" s="4">
        <f>HLOOKUP('Getting Started'!H$2,D:E,ROW(),FALSE)</f>
        <v>0</v>
      </c>
    </row>
    <row r="818" spans="3:3" x14ac:dyDescent="0.25">
      <c r="C818" s="4">
        <f>HLOOKUP('Getting Started'!H$2,D:E,ROW(),FALSE)</f>
        <v>0</v>
      </c>
    </row>
    <row r="819" spans="3:3" x14ac:dyDescent="0.25">
      <c r="C819" s="4">
        <f>HLOOKUP('Getting Started'!H$2,D:E,ROW(),FALSE)</f>
        <v>0</v>
      </c>
    </row>
    <row r="820" spans="3:3" x14ac:dyDescent="0.25">
      <c r="C820" s="4">
        <f>HLOOKUP('Getting Started'!H$2,D:E,ROW(),FALSE)</f>
        <v>0</v>
      </c>
    </row>
    <row r="821" spans="3:3" x14ac:dyDescent="0.25">
      <c r="C821" s="4">
        <f>HLOOKUP('Getting Started'!H$2,D:E,ROW(),FALSE)</f>
        <v>0</v>
      </c>
    </row>
    <row r="822" spans="3:3" x14ac:dyDescent="0.25">
      <c r="C822" s="4">
        <f>HLOOKUP('Getting Started'!H$2,D:E,ROW(),FALSE)</f>
        <v>0</v>
      </c>
    </row>
    <row r="823" spans="3:3" x14ac:dyDescent="0.25">
      <c r="C823" s="4">
        <f>HLOOKUP('Getting Started'!H$2,D:E,ROW(),FALSE)</f>
        <v>0</v>
      </c>
    </row>
    <row r="824" spans="3:3" x14ac:dyDescent="0.25">
      <c r="C824" s="4">
        <f>HLOOKUP('Getting Started'!H$2,D:E,ROW(),FALSE)</f>
        <v>0</v>
      </c>
    </row>
    <row r="825" spans="3:3" x14ac:dyDescent="0.25">
      <c r="C825" s="4">
        <f>HLOOKUP('Getting Started'!H$2,D:E,ROW(),FALSE)</f>
        <v>0</v>
      </c>
    </row>
    <row r="826" spans="3:3" x14ac:dyDescent="0.25">
      <c r="C826" s="4">
        <f>HLOOKUP('Getting Started'!H$2,D:E,ROW(),FALSE)</f>
        <v>0</v>
      </c>
    </row>
    <row r="827" spans="3:3" x14ac:dyDescent="0.25">
      <c r="C827" s="4">
        <f>HLOOKUP('Getting Started'!H$2,D:E,ROW(),FALSE)</f>
        <v>0</v>
      </c>
    </row>
    <row r="828" spans="3:3" x14ac:dyDescent="0.25">
      <c r="C828" s="4">
        <f>HLOOKUP('Getting Started'!H$2,D:E,ROW(),FALSE)</f>
        <v>0</v>
      </c>
    </row>
    <row r="829" spans="3:3" x14ac:dyDescent="0.25">
      <c r="C829" s="4">
        <f>HLOOKUP('Getting Started'!H$2,D:E,ROW(),FALSE)</f>
        <v>0</v>
      </c>
    </row>
    <row r="830" spans="3:3" x14ac:dyDescent="0.25">
      <c r="C830" s="4">
        <f>HLOOKUP('Getting Started'!H$2,D:E,ROW(),FALSE)</f>
        <v>0</v>
      </c>
    </row>
    <row r="831" spans="3:3" x14ac:dyDescent="0.25">
      <c r="C831" s="4">
        <f>HLOOKUP('Getting Started'!H$2,D:E,ROW(),FALSE)</f>
        <v>0</v>
      </c>
    </row>
    <row r="832" spans="3:3" x14ac:dyDescent="0.25">
      <c r="C832" s="4">
        <f>HLOOKUP('Getting Started'!H$2,D:E,ROW(),FALSE)</f>
        <v>0</v>
      </c>
    </row>
    <row r="833" spans="3:3" x14ac:dyDescent="0.25">
      <c r="C833" s="4">
        <f>HLOOKUP('Getting Started'!H$2,D:E,ROW(),FALSE)</f>
        <v>0</v>
      </c>
    </row>
    <row r="834" spans="3:3" x14ac:dyDescent="0.25">
      <c r="C834" s="4">
        <f>HLOOKUP('Getting Started'!H$2,D:E,ROW(),FALSE)</f>
        <v>0</v>
      </c>
    </row>
    <row r="835" spans="3:3" x14ac:dyDescent="0.25">
      <c r="C835" s="4">
        <f>HLOOKUP('Getting Started'!H$2,D:E,ROW(),FALSE)</f>
        <v>0</v>
      </c>
    </row>
    <row r="836" spans="3:3" x14ac:dyDescent="0.25">
      <c r="C836" s="4">
        <f>HLOOKUP('Getting Started'!H$2,D:E,ROW(),FALSE)</f>
        <v>0</v>
      </c>
    </row>
    <row r="837" spans="3:3" x14ac:dyDescent="0.25">
      <c r="C837" s="4">
        <f>HLOOKUP('Getting Started'!H$2,D:E,ROW(),FALSE)</f>
        <v>0</v>
      </c>
    </row>
    <row r="838" spans="3:3" x14ac:dyDescent="0.25">
      <c r="C838" s="4">
        <f>HLOOKUP('Getting Started'!H$2,D:E,ROW(),FALSE)</f>
        <v>0</v>
      </c>
    </row>
    <row r="839" spans="3:3" x14ac:dyDescent="0.25">
      <c r="C839" s="4">
        <f>HLOOKUP('Getting Started'!H$2,D:E,ROW(),FALSE)</f>
        <v>0</v>
      </c>
    </row>
    <row r="840" spans="3:3" x14ac:dyDescent="0.25">
      <c r="C840" s="4">
        <f>HLOOKUP('Getting Started'!H$2,D:E,ROW(),FALSE)</f>
        <v>0</v>
      </c>
    </row>
    <row r="841" spans="3:3" x14ac:dyDescent="0.25">
      <c r="C841" s="4">
        <f>HLOOKUP('Getting Started'!H$2,D:E,ROW(),FALSE)</f>
        <v>0</v>
      </c>
    </row>
    <row r="842" spans="3:3" x14ac:dyDescent="0.25">
      <c r="C842" s="4">
        <f>HLOOKUP('Getting Started'!H$2,D:E,ROW(),FALSE)</f>
        <v>0</v>
      </c>
    </row>
    <row r="843" spans="3:3" x14ac:dyDescent="0.25">
      <c r="C843" s="4">
        <f>HLOOKUP('Getting Started'!H$2,D:E,ROW(),FALSE)</f>
        <v>0</v>
      </c>
    </row>
    <row r="844" spans="3:3" x14ac:dyDescent="0.25">
      <c r="C844" s="4">
        <f>HLOOKUP('Getting Started'!H$2,D:E,ROW(),FALSE)</f>
        <v>0</v>
      </c>
    </row>
    <row r="845" spans="3:3" x14ac:dyDescent="0.25">
      <c r="C845" s="4">
        <f>HLOOKUP('Getting Started'!H$2,D:E,ROW(),FALSE)</f>
        <v>0</v>
      </c>
    </row>
    <row r="846" spans="3:3" x14ac:dyDescent="0.25">
      <c r="C846" s="4">
        <f>HLOOKUP('Getting Started'!H$2,D:E,ROW(),FALSE)</f>
        <v>0</v>
      </c>
    </row>
    <row r="847" spans="3:3" x14ac:dyDescent="0.25">
      <c r="C847" s="4">
        <f>HLOOKUP('Getting Started'!H$2,D:E,ROW(),FALSE)</f>
        <v>0</v>
      </c>
    </row>
    <row r="848" spans="3:3" x14ac:dyDescent="0.25">
      <c r="C848" s="4">
        <f>HLOOKUP('Getting Started'!H$2,D:E,ROW(),FALSE)</f>
        <v>0</v>
      </c>
    </row>
    <row r="849" spans="3:3" x14ac:dyDescent="0.25">
      <c r="C849" s="4">
        <f>HLOOKUP('Getting Started'!H$2,D:E,ROW(),FALSE)</f>
        <v>0</v>
      </c>
    </row>
    <row r="850" spans="3:3" x14ac:dyDescent="0.25">
      <c r="C850" s="4">
        <f>HLOOKUP('Getting Started'!H$2,D:E,ROW(),FALSE)</f>
        <v>0</v>
      </c>
    </row>
    <row r="851" spans="3:3" x14ac:dyDescent="0.25">
      <c r="C851" s="4">
        <f>HLOOKUP('Getting Started'!H$2,D:E,ROW(),FALSE)</f>
        <v>0</v>
      </c>
    </row>
    <row r="852" spans="3:3" x14ac:dyDescent="0.25">
      <c r="C852" s="4">
        <f>HLOOKUP('Getting Started'!H$2,D:E,ROW(),FALSE)</f>
        <v>0</v>
      </c>
    </row>
    <row r="853" spans="3:3" x14ac:dyDescent="0.25">
      <c r="C853" s="4">
        <f>HLOOKUP('Getting Started'!H$2,D:E,ROW(),FALSE)</f>
        <v>0</v>
      </c>
    </row>
    <row r="854" spans="3:3" x14ac:dyDescent="0.25">
      <c r="C854" s="4">
        <f>HLOOKUP('Getting Started'!H$2,D:E,ROW(),FALSE)</f>
        <v>0</v>
      </c>
    </row>
    <row r="855" spans="3:3" x14ac:dyDescent="0.25">
      <c r="C855" s="4">
        <f>HLOOKUP('Getting Started'!H$2,D:E,ROW(),FALSE)</f>
        <v>0</v>
      </c>
    </row>
    <row r="856" spans="3:3" x14ac:dyDescent="0.25">
      <c r="C856" s="4">
        <f>HLOOKUP('Getting Started'!H$2,D:E,ROW(),FALSE)</f>
        <v>0</v>
      </c>
    </row>
    <row r="857" spans="3:3" x14ac:dyDescent="0.25">
      <c r="C857" s="4">
        <f>HLOOKUP('Getting Started'!H$2,D:E,ROW(),FALSE)</f>
        <v>0</v>
      </c>
    </row>
    <row r="858" spans="3:3" x14ac:dyDescent="0.25">
      <c r="C858" s="4">
        <f>HLOOKUP('Getting Started'!H$2,D:E,ROW(),FALSE)</f>
        <v>0</v>
      </c>
    </row>
    <row r="859" spans="3:3" x14ac:dyDescent="0.25">
      <c r="C859" s="4">
        <f>HLOOKUP('Getting Started'!H$2,D:E,ROW(),FALSE)</f>
        <v>0</v>
      </c>
    </row>
    <row r="860" spans="3:3" x14ac:dyDescent="0.25">
      <c r="C860" s="4">
        <f>HLOOKUP('Getting Started'!H$2,D:E,ROW(),FALSE)</f>
        <v>0</v>
      </c>
    </row>
    <row r="861" spans="3:3" x14ac:dyDescent="0.25">
      <c r="C861" s="4">
        <f>HLOOKUP('Getting Started'!H$2,D:E,ROW(),FALSE)</f>
        <v>0</v>
      </c>
    </row>
    <row r="862" spans="3:3" x14ac:dyDescent="0.25">
      <c r="C862" s="4">
        <f>HLOOKUP('Getting Started'!H$2,D:E,ROW(),FALSE)</f>
        <v>0</v>
      </c>
    </row>
    <row r="863" spans="3:3" x14ac:dyDescent="0.25">
      <c r="C863" s="4">
        <f>HLOOKUP('Getting Started'!H$2,D:E,ROW(),FALSE)</f>
        <v>0</v>
      </c>
    </row>
    <row r="864" spans="3:3" x14ac:dyDescent="0.25">
      <c r="C864" s="4">
        <f>HLOOKUP('Getting Started'!H$2,D:E,ROW(),FALSE)</f>
        <v>0</v>
      </c>
    </row>
    <row r="865" spans="3:3" x14ac:dyDescent="0.25">
      <c r="C865" s="4">
        <f>HLOOKUP('Getting Started'!H$2,D:E,ROW(),FALSE)</f>
        <v>0</v>
      </c>
    </row>
    <row r="866" spans="3:3" x14ac:dyDescent="0.25">
      <c r="C866" s="4">
        <f>HLOOKUP('Getting Started'!H$2,D:E,ROW(),FALSE)</f>
        <v>0</v>
      </c>
    </row>
    <row r="867" spans="3:3" x14ac:dyDescent="0.25">
      <c r="C867" s="4">
        <f>HLOOKUP('Getting Started'!H$2,D:E,ROW(),FALSE)</f>
        <v>0</v>
      </c>
    </row>
    <row r="868" spans="3:3" x14ac:dyDescent="0.25">
      <c r="C868" s="4">
        <f>HLOOKUP('Getting Started'!H$2,D:E,ROW(),FALSE)</f>
        <v>0</v>
      </c>
    </row>
    <row r="869" spans="3:3" x14ac:dyDescent="0.25">
      <c r="C869" s="4">
        <f>HLOOKUP('Getting Started'!H$2,D:E,ROW(),FALSE)</f>
        <v>0</v>
      </c>
    </row>
    <row r="870" spans="3:3" x14ac:dyDescent="0.25">
      <c r="C870" s="4">
        <f>HLOOKUP('Getting Started'!H$2,D:E,ROW(),FALSE)</f>
        <v>0</v>
      </c>
    </row>
    <row r="871" spans="3:3" x14ac:dyDescent="0.25">
      <c r="C871" s="4">
        <f>HLOOKUP('Getting Started'!H$2,D:E,ROW(),FALSE)</f>
        <v>0</v>
      </c>
    </row>
    <row r="872" spans="3:3" x14ac:dyDescent="0.25">
      <c r="C872" s="4">
        <f>HLOOKUP('Getting Started'!H$2,D:E,ROW(),FALSE)</f>
        <v>0</v>
      </c>
    </row>
    <row r="873" spans="3:3" x14ac:dyDescent="0.25">
      <c r="C873" s="4">
        <f>HLOOKUP('Getting Started'!H$2,D:E,ROW(),FALSE)</f>
        <v>0</v>
      </c>
    </row>
    <row r="874" spans="3:3" x14ac:dyDescent="0.25">
      <c r="C874" s="4">
        <f>HLOOKUP('Getting Started'!H$2,D:E,ROW(),FALSE)</f>
        <v>0</v>
      </c>
    </row>
    <row r="875" spans="3:3" x14ac:dyDescent="0.25">
      <c r="C875" s="4">
        <f>HLOOKUP('Getting Started'!H$2,D:E,ROW(),FALSE)</f>
        <v>0</v>
      </c>
    </row>
    <row r="876" spans="3:3" x14ac:dyDescent="0.25">
      <c r="C876" s="4">
        <f>HLOOKUP('Getting Started'!H$2,D:E,ROW(),FALSE)</f>
        <v>0</v>
      </c>
    </row>
    <row r="877" spans="3:3" x14ac:dyDescent="0.25">
      <c r="C877" s="4">
        <f>HLOOKUP('Getting Started'!H$2,D:E,ROW(),FALSE)</f>
        <v>0</v>
      </c>
    </row>
    <row r="878" spans="3:3" x14ac:dyDescent="0.25">
      <c r="C878" s="4">
        <f>HLOOKUP('Getting Started'!H$2,D:E,ROW(),FALSE)</f>
        <v>0</v>
      </c>
    </row>
    <row r="879" spans="3:3" x14ac:dyDescent="0.25">
      <c r="C879" s="4">
        <f>HLOOKUP('Getting Started'!H$2,D:E,ROW(),FALSE)</f>
        <v>0</v>
      </c>
    </row>
    <row r="880" spans="3:3" x14ac:dyDescent="0.25">
      <c r="C880" s="4">
        <f>HLOOKUP('Getting Started'!H$2,D:E,ROW(),FALSE)</f>
        <v>0</v>
      </c>
    </row>
    <row r="881" spans="3:3" x14ac:dyDescent="0.25">
      <c r="C881" s="4">
        <f>HLOOKUP('Getting Started'!H$2,D:E,ROW(),FALSE)</f>
        <v>0</v>
      </c>
    </row>
    <row r="882" spans="3:3" x14ac:dyDescent="0.25">
      <c r="C882" s="4">
        <f>HLOOKUP('Getting Started'!H$2,D:E,ROW(),FALSE)</f>
        <v>0</v>
      </c>
    </row>
    <row r="883" spans="3:3" x14ac:dyDescent="0.25">
      <c r="C883" s="4">
        <f>HLOOKUP('Getting Started'!H$2,D:E,ROW(),FALSE)</f>
        <v>0</v>
      </c>
    </row>
    <row r="884" spans="3:3" x14ac:dyDescent="0.25">
      <c r="C884" s="4">
        <f>HLOOKUP('Getting Started'!H$2,D:E,ROW(),FALSE)</f>
        <v>0</v>
      </c>
    </row>
    <row r="885" spans="3:3" x14ac:dyDescent="0.25">
      <c r="C885" s="4">
        <f>HLOOKUP('Getting Started'!H$2,D:E,ROW(),FALSE)</f>
        <v>0</v>
      </c>
    </row>
    <row r="886" spans="3:3" x14ac:dyDescent="0.25">
      <c r="C886" s="4">
        <f>HLOOKUP('Getting Started'!H$2,D:E,ROW(),FALSE)</f>
        <v>0</v>
      </c>
    </row>
    <row r="887" spans="3:3" x14ac:dyDescent="0.25">
      <c r="C887" s="4">
        <f>HLOOKUP('Getting Started'!H$2,D:E,ROW(),FALSE)</f>
        <v>0</v>
      </c>
    </row>
    <row r="888" spans="3:3" x14ac:dyDescent="0.25">
      <c r="C888" s="4">
        <f>HLOOKUP('Getting Started'!H$2,D:E,ROW(),FALSE)</f>
        <v>0</v>
      </c>
    </row>
    <row r="889" spans="3:3" x14ac:dyDescent="0.25">
      <c r="C889" s="4">
        <f>HLOOKUP('Getting Started'!H$2,D:E,ROW(),FALSE)</f>
        <v>0</v>
      </c>
    </row>
    <row r="890" spans="3:3" x14ac:dyDescent="0.25">
      <c r="C890" s="4">
        <f>HLOOKUP('Getting Started'!H$2,D:E,ROW(),FALSE)</f>
        <v>0</v>
      </c>
    </row>
    <row r="891" spans="3:3" x14ac:dyDescent="0.25">
      <c r="C891" s="4">
        <f>HLOOKUP('Getting Started'!H$2,D:E,ROW(),FALSE)</f>
        <v>0</v>
      </c>
    </row>
    <row r="892" spans="3:3" x14ac:dyDescent="0.25">
      <c r="C892" s="4">
        <f>HLOOKUP('Getting Started'!H$2,D:E,ROW(),FALSE)</f>
        <v>0</v>
      </c>
    </row>
    <row r="893" spans="3:3" x14ac:dyDescent="0.25">
      <c r="C893" s="4">
        <f>HLOOKUP('Getting Started'!H$2,D:E,ROW(),FALSE)</f>
        <v>0</v>
      </c>
    </row>
    <row r="894" spans="3:3" x14ac:dyDescent="0.25">
      <c r="C894" s="4">
        <f>HLOOKUP('Getting Started'!H$2,D:E,ROW(),FALSE)</f>
        <v>0</v>
      </c>
    </row>
    <row r="895" spans="3:3" x14ac:dyDescent="0.25">
      <c r="C895" s="4">
        <f>HLOOKUP('Getting Started'!H$2,D:E,ROW(),FALSE)</f>
        <v>0</v>
      </c>
    </row>
    <row r="896" spans="3:3" x14ac:dyDescent="0.25">
      <c r="C896" s="4">
        <f>HLOOKUP('Getting Started'!H$2,D:E,ROW(),FALSE)</f>
        <v>0</v>
      </c>
    </row>
    <row r="897" spans="3:3" x14ac:dyDescent="0.25">
      <c r="C897" s="4">
        <f>HLOOKUP('Getting Started'!H$2,D:E,ROW(),FALSE)</f>
        <v>0</v>
      </c>
    </row>
    <row r="898" spans="3:3" x14ac:dyDescent="0.25">
      <c r="C898" s="4">
        <f>HLOOKUP('Getting Started'!H$2,D:E,ROW(),FALSE)</f>
        <v>0</v>
      </c>
    </row>
    <row r="899" spans="3:3" x14ac:dyDescent="0.25">
      <c r="C899" s="4">
        <f>HLOOKUP('Getting Started'!H$2,D:E,ROW(),FALSE)</f>
        <v>0</v>
      </c>
    </row>
    <row r="900" spans="3:3" x14ac:dyDescent="0.25">
      <c r="C900" s="4">
        <f>HLOOKUP('Getting Started'!H$2,D:E,ROW(),FALSE)</f>
        <v>0</v>
      </c>
    </row>
    <row r="901" spans="3:3" x14ac:dyDescent="0.25">
      <c r="C901" s="4">
        <f>HLOOKUP('Getting Started'!H$2,D:E,ROW(),FALSE)</f>
        <v>0</v>
      </c>
    </row>
    <row r="902" spans="3:3" x14ac:dyDescent="0.25">
      <c r="C902" s="4">
        <f>HLOOKUP('Getting Started'!H$2,D:E,ROW(),FALSE)</f>
        <v>0</v>
      </c>
    </row>
    <row r="903" spans="3:3" x14ac:dyDescent="0.25">
      <c r="C903" s="4">
        <f>HLOOKUP('Getting Started'!H$2,D:E,ROW(),FALSE)</f>
        <v>0</v>
      </c>
    </row>
    <row r="904" spans="3:3" x14ac:dyDescent="0.25">
      <c r="C904" s="4">
        <f>HLOOKUP('Getting Started'!H$2,D:E,ROW(),FALSE)</f>
        <v>0</v>
      </c>
    </row>
    <row r="905" spans="3:3" x14ac:dyDescent="0.25">
      <c r="C905" s="4">
        <f>HLOOKUP('Getting Started'!H$2,D:E,ROW(),FALSE)</f>
        <v>0</v>
      </c>
    </row>
    <row r="906" spans="3:3" x14ac:dyDescent="0.25">
      <c r="C906" s="4">
        <f>HLOOKUP('Getting Started'!H$2,D:E,ROW(),FALSE)</f>
        <v>0</v>
      </c>
    </row>
    <row r="907" spans="3:3" x14ac:dyDescent="0.25">
      <c r="C907" s="4">
        <f>HLOOKUP('Getting Started'!H$2,D:E,ROW(),FALSE)</f>
        <v>0</v>
      </c>
    </row>
    <row r="908" spans="3:3" x14ac:dyDescent="0.25">
      <c r="C908" s="4">
        <f>HLOOKUP('Getting Started'!H$2,D:E,ROW(),FALSE)</f>
        <v>0</v>
      </c>
    </row>
    <row r="909" spans="3:3" x14ac:dyDescent="0.25">
      <c r="C909" s="4">
        <f>HLOOKUP('Getting Started'!H$2,D:E,ROW(),FALSE)</f>
        <v>0</v>
      </c>
    </row>
    <row r="910" spans="3:3" x14ac:dyDescent="0.25">
      <c r="C910" s="4">
        <f>HLOOKUP('Getting Started'!H$2,D:E,ROW(),FALSE)</f>
        <v>0</v>
      </c>
    </row>
    <row r="911" spans="3:3" x14ac:dyDescent="0.25">
      <c r="C911" s="4">
        <f>HLOOKUP('Getting Started'!H$2,D:E,ROW(),FALSE)</f>
        <v>0</v>
      </c>
    </row>
    <row r="912" spans="3:3" x14ac:dyDescent="0.25">
      <c r="C912" s="4">
        <f>HLOOKUP('Getting Started'!H$2,D:E,ROW(),FALSE)</f>
        <v>0</v>
      </c>
    </row>
    <row r="913" spans="3:3" x14ac:dyDescent="0.25">
      <c r="C913" s="4">
        <f>HLOOKUP('Getting Started'!H$2,D:E,ROW(),FALSE)</f>
        <v>0</v>
      </c>
    </row>
    <row r="914" spans="3:3" x14ac:dyDescent="0.25">
      <c r="C914" s="4">
        <f>HLOOKUP('Getting Started'!H$2,D:E,ROW(),FALSE)</f>
        <v>0</v>
      </c>
    </row>
    <row r="915" spans="3:3" x14ac:dyDescent="0.25">
      <c r="C915" s="4">
        <f>HLOOKUP('Getting Started'!H$2,D:E,ROW(),FALSE)</f>
        <v>0</v>
      </c>
    </row>
    <row r="916" spans="3:3" x14ac:dyDescent="0.25">
      <c r="C916" s="4">
        <f>HLOOKUP('Getting Started'!H$2,D:E,ROW(),FALSE)</f>
        <v>0</v>
      </c>
    </row>
    <row r="917" spans="3:3" x14ac:dyDescent="0.25">
      <c r="C917" s="4">
        <f>HLOOKUP('Getting Started'!H$2,D:E,ROW(),FALSE)</f>
        <v>0</v>
      </c>
    </row>
    <row r="918" spans="3:3" x14ac:dyDescent="0.25">
      <c r="C918" s="4">
        <f>HLOOKUP('Getting Started'!H$2,D:E,ROW(),FALSE)</f>
        <v>0</v>
      </c>
    </row>
    <row r="919" spans="3:3" x14ac:dyDescent="0.25">
      <c r="C919" s="4">
        <f>HLOOKUP('Getting Started'!H$2,D:E,ROW(),FALSE)</f>
        <v>0</v>
      </c>
    </row>
    <row r="920" spans="3:3" x14ac:dyDescent="0.25">
      <c r="C920" s="4">
        <f>HLOOKUP('Getting Started'!H$2,D:E,ROW(),FALSE)</f>
        <v>0</v>
      </c>
    </row>
    <row r="921" spans="3:3" x14ac:dyDescent="0.25">
      <c r="C921" s="4">
        <f>HLOOKUP('Getting Started'!H$2,D:E,ROW(),FALSE)</f>
        <v>0</v>
      </c>
    </row>
    <row r="922" spans="3:3" x14ac:dyDescent="0.25">
      <c r="C922" s="4">
        <f>HLOOKUP('Getting Started'!H$2,D:E,ROW(),FALSE)</f>
        <v>0</v>
      </c>
    </row>
    <row r="923" spans="3:3" x14ac:dyDescent="0.25">
      <c r="C923" s="4">
        <f>HLOOKUP('Getting Started'!H$2,D:E,ROW(),FALSE)</f>
        <v>0</v>
      </c>
    </row>
    <row r="924" spans="3:3" x14ac:dyDescent="0.25">
      <c r="C924" s="4">
        <f>HLOOKUP('Getting Started'!H$2,D:E,ROW(),FALSE)</f>
        <v>0</v>
      </c>
    </row>
    <row r="925" spans="3:3" x14ac:dyDescent="0.25">
      <c r="C925" s="4">
        <f>HLOOKUP('Getting Started'!H$2,D:E,ROW(),FALSE)</f>
        <v>0</v>
      </c>
    </row>
    <row r="926" spans="3:3" x14ac:dyDescent="0.25">
      <c r="C926" s="4">
        <f>HLOOKUP('Getting Started'!H$2,D:E,ROW(),FALSE)</f>
        <v>0</v>
      </c>
    </row>
    <row r="927" spans="3:3" x14ac:dyDescent="0.25">
      <c r="C927" s="4">
        <f>HLOOKUP('Getting Started'!H$2,D:E,ROW(),FALSE)</f>
        <v>0</v>
      </c>
    </row>
    <row r="928" spans="3:3" x14ac:dyDescent="0.25">
      <c r="C928" s="4">
        <f>HLOOKUP('Getting Started'!H$2,D:E,ROW(),FALSE)</f>
        <v>0</v>
      </c>
    </row>
    <row r="929" spans="3:3" x14ac:dyDescent="0.25">
      <c r="C929" s="4">
        <f>HLOOKUP('Getting Started'!H$2,D:E,ROW(),FALSE)</f>
        <v>0</v>
      </c>
    </row>
    <row r="930" spans="3:3" x14ac:dyDescent="0.25">
      <c r="C930" s="4">
        <f>HLOOKUP('Getting Started'!H$2,D:E,ROW(),FALSE)</f>
        <v>0</v>
      </c>
    </row>
    <row r="931" spans="3:3" x14ac:dyDescent="0.25">
      <c r="C931" s="4">
        <f>HLOOKUP('Getting Started'!H$2,D:E,ROW(),FALSE)</f>
        <v>0</v>
      </c>
    </row>
    <row r="932" spans="3:3" x14ac:dyDescent="0.25">
      <c r="C932" s="4">
        <f>HLOOKUP('Getting Started'!H$2,D:E,ROW(),FALSE)</f>
        <v>0</v>
      </c>
    </row>
    <row r="933" spans="3:3" x14ac:dyDescent="0.25">
      <c r="C933" s="4">
        <f>HLOOKUP('Getting Started'!H$2,D:E,ROW(),FALSE)</f>
        <v>0</v>
      </c>
    </row>
    <row r="934" spans="3:3" x14ac:dyDescent="0.25">
      <c r="C934" s="4">
        <f>HLOOKUP('Getting Started'!H$2,D:E,ROW(),FALSE)</f>
        <v>0</v>
      </c>
    </row>
    <row r="935" spans="3:3" x14ac:dyDescent="0.25">
      <c r="C935" s="4">
        <f>HLOOKUP('Getting Started'!H$2,D:E,ROW(),FALSE)</f>
        <v>0</v>
      </c>
    </row>
    <row r="936" spans="3:3" x14ac:dyDescent="0.25">
      <c r="C936" s="4">
        <f>HLOOKUP('Getting Started'!H$2,D:E,ROW(),FALSE)</f>
        <v>0</v>
      </c>
    </row>
    <row r="937" spans="3:3" x14ac:dyDescent="0.25">
      <c r="C937" s="4">
        <f>HLOOKUP('Getting Started'!H$2,D:E,ROW(),FALSE)</f>
        <v>0</v>
      </c>
    </row>
    <row r="938" spans="3:3" x14ac:dyDescent="0.25">
      <c r="C938" s="4">
        <f>HLOOKUP('Getting Started'!H$2,D:E,ROW(),FALSE)</f>
        <v>0</v>
      </c>
    </row>
    <row r="939" spans="3:3" x14ac:dyDescent="0.25">
      <c r="C939" s="4">
        <f>HLOOKUP('Getting Started'!H$2,D:E,ROW(),FALSE)</f>
        <v>0</v>
      </c>
    </row>
    <row r="940" spans="3:3" x14ac:dyDescent="0.25">
      <c r="C940" s="4">
        <f>HLOOKUP('Getting Started'!H$2,D:E,ROW(),FALSE)</f>
        <v>0</v>
      </c>
    </row>
    <row r="941" spans="3:3" x14ac:dyDescent="0.25">
      <c r="C941" s="4">
        <f>HLOOKUP('Getting Started'!H$2,D:E,ROW(),FALSE)</f>
        <v>0</v>
      </c>
    </row>
    <row r="942" spans="3:3" x14ac:dyDescent="0.25">
      <c r="C942" s="4">
        <f>HLOOKUP('Getting Started'!H$2,D:E,ROW(),FALSE)</f>
        <v>0</v>
      </c>
    </row>
    <row r="943" spans="3:3" x14ac:dyDescent="0.25">
      <c r="C943" s="4">
        <f>HLOOKUP('Getting Started'!H$2,D:E,ROW(),FALSE)</f>
        <v>0</v>
      </c>
    </row>
    <row r="944" spans="3:3" x14ac:dyDescent="0.25">
      <c r="C944" s="4">
        <f>HLOOKUP('Getting Started'!H$2,D:E,ROW(),FALSE)</f>
        <v>0</v>
      </c>
    </row>
    <row r="945" spans="3:3" x14ac:dyDescent="0.25">
      <c r="C945" s="4">
        <f>HLOOKUP('Getting Started'!H$2,D:E,ROW(),FALSE)</f>
        <v>0</v>
      </c>
    </row>
    <row r="946" spans="3:3" x14ac:dyDescent="0.25">
      <c r="C946" s="4">
        <f>HLOOKUP('Getting Started'!H$2,D:E,ROW(),FALSE)</f>
        <v>0</v>
      </c>
    </row>
    <row r="947" spans="3:3" x14ac:dyDescent="0.25">
      <c r="C947" s="4">
        <f>HLOOKUP('Getting Started'!H$2,D:E,ROW(),FALSE)</f>
        <v>0</v>
      </c>
    </row>
    <row r="948" spans="3:3" x14ac:dyDescent="0.25">
      <c r="C948" s="4">
        <f>HLOOKUP('Getting Started'!H$2,D:E,ROW(),FALSE)</f>
        <v>0</v>
      </c>
    </row>
    <row r="949" spans="3:3" x14ac:dyDescent="0.25">
      <c r="C949" s="4">
        <f>HLOOKUP('Getting Started'!H$2,D:E,ROW(),FALSE)</f>
        <v>0</v>
      </c>
    </row>
    <row r="950" spans="3:3" x14ac:dyDescent="0.25">
      <c r="C950" s="4">
        <f>HLOOKUP('Getting Started'!H$2,D:E,ROW(),FALSE)</f>
        <v>0</v>
      </c>
    </row>
    <row r="951" spans="3:3" x14ac:dyDescent="0.25">
      <c r="C951" s="4">
        <f>HLOOKUP('Getting Started'!H$2,D:E,ROW(),FALSE)</f>
        <v>0</v>
      </c>
    </row>
    <row r="952" spans="3:3" x14ac:dyDescent="0.25">
      <c r="C952" s="4">
        <f>HLOOKUP('Getting Started'!H$2,D:E,ROW(),FALSE)</f>
        <v>0</v>
      </c>
    </row>
    <row r="953" spans="3:3" x14ac:dyDescent="0.25">
      <c r="C953" s="4">
        <f>HLOOKUP('Getting Started'!H$2,D:E,ROW(),FALSE)</f>
        <v>0</v>
      </c>
    </row>
    <row r="954" spans="3:3" x14ac:dyDescent="0.25">
      <c r="C954" s="4">
        <f>HLOOKUP('Getting Started'!H$2,D:E,ROW(),FALSE)</f>
        <v>0</v>
      </c>
    </row>
    <row r="955" spans="3:3" x14ac:dyDescent="0.25">
      <c r="C955" s="4">
        <f>HLOOKUP('Getting Started'!H$2,D:E,ROW(),FALSE)</f>
        <v>0</v>
      </c>
    </row>
    <row r="956" spans="3:3" x14ac:dyDescent="0.25">
      <c r="C956" s="4">
        <f>HLOOKUP('Getting Started'!H$2,D:E,ROW(),FALSE)</f>
        <v>0</v>
      </c>
    </row>
    <row r="957" spans="3:3" x14ac:dyDescent="0.25">
      <c r="C957" s="4">
        <f>HLOOKUP('Getting Started'!H$2,D:E,ROW(),FALSE)</f>
        <v>0</v>
      </c>
    </row>
    <row r="958" spans="3:3" x14ac:dyDescent="0.25">
      <c r="C958" s="4">
        <f>HLOOKUP('Getting Started'!H$2,D:E,ROW(),FALSE)</f>
        <v>0</v>
      </c>
    </row>
    <row r="959" spans="3:3" x14ac:dyDescent="0.25">
      <c r="C959" s="4">
        <f>HLOOKUP('Getting Started'!H$2,D:E,ROW(),FALSE)</f>
        <v>0</v>
      </c>
    </row>
    <row r="960" spans="3:3" x14ac:dyDescent="0.25">
      <c r="C960" s="4">
        <f>HLOOKUP('Getting Started'!H$2,D:E,ROW(),FALSE)</f>
        <v>0</v>
      </c>
    </row>
    <row r="961" spans="3:3" x14ac:dyDescent="0.25">
      <c r="C961" s="4">
        <f>HLOOKUP('Getting Started'!H$2,D:E,ROW(),FALSE)</f>
        <v>0</v>
      </c>
    </row>
    <row r="962" spans="3:3" x14ac:dyDescent="0.25">
      <c r="C962" s="4">
        <f>HLOOKUP('Getting Started'!H$2,D:E,ROW(),FALSE)</f>
        <v>0</v>
      </c>
    </row>
    <row r="963" spans="3:3" x14ac:dyDescent="0.25">
      <c r="C963" s="4">
        <f>HLOOKUP('Getting Started'!H$2,D:E,ROW(),FALSE)</f>
        <v>0</v>
      </c>
    </row>
    <row r="964" spans="3:3" x14ac:dyDescent="0.25">
      <c r="C964" s="4">
        <f>HLOOKUP('Getting Started'!H$2,D:E,ROW(),FALSE)</f>
        <v>0</v>
      </c>
    </row>
    <row r="965" spans="3:3" x14ac:dyDescent="0.25">
      <c r="C965" s="4">
        <f>HLOOKUP('Getting Started'!H$2,D:E,ROW(),FALSE)</f>
        <v>0</v>
      </c>
    </row>
    <row r="966" spans="3:3" x14ac:dyDescent="0.25">
      <c r="C966" s="4">
        <f>HLOOKUP('Getting Started'!H$2,D:E,ROW(),FALSE)</f>
        <v>0</v>
      </c>
    </row>
    <row r="967" spans="3:3" x14ac:dyDescent="0.25">
      <c r="C967" s="4">
        <f>HLOOKUP('Getting Started'!H$2,D:E,ROW(),FALSE)</f>
        <v>0</v>
      </c>
    </row>
    <row r="968" spans="3:3" x14ac:dyDescent="0.25">
      <c r="C968" s="4">
        <f>HLOOKUP('Getting Started'!H$2,D:E,ROW(),FALSE)</f>
        <v>0</v>
      </c>
    </row>
    <row r="969" spans="3:3" x14ac:dyDescent="0.25">
      <c r="C969" s="4">
        <f>HLOOKUP('Getting Started'!H$2,D:E,ROW(),FALSE)</f>
        <v>0</v>
      </c>
    </row>
    <row r="970" spans="3:3" x14ac:dyDescent="0.25">
      <c r="C970" s="4">
        <f>HLOOKUP('Getting Started'!H$2,D:E,ROW(),FALSE)</f>
        <v>0</v>
      </c>
    </row>
    <row r="971" spans="3:3" x14ac:dyDescent="0.25">
      <c r="C971" s="4">
        <f>HLOOKUP('Getting Started'!H$2,D:E,ROW(),FALSE)</f>
        <v>0</v>
      </c>
    </row>
    <row r="972" spans="3:3" x14ac:dyDescent="0.25">
      <c r="C972" s="4">
        <f>HLOOKUP('Getting Started'!H$2,D:E,ROW(),FALSE)</f>
        <v>0</v>
      </c>
    </row>
    <row r="973" spans="3:3" x14ac:dyDescent="0.25">
      <c r="C973" s="4">
        <f>HLOOKUP('Getting Started'!H$2,D:E,ROW(),FALSE)</f>
        <v>0</v>
      </c>
    </row>
    <row r="974" spans="3:3" x14ac:dyDescent="0.25">
      <c r="C974" s="4">
        <f>HLOOKUP('Getting Started'!H$2,D:E,ROW(),FALSE)</f>
        <v>0</v>
      </c>
    </row>
    <row r="975" spans="3:3" x14ac:dyDescent="0.25">
      <c r="C975" s="4">
        <f>HLOOKUP('Getting Started'!H$2,D:E,ROW(),FALSE)</f>
        <v>0</v>
      </c>
    </row>
    <row r="976" spans="3:3" x14ac:dyDescent="0.25">
      <c r="C976" s="4">
        <f>HLOOKUP('Getting Started'!H$2,D:E,ROW(),FALSE)</f>
        <v>0</v>
      </c>
    </row>
    <row r="977" spans="3:3" x14ac:dyDescent="0.25">
      <c r="C977" s="4">
        <f>HLOOKUP('Getting Started'!H$2,D:E,ROW(),FALSE)</f>
        <v>0</v>
      </c>
    </row>
    <row r="978" spans="3:3" x14ac:dyDescent="0.25">
      <c r="C978" s="4">
        <f>HLOOKUP('Getting Started'!H$2,D:E,ROW(),FALSE)</f>
        <v>0</v>
      </c>
    </row>
    <row r="979" spans="3:3" x14ac:dyDescent="0.25">
      <c r="C979" s="4">
        <f>HLOOKUP('Getting Started'!H$2,D:E,ROW(),FALSE)</f>
        <v>0</v>
      </c>
    </row>
    <row r="980" spans="3:3" x14ac:dyDescent="0.25">
      <c r="C980" s="4">
        <f>HLOOKUP('Getting Started'!H$2,D:E,ROW(),FALSE)</f>
        <v>0</v>
      </c>
    </row>
    <row r="981" spans="3:3" x14ac:dyDescent="0.25">
      <c r="C981" s="4">
        <f>HLOOKUP('Getting Started'!H$2,D:E,ROW(),FALSE)</f>
        <v>0</v>
      </c>
    </row>
    <row r="982" spans="3:3" x14ac:dyDescent="0.25">
      <c r="C982" s="4">
        <f>HLOOKUP('Getting Started'!H$2,D:E,ROW(),FALSE)</f>
        <v>0</v>
      </c>
    </row>
    <row r="983" spans="3:3" x14ac:dyDescent="0.25">
      <c r="C983" s="4">
        <f>HLOOKUP('Getting Started'!H$2,D:E,ROW(),FALSE)</f>
        <v>0</v>
      </c>
    </row>
    <row r="984" spans="3:3" x14ac:dyDescent="0.25">
      <c r="C984" s="4">
        <f>HLOOKUP('Getting Started'!H$2,D:E,ROW(),FALSE)</f>
        <v>0</v>
      </c>
    </row>
    <row r="985" spans="3:3" x14ac:dyDescent="0.25">
      <c r="C985" s="4">
        <f>HLOOKUP('Getting Started'!H$2,D:E,ROW(),FALSE)</f>
        <v>0</v>
      </c>
    </row>
    <row r="986" spans="3:3" x14ac:dyDescent="0.25">
      <c r="C986" s="4">
        <f>HLOOKUP('Getting Started'!H$2,D:E,ROW(),FALSE)</f>
        <v>0</v>
      </c>
    </row>
    <row r="987" spans="3:3" x14ac:dyDescent="0.25">
      <c r="C987" s="4">
        <f>HLOOKUP('Getting Started'!H$2,D:E,ROW(),FALSE)</f>
        <v>0</v>
      </c>
    </row>
    <row r="988" spans="3:3" x14ac:dyDescent="0.25">
      <c r="C988" s="4">
        <f>HLOOKUP('Getting Started'!H$2,D:E,ROW(),FALSE)</f>
        <v>0</v>
      </c>
    </row>
    <row r="989" spans="3:3" x14ac:dyDescent="0.25">
      <c r="C989" s="4">
        <f>HLOOKUP('Getting Started'!H$2,D:E,ROW(),FALSE)</f>
        <v>0</v>
      </c>
    </row>
    <row r="990" spans="3:3" x14ac:dyDescent="0.25">
      <c r="C990" s="4">
        <f>HLOOKUP('Getting Started'!H$2,D:E,ROW(),FALSE)</f>
        <v>0</v>
      </c>
    </row>
    <row r="991" spans="3:3" x14ac:dyDescent="0.25">
      <c r="C991" s="4">
        <f>HLOOKUP('Getting Started'!H$2,D:E,ROW(),FALSE)</f>
        <v>0</v>
      </c>
    </row>
    <row r="992" spans="3:3" x14ac:dyDescent="0.25">
      <c r="C992" s="4">
        <f>HLOOKUP('Getting Started'!H$2,D:E,ROW(),FALSE)</f>
        <v>0</v>
      </c>
    </row>
    <row r="993" spans="3:3" x14ac:dyDescent="0.25">
      <c r="C993" s="4">
        <f>HLOOKUP('Getting Started'!H$2,D:E,ROW(),FALSE)</f>
        <v>0</v>
      </c>
    </row>
    <row r="994" spans="3:3" x14ac:dyDescent="0.25">
      <c r="C994" s="4">
        <f>HLOOKUP('Getting Started'!H$2,D:E,ROW(),FALSE)</f>
        <v>0</v>
      </c>
    </row>
    <row r="995" spans="3:3" x14ac:dyDescent="0.25">
      <c r="C995" s="4">
        <f>HLOOKUP('Getting Started'!H$2,D:E,ROW(),FALSE)</f>
        <v>0</v>
      </c>
    </row>
    <row r="996" spans="3:3" x14ac:dyDescent="0.25">
      <c r="C996" s="4">
        <f>HLOOKUP('Getting Started'!H$2,D:E,ROW(),FALSE)</f>
        <v>0</v>
      </c>
    </row>
    <row r="997" spans="3:3" x14ac:dyDescent="0.25">
      <c r="C997" s="4">
        <f>HLOOKUP('Getting Started'!H$2,D:E,ROW(),FALSE)</f>
        <v>0</v>
      </c>
    </row>
    <row r="998" spans="3:3" x14ac:dyDescent="0.25">
      <c r="C998" s="4">
        <f>HLOOKUP('Getting Started'!H$2,D:E,ROW(),FALSE)</f>
        <v>0</v>
      </c>
    </row>
    <row r="999" spans="3:3" x14ac:dyDescent="0.25">
      <c r="C999" s="4">
        <f>HLOOKUP('Getting Started'!H$2,D:E,ROW(),FALSE)</f>
        <v>0</v>
      </c>
    </row>
    <row r="1000" spans="3:3" x14ac:dyDescent="0.25">
      <c r="C1000" s="4">
        <f>HLOOKUP('Getting Started'!H$2,D:E,ROW(),FALSE)</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3"/>
  <sheetViews>
    <sheetView workbookViewId="0">
      <selection activeCell="B4" sqref="B4"/>
    </sheetView>
  </sheetViews>
  <sheetFormatPr defaultColWidth="10.140625" defaultRowHeight="15.75" x14ac:dyDescent="0.25"/>
  <cols>
    <col min="1" max="1" width="15.42578125" style="18" bestFit="1" customWidth="1"/>
    <col min="2" max="2" width="10.42578125" style="18" customWidth="1"/>
    <col min="3" max="16384" width="10.140625" style="18"/>
  </cols>
  <sheetData>
    <row r="1" spans="1:3" x14ac:dyDescent="0.25">
      <c r="B1" s="18" t="s">
        <v>1467</v>
      </c>
    </row>
    <row r="3" spans="1:3" x14ac:dyDescent="0.25">
      <c r="C3" s="18" t="s">
        <v>1461</v>
      </c>
    </row>
    <row r="4" spans="1:3" ht="189" x14ac:dyDescent="0.25">
      <c r="A4" s="18" t="s">
        <v>2970</v>
      </c>
      <c r="B4" s="18" t="b">
        <v>0</v>
      </c>
      <c r="C4" s="270" t="s">
        <v>3143</v>
      </c>
    </row>
    <row r="5" spans="1:3" x14ac:dyDescent="0.25">
      <c r="A5" s="18" t="s">
        <v>2969</v>
      </c>
      <c r="C5" s="18" t="s">
        <v>3149</v>
      </c>
    </row>
    <row r="6" spans="1:3" x14ac:dyDescent="0.25">
      <c r="A6" s="18" t="s">
        <v>2925</v>
      </c>
      <c r="B6" s="18" t="b">
        <v>0</v>
      </c>
      <c r="C6" s="18" t="s">
        <v>3140</v>
      </c>
    </row>
    <row r="7" spans="1:3" x14ac:dyDescent="0.25">
      <c r="A7" s="18" t="s">
        <v>2900</v>
      </c>
      <c r="C7" s="18" t="s">
        <v>3136</v>
      </c>
    </row>
    <row r="13" spans="1:3" x14ac:dyDescent="0.25">
      <c r="A13"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Getting Started</vt:lpstr>
      <vt:lpstr>Dashboard</vt:lpstr>
      <vt:lpstr>Phase1 - Criterias</vt:lpstr>
      <vt:lpstr>Phase1 - Fill-in</vt:lpstr>
      <vt:lpstr>Phase1</vt:lpstr>
      <vt:lpstr>Phase2 - Criterias</vt:lpstr>
      <vt:lpstr>Phase2 - Fill-in</vt:lpstr>
      <vt:lpstr>Phase2</vt:lpstr>
      <vt:lpstr>Phase3 - Criterias</vt:lpstr>
      <vt:lpstr>Phase3 - Fill-in</vt:lpstr>
      <vt:lpstr>Phase3</vt:lpstr>
      <vt:lpstr>Phase4 - Criterias</vt:lpstr>
      <vt:lpstr>Phase4 - Fill-in</vt:lpstr>
      <vt:lpstr>Phase4</vt:lpstr>
      <vt:lpstr>Dictionnary</vt:lpstr>
      <vt:lpstr>CompChecksTrans</vt:lpstr>
      <vt:lpstr>xlwings.conf</vt:lpstr>
    </vt:vector>
  </TitlesOfParts>
  <Company>University of Washington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Grégoire Lurton</dc:creator>
  <cp:lastModifiedBy>Gregoire Lurton</cp:lastModifiedBy>
  <dcterms:created xsi:type="dcterms:W3CDTF">2017-09-13T05:14:04Z</dcterms:created>
  <dcterms:modified xsi:type="dcterms:W3CDTF">2017-10-06T19:32:40Z</dcterms:modified>
</cp:coreProperties>
</file>